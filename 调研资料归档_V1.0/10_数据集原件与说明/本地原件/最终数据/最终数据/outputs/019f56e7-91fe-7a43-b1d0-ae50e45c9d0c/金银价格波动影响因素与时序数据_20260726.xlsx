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791e8dd8b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总览" sheetId="1" r:id="R6b6697bddc974e93"/>
    <x:sheet xmlns:r="http://schemas.openxmlformats.org/officeDocument/2006/relationships" name="01_金银传导链" sheetId="2" r:id="R8c9545763a644c71"/>
    <x:sheet xmlns:r="http://schemas.openxmlformats.org/officeDocument/2006/relationships" name="02_金银因素表" sheetId="3" r:id="R47a086a3b82a4e23"/>
    <x:sheet xmlns:r="http://schemas.openxmlformats.org/officeDocument/2006/relationships" name="03_事件关联" sheetId="4" r:id="R20017a63c6bc4725"/>
    <x:sheet xmlns:r="http://schemas.openxmlformats.org/officeDocument/2006/relationships" name="05_金银日度主表" sheetId="5" r:id="R62d000329dc446c8"/>
    <x:sheet xmlns:r="http://schemas.openxmlformats.org/officeDocument/2006/relationships" name="06_SGE原始日行情" sheetId="6" r:id="R2871c19777d04381"/>
    <x:sheet xmlns:r="http://schemas.openxmlformats.org/officeDocument/2006/relationships" name="07_FRED日度原始" sheetId="7" r:id="R273e85b3c0a74dad"/>
    <x:sheet xmlns:r="http://schemas.openxmlformats.org/officeDocument/2006/relationships" name="08_CFTC周度持仓" sheetId="8" r:id="R99a88ed6acb84de3"/>
    <x:sheet xmlns:r="http://schemas.openxmlformats.org/officeDocument/2006/relationships" name="09_金银月度主表" sheetId="9" r:id="Re56a4210cde448ae"/>
    <x:sheet xmlns:r="http://schemas.openxmlformats.org/officeDocument/2006/relationships" name="10_GPR月度" sheetId="10" r:id="R62838e5456844eb2"/>
    <x:sheet xmlns:r="http://schemas.openxmlformats.org/officeDocument/2006/relationships" name="11_白银年度供需" sheetId="11" r:id="Rc7d5d7c1480e49fb"/>
    <x:sheet xmlns:r="http://schemas.openxmlformats.org/officeDocument/2006/relationships" name="12_来源与口径" sheetId="12" r:id="R08e4b1bccddf44a5"/>
    <x:sheet xmlns:r="http://schemas.openxmlformats.org/officeDocument/2006/relationships" name="13_质量检查" sheetId="13" r:id="Ree418488eede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"/>
    <x:numFmt numFmtId="201" formatCode="0.00"/>
    <x:numFmt numFmtId="202" formatCode="0.00%"/>
    <x:numFmt numFmtId="203" formatCode="yyyy-mm-dd"/>
    <x:numFmt numFmtId="204" formatCode="#,##0.00"/>
    <x:numFmt numFmtId="205" formatCode="#,##0"/>
    <x:numFmt numFmtId="206" formatCode="0"/>
    <x:numFmt numFmtId="207" formatCode="$0.00"/>
  </x:numFmts>
  <x:fonts count="10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203040"/>
      <x:name val="Microsoft YaHei"/>
    </x:font>
    <x:font>
      <x:b/>
      <x:sz val="14"/>
      <x:color rgb="FF16324F"/>
      <x:name val="Microsoft YaHei"/>
    </x:font>
    <x:font>
      <x:b/>
      <x:sz val="11"/>
      <x:color rgb="FFFFFFFF"/>
      <x:name val="Carlito"/>
    </x:font>
    <x:font>
      <x:sz val="10"/>
      <x:color rgb="FF203040"/>
      <x:name val="Carlito"/>
    </x:font>
    <x:font>
      <x:sz val="9"/>
      <x:color rgb="FF203040"/>
      <x:name val="Microsoft YaHei"/>
    </x:font>
    <x:font>
      <x:b/>
      <x:sz val="10"/>
      <x:color rgb="FFFFFFFF"/>
      <x:name val="Microsoft YaHei"/>
    </x:font>
    <x:font>
      <x:b/>
      <x:sz val="9"/>
      <x:color rgb="FF008000"/>
      <x:name val="Microsoft YaHei"/>
    </x:font>
    <x:font>
      <x:sz val="1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EBC6"/>
      </x:patternFill>
    </x:fill>
    <x:fill>
      <x:patternFill patternType="solid">
        <x:fgColor rgb="FFE8F1F7"/>
      </x:patternFill>
    </x:fill>
    <x:fill>
      <x:patternFill patternType="solid">
        <x:fgColor rgb="FF244A6B"/>
      </x:patternFill>
    </x:fill>
    <x:fill>
      <x:patternFill patternType="solid">
        <x:fgColor rgb="FFF6F8FA"/>
      </x:patternFill>
    </x:fill>
    <x:fill>
      <x:patternFill patternType="solid">
        <x:fgColor rgb="FFC9952D"/>
      </x:patternFill>
    </x:fill>
    <x:fill>
      <x:patternFill patternType="solid">
        <x:fgColor rgb="FFFFF0D1"/>
      </x:patternFill>
    </x:fill>
  </x:fills>
  <x:borders count="26">
    <x:border/>
    <x:border>
      <x:left style="medium">
        <x:color rgb="FFD9E2E9"/>
      </x:left>
      <x:top style="medium">
        <x:color rgb="FFD9E2E9"/>
      </x:top>
    </x:border>
    <x:border>
      <x:top style="medium">
        <x:color rgb="FFD9E2E9"/>
      </x:top>
    </x:border>
    <x:border>
      <x:right style="medium">
        <x:color rgb="FFD9E2E9"/>
      </x:right>
      <x:top style="medium">
        <x:color rgb="FFD9E2E9"/>
      </x:top>
    </x:border>
    <x:border>
      <x:left style="medium">
        <x:color rgb="FFD9E2E9"/>
      </x:left>
    </x:border>
    <x:border>
      <x:right style="medium">
        <x:color rgb="FFD9E2E9"/>
      </x:right>
    </x:border>
    <x:border>
      <x:left style="medium">
        <x:color rgb="FFD9E2E9"/>
      </x:left>
      <x:bottom style="medium">
        <x:color rgb="FFD9E2E9"/>
      </x:bottom>
    </x:border>
    <x:border>
      <x:bottom style="medium">
        <x:color rgb="FFD9E2E9"/>
      </x:bottom>
    </x:border>
    <x:border>
      <x:right style="medium">
        <x:color rgb="FFD9E2E9"/>
      </x:right>
      <x:bottom style="medium">
        <x:color rgb="FFD9E2E9"/>
      </x:bottom>
    </x:border>
    <x:border>
      <x:left style="thin">
        <x:color rgb="FFD9E2E9"/>
      </x:left>
      <x:top style="thin">
        <x:color rgb="FFD9E2E9"/>
      </x:top>
    </x:border>
    <x:border>
      <x:top style="thin">
        <x:color rgb="FFD9E2E9"/>
      </x:top>
    </x:border>
    <x:border>
      <x:right style="thin">
        <x:color rgb="FFD9E2E9"/>
      </x:right>
      <x:top style="thin">
        <x:color rgb="FFD9E2E9"/>
      </x:top>
    </x:border>
    <x:border>
      <x:left style="thin">
        <x:color rgb="FFD9E2E9"/>
      </x:left>
    </x:border>
    <x:border>
      <x:right style="thin">
        <x:color rgb="FFD9E2E9"/>
      </x:right>
    </x:border>
    <x:border>
      <x:left style="thin">
        <x:color rgb="FFD9E2E9"/>
      </x:left>
      <x:bottom style="thin">
        <x:color rgb="FFD9E2E9"/>
      </x:bottom>
    </x:border>
    <x:border>
      <x:bottom style="thin">
        <x:color rgb="FFD9E2E9"/>
      </x:bottom>
    </x:border>
    <x:border>
      <x:right style="thin">
        <x:color rgb="FFD9E2E9"/>
      </x:right>
      <x:bottom style="thin">
        <x:color rgb="FFD9E2E9"/>
      </x:bottom>
    </x:border>
    <x:border>
      <x:left style="thin">
        <x:color rgb="FFC9952D"/>
      </x:left>
      <x:top style="thin">
        <x:color rgb="FFC9952D"/>
      </x:top>
    </x:border>
    <x:border>
      <x:top style="thin">
        <x:color rgb="FFC9952D"/>
      </x:top>
    </x:border>
    <x:border>
      <x:right style="thin">
        <x:color rgb="FFC9952D"/>
      </x:right>
      <x:top style="thin">
        <x:color rgb="FFC9952D"/>
      </x:top>
    </x:border>
    <x:border>
      <x:left style="thin">
        <x:color rgb="FFC9952D"/>
      </x:left>
    </x:border>
    <x:border>
      <x:right style="thin">
        <x:color rgb="FFC9952D"/>
      </x:right>
    </x:border>
    <x:border>
      <x:left style="thin">
        <x:color rgb="FFC9952D"/>
      </x:left>
      <x:bottom style="thin">
        <x:color rgb="FFC9952D"/>
      </x:bottom>
    </x:border>
    <x:border>
      <x:bottom style="thin">
        <x:color rgb="FFC9952D"/>
      </x:bottom>
    </x:border>
    <x:border>
      <x:right style="thin">
        <x:color rgb="FFC9952D"/>
      </x:right>
      <x:bottom style="thin">
        <x:color rgb="FFC9952D"/>
      </x:bottom>
    </x:border>
    <x:border>
      <x:left style="thin">
        <x:color rgb="FFD9E2E9"/>
      </x:left>
      <x:right style="thin">
        <x:color rgb="FFD9E2E9"/>
      </x:right>
      <x:top style="thin">
        <x:color rgb="FFD9E2E9"/>
      </x:top>
      <x:bottom style="thin">
        <x:color rgb="FFD9E2E9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21" xfId="0" applyNumberFormat="1" applyFont="1" applyFill="1" applyBorder="1"/>
    <x:xf numFmtId="0" fontId="5" fillId="8" borderId="22" xfId="0" applyNumberFormat="1" applyFont="1" applyFill="1" applyBorder="1"/>
    <x:xf numFmtId="0" fontId="5" fillId="8" borderId="23" xfId="0" applyNumberFormat="1" applyFont="1" applyFill="1" applyBorder="1"/>
    <x:xf numFmtId="0" fontId="5" fillId="8" borderId="24" xfId="0" applyNumberFormat="1" applyFont="1" applyFill="1" applyBorder="1"/>
    <x:xf numFmtId="0" fontId="5" fillId="8" borderId="17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wrapText="1"/>
    </x:xf>
    <x:xf numFmtId="0" fontId="5" fillId="8" borderId="19" xfId="0" applyNumberFormat="1" applyFont="1" applyFill="1" applyBorder="1" applyAlignment="1">
      <x:alignment wrapText="1"/>
    </x:xf>
    <x:xf numFmtId="0" fontId="5" fillId="8" borderId="2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1" xfId="0" applyNumberFormat="1" applyFont="1" applyFill="1" applyBorder="1" applyAlignment="1">
      <x:alignment wrapText="1"/>
    </x:xf>
    <x:xf numFmtId="0" fontId="5" fillId="8" borderId="22" xfId="0" applyNumberFormat="1" applyFont="1" applyFill="1" applyBorder="1" applyAlignment="1">
      <x:alignment wrapText="1"/>
    </x:xf>
    <x:xf numFmtId="0" fontId="5" fillId="8" borderId="23" xfId="0" applyNumberFormat="1" applyFont="1" applyFill="1" applyBorder="1" applyAlignment="1">
      <x:alignment wrapText="1"/>
    </x:xf>
    <x:xf numFmtId="0" fontId="5" fillId="8" borderId="24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9" xfId="0" applyNumberFormat="1" applyFont="1" applyFill="1" applyBorder="1" applyAlignment="1">
      <x:alignment vertical="top" wrapText="1"/>
    </x:xf>
    <x:xf numFmtId="0" fontId="5" fillId="8" borderId="2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21" xfId="0" applyNumberFormat="1" applyFont="1" applyFill="1" applyBorder="1" applyAlignment="1">
      <x:alignment vertical="top" wrapText="1"/>
    </x:xf>
    <x:xf numFmtId="0" fontId="5" fillId="8" borderId="22" xfId="0" applyNumberFormat="1" applyFont="1" applyFill="1" applyBorder="1" applyAlignment="1">
      <x:alignment vertical="top" wrapText="1"/>
    </x:xf>
    <x:xf numFmtId="0" fontId="5" fillId="8" borderId="23" xfId="0" applyNumberFormat="1" applyFont="1" applyFill="1" applyBorder="1" applyAlignment="1">
      <x:alignment vertical="top" wrapText="1"/>
    </x:xf>
    <x:xf numFmtId="0" fontId="5" fillId="8" borderId="2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5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  <x:dxf>
      <x:font>
        <x:b/>
        <x:color rgb="FFB42318"/>
      </x:font>
      <x:fill>
        <x:patternFill patternType="solid">
          <x:bgColor rgb="FFFBE7E5"/>
        </x:patternFill>
      </x:fill>
    </x:dxf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B42318"/>
      </x:font>
      <x:fill>
        <x:patternFill patternType="solid">
          <x:bgColor rgb="FFFBE7E5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cf94d8cb44ec6" /><Relationship Type="http://schemas.openxmlformats.org/officeDocument/2006/relationships/theme" Target="/xl/theme/theme1.xml" Id="R5e8c1727f68f4cc6" /><Relationship Type="http://schemas.openxmlformats.org/officeDocument/2006/relationships/sharedStrings" Target="/xl/sharedStrings.xml" Id="R4c60c648d8144306" /><Relationship Type="http://schemas.openxmlformats.org/officeDocument/2006/relationships/worksheet" Target="/xl/worksheets/sheet1.xml" Id="R6b6697bddc974e93" /><Relationship Type="http://schemas.openxmlformats.org/officeDocument/2006/relationships/worksheet" Target="/xl/worksheets/sheet2.xml" Id="R8c9545763a644c71" /><Relationship Type="http://schemas.openxmlformats.org/officeDocument/2006/relationships/worksheet" Target="/xl/worksheets/sheet3.xml" Id="R47a086a3b82a4e23" /><Relationship Type="http://schemas.openxmlformats.org/officeDocument/2006/relationships/worksheet" Target="/xl/worksheets/sheet4.xml" Id="R20017a63c6bc4725" /><Relationship Type="http://schemas.openxmlformats.org/officeDocument/2006/relationships/worksheet" Target="/xl/worksheets/sheet5.xml" Id="R62d000329dc446c8" /><Relationship Type="http://schemas.openxmlformats.org/officeDocument/2006/relationships/worksheet" Target="/xl/worksheets/sheet6.xml" Id="R2871c19777d04381" /><Relationship Type="http://schemas.openxmlformats.org/officeDocument/2006/relationships/worksheet" Target="/xl/worksheets/sheet7.xml" Id="R273e85b3c0a74dad" /><Relationship Type="http://schemas.openxmlformats.org/officeDocument/2006/relationships/worksheet" Target="/xl/worksheets/sheet8.xml" Id="R99a88ed6acb84de3" /><Relationship Type="http://schemas.openxmlformats.org/officeDocument/2006/relationships/worksheet" Target="/xl/worksheets/sheet9.xml" Id="Re56a4210cde448ae" /><Relationship Type="http://schemas.openxmlformats.org/officeDocument/2006/relationships/worksheet" Target="/xl/worksheets/sheet10.xml" Id="R62838e5456844eb2" /><Relationship Type="http://schemas.openxmlformats.org/officeDocument/2006/relationships/worksheet" Target="/xl/worksheets/sheet11.xml" Id="Rc7d5d7c1480e49fb" /><Relationship Type="http://schemas.openxmlformats.org/officeDocument/2006/relationships/worksheet" Target="/xl/worksheets/sheet12.xml" Id="R08e4b1bccddf44a5" /><Relationship Type="http://schemas.openxmlformats.org/officeDocument/2006/relationships/worksheet" Target="/xl/worksheets/sheet13.xml" Id="Ree418488eede48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37f82b23b14e5e" /><Relationship Type="http://schemas.openxmlformats.org/officeDocument/2006/relationships/chart" Target="/xl/drawings/charts/chart2.xml" Id="R300be382c86645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6eac5346de34452" /><Relationship Type="http://schemas.openxmlformats.org/officeDocument/2006/relationships/chart" Target="/xl/drawings/charts/chart4.xml" Id="R74334463f74448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近48个月金银标准化价格（起点=100）</a:t>
            </a:r>
          </a:p>
        </c:rich>
      </c:tx>
    </c:title>
    <c:plotArea>
      <c:lineChart>
        <c:grouping val="standard"/>
        <c:ser>
          <c:idx val="0"/>
          <c:order val="0"/>
          <c:tx>
            <c:v>黄金价格指数</c:v>
          </c:tx>
          <c:marker>
            <c:symbol val="none"/>
          </c:marker>
          <c:cat>
            <c:strRef>
              <c:f>'00_说明与总览'!$X$3:$X$50</c:f>
              <c:strCache>
                <c:ptCount val="0"/>
              </c:strCache>
            </c:strRef>
          </c:cat>
          <c:val>
            <c:numRef>
              <c:f>'00_说明与总览'!$Y$3:$Y$50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白银价格指数</c:v>
          </c:tx>
          <c:marker>
            <c:symbol val="none"/>
          </c:marker>
          <c:cat>
            <c:strRef>
              <c:f>'00_说明与总览'!$X$3:$X$50</c:f>
              <c:strCache>
                <c:ptCount val="0"/>
              </c:strCache>
            </c:strRef>
          </c:cat>
          <c:val>
            <c:numRef>
              <c:f>'00_说明与总览'!$Z$3:$Z$50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近48个月金银比（USD口径）</a:t>
            </a:r>
          </a:p>
        </c:rich>
      </c:tx>
    </c:title>
    <c:plotArea>
      <c:lineChart>
        <c:grouping val="standard"/>
        <c:ser>
          <c:idx val="0"/>
          <c:order val="0"/>
          <c:tx>
            <c:v>金银比</c:v>
          </c:tx>
          <c:marker>
            <c:symbol val="none"/>
          </c:marker>
          <c:cat>
            <c:strRef>
              <c:f>'00_说明与总览'!$AB$3:$AB$50</c:f>
              <c:strCache>
                <c:ptCount val="0"/>
              </c:strCache>
            </c:strRef>
          </c:cat>
          <c:val>
            <c:numRef>
              <c:f>'00_说明与总览'!$AC$3:$AC$50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2017—2026F白银总供给与总需求</a:t>
            </a:r>
          </a:p>
        </c:rich>
      </c:tx>
    </c:title>
    <c:plotArea>
      <c:lineChart>
        <c:grouping val="standard"/>
        <c:ser>
          <c:idx val="0"/>
          <c:order val="0"/>
          <c:tx>
            <c:v>总供给(吨)</c:v>
          </c:tx>
          <c:marker>
            <c:symbol val="none"/>
          </c:marker>
          <c:cat>
            <c:strRef>
              <c:f>'11_白银年度供需'!$Z$6:$Z$15</c:f>
              <c:strCache>
                <c:ptCount val="0"/>
              </c:strCache>
            </c:strRef>
          </c:cat>
          <c:val>
            <c:numRef>
              <c:f>'11_白银年度供需'!$AA$6:$AA$15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总需求(吨)</c:v>
          </c:tx>
          <c:marker>
            <c:symbol val="none"/>
          </c:marker>
          <c:cat>
            <c:strRef>
              <c:f>'11_白银年度供需'!$Z$6:$Z$15</c:f>
              <c:strCache>
                <c:ptCount val="0"/>
              </c:strCache>
            </c:strRef>
          </c:cat>
          <c:val>
            <c:numRef>
              <c:f>'11_白银年度供需'!$AB$6:$AB$15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白银市场平衡：负值表示赤字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市场平衡(吨)</c:v>
          </c:tx>
          <c:cat>
            <c:strRef>
              <c:f>'11_白银年度供需'!$AD$6:$AD$15</c:f>
              <c:strCache>
                <c:ptCount val="0"/>
              </c:strCache>
            </c:strRef>
          </c:cat>
          <c:val>
            <c:numRef>
              <c:f>'11_白银年度供需'!$AE$6:$AE$15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37f82b23b14e5e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0be382c86645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eac5346de34452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334463f74448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missionChainTable" displayName="TransmissionChainTable" ref="A5:I16" headerRowCount="1" totalsRowCount="0" totalsRowShown="0">
  <x:autoFilter ref="A5:I16"/>
  <x:tableColumns count="9">
    <x:tableColumn id="1" name="链路编号"/>
    <x:tableColumn id="2" name="冲击起点"/>
    <x:tableColumn id="3" name="第一传导"/>
    <x:tableColumn id="4" name="第二传导"/>
    <x:tableColumn id="5" name="黄金价格作用"/>
    <x:tableColumn id="6" name="白银价格作用"/>
    <x:tableColumn id="7" name="关键指标"/>
    <x:tableColumn id="8" name="可检验假设"/>
    <x:tableColumn id="9" name="主要反例/边界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oldSilverFactorTable" displayName="GoldSilverFactorTable" ref="A5:O27" headerRowCount="1" totalsRowCount="0" totalsRowShown="0">
  <x:autoFilter ref="A5:O27"/>
  <x:tableColumns count="15">
    <x:tableColumn id="1" name="优先级"/>
    <x:tableColumn id="2" name="适用资产"/>
    <x:tableColumn id="3" name="链路阶段"/>
    <x:tableColumn id="4" name="类别"/>
    <x:tableColumn id="5" name="影响因素"/>
    <x:tableColumn id="6" name="可观测指标"/>
    <x:tableColumn id="7" name="对黄金的作用"/>
    <x:tableColumn id="8" name="对白银的作用"/>
    <x:tableColumn id="9" name="通常方向/用途"/>
    <x:tableColumn id="10" name="非线性/失效条件"/>
    <x:tableColumn id="11" name="频率"/>
    <x:tableColumn id="12" name="建议滞后"/>
    <x:tableColumn id="13" name="数据来源"/>
    <x:tableColumn id="14" name="采集状态"/>
    <x:tableColumn id="15" name="工作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ventLinkTable" displayName="EventLinkTable" ref="A1:K8" headerRowCount="1" totalsRowCount="0" totalsRowShown="0">
  <x:tableColumns count="11">
    <x:tableColumn id="1" name="event_date"/>
    <x:tableColumn id="2" name="事件"/>
    <x:tableColumn id="3" name="理论传导链"/>
    <x:tableColumn id="4" name="官方来源"/>
    <x:tableColumn id="5" name="事件月黄金收益"/>
    <x:tableColumn id="6" name="事件月白银收益"/>
    <x:tableColumn id="7" name="事件月实际利率变化"/>
    <x:tableColumn id="8" name="事件月美元收益"/>
    <x:tableColumn id="9" name="事件月GPR变化"/>
    <x:tableColumn id="10" name="事件月金银比"/>
    <x:tableColumn id="11" name="解读限制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5" name="DailyGoldSilverTable" displayName="DailyGoldSilverTable" ref="A1:AR595" headerRowCount="1" totalsRowCount="0" totalsRowShown="0">
  <x:tableColumns count="44">
    <x:tableColumn id="1" name="date"/>
    <x:tableColumn id="2" name="gold_open_cny_g"/>
    <x:tableColumn id="3" name="gold_high_cny_g"/>
    <x:tableColumn id="4" name="gold_low_cny_g"/>
    <x:tableColumn id="5" name="gold_close_cny_g"/>
    <x:tableColumn id="6" name="gold_return_1d"/>
    <x:tableColumn id="7" name="gold_intraday_range"/>
    <x:tableColumn id="8" name="gold_weighted_avg_cny_g"/>
    <x:tableColumn id="9" name="gold_volume_kg"/>
    <x:tableColumn id="10" name="gold_turnover_cny"/>
    <x:tableColumn id="11" name="gold_open_interest_lots"/>
    <x:tableColumn id="12" name="silver_open_cny_kg"/>
    <x:tableColumn id="13" name="silver_high_cny_kg"/>
    <x:tableColumn id="14" name="silver_low_cny_kg"/>
    <x:tableColumn id="15" name="silver_close_cny_kg"/>
    <x:tableColumn id="16" name="silver_return_1d"/>
    <x:tableColumn id="17" name="silver_intraday_range"/>
    <x:tableColumn id="18" name="silver_weighted_avg_cny_kg"/>
    <x:tableColumn id="19" name="silver_volume_kg"/>
    <x:tableColumn id="20" name="silver_turnover_cny"/>
    <x:tableColumn id="21" name="silver_open_interest_lots"/>
    <x:tableColumn id="22" name="gold_silver_ratio"/>
    <x:tableColumn id="23" name="nominal_10y_prev_pct"/>
    <x:tableColumn id="24" name="nominal_obs_date"/>
    <x:tableColumn id="25" name="real_10y_prev_pct"/>
    <x:tableColumn id="26" name="real_obs_date"/>
    <x:tableColumn id="27" name="real_yield_change"/>
    <x:tableColumn id="28" name="breakeven_10y_prev_pct"/>
    <x:tableColumn id="29" name="broad_dollar_prev"/>
    <x:tableColumn id="30" name="dollar_obs_date"/>
    <x:tableColumn id="31" name="dollar_return"/>
    <x:tableColumn id="32" name="vix_prev"/>
    <x:tableColumn id="33" name="vix_obs_date"/>
    <x:tableColumn id="34" name="vix_change"/>
    <x:tableColumn id="35" name="fed_funds_prev_pct"/>
    <x:tableColumn id="36" name="cftc_gold_release_date"/>
    <x:tableColumn id="37" name="cftc_gold_mm_net"/>
    <x:tableColumn id="38" name="cftc_gold_mm_net_pct_oi"/>
    <x:tableColumn id="39" name="cftc_gold_producer_net"/>
    <x:tableColumn id="40" name="cftc_silver_release_date"/>
    <x:tableColumn id="41" name="cftc_silver_mm_net"/>
    <x:tableColumn id="42" name="cftc_silver_mm_net_pct_oi"/>
    <x:tableColumn id="43" name="cftc_silver_producer_net"/>
    <x:tableColumn id="44" name="asof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geRawTable" displayName="SgeRawTable" ref="A1:M1189" headerRowCount="1" totalsRowCount="0" totalsRowShown="0">
  <x:tableColumns count="13">
    <x:tableColumn id="1" name="date"/>
    <x:tableColumn id="2" name="contract"/>
    <x:tableColumn id="3" name="open"/>
    <x:tableColumn id="4" name="high"/>
    <x:tableColumn id="5" name="low"/>
    <x:tableColumn id="6" name="close"/>
    <x:tableColumn id="7" name="change_cny"/>
    <x:tableColumn id="8" name="change_pct"/>
    <x:tableColumn id="9" name="weighted_avg"/>
    <x:tableColumn id="10" name="volume_kg"/>
    <x:tableColumn id="11" name="turnover_cny"/>
    <x:tableColumn id="12" name="open_interest_lots"/>
    <x:tableColumn id="13" name="source_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FredDailyTable" displayName="FredDailyTable" ref="A1:G3858" headerRowCount="1" totalsRowCount="0" totalsRowShown="0">
  <x:tableColumns count="7">
    <x:tableColumn id="1" name="date"/>
    <x:tableColumn id="2" name="nominal_10y_pct"/>
    <x:tableColumn id="3" name="real_10y_pct"/>
    <x:tableColumn id="4" name="breakeven_10y_pct"/>
    <x:tableColumn id="5" name="broad_dollar_index"/>
    <x:tableColumn id="6" name="vix"/>
    <x:tableColumn id="7" name="fed_funds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CftcWeeklyTable" displayName="CftcWeeklyTable" ref="A1:L1099" headerRowCount="1" totalsRowCount="0" totalsRowShown="0">
  <x:tableColumns count="12">
    <x:tableColumn id="1" name="asset"/>
    <x:tableColumn id="2" name="report_date"/>
    <x:tableColumn id="3" name="assumed_release_date"/>
    <x:tableColumn id="4" name="open_interest"/>
    <x:tableColumn id="5" name="managed_money_long"/>
    <x:tableColumn id="6" name="managed_money_short"/>
    <x:tableColumn id="7" name="managed_money_net"/>
    <x:tableColumn id="8" name="managed_money_net_pct_oi"/>
    <x:tableColumn id="9" name="producer_long"/>
    <x:tableColumn id="10" name="producer_short"/>
    <x:tableColumn id="11" name="producer_net"/>
    <x:tableColumn id="12" name="producer_net_pct_oi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3" name="MonthlyGoldSilverTable" displayName="MonthlyGoldSilverTable" ref="A1:AF127" headerRowCount="1" totalsRowCount="0" totalsRowShown="0">
  <x:tableColumns count="32">
    <x:tableColumn id="1" name="month"/>
    <x:tableColumn id="2" name="gold_usd_oz"/>
    <x:tableColumn id="3" name="silver_usd_oz"/>
    <x:tableColumn id="4" name="brent_usd_bbl"/>
    <x:tableColumn id="5" name="copper_usd_mt"/>
    <x:tableColumn id="6" name="gold_silver_ratio"/>
    <x:tableColumn id="7" name="gold_return_1m"/>
    <x:tableColumn id="8" name="silver_return_1m"/>
    <x:tableColumn id="9" name="brent_return_1m"/>
    <x:tableColumn id="10" name="copper_return_1m"/>
    <x:tableColumn id="11" name="nominal_10y_avg_pct"/>
    <x:tableColumn id="12" name="real_10y_avg_pct"/>
    <x:tableColumn id="13" name="real_10y_change_1m"/>
    <x:tableColumn id="14" name="breakeven_10y_avg_pct"/>
    <x:tableColumn id="15" name="broad_dollar_avg"/>
    <x:tableColumn id="16" name="broad_dollar_return_1m"/>
    <x:tableColumn id="17" name="vix_avg"/>
    <x:tableColumn id="18" name="fed_funds_avg_pct"/>
    <x:tableColumn id="19" name="cpi_index"/>
    <x:tableColumn id="20" name="cpi_yoy"/>
    <x:tableColumn id="21" name="indpro_index"/>
    <x:tableColumn id="22" name="indpro_yoy"/>
    <x:tableColumn id="23" name="fed_assets_usd_mn"/>
    <x:tableColumn id="24" name="fed_assets_change_1m"/>
    <x:tableColumn id="25" name="gpr_global"/>
    <x:tableColumn id="26" name="gpr_change_1m"/>
    <x:tableColumn id="27" name="cftc_mm_net_gold_avg"/>
    <x:tableColumn id="28" name="cftc_mm_net_gold_change_1m"/>
    <x:tableColumn id="29" name="cftc_mm_net_silver_avg"/>
    <x:tableColumn id="30" name="cftc_mm_net_silver_change_1m"/>
    <x:tableColumn id="31" name="china_epu_partial"/>
    <x:tableColumn id="32" name="data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prMonthlyTable" displayName="GprMonthlyTable" ref="A1:G127" headerRowCount="1" totalsRowCount="0" totalsRowShown="0">
  <x:tableColumns count="7">
    <x:tableColumn id="1" name="date"/>
    <x:tableColumn id="2" name="gpr_global"/>
    <x:tableColumn id="3" name="gpr_threats"/>
    <x:tableColumn id="4" name="gpr_acts"/>
    <x:tableColumn id="5" name="gpr_china_share"/>
    <x:tableColumn id="6" name="gpr_russia_share"/>
    <x:tableColumn id="7" name="gpr_usa_shar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SilverSupplyDemandTable" displayName="SilverSupplyDemandTable" ref="A5:X15" headerRowCount="1" totalsRowCount="0" totalsRowShown="0">
  <x:autoFilter ref="A5:X15"/>
  <x:tableColumns count="24">
    <x:tableColumn id="1" name="year"/>
    <x:tableColumn id="2" name="is_forecast"/>
    <x:tableColumn id="3" name="mine_production_tonnes"/>
    <x:tableColumn id="4" name="recycling_tonnes"/>
    <x:tableColumn id="5" name="net_hedging_supply_tonnes"/>
    <x:tableColumn id="6" name="net_official_sector_sales_tonnes"/>
    <x:tableColumn id="7" name="total_supply_tonnes"/>
    <x:tableColumn id="8" name="industrial_total_tonnes"/>
    <x:tableColumn id="9" name="electrical_electronics_tonnes"/>
    <x:tableColumn id="10" name="photovoltaics_tonnes"/>
    <x:tableColumn id="11" name="brazing_alloys_solders_tonnes"/>
    <x:tableColumn id="12" name="other_industrial_tonnes"/>
    <x:tableColumn id="13" name="photography_tonnes"/>
    <x:tableColumn id="14" name="jewelry_tonnes"/>
    <x:tableColumn id="15" name="silverware_tonnes"/>
    <x:tableColumn id="16" name="coin_net_bar_demand_tonnes"/>
    <x:tableColumn id="17" name="net_hedging_demand_tonnes"/>
    <x:tableColumn id="18" name="total_demand_tonnes"/>
    <x:tableColumn id="19" name="market_balance_tonnes"/>
    <x:tableColumn id="20" name="net_investment_etps_tonnes"/>
    <x:tableColumn id="21" name="market_balance_less_etps_tonnes"/>
    <x:tableColumn id="22" name="silver_price_usd_oz"/>
    <x:tableColumn id="23" name="source_url"/>
    <x:tableColumn id="24" name="source_page"/>
  </x:tableColumns>
  <x:tableStyleInfo name="TableStyleMedium9" showFirstColumn="0" showLastColumn="0" showRowStripes="1" showColumnStripes="0"/>
</x:table>
</file>

<file path=xl/tables/table11.xml><?xml version="1.0" encoding="utf-8"?>
<x:table xmlns:x="http://schemas.openxmlformats.org/spreadsheetml/2006/main" id="11" name="SourceAuditTable" displayName="SourceAuditTable" ref="A5:M14" headerRowCount="1" totalsRowCount="0" totalsRowShown="0">
  <x:autoFilter ref="A5:M14"/>
  <x:tableColumns count="13">
    <x:tableColumn id="1" name="数据集ID"/>
    <x:tableColumn id="2" name="字段/用途"/>
    <x:tableColumn id="3" name="来源机构"/>
    <x:tableColumn id="4" name="频率"/>
    <x:tableColumn id="5" name="观察时间"/>
    <x:tableColumn id="6" name="模型可用时间"/>
    <x:tableColumn id="7" name="覆盖期"/>
    <x:tableColumn id="8" name="单位"/>
    <x:tableColumn id="9" name="官方URL"/>
    <x:tableColumn id="10" name="本地文件"/>
    <x:tableColumn id="11" name="许可/引用说明"/>
    <x:tableColumn id="12" name="工作表"/>
    <x:tableColumn id="13" name="备注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QualityCheckTable" displayName="QualityCheckTable" ref="A5:F21" headerRowCount="1" totalsRowCount="0" totalsRowShown="0">
  <x:tableColumns count="6">
    <x:tableColumn id="1" name="检查项"/>
    <x:tableColumn id="2" name="实际值"/>
    <x:tableColumn id="3" name="目标值"/>
    <x:tableColumn id="4" name="容差"/>
    <x:tableColumn id="5" name="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b1ef27486b47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bdbf3625a4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0c94f9fbb40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133e9d13e45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ff712977a4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6cbaecf2144a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298126214a46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73bde5f4d04b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fdcb45f5cd4f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eda2f9706844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b76189468dbc40f9" /><Relationship Type="http://schemas.openxmlformats.org/officeDocument/2006/relationships/table" Target="/xl/tables/table10.xml" Id="R683c8a45131e47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d87cf0fa40b40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57a460277504f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4" customHeight="1">
      <x:c r="A1" s="3" t="str">
        <x:v>黄金与白银价格波动影响因素及时间序列数据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X2" t="str">
        <x:v>月份</x:v>
      </x:c>
      <x:c r="Y2" t="str">
        <x:v>黄金价格指数</x:v>
      </x:c>
      <x:c r="Z2" t="str">
        <x:v>白银价格指数</x:v>
      </x:c>
      <x:c r="AB2" t="str">
        <x:v>月份</x:v>
      </x:c>
      <x:c r="AC2" t="str">
        <x:v>金银比</x:v>
      </x:c>
    </x:row>
    <x:row r="3" ht="24" customHeight="1">
      <x:c r="A3" s="7" t="str">
        <x:v>用途：挑战杯揭榜挂帅研究底表｜修订：2026-07-26｜共同宏观因子、金银各自持仓与白银供需分层整理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X3" t="str">
        <x:v>2022-07</x:v>
      </x:c>
      <x:c r="Y3" t="n">
        <x:v>100</x:v>
      </x:c>
      <x:c r="Z3" t="n">
        <x:v>100</x:v>
      </x:c>
      <x:c r="AB3" t="str">
        <x:v>2022-07</x:v>
      </x:c>
      <x:c r="AC3" t="n">
        <x:v>90.73298429319371</x:v>
      </x:c>
    </x:row>
    <x:row r="4">
      <x:c r="X4" t="str">
        <x:v>2022-08</x:v>
      </x:c>
      <x:c r="Y4" t="n">
        <x:v>101.84650894402769</x:v>
      </x:c>
      <x:c r="Z4" t="n">
        <x:v>103.1413612565445</x:v>
      </x:c>
      <x:c r="AB4" t="str">
        <x:v>2022-08</x:v>
      </x:c>
      <x:c r="AC4" t="n">
        <x:v>89.59390862944163</x:v>
      </x:c>
    </x:row>
    <x:row r="5">
      <x:c r="A5" s="35" t="str">
        <x:v>594
个上金所交易日</x:v>
      </x:c>
      <x:c r="B5" s="36"/>
      <x:c r="C5" s="36"/>
      <x:c r="D5" s="37"/>
      <x:c r="E5" s="72" t="str">
        <x:v>3857
个FRED日期</x:v>
      </x:c>
      <x:c r="F5" s="73"/>
      <x:c r="G5" s="73"/>
      <x:c r="H5" s="74"/>
      <x:c r="X5" t="str">
        <x:v>2022-09</x:v>
      </x:c>
      <x:c r="Y5" t="n">
        <x:v>96.99942296595499</x:v>
      </x:c>
      <x:c r="Z5" t="n">
        <x:v>98.95287958115182</x:v>
      </x:c>
      <x:c r="AB5" t="str">
        <x:v>2022-09</x:v>
      </x:c>
      <x:c r="AC5" t="n">
        <x:v>88.94179894179895</x:v>
      </x:c>
    </x:row>
    <x:row r="6">
      <x:c r="A6" s="38"/>
      <x:c r="B6" s="39"/>
      <x:c r="C6" s="39"/>
      <x:c r="D6" s="40"/>
      <x:c r="E6" s="75"/>
      <x:c r="F6" s="76"/>
      <x:c r="G6" s="76"/>
      <x:c r="H6" s="77"/>
      <x:c r="X6" t="str">
        <x:v>2022-10</x:v>
      </x:c>
      <x:c r="Y6" t="n">
        <x:v>96.01846508944027</x:v>
      </x:c>
      <x:c r="Z6" t="n">
        <x:v>101.57068062827224</x:v>
      </x:c>
      <x:c r="AB6" t="str">
        <x:v>2022-10</x:v>
      </x:c>
      <x:c r="AC6" t="n">
        <x:v>85.77319587628867</x:v>
      </x:c>
    </x:row>
    <x:row r="7">
      <x:c r="A7" s="41"/>
      <x:c r="B7" s="42"/>
      <x:c r="C7" s="42"/>
      <x:c r="D7" s="43"/>
      <x:c r="E7" s="78"/>
      <x:c r="F7" s="79"/>
      <x:c r="G7" s="79"/>
      <x:c r="H7" s="80"/>
      <x:c r="X7" t="str">
        <x:v>2022-11</x:v>
      </x:c>
      <x:c r="Y7" t="n">
        <x:v>99.53837276399308</x:v>
      </x:c>
      <x:c r="Z7" t="n">
        <x:v>109.94764397905759</x:v>
      </x:c>
      <x:c r="AB7" t="str">
        <x:v>2022-11</x:v>
      </x:c>
      <x:c r="AC7" t="n">
        <x:v>82.14285714285714</x:v>
      </x:c>
    </x:row>
    <x:row r="8">
      <x:c r="X8" t="str">
        <x:v>2022-12</x:v>
      </x:c>
      <x:c r="Y8" t="n">
        <x:v>103.75072129255626</x:v>
      </x:c>
      <x:c r="Z8" t="n">
        <x:v>121.98952879581151</x:v>
      </x:c>
      <x:c r="AB8" t="str">
        <x:v>2022-12</x:v>
      </x:c>
      <x:c r="AC8" t="n">
        <x:v>77.16738197424893</x:v>
      </x:c>
    </x:row>
    <x:row r="9">
      <x:c r="A9" s="35" t="str">
        <x:v>1098
条金银CFTC周度记录</x:v>
      </x:c>
      <x:c r="B9" s="36"/>
      <x:c r="C9" s="36"/>
      <x:c r="D9" s="37"/>
      <x:c r="E9" s="72" t="str">
        <x:v>10
年白银供需记录</x:v>
      </x:c>
      <x:c r="F9" s="73"/>
      <x:c r="G9" s="73"/>
      <x:c r="H9" s="74"/>
      <x:c r="X9" t="str">
        <x:v>2023-01</x:v>
      </x:c>
      <x:c r="Y9" t="n">
        <x:v>109.52106174264283</x:v>
      </x:c>
      <x:c r="Z9" t="n">
        <x:v>124.08376963350784</x:v>
      </x:c>
      <x:c r="AB9" t="str">
        <x:v>2023-01</x:v>
      </x:c>
      <x:c r="AC9" t="n">
        <x:v>80.084388185654</x:v>
      </x:c>
    </x:row>
    <x:row r="10">
      <x:c r="A10" s="38"/>
      <x:c r="B10" s="39"/>
      <x:c r="C10" s="39"/>
      <x:c r="D10" s="40"/>
      <x:c r="E10" s="75"/>
      <x:c r="F10" s="76"/>
      <x:c r="G10" s="76"/>
      <x:c r="H10" s="77"/>
      <x:c r="X10" t="str">
        <x:v>2023-02</x:v>
      </x:c>
      <x:c r="Y10" t="n">
        <x:v>107.03981534910561</x:v>
      </x:c>
      <x:c r="Z10" t="n">
        <x:v>114.65968586387434</x:v>
      </x:c>
      <x:c r="AB10" t="str">
        <x:v>2023-02</x:v>
      </x:c>
      <x:c r="AC10" t="n">
        <x:v>84.70319634703196</x:v>
      </x:c>
    </x:row>
    <x:row r="11">
      <x:c r="A11" s="41"/>
      <x:c r="B11" s="42"/>
      <x:c r="C11" s="42"/>
      <x:c r="D11" s="43"/>
      <x:c r="E11" s="78"/>
      <x:c r="F11" s="79"/>
      <x:c r="G11" s="79"/>
      <x:c r="H11" s="80"/>
      <x:c r="X11" t="str">
        <x:v>2023-03</x:v>
      </x:c>
      <x:c r="Y11" t="n">
        <x:v>110.38661281015581</x:v>
      </x:c>
      <x:c r="Z11" t="n">
        <x:v>115.18324607329842</x:v>
      </x:c>
      <x:c r="AB11" t="str">
        <x:v>2023-03</x:v>
      </x:c>
      <x:c r="AC11" t="n">
        <x:v>86.95454545454545</x:v>
      </x:c>
    </x:row>
    <x:row r="12">
      <x:c r="X12" t="str">
        <x:v>2023-04</x:v>
      </x:c>
      <x:c r="Y12" t="n">
        <x:v>115.4068090017311</x:v>
      </x:c>
      <x:c r="Z12" t="n">
        <x:v>130.89005235602093</x:v>
      </x:c>
      <x:c r="AB12" t="str">
        <x:v>2023-04</x:v>
      </x:c>
      <x:c r="AC12" t="n">
        <x:v>80</x:v>
      </x:c>
    </x:row>
    <x:row r="13">
      <x:c r="A13" s="82" t="str">
        <x:v>推荐分析顺序</x:v>
      </x:c>
      <x:c r="B13" s="82"/>
      <x:c r="C13" s="82"/>
      <x:c r="D13" s="82"/>
      <x:c r="E13" s="82"/>
      <x:c r="F13" s="82"/>
      <x:c r="G13" s="82"/>
      <x:c r="H13" s="82"/>
      <x:c r="X13" t="str">
        <x:v>2023-05</x:v>
      </x:c>
      <x:c r="Y13" t="n">
        <x:v>114.94518176572417</x:v>
      </x:c>
      <x:c r="Z13" t="n">
        <x:v>127.22513089005234</x:v>
      </x:c>
      <x:c r="AB13" t="str">
        <x:v>2023-05</x:v>
      </x:c>
      <x:c r="AC13" t="n">
        <x:v>81.9753086419753</x:v>
      </x:c>
    </x:row>
    <x:row r="14">
      <x:c r="A14" s="102" t="str">
        <x:v>1. 在“01_金银传导链”区分共同渠道、黄金特有渠道与白银特有渠道；
2. 在“02_金银因素表”逐项核对黄金作用、白银作用、数据频率和采集状态；
3. 短期分析使用“05_金银日度主表”：金银OHLC、收益、振幅、成交与各自CFTC持仓并排；
4. 中期分析使用“09_金银月度主表”：宏观、工业、风险和金银相对价格统一日期轴；
5. 长期白银机制使用“11_白银年度供需”：矿产、回收、工业、光伏、投资和市场平衡；
6. 先检验滞后与状态变化，再讨论事件机制，不能把简单相关写成因果。</x:v>
      </x:c>
      <x:c r="B14" s="103"/>
      <x:c r="C14" s="103"/>
      <x:c r="D14" s="103"/>
      <x:c r="E14" s="103"/>
      <x:c r="F14" s="103"/>
      <x:c r="G14" s="103"/>
      <x:c r="H14" s="104"/>
      <x:c r="X14" t="str">
        <x:v>2023-06</x:v>
      </x:c>
      <x:c r="Y14" t="n">
        <x:v>112.11771494518177</x:v>
      </x:c>
      <x:c r="Z14" t="n">
        <x:v>122.51308900523559</x:v>
      </x:c>
      <x:c r="AB14" t="str">
        <x:v>2023-06</x:v>
      </x:c>
      <x:c r="AC14" t="n">
        <x:v>83.03418803418803</x:v>
      </x:c>
    </x:row>
    <x:row r="15">
      <x:c r="A15" s="105"/>
      <x:c r="B15" s="106"/>
      <x:c r="C15" s="106"/>
      <x:c r="D15" s="106"/>
      <x:c r="E15" s="106"/>
      <x:c r="F15" s="106"/>
      <x:c r="G15" s="106"/>
      <x:c r="H15" s="107"/>
      <x:c r="X15" t="str">
        <x:v>2023-07</x:v>
      </x:c>
      <x:c r="Y15" t="n">
        <x:v>112.57934218118868</x:v>
      </x:c>
      <x:c r="Z15" t="n">
        <x:v>127.22513089005234</x:v>
      </x:c>
      <x:c r="AB15" t="str">
        <x:v>2023-07</x:v>
      </x:c>
      <x:c r="AC15" t="n">
        <x:v>80.2880658436214</x:v>
      </x:c>
    </x:row>
    <x:row r="16">
      <x:c r="A16" s="105"/>
      <x:c r="B16" s="106"/>
      <x:c r="C16" s="106"/>
      <x:c r="D16" s="106"/>
      <x:c r="E16" s="106"/>
      <x:c r="F16" s="106"/>
      <x:c r="G16" s="106"/>
      <x:c r="H16" s="107"/>
      <x:c r="X16" t="str">
        <x:v>2023-08</x:v>
      </x:c>
      <x:c r="Y16" t="n">
        <x:v>110.73283323716099</x:v>
      </x:c>
      <x:c r="Z16" t="n">
        <x:v>122.51308900523559</x:v>
      </x:c>
      <x:c r="AB16" t="str">
        <x:v>2023-08</x:v>
      </x:c>
      <x:c r="AC16" t="n">
        <x:v>82.00854700854701</x:v>
      </x:c>
    </x:row>
    <x:row r="17">
      <x:c r="A17" s="105"/>
      <x:c r="B17" s="106"/>
      <x:c r="C17" s="106"/>
      <x:c r="D17" s="106"/>
      <x:c r="E17" s="106"/>
      <x:c r="F17" s="106"/>
      <x:c r="G17" s="106"/>
      <x:c r="H17" s="107"/>
      <x:c r="X17" t="str">
        <x:v>2023-09</x:v>
      </x:c>
      <x:c r="Y17" t="n">
        <x:v>110.55972302365839</x:v>
      </x:c>
      <x:c r="Z17" t="n">
        <x:v>120.94240837696336</x:v>
      </x:c>
      <x:c r="AB17" t="str">
        <x:v>2023-09</x:v>
      </x:c>
      <x:c r="AC17" t="n">
        <x:v>82.94372294372293</x:v>
      </x:c>
    </x:row>
    <x:row r="18">
      <x:c r="A18" s="105"/>
      <x:c r="B18" s="106"/>
      <x:c r="C18" s="106"/>
      <x:c r="D18" s="106"/>
      <x:c r="E18" s="106"/>
      <x:c r="F18" s="106"/>
      <x:c r="G18" s="106"/>
      <x:c r="H18" s="107"/>
      <x:c r="X18" t="str">
        <x:v>2023-10</x:v>
      </x:c>
      <x:c r="Y18" t="n">
        <x:v>110.55972302365839</x:v>
      </x:c>
      <x:c r="Z18" t="n">
        <x:v>117.27748691099475</x:v>
      </x:c>
      <x:c r="AB18" t="str">
        <x:v>2023-10</x:v>
      </x:c>
      <x:c r="AC18" t="n">
        <x:v>85.53571428571429</x:v>
      </x:c>
    </x:row>
    <x:row r="19">
      <x:c r="A19" s="105"/>
      <x:c r="B19" s="106"/>
      <x:c r="C19" s="106"/>
      <x:c r="D19" s="106"/>
      <x:c r="E19" s="106"/>
      <x:c r="F19" s="106"/>
      <x:c r="G19" s="106"/>
      <x:c r="H19" s="107"/>
      <x:c r="X19" t="str">
        <x:v>2023-11</x:v>
      </x:c>
      <x:c r="Y19" t="n">
        <x:v>114.48355452971725</x:v>
      </x:c>
      <x:c r="Z19" t="n">
        <x:v>123.03664921465966</x:v>
      </x:c>
      <x:c r="AB19" t="str">
        <x:v>2023-11</x:v>
      </x:c>
      <x:c r="AC19" t="n">
        <x:v>84.42553191489361</x:v>
      </x:c>
    </x:row>
    <x:row r="20">
      <x:c r="A20" s="108"/>
      <x:c r="B20" s="109"/>
      <x:c r="C20" s="109"/>
      <x:c r="D20" s="109"/>
      <x:c r="E20" s="109"/>
      <x:c r="F20" s="109"/>
      <x:c r="G20" s="109"/>
      <x:c r="H20" s="110"/>
      <x:c r="X20" t="str">
        <x:v>2023-12</x:v>
      </x:c>
      <x:c r="Y20" t="n">
        <x:v>116.90709751875362</x:v>
      </x:c>
      <x:c r="Z20" t="n">
        <x:v>125.13089005235601</x:v>
      </x:c>
      <x:c r="AB20" t="str">
        <x:v>2023-12</x:v>
      </x:c>
      <x:c r="AC20" t="n">
        <x:v>84.76987447698745</x:v>
      </x:c>
    </x:row>
    <x:row r="21">
      <x:c r="X21" t="str">
        <x:v>2024-01</x:v>
      </x:c>
      <x:c r="Y21" t="n">
        <x:v>117.36872475476052</x:v>
      </x:c>
      <x:c r="Z21" t="n">
        <x:v>119.89528795811518</x:v>
      </x:c>
      <x:c r="AB21" t="str">
        <x:v>2024-01</x:v>
      </x:c>
      <x:c r="AC21" t="n">
        <x:v>88.82096069868996</x:v>
      </x:c>
    </x:row>
    <x:row r="22">
      <x:c r="A22" s="112" t="str">
        <x:v>当前数据边界</x:v>
      </x:c>
      <x:c r="B22" s="112"/>
      <x:c r="C22" s="112"/>
      <x:c r="D22" s="112"/>
      <x:c r="E22" s="112"/>
      <x:c r="F22" s="112"/>
      <x:c r="G22" s="112"/>
      <x:c r="H22" s="112"/>
      <x:c r="X22" t="str">
        <x:v>2024-02</x:v>
      </x:c>
      <x:c r="Y22" t="n">
        <x:v>116.73398730525102</x:v>
      </x:c>
      <x:c r="Z22" t="n">
        <x:v>118.84816753926701</x:v>
      </x:c>
      <x:c r="AB22" t="str">
        <x:v>2024-02</x:v>
      </x:c>
      <x:c r="AC22" t="n">
        <x:v>89.11894273127754</x:v>
      </x:c>
    </x:row>
    <x:row r="23">
      <x:c r="A23" s="132" t="str">
        <x:v>日度主表覆盖2024年以来上金所金银行情；月度主表覆盖2016年以来国际金银价格与宏观因素；白银供需表覆盖2017—2026F。
美国市场数据和CFTC持仓均按“严格早于上金所交易日的已发布值”对齐，避免同日时区泄漏。
2026年白银供需为报告预测；年度供需只用于解释中长期均衡，不能直接解释单日涨跌。
媒体情绪、黄金央行购金和黄金ETF流量尚未打包，已明确标为待采集。
本工作簿不构成投资建议，也不承诺可预测单日涨跌。</x:v>
      </x:c>
      <x:c r="B23" s="133"/>
      <x:c r="C23" s="133"/>
      <x:c r="D23" s="133"/>
      <x:c r="E23" s="133"/>
      <x:c r="F23" s="133"/>
      <x:c r="G23" s="133"/>
      <x:c r="H23" s="134"/>
      <x:c r="X23" t="str">
        <x:v>2024-03</x:v>
      </x:c>
      <x:c r="Y23" t="n">
        <x:v>124.52394691286786</x:v>
      </x:c>
      <x:c r="Z23" t="n">
        <x:v>128.2722513089005</x:v>
      </x:c>
      <x:c r="AB23" t="str">
        <x:v>2024-03</x:v>
      </x:c>
      <x:c r="AC23" t="n">
        <x:v>88.08163265306122</x:v>
      </x:c>
    </x:row>
    <x:row r="24">
      <x:c r="A24" s="135"/>
      <x:c r="B24" s="136"/>
      <x:c r="C24" s="136"/>
      <x:c r="D24" s="136"/>
      <x:c r="E24" s="136"/>
      <x:c r="F24" s="136"/>
      <x:c r="G24" s="136"/>
      <x:c r="H24" s="137"/>
      <x:c r="X24" t="str">
        <x:v>2024-04</x:v>
      </x:c>
      <x:c r="Y24" t="n">
        <x:v>134.5066358915176</x:v>
      </x:c>
      <x:c r="Z24" t="n">
        <x:v>143.97905759162302</x:v>
      </x:c>
      <x:c r="AB24" t="str">
        <x:v>2024-04</x:v>
      </x:c>
      <x:c r="AC24" t="n">
        <x:v>84.76363636363637</x:v>
      </x:c>
    </x:row>
    <x:row r="25">
      <x:c r="A25" s="135"/>
      <x:c r="B25" s="136"/>
      <x:c r="C25" s="136"/>
      <x:c r="D25" s="136"/>
      <x:c r="E25" s="136"/>
      <x:c r="F25" s="136"/>
      <x:c r="G25" s="136"/>
      <x:c r="H25" s="137"/>
      <x:c r="X25" t="str">
        <x:v>2024-05</x:v>
      </x:c>
      <x:c r="Y25" t="n">
        <x:v>135.6607039815349</x:v>
      </x:c>
      <x:c r="Z25" t="n">
        <x:v>153.9267015706806</x:v>
      </x:c>
      <x:c r="AB25" t="str">
        <x:v>2024-05</x:v>
      </x:c>
      <x:c r="AC25" t="n">
        <x:v>79.96598639455783</x:v>
      </x:c>
    </x:row>
    <x:row r="26">
      <x:c r="A26" s="135"/>
      <x:c r="B26" s="136"/>
      <x:c r="C26" s="136"/>
      <x:c r="D26" s="136"/>
      <x:c r="E26" s="136"/>
      <x:c r="F26" s="136"/>
      <x:c r="G26" s="136"/>
      <x:c r="H26" s="137"/>
      <x:c r="X26" t="str">
        <x:v>2024-06</x:v>
      </x:c>
      <x:c r="Y26" t="n">
        <x:v>134.21811886901327</x:v>
      </x:c>
      <x:c r="Z26" t="n">
        <x:v>154.97382198952877</x:v>
      </x:c>
      <x:c r="AB26" t="str">
        <x:v>2024-06</x:v>
      </x:c>
      <x:c r="AC26" t="n">
        <x:v>78.58108108108108</x:v>
      </x:c>
    </x:row>
    <x:row r="27">
      <x:c r="A27" s="135"/>
      <x:c r="B27" s="136"/>
      <x:c r="C27" s="136"/>
      <x:c r="D27" s="136"/>
      <x:c r="E27" s="136"/>
      <x:c r="F27" s="136"/>
      <x:c r="G27" s="136"/>
      <x:c r="H27" s="137"/>
      <x:c r="X27" t="str">
        <x:v>2024-07</x:v>
      </x:c>
      <x:c r="Y27" t="n">
        <x:v>138.37276399307558</x:v>
      </x:c>
      <x:c r="Z27" t="n">
        <x:v>156.02094240837695</x:v>
      </x:c>
      <x:c r="AB27" t="str">
        <x:v>2024-07</x:v>
      </x:c>
      <x:c r="AC27" t="n">
        <x:v>80.46979865771812</x:v>
      </x:c>
    </x:row>
    <x:row r="28">
      <x:c r="A28" s="138"/>
      <x:c r="B28" s="139"/>
      <x:c r="C28" s="139"/>
      <x:c r="D28" s="139"/>
      <x:c r="E28" s="139"/>
      <x:c r="F28" s="139"/>
      <x:c r="G28" s="139"/>
      <x:c r="H28" s="140"/>
      <x:c r="X28" t="str">
        <x:v>2024-08</x:v>
      </x:c>
      <x:c r="Y28" t="n">
        <x:v>142.5274091171379</x:v>
      </x:c>
      <x:c r="Z28" t="n">
        <x:v>149.21465968586386</x:v>
      </x:c>
      <x:c r="AB28" t="str">
        <x:v>2024-08</x:v>
      </x:c>
      <x:c r="AC28" t="n">
        <x:v>86.66666666666667</x:v>
      </x:c>
    </x:row>
    <x:row r="29">
      <x:c r="X29" t="str">
        <x:v>2024-09</x:v>
      </x:c>
      <x:c r="Y29" t="n">
        <x:v>148.35545297172533</x:v>
      </x:c>
      <x:c r="Z29" t="n">
        <x:v>157.59162303664922</x:v>
      </x:c>
      <x:c r="AB29" t="str">
        <x:v>2024-09</x:v>
      </x:c>
      <x:c r="AC29" t="n">
        <x:v>85.41528239202657</x:v>
      </x:c>
    </x:row>
    <x:row r="30">
      <x:c r="X30" t="str">
        <x:v>2024-10</x:v>
      </x:c>
      <x:c r="Y30" t="n">
        <x:v>155.22215810732834</x:v>
      </x:c>
      <x:c r="Z30" t="n">
        <x:v>169.63350785340313</x:v>
      </x:c>
      <x:c r="AB30" t="str">
        <x:v>2024-10</x:v>
      </x:c>
      <x:c r="AC30" t="n">
        <x:v>83.0246913580247</x:v>
      </x:c>
    </x:row>
    <x:row r="31">
      <x:c r="X31" t="str">
        <x:v>2024-11</x:v>
      </x:c>
      <x:c r="Y31" t="n">
        <x:v>152.97172533179457</x:v>
      </x:c>
      <x:c r="Z31" t="n">
        <x:v>162.82722513089004</x:v>
      </x:c>
      <x:c r="AB31" t="str">
        <x:v>2024-11</x:v>
      </x:c>
      <x:c r="AC31" t="n">
        <x:v>85.2411575562701</x:v>
      </x:c>
    </x:row>
    <x:row r="32">
      <x:c r="X32" t="str">
        <x:v>2024-12</x:v>
      </x:c>
      <x:c r="Y32" t="n">
        <x:v>152.798615118292</x:v>
      </x:c>
      <x:c r="Z32" t="n">
        <x:v>161.2565445026178</x:v>
      </x:c>
      <x:c r="AB32" t="str">
        <x:v>2024-12</x:v>
      </x:c>
      <x:c r="AC32" t="n">
        <x:v>85.97402597402598</x:v>
      </x:c>
    </x:row>
    <x:row r="33">
      <x:c r="X33" t="str">
        <x:v>2025-01</x:v>
      </x:c>
      <x:c r="Y33" t="n">
        <x:v>156.37622619734563</x:v>
      </x:c>
      <x:c r="Z33" t="n">
        <x:v>159.16230366492147</x:v>
      </x:c>
      <x:c r="AB33" t="str">
        <x:v>2025-01</x:v>
      </x:c>
      <x:c r="AC33" t="n">
        <x:v>89.14473684210527</x:v>
      </x:c>
    </x:row>
    <x:row r="34">
      <x:c r="X34" t="str">
        <x:v>2025-02</x:v>
      </x:c>
      <x:c r="Y34" t="n">
        <x:v>167.05135603000576</x:v>
      </x:c>
      <x:c r="Z34" t="n">
        <x:v>168.58638743455498</x:v>
      </x:c>
      <x:c r="AB34" t="str">
        <x:v>2025-02</x:v>
      </x:c>
      <x:c r="AC34" t="n">
        <x:v>89.90683229813664</x:v>
      </x:c>
    </x:row>
    <x:row r="35">
      <x:c r="X35" t="str">
        <x:v>2025-03</x:v>
      </x:c>
      <x:c r="Y35" t="n">
        <x:v>172.12925562608194</x:v>
      </x:c>
      <x:c r="Z35" t="n">
        <x:v>173.82198952879583</x:v>
      </x:c>
      <x:c r="AB35" t="str">
        <x:v>2025-03</x:v>
      </x:c>
      <x:c r="AC35" t="n">
        <x:v>89.84939759036143</x:v>
      </x:c>
    </x:row>
    <x:row r="36">
      <x:c r="X36" t="str">
        <x:v>2025-04</x:v>
      </x:c>
      <x:c r="Y36" t="n">
        <x:v>185.68955568378533</x:v>
      </x:c>
      <x:c r="Z36" t="n">
        <x:v>168.58638743455498</x:v>
      </x:c>
      <x:c r="AB36" t="str">
        <x:v>2025-04</x:v>
      </x:c>
      <x:c r="AC36" t="n">
        <x:v>99.93788819875776</x:v>
      </x:c>
    </x:row>
    <x:row r="37">
      <x:c r="X37" t="str">
        <x:v>2025-05</x:v>
      </x:c>
      <x:c r="Y37" t="n">
        <x:v>190.94056549336412</x:v>
      </x:c>
      <x:c r="Z37" t="n">
        <x:v>171.72774869109946</x:v>
      </x:c>
      <x:c r="AB37" t="str">
        <x:v>2025-05</x:v>
      </x:c>
      <x:c r="AC37" t="n">
        <x:v>100.88414634146342</x:v>
      </x:c>
    </x:row>
    <x:row r="38">
      <x:c r="X38" t="str">
        <x:v>2025-06</x:v>
      </x:c>
      <x:c r="Y38" t="n">
        <x:v>193.47951529140218</x:v>
      </x:c>
      <x:c r="Z38" t="n">
        <x:v>188.48167539267013</x:v>
      </x:c>
      <x:c r="AB38" t="str">
        <x:v>2025-06</x:v>
      </x:c>
      <x:c r="AC38" t="n">
        <x:v>93.13888888888889</x:v>
      </x:c>
    </x:row>
    <x:row r="39">
      <x:c r="X39" t="str">
        <x:v>2025-07</x:v>
      </x:c>
      <x:c r="Y39" t="n">
        <x:v>192.72937103289095</x:v>
      </x:c>
      <x:c r="Z39" t="n">
        <x:v>197.38219895287958</x:v>
      </x:c>
      <x:c r="AB39" t="str">
        <x:v>2025-07</x:v>
      </x:c>
      <x:c r="AC39" t="n">
        <x:v>88.59416445623341</x:v>
      </x:c>
    </x:row>
    <x:row r="40">
      <x:c r="X40" t="str">
        <x:v>2025-08</x:v>
      </x:c>
      <x:c r="Y40" t="n">
        <x:v>194.34506635891518</x:v>
      </x:c>
      <x:c r="Z40" t="n">
        <x:v>200</x:v>
      </x:c>
      <x:c r="AB40" t="str">
        <x:v>2025-08</x:v>
      </x:c>
      <x:c r="AC40" t="n">
        <x:v>88.1675392670157</x:v>
      </x:c>
    </x:row>
    <x:row r="41">
      <x:c r="X41" t="str">
        <x:v>2025-09</x:v>
      </x:c>
      <x:c r="Y41" t="n">
        <x:v>211.65608770917484</x:v>
      </x:c>
      <x:c r="Z41" t="n">
        <x:v>224.0837696335078</x:v>
      </x:c>
      <x:c r="AB41" t="str">
        <x:v>2025-09</x:v>
      </x:c>
      <x:c r="AC41" t="n">
        <x:v>85.70093457943926</x:v>
      </x:c>
    </x:row>
    <x:row r="42">
      <x:c r="X42" t="str">
        <x:v>2025-10</x:v>
      </x:c>
      <x:c r="Y42" t="n">
        <x:v>234.1604154645124</x:v>
      </x:c>
      <x:c r="Z42" t="n">
        <x:v>258.6387434554974</x:v>
      </x:c>
      <x:c r="AB42" t="str">
        <x:v>2025-10</x:v>
      </x:c>
      <x:c r="AC42" t="n">
        <x:v>82.14574898785425</x:v>
      </x:c>
    </x:row>
    <x:row r="43">
      <x:c r="X43" t="str">
        <x:v>2025-11</x:v>
      </x:c>
      <x:c r="Y43" t="n">
        <x:v>235.83381419503752</x:v>
      </x:c>
      <x:c r="Z43" t="n">
        <x:v>263.87434554973817</x:v>
      </x:c>
      <x:c r="AB43" t="str">
        <x:v>2025-11</x:v>
      </x:c>
      <x:c r="AC43" t="n">
        <x:v>81.09126984126985</x:v>
      </x:c>
    </x:row>
    <x:row r="44">
      <x:c r="X44" t="str">
        <x:v>2025-12</x:v>
      </x:c>
      <x:c r="Y44" t="n">
        <x:v>248.64396999422965</x:v>
      </x:c>
      <x:c r="Z44" t="n">
        <x:v>326.1780104712042</x:v>
      </x:c>
      <x:c r="AB44" t="str">
        <x:v>2025-12</x:v>
      </x:c>
      <x:c r="AC44" t="n">
        <x:v>69.16532905296951</x:v>
      </x:c>
    </x:row>
    <x:row r="45">
      <x:c r="X45" t="str">
        <x:v>2026-01</x:v>
      </x:c>
      <x:c r="Y45" t="n">
        <x:v>274.26428159261394</x:v>
      </x:c>
      <x:c r="Z45" t="n">
        <x:v>482.1989528795811</x:v>
      </x:c>
      <x:c r="AB45" t="str">
        <x:v>2026-01</x:v>
      </x:c>
      <x:c r="AC45" t="n">
        <x:v>51.60694896851249</x:v>
      </x:c>
    </x:row>
    <x:row r="46">
      <x:c r="X46" t="str">
        <x:v>2026-02</x:v>
      </x:c>
      <x:c r="Y46" t="n">
        <x:v>289.67109059434506</x:v>
      </x:c>
      <x:c r="Z46" t="n">
        <x:v>428.79581151832457</x:v>
      </x:c>
      <x:c r="AB46" t="str">
        <x:v>2026-02</x:v>
      </x:c>
      <x:c r="AC46" t="n">
        <x:v>61.29426129426129</x:v>
      </x:c>
    </x:row>
    <x:row r="47">
      <x:c r="X47" t="str">
        <x:v>2026-03</x:v>
      </x:c>
      <x:c r="Y47" t="n">
        <x:v>280.2077322562031</x:v>
      </x:c>
      <x:c r="Z47" t="n">
        <x:v>407.85340314136124</x:v>
      </x:c>
      <x:c r="AB47" t="str">
        <x:v>2026-03</x:v>
      </x:c>
      <x:c r="AC47" t="n">
        <x:v>62.33632862644416</x:v>
      </x:c>
    </x:row>
    <x:row r="48">
      <x:c r="X48" t="str">
        <x:v>2026-04</x:v>
      </x:c>
      <x:c r="Y48" t="n">
        <x:v>272.41777264858626</x:v>
      </x:c>
      <x:c r="Z48" t="n">
        <x:v>397.3821989528796</x:v>
      </x:c>
      <x:c r="AB48" t="str">
        <x:v>2026-04</x:v>
      </x:c>
      <x:c r="AC48" t="n">
        <x:v>62.20026350461133</x:v>
      </x:c>
    </x:row>
    <x:row r="49">
      <x:c r="X49" t="str">
        <x:v>2026-05</x:v>
      </x:c>
      <x:c r="Y49" t="n">
        <x:v>264.6855164454703</x:v>
      </x:c>
      <x:c r="Z49" t="n">
        <x:v>408.37696335078533</x:v>
      </x:c>
      <x:c r="AB49" t="str">
        <x:v>2026-05</x:v>
      </x:c>
      <x:c r="AC49" t="n">
        <x:v>58.80769230769231</x:v>
      </x:c>
    </x:row>
    <x:row r="50">
      <x:c r="X50" t="str">
        <x:v>2026-06</x:v>
      </x:c>
      <x:c r="Y50" t="n">
        <x:v>243.96999422965956</x:v>
      </x:c>
      <x:c r="Z50" t="n">
        <x:v>349.21465968586386</x:v>
      </x:c>
      <x:c r="AB50" t="str">
        <x:v>2026-06</x:v>
      </x:c>
      <x:c r="AC50" t="n">
        <x:v>63.38830584707646</x:v>
      </x:c>
    </x:row>
  </x:sheetData>
  <x:mergeCells>
    <x:mergeCell ref="A1:P2"/>
    <x:mergeCell ref="A3:P3"/>
    <x:mergeCell ref="A5:D7"/>
    <x:mergeCell ref="E5:H7"/>
    <x:mergeCell ref="A9:D11"/>
    <x:mergeCell ref="E9:H11"/>
    <x:mergeCell ref="A13:H13"/>
    <x:mergeCell ref="A14:H20"/>
    <x:mergeCell ref="A22:H22"/>
    <x:mergeCell ref="A23:H28"/>
  </x:mergeCells>
  <x:pageMargins left="0.7" right="0.7" top="0.75" bottom="0.75" header="0.3" footer="0.3"/>
  <x:drawing xmlns:r="http://schemas.openxmlformats.org/officeDocument/2006/relationships" r:id="R67b1ef27486b47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30" hidden="0" customWidth="1"/>
    <x:col min="8" max="8" width="38" hidden="0" customWidth="1"/>
    <x:col min="9" max="9" width="38" hidden="0" customWidth="1"/>
  </x:cols>
  <x:sheetData>
    <x:row r="1" ht="24" customHeight="1">
      <x:c r="A1" s="3" t="str">
        <x:v>黄金与白银价格波动传导链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7" t="str">
        <x:v>共同宏观冲击之外，黄金侧重避险与结构需求，白银还要增加工业、光伏和供需平衡渠道。</x:v>
      </x:c>
      <x:c r="B3" s="7"/>
      <x:c r="C3" s="7"/>
      <x:c r="D3" s="7"/>
      <x:c r="E3" s="7"/>
      <x:c r="F3" s="7"/>
      <x:c r="G3" s="7"/>
      <x:c r="H3" s="7"/>
      <x:c r="I3" s="7"/>
    </x:row>
    <x:row r="5" ht="42" customHeight="1">
      <x:c r="A5" s="146" t="str">
        <x:v>链路编号</x:v>
      </x:c>
      <x:c r="B5" s="146" t="str">
        <x:v>冲击起点</x:v>
      </x:c>
      <x:c r="C5" s="146" t="str">
        <x:v>第一传导</x:v>
      </x:c>
      <x:c r="D5" s="146" t="str">
        <x:v>第二传导</x:v>
      </x:c>
      <x:c r="E5" s="146" t="str">
        <x:v>黄金价格作用</x:v>
      </x:c>
      <x:c r="F5" s="146" t="str">
        <x:v>白银价格作用</x:v>
      </x:c>
      <x:c r="G5" s="146" t="str">
        <x:v>关键指标</x:v>
      </x:c>
      <x:c r="H5" s="146" t="str">
        <x:v>可检验假设</x:v>
      </x:c>
      <x:c r="I5" s="146" t="str">
        <x:v>主要反例/边界</x:v>
      </x:c>
    </x:row>
    <x:row r="6" ht="58" customHeight="1">
      <x:c r="A6" s="147" t="str">
        <x:v>C1</x:v>
      </x:c>
      <x:c r="B6" s="147" t="str">
        <x:v>美联储鹰派/政策利率上升</x:v>
      </x:c>
      <x:c r="C6" s="147" t="str">
        <x:v>名义收益率与美元上升</x:v>
      </x:c>
      <x:c r="D6" s="147" t="str">
        <x:v>实际利率上升、金融条件收紧</x:v>
      </x:c>
      <x:c r="E6" s="147" t="str">
        <x:v>机会成本上升，金价承压</x:v>
      </x:c>
      <x:c r="F6" s="147" t="str">
        <x:v>机会成本与工业增长预期双重承压</x:v>
      </x:c>
      <x:c r="G6" s="147" t="str">
        <x:v>DFF、DGS10、DFII10、美元指数</x:v>
      </x:c>
      <x:c r="H6" s="147" t="str">
        <x:v>实际利率上升后1—5日金银收益偏弱，白银弹性更大</x:v>
      </x:c>
      <x:c r="I6" s="147" t="str">
        <x:v>极端风险与实物短缺可能抵消</x:v>
      </x:c>
    </x:row>
    <x:row r="7" ht="58" customHeight="1">
      <x:c r="A7" s="147" t="str">
        <x:v>C2</x:v>
      </x:c>
      <x:c r="B7" s="147" t="str">
        <x:v>通胀或能源价格上升</x:v>
      </x:c>
      <x:c r="C7" s="147" t="str">
        <x:v>通胀预期上升</x:v>
      </x:c>
      <x:c r="D7" s="147" t="str">
        <x:v>若名义利率反应较慢，实际利率下降</x:v>
      </x:c>
      <x:c r="E7" s="147" t="str">
        <x:v>储值与低实际利率渠道支撑</x:v>
      </x:c>
      <x:c r="F7" s="147" t="str">
        <x:v>贵金属渠道支撑，但工业成本和政策反应增加不确定性</x:v>
      </x:c>
      <x:c r="G7" s="147" t="str">
        <x:v>CPI、T10YIE、Brent、DFII10</x:v>
      </x:c>
      <x:c r="H7" s="147" t="str">
        <x:v>通胀预期升幅超过名义利率时金银更强</x:v>
      </x:c>
      <x:c r="I7" s="147" t="str">
        <x:v>鹰派加息可使实际利率反而上升</x:v>
      </x:c>
    </x:row>
    <x:row r="8" ht="58" customHeight="1">
      <x:c r="A8" s="147" t="str">
        <x:v>C3</x:v>
      </x:c>
      <x:c r="B8" s="147" t="str">
        <x:v>美元走强</x:v>
      </x:c>
      <x:c r="C8" s="147" t="str">
        <x:v>非美元买家成本提高</x:v>
      </x:c>
      <x:c r="D8" s="147" t="str">
        <x:v>全球美元流动性收紧</x:v>
      </x:c>
      <x:c r="E8" s="147" t="str">
        <x:v>通常承压</x:v>
      </x:c>
      <x:c r="F8" s="147" t="str">
        <x:v>通常承压且波动弹性可能更大</x:v>
      </x:c>
      <x:c r="G8" s="147" t="str">
        <x:v>DTWEXBGS</x:v>
      </x:c>
      <x:c r="H8" s="147" t="str">
        <x:v>美元上涨期金银收益通常偏弱</x:v>
      </x:c>
      <x:c r="I8" s="147" t="str">
        <x:v>美元荒中贵金属可能先跌后涨</x:v>
      </x:c>
    </x:row>
    <x:row r="9" ht="58" customHeight="1">
      <x:c r="A9" s="147" t="str">
        <x:v>C4</x:v>
      </x:c>
      <x:c r="B9" s="147" t="str">
        <x:v>战争/地缘政治升级</x:v>
      </x:c>
      <x:c r="C9" s="147" t="str">
        <x:v>GPR与避险需求上升</x:v>
      </x:c>
      <x:c r="D9" s="147" t="str">
        <x:v>油价、通胀和利率预期同步变化</x:v>
      </x:c>
      <x:c r="E9" s="147" t="str">
        <x:v>避险属性通常更强</x:v>
      </x:c>
      <x:c r="F9" s="147" t="str">
        <x:v>避险提振可能被工业增长担忧抵消</x:v>
      </x:c>
      <x:c r="G9" s="147" t="str">
        <x:v>GPR、VIX、Brent、实际利率</x:v>
      </x:c>
      <x:c r="H9" s="147" t="str">
        <x:v>高GPR期黄金相对白银更强，金银比上升</x:v>
      </x:c>
      <x:c r="I9" s="147" t="str">
        <x:v>供给中断若直接涉及银矿可能反转</x:v>
      </x:c>
    </x:row>
    <x:row r="10" ht="58" customHeight="1">
      <x:c r="A10" s="147" t="str">
        <x:v>C5</x:v>
      </x:c>
      <x:c r="B10" s="147" t="str">
        <x:v>金融危机/流动性冲击</x:v>
      </x:c>
      <x:c r="C10" s="147" t="str">
        <x:v>VIX、美元、保证金需求上升</x:v>
      </x:c>
      <x:c r="D10" s="147" t="str">
        <x:v>先去杠杆，后宽松与避险</x:v>
      </x:c>
      <x:c r="E10" s="147" t="str">
        <x:v>可能先跌后涨</x:v>
      </x:c>
      <x:c r="F10" s="147" t="str">
        <x:v>初期工业担忧与去杠杆更强，后期随流动性修复</x:v>
      </x:c>
      <x:c r="G10" s="147" t="str">
        <x:v>VIX、美元、WALCL、实际利率</x:v>
      </x:c>
      <x:c r="H10" s="147" t="str">
        <x:v>冲击初期金银相关上升但白银跌幅更大</x:v>
      </x:c>
      <x:c r="I10" s="147" t="str">
        <x:v>不能用单一线性相关系数刻画</x:v>
      </x:c>
    </x:row>
    <x:row r="11" ht="58" customHeight="1">
      <x:c r="A11" s="147" t="str">
        <x:v>C6</x:v>
      </x:c>
      <x:c r="B11" s="147" t="str">
        <x:v>趋势资金流入</x:v>
      </x:c>
      <x:c r="C11" s="147" t="str">
        <x:v>金/银管理基金净多头上升</x:v>
      </x:c>
      <x:c r="D11" s="147" t="str">
        <x:v>动量强化或拥挤形成</x:v>
      </x:c>
      <x:c r="E11" s="147" t="str">
        <x:v>金持仓对金价短期解释力增强</x:v>
      </x:c>
      <x:c r="F11" s="147" t="str">
        <x:v>银持仓对银价短期解释力增强</x:v>
      </x:c>
      <x:c r="G11" s="147" t="str">
        <x:v>CFTC金银净持仓、SGE量价</x:v>
      </x:c>
      <x:c r="H11" s="147" t="str">
        <x:v>分别使用金、银持仓后样本外解释力高于共用单一持仓</x:v>
      </x:c>
      <x:c r="I11" s="147" t="str">
        <x:v>极端净多头可能预示平仓</x:v>
      </x:c>
    </x:row>
    <x:row r="12" ht="58" customHeight="1">
      <x:c r="A12" s="147" t="str">
        <x:v>C7</x:v>
      </x:c>
      <x:c r="B12" s="147" t="str">
        <x:v>央行/黄金ETF结构性买入</x:v>
      </x:c>
      <x:c r="C12" s="147" t="str">
        <x:v>黄金长期需求曲线上移</x:v>
      </x:c>
      <x:c r="D12" s="147" t="str">
        <x:v>黄金可用供给趋紧</x:v>
      </x:c>
      <x:c r="E12" s="147" t="str">
        <x:v>中期支撑明显</x:v>
      </x:c>
      <x:c r="F12" s="147" t="str">
        <x:v>通过贵金属替代和金银比间接传导</x:v>
      </x:c>
      <x:c r="G12" s="147" t="str">
        <x:v>央行净购金、黄金ETF流量</x:v>
      </x:c>
      <x:c r="H12" s="147" t="str">
        <x:v>黄金结构流入阶段金银比更可能上升</x:v>
      </x:c>
      <x:c r="I12" s="147" t="str">
        <x:v>低频、滞后且可能修订</x:v>
      </x:c>
    </x:row>
    <x:row r="13" ht="58" customHeight="1">
      <x:c r="A13" s="147" t="str">
        <x:v>C8</x:v>
      </x:c>
      <x:c r="B13" s="147" t="str">
        <x:v>工业景气、铜价与制造活动改善</x:v>
      </x:c>
      <x:c r="C13" s="147" t="str">
        <x:v>白银工业需求预期上升</x:v>
      </x:c>
      <x:c r="D13" s="147" t="str">
        <x:v>电气电子、汽车和焊料需求增强</x:v>
      </x:c>
      <x:c r="E13" s="147" t="str">
        <x:v>主要经风险偏好与利率间接变化</x:v>
      </x:c>
      <x:c r="F13" s="147" t="str">
        <x:v>白银相对走强</x:v>
      </x:c>
      <x:c r="G13" s="147" t="str">
        <x:v>INDPRO、铜价、工业总需求</x:v>
      </x:c>
      <x:c r="H13" s="147" t="str">
        <x:v>扩张期白银跑赢黄金、金银比下降</x:v>
      </x:c>
      <x:c r="I13" s="147" t="str">
        <x:v>铜价也可能由自身供给冲击驱动</x:v>
      </x:c>
    </x:row>
    <x:row r="14" ht="58" customHeight="1">
      <x:c r="A14" s="147" t="str">
        <x:v>C9</x:v>
      </x:c>
      <x:c r="B14" s="147" t="str">
        <x:v>光伏装机扩张</x:v>
      </x:c>
      <x:c r="C14" s="147" t="str">
        <x:v>光伏用银需求上升</x:v>
      </x:c>
      <x:c r="D14" s="147" t="str">
        <x:v>节银和替代降低单瓦用银量</x:v>
      </x:c>
      <x:c r="E14" s="147" t="str">
        <x:v>基本无直接作用</x:v>
      </x:c>
      <x:c r="F14" s="147" t="str">
        <x:v>净效应取决于装机增长与单位耗银下降孰强</x:v>
      </x:c>
      <x:c r="G14" s="147" t="str">
        <x:v>光伏用银、工业总需求、银价</x:v>
      </x:c>
      <x:c r="H14" s="147" t="str">
        <x:v>光伏需求增速高于节银速度时白银中期更强</x:v>
      </x:c>
      <x:c r="I14" s="147" t="str">
        <x:v>年度数据无法解释单日波动</x:v>
      </x:c>
    </x:row>
    <x:row r="15" ht="58" customHeight="1">
      <x:c r="A15" s="147" t="str">
        <x:v>C10</x:v>
      </x:c>
      <x:c r="B15" s="147" t="str">
        <x:v>矿产下降/回收不足/需求超供给</x:v>
      </x:c>
      <x:c r="C15" s="147" t="str">
        <x:v>市场赤字扩大</x:v>
      </x:c>
      <x:c r="D15" s="147" t="str">
        <x:v>地上库存消耗、租赁与现货流动性收紧</x:v>
      </x:c>
      <x:c r="E15" s="147" t="str">
        <x:v>可能通过贵金属联动间接受益</x:v>
      </x:c>
      <x:c r="F15" s="147" t="str">
        <x:v>供需紧张放大价格与波动率</x:v>
      </x:c>
      <x:c r="G15" s="147" t="str">
        <x:v>矿产、回收、总需求、市场平衡</x:v>
      </x:c>
      <x:c r="H15" s="147" t="str">
        <x:v>连续赤字年份白银波动率与上行尾部风险增加</x:v>
      </x:c>
      <x:c r="I15" s="147" t="str">
        <x:v>赤字可长期存在，时点仍取决于库存和资金</x:v>
      </x:c>
    </x:row>
    <x:row r="16" ht="58" customHeight="1">
      <x:c r="A16" s="147" t="str">
        <x:v>C11</x:v>
      </x:c>
      <x:c r="B16" s="147" t="str">
        <x:v>媒体情绪或重大政策新闻</x:v>
      </x:c>
      <x:c r="C16" s="147" t="str">
        <x:v>风险、利率、美元与工业预期改变</x:v>
      </x:c>
      <x:c r="D16" s="147" t="str">
        <x:v>持仓和成交行为变化</x:v>
      </x:c>
      <x:c r="E16" s="147" t="str">
        <x:v>影响收益方向与波动率</x:v>
      </x:c>
      <x:c r="F16" s="147" t="str">
        <x:v>需区分避险主题和工业/光伏主题</x:v>
      </x:c>
      <x:c r="G16" s="147" t="str">
        <x:v>新闻量、情绪、主题、CFTC、宏观变量</x:v>
      </x:c>
      <x:c r="H16" s="147" t="str">
        <x:v>严格滞后且主题分流的情绪特征改善样本外预警</x:v>
      </x:c>
      <x:c r="I16" s="147" t="str">
        <x:v>转载、时区和未来信息会造成泄漏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0dbdbf3625a449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16" hidden="0" customWidth="1"/>
    <x:col min="12" max="12" width="16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24" customHeight="1">
      <x:c r="A1" s="3" t="str">
        <x:v>黄金与白银价格波动影响因素表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每一行分别说明对黄金和白银的作用；“通常方向”只用于提出假设，必须用时序与事件窗口检验。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42" customHeight="1">
      <x:c r="A5" s="146" t="str">
        <x:v>优先级</x:v>
      </x:c>
      <x:c r="B5" s="146" t="str">
        <x:v>适用资产</x:v>
      </x:c>
      <x:c r="C5" s="146" t="str">
        <x:v>链路阶段</x:v>
      </x:c>
      <x:c r="D5" s="146" t="str">
        <x:v>类别</x:v>
      </x:c>
      <x:c r="E5" s="146" t="str">
        <x:v>影响因素</x:v>
      </x:c>
      <x:c r="F5" s="146" t="str">
        <x:v>可观测指标</x:v>
      </x:c>
      <x:c r="G5" s="146" t="str">
        <x:v>对黄金的作用</x:v>
      </x:c>
      <x:c r="H5" s="146" t="str">
        <x:v>对白银的作用</x:v>
      </x:c>
      <x:c r="I5" s="146" t="str">
        <x:v>通常方向/用途</x:v>
      </x:c>
      <x:c r="J5" s="146" t="str">
        <x:v>非线性/失效条件</x:v>
      </x:c>
      <x:c r="K5" s="146" t="str">
        <x:v>频率</x:v>
      </x:c>
      <x:c r="L5" s="146" t="str">
        <x:v>建议滞后</x:v>
      </x:c>
      <x:c r="M5" s="146" t="str">
        <x:v>数据来源</x:v>
      </x:c>
      <x:c r="N5" s="146" t="str">
        <x:v>采集状态</x:v>
      </x:c>
      <x:c r="O5" s="146" t="str">
        <x:v>工作表</x:v>
      </x:c>
    </x:row>
    <x:row r="6" ht="58" customHeight="1">
      <x:c r="A6" s="147" t="str">
        <x:v>P0</x:v>
      </x:c>
      <x:c r="B6" s="147" t="str">
        <x:v>共同</x:v>
      </x:c>
      <x:c r="C6" s="147" t="str">
        <x:v>政策→利率</x:v>
      </x:c>
      <x:c r="D6" s="147" t="str">
        <x:v>机会成本</x:v>
      </x:c>
      <x:c r="E6" s="147" t="str">
        <x:v>10年期实际利率</x:v>
      </x:c>
      <x:c r="F6" s="147" t="str">
        <x:v>DFII10</x:v>
      </x:c>
      <x:c r="G6" s="147" t="str">
        <x:v>上升提高持有无息黄金的机会成本</x:v>
      </x:c>
      <x:c r="H6" s="147" t="str">
        <x:v>同样提高持有成本，且常伴随增长估值下修</x:v>
      </x:c>
      <x:c r="I6" s="147" t="str">
        <x:v>通常负向</x:v>
      </x:c>
      <x:c r="J6" s="147" t="str">
        <x:v>极端避险、实物短缺可抵消</x:v>
      </x:c>
      <x:c r="K6" s="147" t="str">
        <x:v>日</x:v>
      </x:c>
      <x:c r="L6" s="147" t="str">
        <x:v>美国上一可用日</x:v>
      </x:c>
      <x:c r="M6" s="147" t="str">
        <x:v>U.S. Treasury/FRED</x:v>
      </x:c>
      <x:c r="N6" s="147" t="str">
        <x:v>已采集</x:v>
      </x:c>
      <x:c r="O6" s="147" t="str">
        <x:v>05_金银日度主表</x:v>
      </x:c>
    </x:row>
    <x:row r="7" ht="58" customHeight="1">
      <x:c r="A7" s="147" t="str">
        <x:v>P0</x:v>
      </x:c>
      <x:c r="B7" s="147" t="str">
        <x:v>共同</x:v>
      </x:c>
      <x:c r="C7" s="147" t="str">
        <x:v>政策→利率</x:v>
      </x:c>
      <x:c r="D7" s="147" t="str">
        <x:v>名义利率</x:v>
      </x:c>
      <x:c r="E7" s="147" t="str">
        <x:v>10年期国债收益率</x:v>
      </x:c>
      <x:c r="F7" s="147" t="str">
        <x:v>DGS10</x:v>
      </x:c>
      <x:c r="G7" s="147" t="str">
        <x:v>经实际利率和美元渠道传导</x:v>
      </x:c>
      <x:c r="H7" s="147" t="str">
        <x:v>经实际利率、美元与工业融资条件传导</x:v>
      </x:c>
      <x:c r="I7" s="147" t="str">
        <x:v>多为负向</x:v>
      </x:c>
      <x:c r="J7" s="147" t="str">
        <x:v>通胀预期升得更快时方向可能反转</x:v>
      </x:c>
      <x:c r="K7" s="147" t="str">
        <x:v>日</x:v>
      </x:c>
      <x:c r="L7" s="147" t="str">
        <x:v>美国上一可用日</x:v>
      </x:c>
      <x:c r="M7" s="147" t="str">
        <x:v>U.S. Treasury/FRED</x:v>
      </x:c>
      <x:c r="N7" s="147" t="str">
        <x:v>已采集</x:v>
      </x:c>
      <x:c r="O7" s="147" t="str">
        <x:v>05_金银日度主表</x:v>
      </x:c>
    </x:row>
    <x:row r="8" ht="58" customHeight="1">
      <x:c r="A8" s="147" t="str">
        <x:v>P0</x:v>
      </x:c>
      <x:c r="B8" s="147" t="str">
        <x:v>共同</x:v>
      </x:c>
      <x:c r="C8" s="147" t="str">
        <x:v>通胀→实际利率</x:v>
      </x:c>
      <x:c r="D8" s="147" t="str">
        <x:v>通胀预期</x:v>
      </x:c>
      <x:c r="E8" s="147" t="str">
        <x:v>10年盈亏平衡通胀率</x:v>
      </x:c>
      <x:c r="F8" s="147" t="str">
        <x:v>T10YIE</x:v>
      </x:c>
      <x:c r="G8" s="147" t="str">
        <x:v>名义利率反应较慢时压低实际利率并支撑黄金</x:v>
      </x:c>
      <x:c r="H8" s="147" t="str">
        <x:v>同时影响贵金属属性和工业成本预期</x:v>
      </x:c>
      <x:c r="I8" s="147" t="str">
        <x:v>条件性正向</x:v>
      </x:c>
      <x:c r="J8" s="147" t="str">
        <x:v>鹰派政策反应可能反转</x:v>
      </x:c>
      <x:c r="K8" s="147" t="str">
        <x:v>日</x:v>
      </x:c>
      <x:c r="L8" s="147" t="str">
        <x:v>美国上一可用日</x:v>
      </x:c>
      <x:c r="M8" s="147" t="str">
        <x:v>FRED</x:v>
      </x:c>
      <x:c r="N8" s="147" t="str">
        <x:v>已采集</x:v>
      </x:c>
      <x:c r="O8" s="147" t="str">
        <x:v>05_金银日度主表</x:v>
      </x:c>
    </x:row>
    <x:row r="9" ht="58" customHeight="1">
      <x:c r="A9" s="147" t="str">
        <x:v>P0</x:v>
      </x:c>
      <x:c r="B9" s="147" t="str">
        <x:v>共同</x:v>
      </x:c>
      <x:c r="C9" s="147" t="str">
        <x:v>汇率→国际需求</x:v>
      </x:c>
      <x:c r="D9" s="147" t="str">
        <x:v>美元</x:v>
      </x:c>
      <x:c r="E9" s="147" t="str">
        <x:v>广义美元指数</x:v>
      </x:c>
      <x:c r="F9" s="147" t="str">
        <x:v>DTWEXBGS</x:v>
      </x:c>
      <x:c r="G9" s="147" t="str">
        <x:v>美元升值提高非美元买家成本并收紧流动性</x:v>
      </x:c>
      <x:c r="H9" s="147" t="str">
        <x:v>同向压制国际定价，工业属性使弹性可能更大</x:v>
      </x:c>
      <x:c r="I9" s="147" t="str">
        <x:v>通常负向</x:v>
      </x:c>
      <x:c r="J9" s="147" t="str">
        <x:v>美元荒中贵金属可能先跌后涨</x:v>
      </x:c>
      <x:c r="K9" s="147" t="str">
        <x:v>日</x:v>
      </x:c>
      <x:c r="L9" s="147" t="str">
        <x:v>美国上一可用日</x:v>
      </x:c>
      <x:c r="M9" s="147" t="str">
        <x:v>Federal Reserve</x:v>
      </x:c>
      <x:c r="N9" s="147" t="str">
        <x:v>已采集</x:v>
      </x:c>
      <x:c r="O9" s="147" t="str">
        <x:v>05_金银日度主表</x:v>
      </x:c>
    </x:row>
    <x:row r="10" ht="58" customHeight="1">
      <x:c r="A10" s="147" t="str">
        <x:v>P0</x:v>
      </x:c>
      <x:c r="B10" s="147" t="str">
        <x:v>共同</x:v>
      </x:c>
      <x:c r="C10" s="147" t="str">
        <x:v>风险→避险/去杠杆</x:v>
      </x:c>
      <x:c r="D10" s="147" t="str">
        <x:v>市场风险</x:v>
      </x:c>
      <x:c r="E10" s="147" t="str">
        <x:v>VIX</x:v>
      </x:c>
      <x:c r="F10" s="147" t="str">
        <x:v>VIXCLS</x:v>
      </x:c>
      <x:c r="G10" s="147" t="str">
        <x:v>风险上升增加避险需求；初期也可能被抛售换现金</x:v>
      </x:c>
      <x:c r="H10" s="147" t="str">
        <x:v>避险属性较弱且工业担忧更强，初期跌幅可能大于黄金</x:v>
      </x:c>
      <x:c r="I10" s="147" t="str">
        <x:v>非线性/分阶段</x:v>
      </x:c>
      <x:c r="J10" s="147" t="str">
        <x:v>必须区分冲击初期与政策响应期</x:v>
      </x:c>
      <x:c r="K10" s="147" t="str">
        <x:v>日</x:v>
      </x:c>
      <x:c r="L10" s="147" t="str">
        <x:v>美国上一可用日</x:v>
      </x:c>
      <x:c r="M10" s="147" t="str">
        <x:v>CBOE via FRED</x:v>
      </x:c>
      <x:c r="N10" s="147" t="str">
        <x:v>已采集</x:v>
      </x:c>
      <x:c r="O10" s="147" t="str">
        <x:v>05_金银日度主表</x:v>
      </x:c>
    </x:row>
    <x:row r="11" ht="58" customHeight="1">
      <x:c r="A11" s="147" t="str">
        <x:v>P0</x:v>
      </x:c>
      <x:c r="B11" s="147" t="str">
        <x:v>共同</x:v>
      </x:c>
      <x:c r="C11" s="147" t="str">
        <x:v>风险→避险需求</x:v>
      </x:c>
      <x:c r="D11" s="147" t="str">
        <x:v>地缘风险</x:v>
      </x:c>
      <x:c r="E11" s="147" t="str">
        <x:v>全球GPR指数</x:v>
      </x:c>
      <x:c r="F11" s="147" t="str">
        <x:v>GPR Global</x:v>
      </x:c>
      <x:c r="G11" s="147" t="str">
        <x:v>冲突威胁提高安全资产需求</x:v>
      </x:c>
      <x:c r="H11" s="147" t="str">
        <x:v>受避险提振，但若增长预期恶化则工业渠道抵消</x:v>
      </x:c>
      <x:c r="I11" s="147" t="str">
        <x:v>黄金更稳定正向</x:v>
      </x:c>
      <x:c r="J11" s="147" t="str">
        <x:v>油价与利率上升可能削弱</x:v>
      </x:c>
      <x:c r="K11" s="147" t="str">
        <x:v>月</x:v>
      </x:c>
      <x:c r="L11" s="147" t="str">
        <x:v>滞后1月或按发布日期</x:v>
      </x:c>
      <x:c r="M11" s="147" t="str">
        <x:v>Caldara-Iacoviello</x:v>
      </x:c>
      <x:c r="N11" s="147" t="str">
        <x:v>已采集</x:v>
      </x:c>
      <x:c r="O11" s="147" t="str">
        <x:v>09_金银月度主表</x:v>
      </x:c>
    </x:row>
    <x:row r="12" ht="58" customHeight="1">
      <x:c r="A12" s="147" t="str">
        <x:v>P0</x:v>
      </x:c>
      <x:c r="B12" s="147" t="str">
        <x:v>分别建模</x:v>
      </x:c>
      <x:c r="C12" s="147" t="str">
        <x:v>资金→价格</x:v>
      </x:c>
      <x:c r="D12" s="147" t="str">
        <x:v>管理基金持仓</x:v>
      </x:c>
      <x:c r="E12" s="147" t="str">
        <x:v>COMEX金/银管理基金净持仓</x:v>
      </x:c>
      <x:c r="F12" s="147" t="str">
        <x:v>CFTC Managed Money Net</x:v>
      </x:c>
      <x:c r="G12" s="147" t="str">
        <x:v>金净多头刻画趋势资金与拥挤度</x:v>
      </x:c>
      <x:c r="H12" s="147" t="str">
        <x:v>银净多头刻画趋势资金与拥挤度</x:v>
      </x:c>
      <x:c r="I12" s="147" t="str">
        <x:v>正向/极端反转</x:v>
      </x:c>
      <x:c r="J12" s="147" t="str">
        <x:v>极端净多头可能预示平仓</x:v>
      </x:c>
      <x:c r="K12" s="147" t="str">
        <x:v>周</x:v>
      </x:c>
      <x:c r="L12" s="147" t="str">
        <x:v>周五发布后</x:v>
      </x:c>
      <x:c r="M12" s="147" t="str">
        <x:v>CFTC</x:v>
      </x:c>
      <x:c r="N12" s="147" t="str">
        <x:v>已采集</x:v>
      </x:c>
      <x:c r="O12" s="147" t="str">
        <x:v>05_金银日度主表</x:v>
      </x:c>
    </x:row>
    <x:row r="13" ht="58" customHeight="1">
      <x:c r="A13" s="147" t="str">
        <x:v>P0</x:v>
      </x:c>
      <x:c r="B13" s="147" t="str">
        <x:v>分别建模</x:v>
      </x:c>
      <x:c r="C13" s="147" t="str">
        <x:v>套保→价格</x:v>
      </x:c>
      <x:c r="D13" s="147" t="str">
        <x:v>生产商持仓</x:v>
      </x:c>
      <x:c r="E13" s="147" t="str">
        <x:v>COMEX金/银生产商净持仓</x:v>
      </x:c>
      <x:c r="F13" s="147" t="str">
        <x:v>CFTC Producer Net</x:v>
      </x:c>
      <x:c r="G13" s="147" t="str">
        <x:v>净空扩大常与高价和套保增强相关</x:v>
      </x:c>
      <x:c r="H13" s="147" t="str">
        <x:v>矿企副产品属性使银套保含义可能不同</x:v>
      </x:c>
      <x:c r="I13" s="147" t="str">
        <x:v>解释性为主</x:v>
      </x:c>
      <x:c r="J13" s="147" t="str">
        <x:v>不能直接当作方向信号</x:v>
      </x:c>
      <x:c r="K13" s="147" t="str">
        <x:v>周</x:v>
      </x:c>
      <x:c r="L13" s="147" t="str">
        <x:v>周五发布后</x:v>
      </x:c>
      <x:c r="M13" s="147" t="str">
        <x:v>CFTC</x:v>
      </x:c>
      <x:c r="N13" s="147" t="str">
        <x:v>已采集</x:v>
      </x:c>
      <x:c r="O13" s="147" t="str">
        <x:v>08_CFTC周度持仓</x:v>
      </x:c>
    </x:row>
    <x:row r="14" ht="58" customHeight="1">
      <x:c r="A14" s="147" t="str">
        <x:v>P0</x:v>
      </x:c>
      <x:c r="B14" s="147" t="str">
        <x:v>分别建模</x:v>
      </x:c>
      <x:c r="C14" s="147" t="str">
        <x:v>交易→价格</x:v>
      </x:c>
      <x:c r="D14" s="147" t="str">
        <x:v>上金所量价</x:v>
      </x:c>
      <x:c r="E14" s="147" t="str">
        <x:v>Au99.99、Ag(T+D) OHLC/量额/持仓</x:v>
      </x:c>
      <x:c r="F14" s="147" t="str">
        <x:v>刻画黄金价格发现、流动性与日内风险</x:v>
      </x:c>
      <x:c r="G14" s="147" t="str">
        <x:v>刻画白银价格发现、流动性、持仓与日内风险</x:v>
      </x:c>
      <x:c r="H14" s="147" t="str">
        <x:v>状态变量</x:v>
      </x:c>
      <x:c r="I14" s="147" t="str">
        <x:v>高成交既可能是突破也可能是恐慌</x:v>
      </x:c>
      <x:c r="J14" s="147" t="str">
        <x:v>日</x:v>
      </x:c>
      <x:c r="K14" s="147" t="str">
        <x:v>当日收盘后</x:v>
      </x:c>
      <x:c r="L14" s="147" t="str">
        <x:v>上海黄金交易所</x:v>
      </x:c>
      <x:c r="M14" s="147" t="str">
        <x:v>已采集</x:v>
      </x:c>
      <x:c r="N14" s="147" t="str">
        <x:v>05_金银日度主表</x:v>
      </x:c>
      <x:c r="O14" s="147"/>
    </x:row>
    <x:row r="15" ht="58" customHeight="1">
      <x:c r="A15" s="147" t="str">
        <x:v>P1</x:v>
      </x:c>
      <x:c r="B15" s="147" t="str">
        <x:v>共同</x:v>
      </x:c>
      <x:c r="C15" s="147" t="str">
        <x:v>政策→流动性</x:v>
      </x:c>
      <x:c r="D15" s="147" t="str">
        <x:v>政策利率</x:v>
      </x:c>
      <x:c r="E15" s="147" t="str">
        <x:v>有效联邦基金利率</x:v>
      </x:c>
      <x:c r="F15" s="147" t="str">
        <x:v>DFF</x:v>
      </x:c>
      <x:c r="G15" s="147" t="str">
        <x:v>影响收益率曲线、美元与金融条件</x:v>
      </x:c>
      <x:c r="H15" s="147" t="str">
        <x:v>同样影响机会成本并通过增长预期额外传导</x:v>
      </x:c>
      <x:c r="I15" s="147" t="str">
        <x:v>多为负向</x:v>
      </x:c>
      <x:c r="J15" s="147" t="str">
        <x:v>市场常提前交易政策预期</x:v>
      </x:c>
      <x:c r="K15" s="147" t="str">
        <x:v>日</x:v>
      </x:c>
      <x:c r="L15" s="147" t="str">
        <x:v>美国上一可用日</x:v>
      </x:c>
      <x:c r="M15" s="147" t="str">
        <x:v>FRED</x:v>
      </x:c>
      <x:c r="N15" s="147" t="str">
        <x:v>已采集</x:v>
      </x:c>
      <x:c r="O15" s="147" t="str">
        <x:v>05_金银日度主表</x:v>
      </x:c>
    </x:row>
    <x:row r="16" ht="58" customHeight="1">
      <x:c r="A16" s="147" t="str">
        <x:v>P1</x:v>
      </x:c>
      <x:c r="B16" s="147" t="str">
        <x:v>共同</x:v>
      </x:c>
      <x:c r="C16" s="147" t="str">
        <x:v>价格→通胀</x:v>
      </x:c>
      <x:c r="D16" s="147" t="str">
        <x:v>能源</x:v>
      </x:c>
      <x:c r="E16" s="147" t="str">
        <x:v>Brent原油月均价</x:v>
      </x:c>
      <x:c r="F16" s="147" t="str">
        <x:v>World Bank Brent</x:v>
      </x:c>
      <x:c r="G16" s="147" t="str">
        <x:v>经通胀预期、实际利率和政策反应影响</x:v>
      </x:c>
      <x:c r="H16" s="147" t="str">
        <x:v>除宏观渠道外，还影响矿山与制造成本</x:v>
      </x:c>
      <x:c r="I16" s="147" t="str">
        <x:v>条件性</x:v>
      </x:c>
      <x:c r="J16" s="147" t="str">
        <x:v>鹰派加息可能反转方向</x:v>
      </x:c>
      <x:c r="K16" s="147" t="str">
        <x:v>月</x:v>
      </x:c>
      <x:c r="L16" s="147" t="str">
        <x:v>滞后1月</x:v>
      </x:c>
      <x:c r="M16" s="147" t="str">
        <x:v>World Bank</x:v>
      </x:c>
      <x:c r="N16" s="147" t="str">
        <x:v>已采集</x:v>
      </x:c>
      <x:c r="O16" s="147" t="str">
        <x:v>09_金银月度主表</x:v>
      </x:c>
    </x:row>
    <x:row r="17" ht="58" customHeight="1">
      <x:c r="A17" s="147" t="str">
        <x:v>P1</x:v>
      </x:c>
      <x:c r="B17" s="147" t="str">
        <x:v>白银为主</x:v>
      </x:c>
      <x:c r="C17" s="147" t="str">
        <x:v>增长→工业需求</x:v>
      </x:c>
      <x:c r="D17" s="147" t="str">
        <x:v>工业景气</x:v>
      </x:c>
      <x:c r="E17" s="147" t="str">
        <x:v>工业生产指数</x:v>
      </x:c>
      <x:c r="F17" s="147" t="str">
        <x:v>INDPRO</x:v>
      </x:c>
      <x:c r="G17" s="147" t="str">
        <x:v>主要经风险偏好与政策预期间接影响</x:v>
      </x:c>
      <x:c r="H17" s="147" t="str">
        <x:v>工业扩张提高电气电子等用银需求预期</x:v>
      </x:c>
      <x:c r="I17" s="147" t="str">
        <x:v>对白银偏正向</x:v>
      </x:c>
      <x:c r="J17" s="147" t="str">
        <x:v>衰退中的降息预期可能支撑黄金</x:v>
      </x:c>
      <x:c r="K17" s="147" t="str">
        <x:v>月</x:v>
      </x:c>
      <x:c r="L17" s="147" t="str">
        <x:v>按发布日期</x:v>
      </x:c>
      <x:c r="M17" s="147" t="str">
        <x:v>Federal Reserve/FRED</x:v>
      </x:c>
      <x:c r="N17" s="147" t="str">
        <x:v>已采集</x:v>
      </x:c>
      <x:c r="O17" s="147" t="str">
        <x:v>09_金银月度主表</x:v>
      </x:c>
    </x:row>
    <x:row r="18" ht="58" customHeight="1">
      <x:c r="A18" s="147" t="str">
        <x:v>P1</x:v>
      </x:c>
      <x:c r="B18" s="147" t="str">
        <x:v>白银为主</x:v>
      </x:c>
      <x:c r="C18" s="147" t="str">
        <x:v>增长→工业需求</x:v>
      </x:c>
      <x:c r="D18" s="147" t="str">
        <x:v>工业金属</x:v>
      </x:c>
      <x:c r="E18" s="147" t="str">
        <x:v>全球铜月均价</x:v>
      </x:c>
      <x:c r="F18" s="147" t="str">
        <x:v>World Bank Copper</x:v>
      </x:c>
      <x:c r="G18" s="147" t="str">
        <x:v>用于控制全球增长与风险偏好</x:v>
      </x:c>
      <x:c r="H18" s="147" t="str">
        <x:v>帮助识别白银工业需求状态</x:v>
      </x:c>
      <x:c r="I18" s="147" t="str">
        <x:v>对白银偏正向</x:v>
      </x:c>
      <x:c r="J18" s="147" t="str">
        <x:v>铜自身供给冲击会削弱代理含义</x:v>
      </x:c>
      <x:c r="K18" s="147" t="str">
        <x:v>月</x:v>
      </x:c>
      <x:c r="L18" s="147" t="str">
        <x:v>滞后1月</x:v>
      </x:c>
      <x:c r="M18" s="147" t="str">
        <x:v>World Bank</x:v>
      </x:c>
      <x:c r="N18" s="147" t="str">
        <x:v>已采集</x:v>
      </x:c>
      <x:c r="O18" s="147" t="str">
        <x:v>09_金银月度主表</x:v>
      </x:c>
    </x:row>
    <x:row r="19" ht="58" customHeight="1">
      <x:c r="A19" s="147" t="str">
        <x:v>P1</x:v>
      </x:c>
      <x:c r="B19" s="147" t="str">
        <x:v>相对定价</x:v>
      </x:c>
      <x:c r="C19" s="147" t="str">
        <x:v>避险↔增长</x:v>
      </x:c>
      <x:c r="D19" s="147" t="str">
        <x:v>金银比</x:v>
      </x:c>
      <x:c r="E19" s="147" t="str">
        <x:v>统一单位后的金价/银价</x:v>
      </x:c>
      <x:c r="F19" s="147" t="str">
        <x:v>上升通常表示黄金相对走强</x:v>
      </x:c>
      <x:c r="G19" s="147" t="str">
        <x:v>下降通常表示白银相对走强</x:v>
      </x:c>
      <x:c r="H19" s="147" t="str">
        <x:v>状态识别</x:v>
      </x:c>
      <x:c r="I19" s="147" t="str">
        <x:v>极端比值可能来自单边供给冲击</x:v>
      </x:c>
      <x:c r="J19" s="147" t="str">
        <x:v>日/月</x:v>
      </x:c>
      <x:c r="K19" s="147" t="str">
        <x:v>同步或滞后</x:v>
      </x:c>
      <x:c r="L19" s="147" t="str">
        <x:v>SGE/World Bank</x:v>
      </x:c>
      <x:c r="M19" s="147" t="str">
        <x:v>已采集</x:v>
      </x:c>
      <x:c r="N19" s="147" t="str">
        <x:v>05_金银日度主表</x:v>
      </x:c>
      <x:c r="O19" s="147"/>
    </x:row>
    <x:row r="20" ht="58" customHeight="1">
      <x:c r="A20" s="147" t="str">
        <x:v>P1</x:v>
      </x:c>
      <x:c r="B20" s="147" t="str">
        <x:v>白银</x:v>
      </x:c>
      <x:c r="C20" s="147" t="str">
        <x:v>供给→库存→价格</x:v>
      </x:c>
      <x:c r="D20" s="147" t="str">
        <x:v>矿产供给</x:v>
      </x:c>
      <x:c r="E20" s="147" t="str">
        <x:v>全球矿产银产量</x:v>
      </x:c>
      <x:c r="F20" s="147" t="str">
        <x:v>无直接作用，仅作贵金属供需比较</x:v>
      </x:c>
      <x:c r="G20" s="147" t="str">
        <x:v>供给下降在需求不变时收紧平衡并支撑价格</x:v>
      </x:c>
      <x:c r="H20" s="147" t="str">
        <x:v>中期负向供给弹性</x:v>
      </x:c>
      <x:c r="I20" s="147" t="str">
        <x:v>白银多为伴生矿，价格响应滞后</x:v>
      </x:c>
      <x:c r="J20" s="147" t="str">
        <x:v>年</x:v>
      </x:c>
      <x:c r="K20" s="147" t="str">
        <x:v>按报告发布日期</x:v>
      </x:c>
      <x:c r="L20" s="147" t="str">
        <x:v>Silver Institute/Metals Focus</x:v>
      </x:c>
      <x:c r="M20" s="147" t="str">
        <x:v>已采集</x:v>
      </x:c>
      <x:c r="N20" s="147" t="str">
        <x:v>11_白银年度供需</x:v>
      </x:c>
      <x:c r="O20" s="147"/>
    </x:row>
    <x:row r="21" ht="58" customHeight="1">
      <x:c r="A21" s="147" t="str">
        <x:v>P1</x:v>
      </x:c>
      <x:c r="B21" s="147" t="str">
        <x:v>白银</x:v>
      </x:c>
      <x:c r="C21" s="147" t="str">
        <x:v>供给→库存→价格</x:v>
      </x:c>
      <x:c r="D21" s="147" t="str">
        <x:v>回收供给</x:v>
      </x:c>
      <x:c r="E21" s="147" t="str">
        <x:v>全球回收银</x:v>
      </x:c>
      <x:c r="F21" s="147" t="str">
        <x:v>无直接作用</x:v>
      </x:c>
      <x:c r="G21" s="147" t="str">
        <x:v>高价刺激回收，缓解短缺；也可能与价格同时上升</x:v>
      </x:c>
      <x:c r="H21" s="147" t="str">
        <x:v>内生变量</x:v>
      </x:c>
      <x:c r="I21" s="147" t="str">
        <x:v>存在明显反向因果</x:v>
      </x:c>
      <x:c r="J21" s="147" t="str">
        <x:v>年</x:v>
      </x:c>
      <x:c r="K21" s="147" t="str">
        <x:v>按报告发布日期</x:v>
      </x:c>
      <x:c r="L21" s="147" t="str">
        <x:v>Silver Institute/Metals Focus</x:v>
      </x:c>
      <x:c r="M21" s="147" t="str">
        <x:v>已采集</x:v>
      </x:c>
      <x:c r="N21" s="147" t="str">
        <x:v>11_白银年度供需</x:v>
      </x:c>
      <x:c r="O21" s="147"/>
    </x:row>
    <x:row r="22" ht="58" customHeight="1">
      <x:c r="A22" s="147" t="str">
        <x:v>P1</x:v>
      </x:c>
      <x:c r="B22" s="147" t="str">
        <x:v>白银</x:v>
      </x:c>
      <x:c r="C22" s="147" t="str">
        <x:v>工业需求→库存→价格</x:v>
      </x:c>
      <x:c r="D22" s="147" t="str">
        <x:v>工业总需求</x:v>
      </x:c>
      <x:c r="E22" s="147" t="str">
        <x:v>Industrial total</x:v>
      </x:c>
      <x:c r="F22" s="147" t="str">
        <x:v>无直接作用</x:v>
      </x:c>
      <x:c r="G22" s="147" t="str">
        <x:v>需求扩张消耗库存并改善价格中期支撑</x:v>
      </x:c>
      <x:c r="H22" s="147" t="str">
        <x:v>通常正向</x:v>
      </x:c>
      <x:c r="I22" s="147" t="str">
        <x:v>价格过高会促使节银与替代</x:v>
      </x:c>
      <x:c r="J22" s="147" t="str">
        <x:v>年</x:v>
      </x:c>
      <x:c r="K22" s="147" t="str">
        <x:v>按报告发布日期</x:v>
      </x:c>
      <x:c r="L22" s="147" t="str">
        <x:v>Silver Institute/Metals Focus</x:v>
      </x:c>
      <x:c r="M22" s="147" t="str">
        <x:v>已采集</x:v>
      </x:c>
      <x:c r="N22" s="147" t="str">
        <x:v>11_白银年度供需</x:v>
      </x:c>
      <x:c r="O22" s="147"/>
    </x:row>
    <x:row r="23" ht="58" customHeight="1">
      <x:c r="A23" s="147" t="str">
        <x:v>P1</x:v>
      </x:c>
      <x:c r="B23" s="147" t="str">
        <x:v>白银</x:v>
      </x:c>
      <x:c r="C23" s="147" t="str">
        <x:v>光伏→工业需求</x:v>
      </x:c>
      <x:c r="D23" s="147" t="str">
        <x:v>光伏用银</x:v>
      </x:c>
      <x:c r="E23" s="147" t="str">
        <x:v>Photovoltaics</x:v>
      </x:c>
      <x:c r="F23" s="147" t="str">
        <x:v>无直接作用</x:v>
      </x:c>
      <x:c r="G23" s="147" t="str">
        <x:v>装机扩张推高需求，节银和替代会降低单瓦用银量</x:v>
      </x:c>
      <x:c r="H23" s="147" t="str">
        <x:v>正向但强非线性</x:v>
      </x:c>
      <x:c r="I23" s="147" t="str">
        <x:v>装机增长不等于用银量同步增长</x:v>
      </x:c>
      <x:c r="J23" s="147" t="str">
        <x:v>年</x:v>
      </x:c>
      <x:c r="K23" s="147" t="str">
        <x:v>按报告发布日期</x:v>
      </x:c>
      <x:c r="L23" s="147" t="str">
        <x:v>Silver Institute/Metals Focus</x:v>
      </x:c>
      <x:c r="M23" s="147" t="str">
        <x:v>已采集</x:v>
      </x:c>
      <x:c r="N23" s="147" t="str">
        <x:v>11_白银年度供需</x:v>
      </x:c>
      <x:c r="O23" s="147"/>
    </x:row>
    <x:row r="24" ht="58" customHeight="1">
      <x:c r="A24" s="147" t="str">
        <x:v>P1</x:v>
      </x:c>
      <x:c r="B24" s="147" t="str">
        <x:v>白银</x:v>
      </x:c>
      <x:c r="C24" s="147" t="str">
        <x:v>供需→库存→价格</x:v>
      </x:c>
      <x:c r="D24" s="147" t="str">
        <x:v>市场平衡</x:v>
      </x:c>
      <x:c r="E24" s="147" t="str">
        <x:v>Total supply - total demand</x:v>
      </x:c>
      <x:c r="F24" s="147" t="str">
        <x:v>无直接作用</x:v>
      </x:c>
      <x:c r="G24" s="147" t="str">
        <x:v>持续赤字消耗地上库存，放大流动性紧张</x:v>
      </x:c>
      <x:c r="H24" s="147" t="str">
        <x:v>赤字通常支撑</x:v>
      </x:c>
      <x:c r="I24" s="147" t="str">
        <x:v>年度数据不能解释单日波动</x:v>
      </x:c>
      <x:c r="J24" s="147" t="str">
        <x:v>年</x:v>
      </x:c>
      <x:c r="K24" s="147" t="str">
        <x:v>按报告发布日期</x:v>
      </x:c>
      <x:c r="L24" s="147" t="str">
        <x:v>Silver Institute/Metals Focus</x:v>
      </x:c>
      <x:c r="M24" s="147" t="str">
        <x:v>已采集</x:v>
      </x:c>
      <x:c r="N24" s="147" t="str">
        <x:v>11_白银年度供需</x:v>
      </x:c>
      <x:c r="O24" s="147"/>
    </x:row>
    <x:row r="25" ht="58" customHeight="1">
      <x:c r="A25" s="147" t="str">
        <x:v>P2</x:v>
      </x:c>
      <x:c r="B25" s="147" t="str">
        <x:v>共同</x:v>
      </x:c>
      <x:c r="C25" s="147" t="str">
        <x:v>政策不确定性→避险</x:v>
      </x:c>
      <x:c r="D25" s="147" t="str">
        <x:v>政策风险</x:v>
      </x:c>
      <x:c r="E25" s="147" t="str">
        <x:v>中国大陆报纸EPU</x:v>
      </x:c>
      <x:c r="F25" s="147" t="str">
        <x:v>可能增加避险与储值需求</x:v>
      </x:c>
      <x:c r="G25" s="147" t="str">
        <x:v>避险与工业预期方向可能相反</x:v>
      </x:c>
      <x:c r="H25" s="147" t="str">
        <x:v>依状态而定</x:v>
      </x:c>
      <x:c r="I25" s="147" t="str">
        <x:v>当前仅为论文候选代理且时段较短</x:v>
      </x:c>
      <x:c r="J25" s="147" t="str">
        <x:v>月</x:v>
      </x:c>
      <x:c r="K25" s="147" t="str">
        <x:v>滞后1月</x:v>
      </x:c>
      <x:c r="L25" s="147" t="str">
        <x:v>policyuncertainty.com</x:v>
      </x:c>
      <x:c r="M25" s="147" t="str">
        <x:v>部分采集</x:v>
      </x:c>
      <x:c r="N25" s="147" t="str">
        <x:v>09_金银月度主表</x:v>
      </x:c>
      <x:c r="O25" s="147"/>
    </x:row>
    <x:row r="26" ht="58" customHeight="1">
      <x:c r="A26" s="147" t="str">
        <x:v>P2</x:v>
      </x:c>
      <x:c r="B26" s="147" t="str">
        <x:v>分别建模</x:v>
      </x:c>
      <x:c r="C26" s="147" t="str">
        <x:v>新闻→预期→资金</x:v>
      </x:c>
      <x:c r="D26" s="147" t="str">
        <x:v>媒体情绪</x:v>
      </x:c>
      <x:c r="E26" s="147" t="str">
        <x:v>黄金/白银新闻量、情绪和主题</x:v>
      </x:c>
      <x:c r="F26" s="147" t="str">
        <x:v>影响利率、美元、避险与资金预期</x:v>
      </x:c>
      <x:c r="G26" s="147" t="str">
        <x:v>除共同渠道外需识别工业、矿山、光伏主题</x:v>
      </x:c>
      <x:c r="H26" s="147" t="str">
        <x:v>依主题而定</x:v>
      </x:c>
      <x:c r="I26" s="147" t="str">
        <x:v>必须去重并消除未来信息</x:v>
      </x:c>
      <x:c r="J26" s="147" t="str">
        <x:v>文章/日</x:v>
      </x:c>
      <x:c r="K26" s="147" t="str">
        <x:v>发布后</x:v>
      </x:c>
      <x:c r="L26" s="147" t="str">
        <x:v>GDELT/授权语料</x:v>
      </x:c>
      <x:c r="M26" s="147" t="str">
        <x:v>待采集</x:v>
      </x:c>
      <x:c r="N26" s="147" t="str">
        <x:v>02_金银因素表</x:v>
      </x:c>
      <x:c r="O26" s="147"/>
    </x:row>
    <x:row r="27" ht="58" customHeight="1">
      <x:c r="A27" s="147" t="str">
        <x:v>P2</x:v>
      </x:c>
      <x:c r="B27" s="147" t="str">
        <x:v>黄金</x:v>
      </x:c>
      <x:c r="C27" s="147" t="str">
        <x:v>结构需求→价格</x:v>
      </x:c>
      <x:c r="D27" s="147" t="str">
        <x:v>央行/ETF/实物</x:v>
      </x:c>
      <x:c r="E27" s="147" t="str">
        <x:v>央行净购金、ETF流量、金条金币</x:v>
      </x:c>
      <x:c r="F27" s="147" t="str">
        <x:v>改变黄金中长期需求曲线与可用库存</x:v>
      </x:c>
      <x:c r="G27" s="147" t="str">
        <x:v>无直接作用</x:v>
      </x:c>
      <x:c r="H27" s="147" t="str">
        <x:v>通常正向</x:v>
      </x:c>
      <x:c r="I27" s="147" t="str">
        <x:v>低频、滞后且可能修订</x:v>
      </x:c>
      <x:c r="J27" s="147" t="str">
        <x:v>月/季</x:v>
      </x:c>
      <x:c r="K27" s="147" t="str">
        <x:v>按发布日期</x:v>
      </x:c>
      <x:c r="L27" s="147" t="str">
        <x:v>WGC/IMF</x:v>
      </x:c>
      <x:c r="M27" s="147" t="str">
        <x:v>待授权</x:v>
      </x:c>
      <x:c r="N27" s="147" t="str">
        <x:v>12_来源与口径</x:v>
      </x:c>
      <x:c r="O27" s="147"/>
    </x:row>
  </x:sheetData>
  <x:mergeCells>
    <x:mergeCell ref="A1:O2"/>
    <x:mergeCell ref="A3:O3"/>
  </x:mergeCells>
  <x:conditionalFormatting sqref="N6:N27">
    <x:cfRule type="containsText" dxfId="0" priority="1" operator="containsText" text="已采集"/>
    <x:cfRule type="containsText" dxfId="1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9ad0c94f9fbb40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42" customHeight="1">
      <x:c r="A1" s="151" t="str">
        <x:v>event_date</x:v>
      </x:c>
      <x:c r="B1" s="151" t="str">
        <x:v>事件</x:v>
      </x:c>
      <x:c r="C1" s="151" t="str">
        <x:v>理论传导链</x:v>
      </x:c>
      <x:c r="D1" s="151" t="str">
        <x:v>官方来源</x:v>
      </x:c>
      <x:c r="E1" s="163" t="str">
        <x:v>事件月黄金收益</x:v>
      </x:c>
      <x:c r="F1" s="163" t="str">
        <x:v>事件月白银收益</x:v>
      </x:c>
      <x:c r="G1" s="163" t="str">
        <x:v>事件月实际利率变化</x:v>
      </x:c>
      <x:c r="H1" s="163" t="str">
        <x:v>事件月美元收益</x:v>
      </x:c>
      <x:c r="I1" s="163" t="str">
        <x:v>事件月GPR变化</x:v>
      </x:c>
      <x:c r="J1" s="163" t="str">
        <x:v>事件月金银比</x:v>
      </x:c>
      <x:c r="K1" s="151" t="str">
        <x:v>解读限制</x:v>
      </x:c>
    </x:row>
    <x:row r="2" ht="56" customHeight="1">
      <x:c r="A2" s="155" t="n">
        <x:v>43901</x:v>
      </x:c>
      <x:c r="B2" s="147" t="str">
        <x:v>全球疫情与流动性冲击</x:v>
      </x:c>
      <x:c r="C2" s="147" t="str">
        <x:v>风险上升→VIX/美元上升→金银先去杠杆；白银叠加工业担忧，后期随宽松修复</x:v>
      </x:c>
      <x:c r="D2" s="147" t="str">
        <x:v>https://www.who.int/director-general/speeches/detail/who-director-general-s-opening-remarks-at-the-media-briefing-on-covid-19---11-march-2020</x:v>
      </x:c>
      <x:c r="E2" s="156" t="n">
        <x:f>IFERROR(INDEX('09_金银月度主表'!$G$2:$G$127,MATCH(DATE(YEAR(A2),MONTH(A2),1),'09_金银月度主表'!$A$2:$A$127,0)),"")</x:f>
        <x:v>-0.003130870381966133</x:v>
      </x:c>
      <x:c r="F2" s="156" t="n">
        <x:f>IFERROR(INDEX('09_金银月度主表'!$H$2:$H$127,MATCH(DATE(YEAR(A2),MONTH(A2),1),'09_金银月度主表'!$A$2:$A$127,0)),"")</x:f>
        <x:v>-0.16759776536312843</x:v>
      </x:c>
      <x:c r="G2" s="157" t="n">
        <x:f>IFERROR(INDEX('09_金银月度主表'!$M$2:$M$127,MATCH(DATE(YEAR(A2),MONTH(A2),1),'09_金银月度主表'!$A$2:$A$127,0)),"")</x:f>
        <x:v>-0.005239234449760752</x:v>
      </x:c>
      <x:c r="H2" s="156" t="n">
        <x:f>IFERROR(INDEX('09_金银月度主表'!$P$2:$P$127,MATCH(DATE(YEAR(A2),MONTH(A2),1),'09_金银月度主表'!$A$2:$A$127,0)),"")</x:f>
        <x:v>0.03694780887864013</x:v>
      </x:c>
      <x:c r="I2" s="157" t="n">
        <x:f>IFERROR(INDEX('09_金银月度主表'!$Z$2:$Z$127,MATCH(DATE(YEAR(A2),MONTH(A2),1),'09_金银月度主表'!$A$2:$A$127,0)),"")</x:f>
        <x:v>5.584469999999996</x:v>
      </x:c>
      <x:c r="J2" s="157" t="n">
        <x:f>IFERROR(INDEX('09_金银月度主表'!$F$2:$F$127,MATCH(DATE(YEAR(A2),MONTH(A2),1),'09_金银月度主表'!$A$2:$A$127,0)),"")</x:f>
        <x:v>106.84563758389261</x:v>
      </x:c>
      <x:c r="K2" s="147" t="str">
        <x:v>月度窗口用于筛选案例，正式结论需使用日度事件窗和对照样本</x:v>
      </x:c>
    </x:row>
    <x:row r="3" ht="56" customHeight="1">
      <x:c r="A3" s="155" t="n">
        <x:v>43905</x:v>
      </x:c>
      <x:c r="B3" s="147" t="str">
        <x:v>美联储紧急降息与资产购买</x:v>
      </x:c>
      <x:c r="C3" s="147" t="str">
        <x:v>政策宽松→收益率下降/流动性改善→黄金获避险支撑，白银随流动性与增长预期修复</x:v>
      </x:c>
      <x:c r="D3" s="147" t="str">
        <x:v>https://www.federalreserve.gov/newsevents/pressreleases/monetary20200315a.htm</x:v>
      </x:c>
      <x:c r="E3" s="156" t="n">
        <x:f>IFERROR(INDEX('09_金银月度主表'!$G$2:$G$127,MATCH(DATE(YEAR(A3),MONTH(A3),1),'09_金银月度主表'!$A$2:$A$127,0)),"")</x:f>
        <x:v>-0.003130870381966133</x:v>
      </x:c>
      <x:c r="F3" s="156" t="n">
        <x:f>IFERROR(INDEX('09_金银月度主表'!$H$2:$H$127,MATCH(DATE(YEAR(A3),MONTH(A3),1),'09_金银月度主表'!$A$2:$A$127,0)),"")</x:f>
        <x:v>-0.16759776536312843</x:v>
      </x:c>
      <x:c r="G3" s="157" t="n">
        <x:f>IFERROR(INDEX('09_金银月度主表'!$M$2:$M$127,MATCH(DATE(YEAR(A3),MONTH(A3),1),'09_金银月度主表'!$A$2:$A$127,0)),"")</x:f>
        <x:v>-0.005239234449760752</x:v>
      </x:c>
      <x:c r="H3" s="156" t="n">
        <x:f>IFERROR(INDEX('09_金银月度主表'!$P$2:$P$127,MATCH(DATE(YEAR(A3),MONTH(A3),1),'09_金银月度主表'!$A$2:$A$127,0)),"")</x:f>
        <x:v>0.03694780887864013</x:v>
      </x:c>
      <x:c r="I3" s="157" t="n">
        <x:f>IFERROR(INDEX('09_金银月度主表'!$Z$2:$Z$127,MATCH(DATE(YEAR(A3),MONTH(A3),1),'09_金银月度主表'!$A$2:$A$127,0)),"")</x:f>
        <x:v>5.584469999999996</x:v>
      </x:c>
      <x:c r="J3" s="157" t="n">
        <x:f>IFERROR(INDEX('09_金银月度主表'!$F$2:$F$127,MATCH(DATE(YEAR(A3),MONTH(A3),1),'09_金银月度主表'!$A$2:$A$127,0)),"")</x:f>
        <x:v>106.84563758389261</x:v>
      </x:c>
      <x:c r="K3" s="147" t="str">
        <x:v>月度窗口用于筛选案例，正式结论需使用日度事件窗和对照样本</x:v>
      </x:c>
    </x:row>
    <x:row r="4" ht="56" customHeight="1">
      <x:c r="A4" s="155" t="n">
        <x:v>44616</x:v>
      </x:c>
      <x:c r="B4" s="147" t="str">
        <x:v>俄乌冲突升级</x:v>
      </x:c>
      <x:c r="C4" s="147" t="str">
        <x:v>地缘风险→黄金避险；能源与通胀→利率预期；白银同时受增长和供给预期影响</x:v>
      </x:c>
      <x:c r="D4" s="147" t="str">
        <x:v>https://press.un.org/en/2022/sgsm21132.doc.htm</x:v>
      </x:c>
      <x:c r="E4" s="156" t="n">
        <x:f>IFERROR(INDEX('09_金银月度主表'!$G$2:$G$127,MATCH(DATE(YEAR(A4),MONTH(A4),1),'09_金银月度主表'!$A$2:$A$127,0)),"")</x:f>
        <x:v>0.022026431718061623</x:v>
      </x:c>
      <x:c r="F4" s="156" t="n">
        <x:f>IFERROR(INDEX('09_金银月度主表'!$H$2:$H$127,MATCH(DATE(YEAR(A4),MONTH(A4),1),'09_金银月度主表'!$A$2:$A$127,0)),"")</x:f>
        <x:v>0.012931034482758674</x:v>
      </x:c>
      <x:c r="G4" s="157" t="n">
        <x:f>IFERROR(INDEX('09_金银月度主表'!$M$2:$M$127,MATCH(DATE(YEAR(A4),MONTH(A4),1),'09_金银月度主表'!$A$2:$A$127,0)),"")</x:f>
        <x:v>0.16181578947368425</x:v>
      </x:c>
      <x:c r="H4" s="156" t="n">
        <x:f>IFERROR(INDEX('09_金银月度主表'!$P$2:$P$127,MATCH(DATE(YEAR(A4),MONTH(A4),1),'09_金银月度主表'!$A$2:$A$127,0)),"")</x:f>
        <x:v>-0.00034369636292530537</x:v>
      </x:c>
      <x:c r="I4" s="157" t="n">
        <x:f>IFERROR(INDEX('09_金银月度主表'!$Z$2:$Z$127,MATCH(DATE(YEAR(A4),MONTH(A4),1),'09_金银月度主表'!$A$2:$A$127,0)),"")</x:f>
        <x:v>77.48401999999999</x:v>
      </x:c>
      <x:c r="J4" s="157" t="n">
        <x:f>IFERROR(INDEX('09_金银月度主表'!$F$2:$F$127,MATCH(DATE(YEAR(A4),MONTH(A4),1),'09_金银月度主表'!$A$2:$A$127,0)),"")</x:f>
        <x:v>78.97872340425532</x:v>
      </x:c>
      <x:c r="K4" s="147" t="str">
        <x:v>月度窗口用于筛选案例，正式结论需使用日度事件窗和对照样本</x:v>
      </x:c>
    </x:row>
    <x:row r="5" ht="56" customHeight="1">
      <x:c r="A5" s="155" t="n">
        <x:v>44636</x:v>
      </x:c>
      <x:c r="B5" s="147" t="str">
        <x:v>美联储开启加息周期</x:v>
      </x:c>
      <x:c r="C5" s="147" t="str">
        <x:v>政策利率上升→实际利率/美元上升→金银承压，白银叠加工业融资条件收紧</x:v>
      </x:c>
      <x:c r="D5" s="147" t="str">
        <x:v>https://www.federalreserve.gov/newsevents/pressreleases/monetary20220316a.htm</x:v>
      </x:c>
      <x:c r="E5" s="156" t="n">
        <x:f>IFERROR(INDEX('09_金银月度主表'!$G$2:$G$127,MATCH(DATE(YEAR(A5),MONTH(A5),1),'09_金银月度主表'!$A$2:$A$127,0)),"")</x:f>
        <x:v>0.049568965517241326</x:v>
      </x:c>
      <x:c r="F5" s="156" t="n">
        <x:f>IFERROR(INDEX('09_金银月度主表'!$H$2:$H$127,MATCH(DATE(YEAR(A5),MONTH(A5),1),'09_金银月度主表'!$A$2:$A$127,0)),"")</x:f>
        <x:v>0.07659574468085117</x:v>
      </x:c>
      <x:c r="G5" s="157" t="n">
        <x:f>IFERROR(INDEX('09_金银月度主表'!$M$2:$M$127,MATCH(DATE(YEAR(A5),MONTH(A5),1),'09_金银月度主表'!$A$2:$A$127,0)),"")</x:f>
        <x:v>-0.1950114416475972</x:v>
      </x:c>
      <x:c r="H5" s="156" t="n">
        <x:f>IFERROR(INDEX('09_金银月度主表'!$P$2:$P$127,MATCH(DATE(YEAR(A5),MONTH(A5),1),'09_金银月度主表'!$A$2:$A$127,0)),"")</x:f>
        <x:v>0.011244542731873697</x:v>
      </x:c>
      <x:c r="I5" s="157" t="n">
        <x:f>IFERROR(INDEX('09_金银月度主表'!$Z$2:$Z$127,MATCH(DATE(YEAR(A5),MONTH(A5),1),'09_金银月度主表'!$A$2:$A$127,0)),"")</x:f>
        <x:v>102.79592</x:v>
      </x:c>
      <x:c r="J5" s="157" t="n">
        <x:f>IFERROR(INDEX('09_金银月度主表'!$F$2:$F$127,MATCH(DATE(YEAR(A5),MONTH(A5),1),'09_金银月度主表'!$A$2:$A$127,0)),"")</x:f>
        <x:v>76.99604743083003</x:v>
      </x:c>
      <x:c r="K5" s="147" t="str">
        <x:v>月度窗口用于筛选案例，正式结论需使用日度事件窗和对照样本</x:v>
      </x:c>
    </x:row>
    <x:row r="6" ht="56" customHeight="1">
      <x:c r="A6" s="155" t="n">
        <x:v>44995</x:v>
      </x:c>
      <x:c r="B6" s="147" t="str">
        <x:v>硅谷银行关闭</x:v>
      </x:c>
      <x:c r="C6" s="147" t="str">
        <x:v>银行风险→避险与降息预期→黄金相对占优，观察白银是否因增长担忧落后</x:v>
      </x:c>
      <x:c r="D6" s="147" t="str">
        <x:v>https://www.fdic.gov/news/press-releases/2023/pr23016.html</x:v>
      </x:c>
      <x:c r="E6" s="156" t="n">
        <x:f>IFERROR(INDEX('09_金银月度主表'!$G$2:$G$127,MATCH(DATE(YEAR(A6),MONTH(A6),1),'09_金银月度主表'!$A$2:$A$127,0)),"")</x:f>
        <x:v>0.03126684636118604</x:v>
      </x:c>
      <x:c r="F6" s="156" t="n">
        <x:f>IFERROR(INDEX('09_金银月度主表'!$H$2:$H$127,MATCH(DATE(YEAR(A6),MONTH(A6),1),'09_金银月度主表'!$A$2:$A$127,0)),"")</x:f>
        <x:v>0.004566210045662267</x:v>
      </x:c>
      <x:c r="G6" s="157" t="n">
        <x:f>IFERROR(INDEX('09_金银月度主表'!$M$2:$M$127,MATCH(DATE(YEAR(A6),MONTH(A6),1),'09_金银月度主表'!$A$2:$A$127,0)),"")</x:f>
        <x:v>-0.05228832951945073</x:v>
      </x:c>
      <x:c r="H6" s="156" t="n">
        <x:f>IFERROR(INDEX('09_金银月度主表'!$P$2:$P$127,MATCH(DATE(YEAR(A6),MONTH(A6),1),'09_金银月度主表'!$A$2:$A$127,0)),"")</x:f>
        <x:v>0.003629334732874412</x:v>
      </x:c>
      <x:c r="I6" s="157" t="n">
        <x:f>IFERROR(INDEX('09_金银月度主表'!$Z$2:$Z$127,MATCH(DATE(YEAR(A6),MONTH(A6),1),'09_金银月度主表'!$A$2:$A$127,0)),"")</x:f>
        <x:v>-15.614406000000002</x:v>
      </x:c>
      <x:c r="J6" s="157" t="n">
        <x:f>IFERROR(INDEX('09_金银月度主表'!$F$2:$F$127,MATCH(DATE(YEAR(A6),MONTH(A6),1),'09_金银月度主表'!$A$2:$A$127,0)),"")</x:f>
        <x:v>86.95454545454545</x:v>
      </x:c>
      <x:c r="K6" s="147" t="str">
        <x:v>月度窗口用于筛选案例，正式结论需使用日度事件窗和对照样本</x:v>
      </x:c>
    </x:row>
    <x:row r="7" ht="56" customHeight="1">
      <x:c r="A7" s="155" t="n">
        <x:v>45206</x:v>
      </x:c>
      <x:c r="B7" s="147" t="str">
        <x:v>中东冲突风险上升</x:v>
      </x:c>
      <x:c r="C7" s="147" t="str">
        <x:v>地缘风险→避险需求；油价尾部风险形成反向利率渠道</x:v>
      </x:c>
      <x:c r="D7" s="147" t="str">
        <x:v>https://www.worldbank.org/en/news/press-release/2023/10/26/commodity-markets-outlook-october-2023-press-release</x:v>
      </x:c>
      <x:c r="E7" s="156" t="n">
        <x:f>IFERROR(INDEX('09_金银月度主表'!$G$2:$G$127,MATCH(DATE(YEAR(A7),MONTH(A7),1),'09_金银月度主表'!$A$2:$A$127,0)),"")</x:f>
        <x:v>0</x:v>
      </x:c>
      <x:c r="F7" s="156" t="n">
        <x:f>IFERROR(INDEX('09_金银月度主表'!$H$2:$H$127,MATCH(DATE(YEAR(A7),MONTH(A7),1),'09_金银月度主表'!$A$2:$A$127,0)),"")</x:f>
        <x:v>-0.030303030303030387</x:v>
      </x:c>
      <x:c r="G7" s="157" t="n">
        <x:f>IFERROR(INDEX('09_金银月度主表'!$M$2:$M$127,MATCH(DATE(YEAR(A7),MONTH(A7),1),'09_金银月度主表'!$A$2:$A$127,0)),"")</x:f>
        <x:v>0.37490476190476185</x:v>
      </x:c>
      <x:c r="H7" s="156" t="n">
        <x:f>IFERROR(INDEX('09_金银月度主表'!$P$2:$P$127,MATCH(DATE(YEAR(A7),MONTH(A7),1),'09_金银月度主表'!$A$2:$A$127,0)),"")</x:f>
        <x:v>0.0152214193077842</x:v>
      </x:c>
      <x:c r="I7" s="157" t="n">
        <x:f>IFERROR(INDEX('09_金银月度主表'!$Z$2:$Z$127,MATCH(DATE(YEAR(A7),MONTH(A7),1),'09_金银月度主表'!$A$2:$A$127,0)),"")</x:f>
        <x:v>99.2522</x:v>
      </x:c>
      <x:c r="J7" s="157" t="n">
        <x:f>IFERROR(INDEX('09_金银月度主表'!$F$2:$F$127,MATCH(DATE(YEAR(A7),MONTH(A7),1),'09_金银月度主表'!$A$2:$A$127,0)),"")</x:f>
        <x:v>85.53571428571429</x:v>
      </x:c>
      <x:c r="K7" s="147" t="str">
        <x:v>月度窗口用于筛选案例，正式结论需使用日度事件窗和对照样本</x:v>
      </x:c>
    </x:row>
    <x:row r="8" ht="56" customHeight="1">
      <x:c r="A8" s="155" t="n">
        <x:v>45553</x:v>
      </x:c>
      <x:c r="B8" s="147" t="str">
        <x:v>美联储降息50个基点</x:v>
      </x:c>
      <x:c r="C8" s="147" t="str">
        <x:v>政策利率下降→金银机会成本下降；若增长预期改善，白银可能相对更强</x:v>
      </x:c>
      <x:c r="D8" s="147" t="str">
        <x:v>https://www.federalreserve.gov/newsevents/pressreleases/monetary20240918a.htm</x:v>
      </x:c>
      <x:c r="E8" s="156" t="n">
        <x:f>IFERROR(INDEX('09_金银月度主表'!$G$2:$G$127,MATCH(DATE(YEAR(A8),MONTH(A8),1),'09_金银月度主表'!$A$2:$A$127,0)),"")</x:f>
        <x:v>0.04089068825910935</x:v>
      </x:c>
      <x:c r="F8" s="156" t="n">
        <x:f>IFERROR(INDEX('09_金银月度主表'!$H$2:$H$127,MATCH(DATE(YEAR(A8),MONTH(A8),1),'09_金银月度主表'!$A$2:$A$127,0)),"")</x:f>
        <x:v>0.056140350877192935</x:v>
      </x:c>
      <x:c r="G8" s="157" t="n">
        <x:f>IFERROR(INDEX('09_金银月度主表'!$M$2:$M$127,MATCH(DATE(YEAR(A8),MONTH(A8),1),'09_金银月度主表'!$A$2:$A$127,0)),"")</x:f>
        <x:v>-0.14490909090909065</x:v>
      </x:c>
      <x:c r="H8" s="156" t="n">
        <x:f>IFERROR(INDEX('09_金银月度主表'!$P$2:$P$127,MATCH(DATE(YEAR(A8),MONTH(A8),1),'09_金银月度主表'!$A$2:$A$127,0)),"")</x:f>
        <x:v>-0.005944569537530864</x:v>
      </x:c>
      <x:c r="I8" s="157" t="n">
        <x:f>IFERROR(INDEX('09_金银月度主表'!$Z$2:$Z$127,MATCH(DATE(YEAR(A8),MONTH(A8),1),'09_金银月度主表'!$A$2:$A$127,0)),"")</x:f>
        <x:v>-10.616289999999992</x:v>
      </x:c>
      <x:c r="J8" s="157" t="n">
        <x:f>IFERROR(INDEX('09_金银月度主表'!$F$2:$F$127,MATCH(DATE(YEAR(A8),MONTH(A8),1),'09_金银月度主表'!$A$2:$A$127,0)),"")</x:f>
        <x:v>85.41528239202657</x:v>
      </x:c>
      <x:c r="K8" s="147" t="str">
        <x:v>月度窗口用于筛选案例，正式结论需使用日度事件窗和对照样本</x:v>
      </x:c>
    </x:row>
  </x:sheetData>
  <x:pageMargins left="0.7" right="0.7" top="0.75" bottom="0.75" header="0.3" footer="0.3"/>
  <x:tableParts count="1">
    <x:tablePart xmlns:r="http://schemas.openxmlformats.org/officeDocument/2006/relationships" r:id="Rf68133e9d13e45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50" hidden="0" customWidth="1"/>
  </x:cols>
  <x:sheetData>
    <x:row r="1" ht="42" customHeight="1">
      <x:c r="A1" s="151" t="str">
        <x:v>date</x:v>
      </x:c>
      <x:c r="B1" s="151" t="str">
        <x:v>gold_open_cny_g</x:v>
      </x:c>
      <x:c r="C1" s="151" t="str">
        <x:v>gold_high_cny_g</x:v>
      </x:c>
      <x:c r="D1" s="151" t="str">
        <x:v>gold_low_cny_g</x:v>
      </x:c>
      <x:c r="E1" s="151" t="str">
        <x:v>gold_close_cny_g</x:v>
      </x:c>
      <x:c r="F1" s="151" t="str">
        <x:v>gold_return_1d</x:v>
      </x:c>
      <x:c r="G1" s="151" t="str">
        <x:v>gold_intraday_range</x:v>
      </x:c>
      <x:c r="H1" s="151" t="str">
        <x:v>gold_weighted_avg_cny_g</x:v>
      </x:c>
      <x:c r="I1" s="151" t="str">
        <x:v>gold_volume_kg</x:v>
      </x:c>
      <x:c r="J1" s="151" t="str">
        <x:v>gold_turnover_cny</x:v>
      </x:c>
      <x:c r="K1" s="151" t="str">
        <x:v>gold_open_interest_lots</x:v>
      </x:c>
      <x:c r="L1" s="151" t="str">
        <x:v>silver_open_cny_kg</x:v>
      </x:c>
      <x:c r="M1" s="151" t="str">
        <x:v>silver_high_cny_kg</x:v>
      </x:c>
      <x:c r="N1" s="151" t="str">
        <x:v>silver_low_cny_kg</x:v>
      </x:c>
      <x:c r="O1" s="151" t="str">
        <x:v>silver_close_cny_kg</x:v>
      </x:c>
      <x:c r="P1" s="151" t="str">
        <x:v>silver_return_1d</x:v>
      </x:c>
      <x:c r="Q1" s="151" t="str">
        <x:v>silver_intraday_range</x:v>
      </x:c>
      <x:c r="R1" s="151" t="str">
        <x:v>silver_weighted_avg_cny_kg</x:v>
      </x:c>
      <x:c r="S1" s="151" t="str">
        <x:v>silver_volume_kg</x:v>
      </x:c>
      <x:c r="T1" s="151" t="str">
        <x:v>silver_turnover_cny</x:v>
      </x:c>
      <x:c r="U1" s="151" t="str">
        <x:v>silver_open_interest_lots</x:v>
      </x:c>
      <x:c r="V1" s="151" t="str">
        <x:v>gold_silver_ratio</x:v>
      </x:c>
      <x:c r="W1" s="151" t="str">
        <x:v>nominal_10y_prev_pct</x:v>
      </x:c>
      <x:c r="X1" s="151" t="str">
        <x:v>nominal_obs_date</x:v>
      </x:c>
      <x:c r="Y1" s="151" t="str">
        <x:v>real_10y_prev_pct</x:v>
      </x:c>
      <x:c r="Z1" s="151" t="str">
        <x:v>real_obs_date</x:v>
      </x:c>
      <x:c r="AA1" s="151" t="str">
        <x:v>real_yield_change</x:v>
      </x:c>
      <x:c r="AB1" s="151" t="str">
        <x:v>breakeven_10y_prev_pct</x:v>
      </x:c>
      <x:c r="AC1" s="151" t="str">
        <x:v>broad_dollar_prev</x:v>
      </x:c>
      <x:c r="AD1" s="151" t="str">
        <x:v>dollar_obs_date</x:v>
      </x:c>
      <x:c r="AE1" s="151" t="str">
        <x:v>dollar_return</x:v>
      </x:c>
      <x:c r="AF1" s="151" t="str">
        <x:v>vix_prev</x:v>
      </x:c>
      <x:c r="AG1" s="151" t="str">
        <x:v>vix_obs_date</x:v>
      </x:c>
      <x:c r="AH1" s="151" t="str">
        <x:v>vix_change</x:v>
      </x:c>
      <x:c r="AI1" s="151" t="str">
        <x:v>fed_funds_prev_pct</x:v>
      </x:c>
      <x:c r="AJ1" s="151" t="str">
        <x:v>cftc_gold_release_date</x:v>
      </x:c>
      <x:c r="AK1" s="151" t="str">
        <x:v>cftc_gold_mm_net</x:v>
      </x:c>
      <x:c r="AL1" s="151" t="str">
        <x:v>cftc_gold_mm_net_pct_oi</x:v>
      </x:c>
      <x:c r="AM1" s="151" t="str">
        <x:v>cftc_gold_producer_net</x:v>
      </x:c>
      <x:c r="AN1" s="151" t="str">
        <x:v>cftc_silver_release_date</x:v>
      </x:c>
      <x:c r="AO1" s="151" t="str">
        <x:v>cftc_silver_mm_net</x:v>
      </x:c>
      <x:c r="AP1" s="151" t="str">
        <x:v>cftc_silver_mm_net_pct_oi</x:v>
      </x:c>
      <x:c r="AQ1" s="151" t="str">
        <x:v>cftc_silver_producer_net</x:v>
      </x:c>
      <x:c r="AR1" s="151" t="str">
        <x:v>asof_rule</x:v>
      </x:c>
    </x:row>
    <x:row r="2">
      <x:c r="A2" s="155" t="n">
        <x:v>45295</x:v>
      </x:c>
      <x:c r="B2" s="153" t="n">
        <x:v>479</x:v>
      </x:c>
      <x:c r="C2" s="153" t="n">
        <x:v>482</x:v>
      </x:c>
      <x:c r="D2" s="153" t="n">
        <x:v>477</x:v>
      </x:c>
      <x:c r="E2" s="153" t="n">
        <x:v>480.4</x:v>
      </x:c>
      <x:c r="F2" s="154"/>
      <x:c r="G2" s="154"/>
      <x:c r="H2" s="153" t="n">
        <x:v>480.05</x:v>
      </x:c>
      <x:c r="I2" s="158" t="n">
        <x:v>24970.08</x:v>
      </x:c>
      <x:c r="J2" s="158" t="n">
        <x:v>11986918083.4</x:v>
      </x:c>
      <x:c r="K2" s="158"/>
      <x:c r="L2" s="153" t="n">
        <x:v>5910</x:v>
      </x:c>
      <x:c r="M2" s="153" t="n">
        <x:v>5930</x:v>
      </x:c>
      <x:c r="N2" s="153" t="n">
        <x:v>5851</x:v>
      </x:c>
      <x:c r="O2" s="153" t="n">
        <x:v>5867</x:v>
      </x:c>
      <x:c r="P2" s="154"/>
      <x:c r="Q2" s="154"/>
      <x:c r="R2" s="153" t="n">
        <x:v>5873</x:v>
      </x:c>
      <x:c r="S2" s="158" t="n">
        <x:v>930034</x:v>
      </x:c>
      <x:c r="T2" s="158" t="n">
        <x:v>5462494174</x:v>
      </x:c>
      <x:c r="U2" s="158" t="n">
        <x:v>5208366</x:v>
      </x:c>
      <x:c r="V2" s="153" t="n">
        <x:f>IFERROR(E2*1000/O2,"")</x:f>
        <x:v>81.88171126640532</x:v>
      </x:c>
      <x:c r="W2" s="153" t="n">
        <x:v>3.91</x:v>
      </x:c>
      <x:c r="X2" s="155" t="n">
        <x:v>45294</x:v>
      </x:c>
      <x:c r="Y2" s="153" t="n">
        <x:v>1.71</x:v>
      </x:c>
      <x:c r="Z2" s="155" t="n">
        <x:v>45294</x:v>
      </x:c>
      <x:c r="AA2" s="153"/>
      <x:c r="AB2" s="153" t="n">
        <x:v>2.2</x:v>
      </x:c>
      <x:c r="AC2" s="153" t="n">
        <x:v>119.6958</x:v>
      </x:c>
      <x:c r="AD2" s="155" t="n">
        <x:v>45294</x:v>
      </x:c>
      <x:c r="AE2" s="154"/>
      <x:c r="AF2" s="153" t="n">
        <x:v>14.04</x:v>
      </x:c>
      <x:c r="AG2" s="155" t="n">
        <x:v>45294</x:v>
      </x:c>
      <x:c r="AH2" s="153"/>
      <x:c r="AI2" s="153" t="n">
        <x:v>5.33</x:v>
      </x:c>
      <x:c r="AJ2" s="155" t="n">
        <x:v>45289</x:v>
      </x:c>
      <x:c r="AK2" s="159" t="n">
        <x:v>106454</x:v>
      </x:c>
      <x:c r="AL2" s="154" t="n">
        <x:v>0.21665923804755538</x:v>
      </x:c>
      <x:c r="AM2" s="159" t="n">
        <x:v>-45013</x:v>
      </x:c>
      <x:c r="AN2" s="155" t="n">
        <x:v>45289</x:v>
      </x:c>
      <x:c r="AO2" s="159" t="n">
        <x:v>16797</x:v>
      </x:c>
      <x:c r="AP2" s="154" t="n">
        <x:v>0.1278232679897723</x:v>
      </x:c>
      <x:c r="AQ2" s="159" t="n">
        <x:v>-36948</x:v>
      </x:c>
      <x:c r="AR2" s="147" t="str">
        <x:v>美国市场指标与CFTC数据均使用严格早于上金所交易日的最后已发布值</x:v>
      </x:c>
    </x:row>
    <x:row r="3">
      <x:c r="A3" s="155" t="n">
        <x:v>45296</x:v>
      </x:c>
      <x:c r="B3" s="153" t="n">
        <x:v>480.2</x:v>
      </x:c>
      <x:c r="C3" s="153" t="n">
        <x:v>482.32</x:v>
      </x:c>
      <x:c r="D3" s="153" t="n">
        <x:v>479.2</x:v>
      </x:c>
      <x:c r="E3" s="153" t="n">
        <x:v>480</x:v>
      </x:c>
      <x:c r="F3" s="154" t="n">
        <x:f>IFERROR(E3/E2-1,"")</x:f>
        <x:v>-0.0008326394671106518</x:v>
      </x:c>
      <x:c r="G3" s="154" t="n">
        <x:f>IFERROR((C3-D3)/E2,"")</x:f>
        <x:v>0.00649458784346379</x:v>
      </x:c>
      <x:c r="H3" s="153" t="n">
        <x:v>481.03</x:v>
      </x:c>
      <x:c r="I3" s="158" t="n">
        <x:v>30191.3</x:v>
      </x:c>
      <x:c r="J3" s="158" t="n">
        <x:v>14523104667</x:v>
      </x:c>
      <x:c r="K3" s="158"/>
      <x:c r="L3" s="153" t="n">
        <x:v>5857</x:v>
      </x:c>
      <x:c r="M3" s="153" t="n">
        <x:v>5912</x:v>
      </x:c>
      <x:c r="N3" s="153" t="n">
        <x:v>5808</x:v>
      </x:c>
      <x:c r="O3" s="153" t="n">
        <x:v>5884</x:v>
      </x:c>
      <x:c r="P3" s="154" t="n">
        <x:f>IFERROR(O3/O2-1,"")</x:f>
        <x:v>0.002897562638486395</x:v>
      </x:c>
      <x:c r="Q3" s="154" t="n">
        <x:f>IFERROR((M3-N3)/O2,"")</x:f>
        <x:v>0.017726265553093576</x:v>
      </x:c>
      <x:c r="R3" s="153" t="n">
        <x:v>5880</x:v>
      </x:c>
      <x:c r="S3" s="158" t="n">
        <x:v>591858</x:v>
      </x:c>
      <x:c r="T3" s="158" t="n">
        <x:v>3480385694</x:v>
      </x:c>
      <x:c r="U3" s="158" t="n">
        <x:v>4934840</x:v>
      </x:c>
      <x:c r="V3" s="153" t="n">
        <x:f>IFERROR(E3*1000/O3,"")</x:f>
        <x:v>81.57715839564922</x:v>
      </x:c>
      <x:c r="W3" s="153" t="n">
        <x:v>3.99</x:v>
      </x:c>
      <x:c r="X3" s="155" t="n">
        <x:v>45295</x:v>
      </x:c>
      <x:c r="Y3" s="153" t="n">
        <x:v>1.77</x:v>
      </x:c>
      <x:c r="Z3" s="155" t="n">
        <x:v>45295</x:v>
      </x:c>
      <x:c r="AA3" s="153" t="n">
        <x:f>IFERROR(Y3-Y2,"")</x:f>
        <x:v>0.06000000000000005</x:v>
      </x:c>
      <x:c r="AB3" s="153" t="n">
        <x:v>2.22</x:v>
      </x:c>
      <x:c r="AC3" s="153" t="n">
        <x:v>119.6208</x:v>
      </x:c>
      <x:c r="AD3" s="155" t="n">
        <x:v>45295</x:v>
      </x:c>
      <x:c r="AE3" s="154" t="n">
        <x:f>IFERROR(AC3/AC2-1,"")</x:f>
        <x:v>-0.0006265884015981271</x:v>
      </x:c>
      <x:c r="AF3" s="153" t="n">
        <x:v>14.13</x:v>
      </x:c>
      <x:c r="AG3" s="155" t="n">
        <x:v>45295</x:v>
      </x:c>
      <x:c r="AH3" s="153" t="n">
        <x:f>IFERROR(AF3-AF2,"")</x:f>
        <x:v>0.09000000000000163</x:v>
      </x:c>
      <x:c r="AI3" s="153" t="n">
        <x:v>5.33</x:v>
      </x:c>
      <x:c r="AJ3" s="155" t="n">
        <x:v>45289</x:v>
      </x:c>
      <x:c r="AK3" s="159" t="n">
        <x:v>106454</x:v>
      </x:c>
      <x:c r="AL3" s="154" t="n">
        <x:v>0.21665923804755538</x:v>
      </x:c>
      <x:c r="AM3" s="159" t="n">
        <x:v>-45013</x:v>
      </x:c>
      <x:c r="AN3" s="155" t="n">
        <x:v>45289</x:v>
      </x:c>
      <x:c r="AO3" s="159" t="n">
        <x:v>16797</x:v>
      </x:c>
      <x:c r="AP3" s="154" t="n">
        <x:v>0.1278232679897723</x:v>
      </x:c>
      <x:c r="AQ3" s="159" t="n">
        <x:v>-36948</x:v>
      </x:c>
      <x:c r="AR3" s="147" t="str">
        <x:v>美国市场指标与CFTC数据均使用严格早于上金所交易日的最后已发布值</x:v>
      </x:c>
    </x:row>
    <x:row r="4">
      <x:c r="A4" s="155" t="n">
        <x:v>45299</x:v>
      </x:c>
      <x:c r="B4" s="153" t="n">
        <x:v>479.5</x:v>
      </x:c>
      <x:c r="C4" s="153" t="n">
        <x:v>483</x:v>
      </x:c>
      <x:c r="D4" s="153" t="n">
        <x:v>477.86</x:v>
      </x:c>
      <x:c r="E4" s="153" t="n">
        <x:v>479</x:v>
      </x:c>
      <x:c r="F4" s="154" t="n">
        <x:f>IFERROR(E4/E3-1,"")</x:f>
        <x:v>-0.002083333333333326</x:v>
      </x:c>
      <x:c r="G4" s="154" t="n">
        <x:f>IFERROR((C4-D4)/E3,"")</x:f>
        <x:v>0.010708333333333304</x:v>
      </x:c>
      <x:c r="H4" s="153" t="n">
        <x:v>480.23</x:v>
      </x:c>
      <x:c r="I4" s="158" t="n">
        <x:v>27580.96</x:v>
      </x:c>
      <x:c r="J4" s="158" t="n">
        <x:v>13245337904.4</x:v>
      </x:c>
      <x:c r="K4" s="158"/>
      <x:c r="L4" s="153" t="n">
        <x:v>5878</x:v>
      </x:c>
      <x:c r="M4" s="153" t="n">
        <x:v>5944</x:v>
      </x:c>
      <x:c r="N4" s="153" t="n">
        <x:v>5838</x:v>
      </x:c>
      <x:c r="O4" s="153" t="n">
        <x:v>5879</x:v>
      </x:c>
      <x:c r="P4" s="154" t="n">
        <x:f>IFERROR(O4/O3-1,"")</x:f>
        <x:v>-0.0008497620666213512</x:v>
      </x:c>
      <x:c r="Q4" s="154" t="n">
        <x:f>IFERROR((M4-N4)/O3,"")</x:f>
        <x:v>0.018014955812372536</x:v>
      </x:c>
      <x:c r="R4" s="153" t="n">
        <x:v>5889</x:v>
      </x:c>
      <x:c r="S4" s="158" t="n">
        <x:v>500296</x:v>
      </x:c>
      <x:c r="T4" s="158" t="n">
        <x:v>2946522704</x:v>
      </x:c>
      <x:c r="U4" s="158" t="n">
        <x:v>4777100</x:v>
      </x:c>
      <x:c r="V4" s="153" t="n">
        <x:f>IFERROR(E4*1000/O4,"")</x:f>
        <x:v>81.47644157169587</x:v>
      </x:c>
      <x:c r="W4" s="153" t="n">
        <x:v>4.05</x:v>
      </x:c>
      <x:c r="X4" s="155" t="n">
        <x:v>45296</x:v>
      </x:c>
      <x:c r="Y4" s="153" t="n">
        <x:v>1.83</x:v>
      </x:c>
      <x:c r="Z4" s="155" t="n">
        <x:v>45296</x:v>
      </x:c>
      <x:c r="AA4" s="153" t="n">
        <x:f>IFERROR(Y4-Y3,"")</x:f>
        <x:v>0.06000000000000005</x:v>
      </x:c>
      <x:c r="AB4" s="153" t="n">
        <x:v>2.22</x:v>
      </x:c>
      <x:c r="AC4" s="153" t="n">
        <x:v>119.388</x:v>
      </x:c>
      <x:c r="AD4" s="155" t="n">
        <x:v>45296</x:v>
      </x:c>
      <x:c r="AE4" s="154" t="n">
        <x:f>IFERROR(AC4/AC3-1,"")</x:f>
        <x:v>-0.0019461498334737426</x:v>
      </x:c>
      <x:c r="AF4" s="153" t="n">
        <x:v>13.35</x:v>
      </x:c>
      <x:c r="AG4" s="155" t="n">
        <x:v>45296</x:v>
      </x:c>
      <x:c r="AH4" s="153" t="n">
        <x:f>IFERROR(AF4-AF3,"")</x:f>
        <x:v>-0.7800000000000011</x:v>
      </x:c>
      <x:c r="AI4" s="153" t="n">
        <x:v>5.33</x:v>
      </x:c>
      <x:c r="AJ4" s="155" t="n">
        <x:v>45296</x:v>
      </x:c>
      <x:c r="AK4" s="159" t="n">
        <x:v>109149</x:v>
      </x:c>
      <x:c r="AL4" s="154" t="n">
        <x:v>0.21813919466628295</x:v>
      </x:c>
      <x:c r="AM4" s="159" t="n">
        <x:v>-41701</x:v>
      </x:c>
      <x:c r="AN4" s="155" t="n">
        <x:v>45296</x:v>
      </x:c>
      <x:c r="AO4" s="159" t="n">
        <x:v>16057</x:v>
      </x:c>
      <x:c r="AP4" s="154" t="n">
        <x:v>0.11918352198923733</x:v>
      </x:c>
      <x:c r="AQ4" s="159" t="n">
        <x:v>-37711</x:v>
      </x:c>
      <x:c r="AR4" s="147" t="str">
        <x:v>美国市场指标与CFTC数据均使用严格早于上金所交易日的最后已发布值</x:v>
      </x:c>
    </x:row>
    <x:row r="5">
      <x:c r="A5" s="155" t="n">
        <x:v>45300</x:v>
      </x:c>
      <x:c r="B5" s="153" t="n">
        <x:v>480.9</x:v>
      </x:c>
      <x:c r="C5" s="153" t="n">
        <x:v>480.94</x:v>
      </x:c>
      <x:c r="D5" s="153" t="n">
        <x:v>476</x:v>
      </x:c>
      <x:c r="E5" s="153" t="n">
        <x:v>478.66</x:v>
      </x:c>
      <x:c r="F5" s="154" t="n">
        <x:f>IFERROR(E5/E4-1,"")</x:f>
        <x:v>-0.0007098121085594711</x:v>
      </x:c>
      <x:c r="G5" s="154" t="n">
        <x:f>IFERROR((C5-D5)/E4,"")</x:f>
        <x:v>0.010313152400835069</x:v>
      </x:c>
      <x:c r="H5" s="153" t="n">
        <x:v>479.66</x:v>
      </x:c>
      <x:c r="I5" s="158" t="n">
        <x:v>22200.72</x:v>
      </x:c>
      <x:c r="J5" s="158" t="n">
        <x:v>10648839541.4</x:v>
      </x:c>
      <x:c r="K5" s="158"/>
      <x:c r="L5" s="153" t="n">
        <x:v>5855</x:v>
      </x:c>
      <x:c r="M5" s="153" t="n">
        <x:v>5914</x:v>
      </x:c>
      <x:c r="N5" s="153" t="n">
        <x:v>5851</x:v>
      </x:c>
      <x:c r="O5" s="153" t="n">
        <x:v>5894</x:v>
      </x:c>
      <x:c r="P5" s="154" t="n">
        <x:f>IFERROR(O5/O4-1,"")</x:f>
        <x:v>0.0025514543289675284</x:v>
      </x:c>
      <x:c r="Q5" s="154" t="n">
        <x:f>IFERROR((M5-N5)/O4,"")</x:f>
        <x:v>0.010716108181663549</x:v>
      </x:c>
      <x:c r="R5" s="153" t="n">
        <x:v>5891</x:v>
      </x:c>
      <x:c r="S5" s="158" t="n">
        <x:v>542246</x:v>
      </x:c>
      <x:c r="T5" s="158" t="n">
        <x:v>3194724464</x:v>
      </x:c>
      <x:c r="U5" s="158" t="n">
        <x:v>4708800</x:v>
      </x:c>
      <x:c r="V5" s="153" t="n">
        <x:f>IFERROR(E5*1000/O5,"")</x:f>
        <x:v>81.21140142517815</x:v>
      </x:c>
      <x:c r="W5" s="153" t="n">
        <x:v>4.01</x:v>
      </x:c>
      <x:c r="X5" s="155" t="n">
        <x:v>45299</x:v>
      </x:c>
      <x:c r="Y5" s="153" t="n">
        <x:v>1.79</x:v>
      </x:c>
      <x:c r="Z5" s="155" t="n">
        <x:v>45299</x:v>
      </x:c>
      <x:c r="AA5" s="153" t="n">
        <x:f>IFERROR(Y5-Y4,"")</x:f>
        <x:v>-0.040000000000000036</x:v>
      </x:c>
      <x:c r="AB5" s="153" t="n">
        <x:v>2.22</x:v>
      </x:c>
      <x:c r="AC5" s="153" t="n">
        <x:v>119.2506</x:v>
      </x:c>
      <x:c r="AD5" s="155" t="n">
        <x:v>45299</x:v>
      </x:c>
      <x:c r="AE5" s="154" t="n">
        <x:f>IFERROR(AC5/AC4-1,"")</x:f>
        <x:v>-0.0011508694341140213</x:v>
      </x:c>
      <x:c r="AF5" s="153" t="n">
        <x:v>13.08</x:v>
      </x:c>
      <x:c r="AG5" s="155" t="n">
        <x:v>45299</x:v>
      </x:c>
      <x:c r="AH5" s="153" t="n">
        <x:f>IFERROR(AF5-AF4,"")</x:f>
        <x:v>-0.2699999999999996</x:v>
      </x:c>
      <x:c r="AI5" s="153" t="n">
        <x:v>5.33</x:v>
      </x:c>
      <x:c r="AJ5" s="155" t="n">
        <x:v>45296</x:v>
      </x:c>
      <x:c r="AK5" s="159" t="n">
        <x:v>109149</x:v>
      </x:c>
      <x:c r="AL5" s="154" t="n">
        <x:v>0.21813919466628295</x:v>
      </x:c>
      <x:c r="AM5" s="159" t="n">
        <x:v>-41701</x:v>
      </x:c>
      <x:c r="AN5" s="155" t="n">
        <x:v>45296</x:v>
      </x:c>
      <x:c r="AO5" s="159" t="n">
        <x:v>16057</x:v>
      </x:c>
      <x:c r="AP5" s="154" t="n">
        <x:v>0.11918352198923733</x:v>
      </x:c>
      <x:c r="AQ5" s="159" t="n">
        <x:v>-37711</x:v>
      </x:c>
      <x:c r="AR5" s="147" t="str">
        <x:v>美国市场指标与CFTC数据均使用严格早于上金所交易日的最后已发布值</x:v>
      </x:c>
    </x:row>
    <x:row r="6">
      <x:c r="A6" s="155" t="n">
        <x:v>45301</x:v>
      </x:c>
      <x:c r="B6" s="153" t="n">
        <x:v>479.5</x:v>
      </x:c>
      <x:c r="C6" s="153" t="n">
        <x:v>480.3</x:v>
      </x:c>
      <x:c r="D6" s="153" t="n">
        <x:v>477.9</x:v>
      </x:c>
      <x:c r="E6" s="153" t="n">
        <x:v>478.08</x:v>
      </x:c>
      <x:c r="F6" s="154" t="n">
        <x:f>IFERROR(E6/E5-1,"")</x:f>
        <x:v>-0.0012117160406134309</x:v>
      </x:c>
      <x:c r="G6" s="154" t="n">
        <x:f>IFERROR((C6-D6)/E5,"")</x:f>
        <x:v>0.005013997409434743</x:v>
      </x:c>
      <x:c r="H6" s="153" t="n">
        <x:v>478.74</x:v>
      </x:c>
      <x:c r="I6" s="158" t="n">
        <x:v>20558.5</x:v>
      </x:c>
      <x:c r="J6" s="158" t="n">
        <x:v>9842328547.2</x:v>
      </x:c>
      <x:c r="K6" s="158"/>
      <x:c r="L6" s="153" t="n">
        <x:v>5898</x:v>
      </x:c>
      <x:c r="M6" s="153" t="n">
        <x:v>5924</x:v>
      </x:c>
      <x:c r="N6" s="153" t="n">
        <x:v>5863</x:v>
      </x:c>
      <x:c r="O6" s="153" t="n">
        <x:v>5871</x:v>
      </x:c>
      <x:c r="P6" s="154" t="n">
        <x:f>IFERROR(O6/O5-1,"")</x:f>
        <x:v>-0.0039022734984730523</x:v>
      </x:c>
      <x:c r="Q6" s="154" t="n">
        <x:f>IFERROR((M6-N6)/O5,"")</x:f>
        <x:v>0.010349507974211062</x:v>
      </x:c>
      <x:c r="R6" s="153" t="n">
        <x:v>5886</x:v>
      </x:c>
      <x:c r="S6" s="158" t="n">
        <x:v>508772</x:v>
      </x:c>
      <x:c r="T6" s="158" t="n">
        <x:v>2995008466</x:v>
      </x:c>
      <x:c r="U6" s="158" t="n">
        <x:v>4728984</x:v>
      </x:c>
      <x:c r="V6" s="153" t="n">
        <x:f>IFERROR(E6*1000/O6,"")</x:f>
        <x:v>81.43076136944302</x:v>
      </x:c>
      <x:c r="W6" s="153" t="n">
        <x:v>4.02</x:v>
      </x:c>
      <x:c r="X6" s="155" t="n">
        <x:v>45300</x:v>
      </x:c>
      <x:c r="Y6" s="153" t="n">
        <x:v>1.8</x:v>
      </x:c>
      <x:c r="Z6" s="155" t="n">
        <x:v>45300</x:v>
      </x:c>
      <x:c r="AA6" s="153" t="n">
        <x:f>IFERROR(Y6-Y5,"")</x:f>
        <x:v>0.010000000000000009</x:v>
      </x:c>
      <x:c r="AB6" s="153" t="n">
        <x:v>2.22</x:v>
      </x:c>
      <x:c r="AC6" s="153" t="n">
        <x:v>119.6666</x:v>
      </x:c>
      <x:c r="AD6" s="155" t="n">
        <x:v>45300</x:v>
      </x:c>
      <x:c r="AE6" s="154" t="n">
        <x:f>IFERROR(AC6/AC5-1,"")</x:f>
        <x:v>0.00348845204971715</x:v>
      </x:c>
      <x:c r="AF6" s="153" t="n">
        <x:v>12.76</x:v>
      </x:c>
      <x:c r="AG6" s="155" t="n">
        <x:v>45300</x:v>
      </x:c>
      <x:c r="AH6" s="153" t="n">
        <x:f>IFERROR(AF6-AF5,"")</x:f>
        <x:v>-0.3200000000000003</x:v>
      </x:c>
      <x:c r="AI6" s="153" t="n">
        <x:v>5.33</x:v>
      </x:c>
      <x:c r="AJ6" s="155" t="n">
        <x:v>45296</x:v>
      </x:c>
      <x:c r="AK6" s="159" t="n">
        <x:v>109149</x:v>
      </x:c>
      <x:c r="AL6" s="154" t="n">
        <x:v>0.21813919466628295</x:v>
      </x:c>
      <x:c r="AM6" s="159" t="n">
        <x:v>-41701</x:v>
      </x:c>
      <x:c r="AN6" s="155" t="n">
        <x:v>45296</x:v>
      </x:c>
      <x:c r="AO6" s="159" t="n">
        <x:v>16057</x:v>
      </x:c>
      <x:c r="AP6" s="154" t="n">
        <x:v>0.11918352198923733</x:v>
      </x:c>
      <x:c r="AQ6" s="159" t="n">
        <x:v>-37711</x:v>
      </x:c>
      <x:c r="AR6" s="147" t="str">
        <x:v>美国市场指标与CFTC数据均使用严格早于上金所交易日的最后已发布值</x:v>
      </x:c>
    </x:row>
    <x:row r="7">
      <x:c r="A7" s="155" t="n">
        <x:v>45302</x:v>
      </x:c>
      <x:c r="B7" s="153" t="n">
        <x:v>478.8</x:v>
      </x:c>
      <x:c r="C7" s="153" t="n">
        <x:v>480.56</x:v>
      </x:c>
      <x:c r="D7" s="153" t="n">
        <x:v>477.71</x:v>
      </x:c>
      <x:c r="E7" s="153" t="n">
        <x:v>478.2</x:v>
      </x:c>
      <x:c r="F7" s="154" t="n">
        <x:f>IFERROR(E7/E6-1,"")</x:f>
        <x:v>0.00025100401606437117</x:v>
      </x:c>
      <x:c r="G7" s="154" t="n">
        <x:f>IFERROR((C7-D7)/E6,"")</x:f>
        <x:v>0.0059613453815261525</x:v>
      </x:c>
      <x:c r="H7" s="153" t="n">
        <x:v>478.6</x:v>
      </x:c>
      <x:c r="I7" s="158" t="n">
        <x:v>17794.5</x:v>
      </x:c>
      <x:c r="J7" s="158" t="n">
        <x:v>8516597538.2</x:v>
      </x:c>
      <x:c r="K7" s="158"/>
      <x:c r="L7" s="153" t="n">
        <x:v>5873</x:v>
      </x:c>
      <x:c r="M7" s="153" t="n">
        <x:v>5904</x:v>
      </x:c>
      <x:c r="N7" s="153" t="n">
        <x:v>5870</x:v>
      </x:c>
      <x:c r="O7" s="153" t="n">
        <x:v>5903</x:v>
      </x:c>
      <x:c r="P7" s="154" t="n">
        <x:f>IFERROR(O7/O6-1,"")</x:f>
        <x:v>0.005450519502640194</x:v>
      </x:c>
      <x:c r="Q7" s="154" t="n">
        <x:f>IFERROR((M7-N7)/O6,"")</x:f>
        <x:v>0.0057911769715551014</x:v>
      </x:c>
      <x:c r="R7" s="153" t="n">
        <x:v>5890</x:v>
      </x:c>
      <x:c r="S7" s="158" t="n">
        <x:v>329728</x:v>
      </x:c>
      <x:c r="T7" s="158" t="n">
        <x:v>1942258086</x:v>
      </x:c>
      <x:c r="U7" s="158" t="n">
        <x:v>4648650</x:v>
      </x:c>
      <x:c r="V7" s="153" t="n">
        <x:f>IFERROR(E7*1000/O7,"")</x:f>
        <x:v>81.0096561070642</x:v>
      </x:c>
      <x:c r="W7" s="153" t="n">
        <x:v>4.04</x:v>
      </x:c>
      <x:c r="X7" s="155" t="n">
        <x:v>45301</x:v>
      </x:c>
      <x:c r="Y7" s="153" t="n">
        <x:v>1.82</x:v>
      </x:c>
      <x:c r="Z7" s="155" t="n">
        <x:v>45301</x:v>
      </x:c>
      <x:c r="AA7" s="153" t="n">
        <x:f>IFERROR(Y7-Y6,"")</x:f>
        <x:v>0.020000000000000018</x:v>
      </x:c>
      <x:c r="AB7" s="153" t="n">
        <x:v>2.22</x:v>
      </x:c>
      <x:c r="AC7" s="153" t="n">
        <x:v>119.7614</x:v>
      </x:c>
      <x:c r="AD7" s="155" t="n">
        <x:v>45301</x:v>
      </x:c>
      <x:c r="AE7" s="154" t="n">
        <x:f>IFERROR(AC7/AC6-1,"")</x:f>
        <x:v>0.0007922009984406841</x:v>
      </x:c>
      <x:c r="AF7" s="153" t="n">
        <x:v>12.69</x:v>
      </x:c>
      <x:c r="AG7" s="155" t="n">
        <x:v>45301</x:v>
      </x:c>
      <x:c r="AH7" s="153" t="n">
        <x:f>IFERROR(AF7-AF6,"")</x:f>
        <x:v>-0.07000000000000028</x:v>
      </x:c>
      <x:c r="AI7" s="153" t="n">
        <x:v>5.33</x:v>
      </x:c>
      <x:c r="AJ7" s="155" t="n">
        <x:v>45296</x:v>
      </x:c>
      <x:c r="AK7" s="159" t="n">
        <x:v>109149</x:v>
      </x:c>
      <x:c r="AL7" s="154" t="n">
        <x:v>0.21813919466628295</x:v>
      </x:c>
      <x:c r="AM7" s="159" t="n">
        <x:v>-41701</x:v>
      </x:c>
      <x:c r="AN7" s="155" t="n">
        <x:v>45296</x:v>
      </x:c>
      <x:c r="AO7" s="159" t="n">
        <x:v>16057</x:v>
      </x:c>
      <x:c r="AP7" s="154" t="n">
        <x:v>0.11918352198923733</x:v>
      </x:c>
      <x:c r="AQ7" s="159" t="n">
        <x:v>-37711</x:v>
      </x:c>
      <x:c r="AR7" s="147" t="str">
        <x:v>美国市场指标与CFTC数据均使用严格早于上金所交易日的最后已发布值</x:v>
      </x:c>
    </x:row>
    <x:row r="8">
      <x:c r="A8" s="155" t="n">
        <x:v>45303</x:v>
      </x:c>
      <x:c r="B8" s="153" t="n">
        <x:v>478.51</x:v>
      </x:c>
      <x:c r="C8" s="153" t="n">
        <x:v>495</x:v>
      </x:c>
      <x:c r="D8" s="153" t="n">
        <x:v>477.12</x:v>
      </x:c>
      <x:c r="E8" s="153" t="n">
        <x:v>479.18</x:v>
      </x:c>
      <x:c r="F8" s="154" t="n">
        <x:f>IFERROR(E8/E7-1,"")</x:f>
        <x:v>0.002049351735675442</x:v>
      </x:c>
      <x:c r="G8" s="154" t="n">
        <x:f>IFERROR((C8-D8)/E7,"")</x:f>
        <x:v>0.03739021329987452</x:v>
      </x:c>
      <x:c r="H8" s="153" t="n">
        <x:v>479.51</x:v>
      </x:c>
      <x:c r="I8" s="158" t="n">
        <x:v>17936.5</x:v>
      </x:c>
      <x:c r="J8" s="158" t="n">
        <x:v>8600879483</x:v>
      </x:c>
      <x:c r="K8" s="158"/>
      <x:c r="L8" s="153" t="n">
        <x:v>5904</x:v>
      </x:c>
      <x:c r="M8" s="153" t="n">
        <x:v>5937</x:v>
      </x:c>
      <x:c r="N8" s="153" t="n">
        <x:v>5827</x:v>
      </x:c>
      <x:c r="O8" s="153" t="n">
        <x:v>5909</x:v>
      </x:c>
      <x:c r="P8" s="154" t="n">
        <x:f>IFERROR(O8/O7-1,"")</x:f>
        <x:v>0.0010164323225478888</x:v>
      </x:c>
      <x:c r="Q8" s="154" t="n">
        <x:f>IFERROR((M8-N8)/O7,"")</x:f>
        <x:v>0.018634592580044046</x:v>
      </x:c>
      <x:c r="R8" s="153" t="n">
        <x:v>5889</x:v>
      </x:c>
      <x:c r="S8" s="158" t="n">
        <x:v>784986</x:v>
      </x:c>
      <x:c r="T8" s="158" t="n">
        <x:v>4623494230</x:v>
      </x:c>
      <x:c r="U8" s="158" t="n">
        <x:v>4688230</x:v>
      </x:c>
      <x:c r="V8" s="153" t="n">
        <x:f>IFERROR(E8*1000/O8,"")</x:f>
        <x:v>81.09324758842443</x:v>
      </x:c>
      <x:c r="W8" s="153" t="n">
        <x:v>3.98</x:v>
      </x:c>
      <x:c r="X8" s="155" t="n">
        <x:v>45302</x:v>
      </x:c>
      <x:c r="Y8" s="153" t="n">
        <x:v>1.76</x:v>
      </x:c>
      <x:c r="Z8" s="155" t="n">
        <x:v>45302</x:v>
      </x:c>
      <x:c r="AA8" s="153" t="n">
        <x:f>IFERROR(Y8-Y7,"")</x:f>
        <x:v>-0.06000000000000005</x:v>
      </x:c>
      <x:c r="AB8" s="153" t="n">
        <x:v>2.22</x:v>
      </x:c>
      <x:c r="AC8" s="153" t="n">
        <x:v>119.8916</x:v>
      </x:c>
      <x:c r="AD8" s="155" t="n">
        <x:v>45302</x:v>
      </x:c>
      <x:c r="AE8" s="154" t="n">
        <x:f>IFERROR(AC8/AC7-1,"")</x:f>
        <x:v>0.0010871616397269968</x:v>
      </x:c>
      <x:c r="AF8" s="153" t="n">
        <x:v>12.44</x:v>
      </x:c>
      <x:c r="AG8" s="155" t="n">
        <x:v>45302</x:v>
      </x:c>
      <x:c r="AH8" s="153" t="n">
        <x:f>IFERROR(AF8-AF7,"")</x:f>
        <x:v>-0.25</x:v>
      </x:c>
      <x:c r="AI8" s="153" t="n">
        <x:v>5.33</x:v>
      </x:c>
      <x:c r="AJ8" s="155" t="n">
        <x:v>45296</x:v>
      </x:c>
      <x:c r="AK8" s="159" t="n">
        <x:v>109149</x:v>
      </x:c>
      <x:c r="AL8" s="154" t="n">
        <x:v>0.21813919466628295</x:v>
      </x:c>
      <x:c r="AM8" s="159" t="n">
        <x:v>-41701</x:v>
      </x:c>
      <x:c r="AN8" s="155" t="n">
        <x:v>45296</x:v>
      </x:c>
      <x:c r="AO8" s="159" t="n">
        <x:v>16057</x:v>
      </x:c>
      <x:c r="AP8" s="154" t="n">
        <x:v>0.11918352198923733</x:v>
      </x:c>
      <x:c r="AQ8" s="159" t="n">
        <x:v>-37711</x:v>
      </x:c>
      <x:c r="AR8" s="147" t="str">
        <x:v>美国市场指标与CFTC数据均使用严格早于上金所交易日的最后已发布值</x:v>
      </x:c>
    </x:row>
    <x:row r="9">
      <x:c r="A9" s="155" t="n">
        <x:v>45306</x:v>
      </x:c>
      <x:c r="B9" s="153" t="n">
        <x:v>480.1</x:v>
      </x:c>
      <x:c r="C9" s="153" t="n">
        <x:v>483.99</x:v>
      </x:c>
      <x:c r="D9" s="153" t="n">
        <x:v>480.1</x:v>
      </x:c>
      <x:c r="E9" s="153" t="n">
        <x:v>483.44</x:v>
      </x:c>
      <x:c r="F9" s="154" t="n">
        <x:f>IFERROR(E9/E8-1,"")</x:f>
        <x:v>0.00889018740348102</x:v>
      </x:c>
      <x:c r="G9" s="154" t="n">
        <x:f>IFERROR((C9-D9)/E8,"")</x:f>
        <x:v>0.008118034976418019</x:v>
      </x:c>
      <x:c r="H9" s="153" t="n">
        <x:v>482.41</x:v>
      </x:c>
      <x:c r="I9" s="158" t="n">
        <x:v>16454.62</x:v>
      </x:c>
      <x:c r="J9" s="158" t="n">
        <x:v>7938010324.4</x:v>
      </x:c>
      <x:c r="K9" s="158"/>
      <x:c r="L9" s="153" t="n">
        <x:v>5920</x:v>
      </x:c>
      <x:c r="M9" s="153" t="n">
        <x:v>5993</x:v>
      </x:c>
      <x:c r="N9" s="153" t="n">
        <x:v>5915</x:v>
      </x:c>
      <x:c r="O9" s="153" t="n">
        <x:v>5981</x:v>
      </x:c>
      <x:c r="P9" s="154" t="n">
        <x:f>IFERROR(O9/O8-1,"")</x:f>
        <x:v>0.012184802843120623</x:v>
      </x:c>
      <x:c r="Q9" s="154" t="n">
        <x:f>IFERROR((M9-N9)/O8,"")</x:f>
        <x:v>0.013200203080047386</x:v>
      </x:c>
      <x:c r="R9" s="153" t="n">
        <x:v>5966</x:v>
      </x:c>
      <x:c r="S9" s="158" t="n">
        <x:v>492424</x:v>
      </x:c>
      <x:c r="T9" s="158" t="n">
        <x:v>2938197990</x:v>
      </x:c>
      <x:c r="U9" s="158" t="n">
        <x:v>4714820</x:v>
      </x:c>
      <x:c r="V9" s="153" t="n">
        <x:f>IFERROR(E9*1000/O9,"")</x:f>
        <x:v>80.82929276040795</x:v>
      </x:c>
      <x:c r="W9" s="153" t="n">
        <x:v>3.96</x:v>
      </x:c>
      <x:c r="X9" s="155" t="n">
        <x:v>45303</x:v>
      </x:c>
      <x:c r="Y9" s="153" t="n">
        <x:v>1.69</x:v>
      </x:c>
      <x:c r="Z9" s="155" t="n">
        <x:v>45303</x:v>
      </x:c>
      <x:c r="AA9" s="153" t="n">
        <x:f>IFERROR(Y9-Y8,"")</x:f>
        <x:v>-0.07000000000000006</x:v>
      </x:c>
      <x:c r="AB9" s="153" t="n">
        <x:v>2.27</x:v>
      </x:c>
      <x:c r="AC9" s="153" t="n">
        <x:v>119.534</x:v>
      </x:c>
      <x:c r="AD9" s="155" t="n">
        <x:v>45303</x:v>
      </x:c>
      <x:c r="AE9" s="154" t="n">
        <x:f>IFERROR(AC9/AC8-1,"")</x:f>
        <x:v>-0.0029826943672449646</x:v>
      </x:c>
      <x:c r="AF9" s="153" t="n">
        <x:v>12.7</x:v>
      </x:c>
      <x:c r="AG9" s="155" t="n">
        <x:v>45303</x:v>
      </x:c>
      <x:c r="AH9" s="153" t="n">
        <x:f>IFERROR(AF9-AF8,"")</x:f>
        <x:v>0.2599999999999998</x:v>
      </x:c>
      <x:c r="AI9" s="153" t="n">
        <x:v>5.33</x:v>
      </x:c>
      <x:c r="AJ9" s="155" t="n">
        <x:v>45303</x:v>
      </x:c>
      <x:c r="AK9" s="159" t="n">
        <x:v>88459</x:v>
      </x:c>
      <x:c r="AL9" s="154" t="n">
        <x:v>0.18058422085173187</x:v>
      </x:c>
      <x:c r="AM9" s="159" t="n">
        <x:v>-45001</x:v>
      </x:c>
      <x:c r="AN9" s="155" t="n">
        <x:v>45303</x:v>
      </x:c>
      <x:c r="AO9" s="159" t="n">
        <x:v>8348</x:v>
      </x:c>
      <x:c r="AP9" s="154" t="n">
        <x:v>0.06324625734893023</x:v>
      </x:c>
      <x:c r="AQ9" s="159" t="n">
        <x:v>-37041</x:v>
      </x:c>
      <x:c r="AR9" s="147" t="str">
        <x:v>美国市场指标与CFTC数据均使用严格早于上金所交易日的最后已发布值</x:v>
      </x:c>
    </x:row>
    <x:row r="10">
      <x:c r="A10" s="155" t="n">
        <x:v>45307</x:v>
      </x:c>
      <x:c r="B10" s="153" t="n">
        <x:v>482.32</x:v>
      </x:c>
      <x:c r="C10" s="153" t="n">
        <x:v>484</x:v>
      </x:c>
      <x:c r="D10" s="153" t="n">
        <x:v>482.32</x:v>
      </x:c>
      <x:c r="E10" s="153" t="n">
        <x:v>482.7</x:v>
      </x:c>
      <x:c r="F10" s="154" t="n">
        <x:f>IFERROR(E10/E9-1,"")</x:f>
        <x:v>-0.0015306966738375394</x:v>
      </x:c>
      <x:c r="G10" s="154" t="n">
        <x:f>IFERROR((C10-D10)/E9,"")</x:f>
        <x:v>0.0034750951514148742</x:v>
      </x:c>
      <x:c r="H10" s="153" t="n">
        <x:v>482.95</x:v>
      </x:c>
      <x:c r="I10" s="158" t="n">
        <x:v>13671.24</x:v>
      </x:c>
      <x:c r="J10" s="158" t="n">
        <x:v>6602655233.4</x:v>
      </x:c>
      <x:c r="K10" s="158"/>
      <x:c r="L10" s="153" t="n">
        <x:v>5980</x:v>
      </x:c>
      <x:c r="M10" s="153" t="n">
        <x:v>5980</x:v>
      </x:c>
      <x:c r="N10" s="153" t="n">
        <x:v>5945</x:v>
      </x:c>
      <x:c r="O10" s="153" t="n">
        <x:v>5961</x:v>
      </x:c>
      <x:c r="P10" s="154" t="n">
        <x:f>IFERROR(O10/O9-1,"")</x:f>
        <x:v>-0.0033439224209997898</x:v>
      </x:c>
      <x:c r="Q10" s="154" t="n">
        <x:f>IFERROR((M10-N10)/O9,"")</x:f>
        <x:v>0.0058518642367497075</x:v>
      </x:c>
      <x:c r="R10" s="153" t="n">
        <x:v>5959</x:v>
      </x:c>
      <x:c r="S10" s="158" t="n">
        <x:v>262782</x:v>
      </x:c>
      <x:c r="T10" s="158" t="n">
        <x:v>1566134534</x:v>
      </x:c>
      <x:c r="U10" s="158" t="n">
        <x:v>4718260</x:v>
      </x:c>
      <x:c r="V10" s="153" t="n">
        <x:f>IFERROR(E10*1000/O10,"")</x:f>
        <x:v>80.97634625062909</x:v>
      </x:c>
      <x:c r="W10" s="153" t="n">
        <x:v>3.96</x:v>
      </x:c>
      <x:c r="X10" s="155" t="n">
        <x:v>45303</x:v>
      </x:c>
      <x:c r="Y10" s="153" t="n">
        <x:v>1.69</x:v>
      </x:c>
      <x:c r="Z10" s="155" t="n">
        <x:v>45303</x:v>
      </x:c>
      <x:c r="AA10" s="153" t="n">
        <x:f>IFERROR(Y10-Y9,"")</x:f>
        <x:v>0</x:v>
      </x:c>
      <x:c r="AB10" s="153" t="n">
        <x:v>2.27</x:v>
      </x:c>
      <x:c r="AC10" s="153" t="n">
        <x:v>119.534</x:v>
      </x:c>
      <x:c r="AD10" s="155" t="n">
        <x:v>45303</x:v>
      </x:c>
      <x:c r="AE10" s="154" t="n">
        <x:f>IFERROR(AC10/AC9-1,"")</x:f>
        <x:v>0</x:v>
      </x:c>
      <x:c r="AF10" s="153" t="n">
        <x:v>13.25</x:v>
      </x:c>
      <x:c r="AG10" s="155" t="n">
        <x:v>45306</x:v>
      </x:c>
      <x:c r="AH10" s="153" t="n">
        <x:f>IFERROR(AF10-AF9,"")</x:f>
        <x:v>0.5500000000000007</x:v>
      </x:c>
      <x:c r="AI10" s="153" t="n">
        <x:v>5.33</x:v>
      </x:c>
      <x:c r="AJ10" s="155" t="n">
        <x:v>45303</x:v>
      </x:c>
      <x:c r="AK10" s="159" t="n">
        <x:v>88459</x:v>
      </x:c>
      <x:c r="AL10" s="154" t="n">
        <x:v>0.18058422085173187</x:v>
      </x:c>
      <x:c r="AM10" s="159" t="n">
        <x:v>-45001</x:v>
      </x:c>
      <x:c r="AN10" s="155" t="n">
        <x:v>45303</x:v>
      </x:c>
      <x:c r="AO10" s="159" t="n">
        <x:v>8348</x:v>
      </x:c>
      <x:c r="AP10" s="154" t="n">
        <x:v>0.06324625734893023</x:v>
      </x:c>
      <x:c r="AQ10" s="159" t="n">
        <x:v>-37041</x:v>
      </x:c>
      <x:c r="AR10" s="147" t="str">
        <x:v>美国市场指标与CFTC数据均使用严格早于上金所交易日的最后已发布值</x:v>
      </x:c>
    </x:row>
    <x:row r="11">
      <x:c r="A11" s="155" t="n">
        <x:v>45308</x:v>
      </x:c>
      <x:c r="B11" s="153" t="n">
        <x:v>481.03</x:v>
      </x:c>
      <x:c r="C11" s="153" t="n">
        <x:v>482.49</x:v>
      </x:c>
      <x:c r="D11" s="153" t="n">
        <x:v>477.11</x:v>
      </x:c>
      <x:c r="E11" s="153" t="n">
        <x:v>477.3</x:v>
      </x:c>
      <x:c r="F11" s="154" t="n">
        <x:f>IFERROR(E11/E10-1,"")</x:f>
        <x:v>-0.011187072715972635</x:v>
      </x:c>
      <x:c r="G11" s="154" t="n">
        <x:f>IFERROR((C11-D11)/E10,"")</x:f>
        <x:v>0.011145639113320895</x:v>
      </x:c>
      <x:c r="H11" s="153" t="n">
        <x:v>479.17</x:v>
      </x:c>
      <x:c r="I11" s="158" t="n">
        <x:v>31241.92</x:v>
      </x:c>
      <x:c r="J11" s="158" t="n">
        <x:v>14970225188.4</x:v>
      </x:c>
      <x:c r="K11" s="158"/>
      <x:c r="L11" s="153" t="n">
        <x:v>5945</x:v>
      </x:c>
      <x:c r="M11" s="153" t="n">
        <x:v>5972</x:v>
      </x:c>
      <x:c r="N11" s="153" t="n">
        <x:v>5895</x:v>
      </x:c>
      <x:c r="O11" s="153" t="n">
        <x:v>5895</x:v>
      </x:c>
      <x:c r="P11" s="154" t="n">
        <x:f>IFERROR(O11/O10-1,"")</x:f>
        <x:v>-0.011071967790639126</x:v>
      </x:c>
      <x:c r="Q11" s="154" t="n">
        <x:f>IFERROR((M11-N11)/O10,"")</x:f>
        <x:v>0.01291729575574568</x:v>
      </x:c>
      <x:c r="R11" s="153" t="n">
        <x:v>5932</x:v>
      </x:c>
      <x:c r="S11" s="158" t="n">
        <x:v>412528</x:v>
      </x:c>
      <x:c r="T11" s="158" t="n">
        <x:v>2447172926</x:v>
      </x:c>
      <x:c r="U11" s="158" t="n">
        <x:v>4686092</x:v>
      </x:c>
      <x:c r="V11" s="153" t="n">
        <x:f>IFERROR(E11*1000/O11,"")</x:f>
        <x:v>80.96692111959288</x:v>
      </x:c>
      <x:c r="W11" s="153" t="n">
        <x:v>4.07</x:v>
      </x:c>
      <x:c r="X11" s="155" t="n">
        <x:v>45307</x:v>
      </x:c>
      <x:c r="Y11" s="153" t="n">
        <x:v>1.77</x:v>
      </x:c>
      <x:c r="Z11" s="155" t="n">
        <x:v>45307</x:v>
      </x:c>
      <x:c r="AA11" s="153" t="n">
        <x:f>IFERROR(Y11-Y10,"")</x:f>
        <x:v>0.08000000000000007</x:v>
      </x:c>
      <x:c r="AB11" s="153" t="n">
        <x:v>2.3</x:v>
      </x:c>
      <x:c r="AC11" s="153" t="n">
        <x:v>120.5759</x:v>
      </x:c>
      <x:c r="AD11" s="155" t="n">
        <x:v>45307</x:v>
      </x:c>
      <x:c r="AE11" s="154" t="n">
        <x:f>IFERROR(AC11/AC10-1,"")</x:f>
        <x:v>0.00871634848662306</x:v>
      </x:c>
      <x:c r="AF11" s="153" t="n">
        <x:v>13.84</x:v>
      </x:c>
      <x:c r="AG11" s="155" t="n">
        <x:v>45307</x:v>
      </x:c>
      <x:c r="AH11" s="153" t="n">
        <x:f>IFERROR(AF11-AF10,"")</x:f>
        <x:v>0.5899999999999999</x:v>
      </x:c>
      <x:c r="AI11" s="153" t="n">
        <x:v>5.33</x:v>
      </x:c>
      <x:c r="AJ11" s="155" t="n">
        <x:v>45303</x:v>
      </x:c>
      <x:c r="AK11" s="159" t="n">
        <x:v>88459</x:v>
      </x:c>
      <x:c r="AL11" s="154" t="n">
        <x:v>0.18058422085173187</x:v>
      </x:c>
      <x:c r="AM11" s="159" t="n">
        <x:v>-45001</x:v>
      </x:c>
      <x:c r="AN11" s="155" t="n">
        <x:v>45303</x:v>
      </x:c>
      <x:c r="AO11" s="159" t="n">
        <x:v>8348</x:v>
      </x:c>
      <x:c r="AP11" s="154" t="n">
        <x:v>0.06324625734893023</x:v>
      </x:c>
      <x:c r="AQ11" s="159" t="n">
        <x:v>-37041</x:v>
      </x:c>
      <x:c r="AR11" s="147" t="str">
        <x:v>美国市场指标与CFTC数据均使用严格早于上金所交易日的最后已发布值</x:v>
      </x:c>
    </x:row>
    <x:row r="12">
      <x:c r="A12" s="155" t="n">
        <x:v>45309</x:v>
      </x:c>
      <x:c r="B12" s="153" t="n">
        <x:v>478</x:v>
      </x:c>
      <x:c r="C12" s="153" t="n">
        <x:v>479.51</x:v>
      </x:c>
      <x:c r="D12" s="153" t="n">
        <x:v>476</x:v>
      </x:c>
      <x:c r="E12" s="153" t="n">
        <x:v>476</x:v>
      </x:c>
      <x:c r="F12" s="154" t="n">
        <x:f>IFERROR(E12/E11-1,"")</x:f>
        <x:v>-0.002723653886444577</x:v>
      </x:c>
      <x:c r="G12" s="154" t="n">
        <x:f>IFERROR((C12-D12)/E11,"")</x:f>
        <x:v>0.007353865493400358</x:v>
      </x:c>
      <x:c r="H12" s="153" t="n">
        <x:v>477.44</x:v>
      </x:c>
      <x:c r="I12" s="158" t="n">
        <x:v>28869.14</x:v>
      </x:c>
      <x:c r="J12" s="158" t="n">
        <x:v>13783498144</x:v>
      </x:c>
      <x:c r="K12" s="158"/>
      <x:c r="L12" s="153" t="n">
        <x:v>5915</x:v>
      </x:c>
      <x:c r="M12" s="153" t="n">
        <x:v>5923</x:v>
      </x:c>
      <x:c r="N12" s="153" t="n">
        <x:v>5872</x:v>
      </x:c>
      <x:c r="O12" s="153" t="n">
        <x:v>5907</x:v>
      </x:c>
      <x:c r="P12" s="154" t="n">
        <x:f>IFERROR(O12/O11-1,"")</x:f>
        <x:v>0.0020356234096692294</x:v>
      </x:c>
      <x:c r="Q12" s="154" t="n">
        <x:f>IFERROR((M12-N12)/O11,"")</x:f>
        <x:v>0.008651399491094147</x:v>
      </x:c>
      <x:c r="R12" s="153" t="n">
        <x:v>5892</x:v>
      </x:c>
      <x:c r="S12" s="158" t="n">
        <x:v>499868</x:v>
      </x:c>
      <x:c r="T12" s="158" t="n">
        <x:v>2945707632</x:v>
      </x:c>
      <x:c r="U12" s="158" t="n">
        <x:v>4707430</x:v>
      </x:c>
      <x:c r="V12" s="153" t="n">
        <x:f>IFERROR(E12*1000/O12,"")</x:f>
        <x:v>80.58235991196885</x:v>
      </x:c>
      <x:c r="W12" s="153" t="n">
        <x:v>4.1</x:v>
      </x:c>
      <x:c r="X12" s="155" t="n">
        <x:v>45308</x:v>
      </x:c>
      <x:c r="Y12" s="153" t="n">
        <x:v>1.8</x:v>
      </x:c>
      <x:c r="Z12" s="155" t="n">
        <x:v>45308</x:v>
      </x:c>
      <x:c r="AA12" s="153" t="n">
        <x:f>IFERROR(Y12-Y11,"")</x:f>
        <x:v>0.030000000000000027</x:v>
      </x:c>
      <x:c r="AB12" s="153" t="n">
        <x:v>2.3</x:v>
      </x:c>
      <x:c r="AC12" s="153" t="n">
        <x:v>121.0402</x:v>
      </x:c>
      <x:c r="AD12" s="155" t="n">
        <x:v>45308</x:v>
      </x:c>
      <x:c r="AE12" s="154" t="n">
        <x:f>IFERROR(AC12/AC11-1,"")</x:f>
        <x:v>0.003850686579988105</x:v>
      </x:c>
      <x:c r="AF12" s="153" t="n">
        <x:v>14.79</x:v>
      </x:c>
      <x:c r="AG12" s="155" t="n">
        <x:v>45308</x:v>
      </x:c>
      <x:c r="AH12" s="153" t="n">
        <x:f>IFERROR(AF12-AF11,"")</x:f>
        <x:v>0.9499999999999993</x:v>
      </x:c>
      <x:c r="AI12" s="153" t="n">
        <x:v>5.33</x:v>
      </x:c>
      <x:c r="AJ12" s="155" t="n">
        <x:v>45303</x:v>
      </x:c>
      <x:c r="AK12" s="159" t="n">
        <x:v>88459</x:v>
      </x:c>
      <x:c r="AL12" s="154" t="n">
        <x:v>0.18058422085173187</x:v>
      </x:c>
      <x:c r="AM12" s="159" t="n">
        <x:v>-45001</x:v>
      </x:c>
      <x:c r="AN12" s="155" t="n">
        <x:v>45303</x:v>
      </x:c>
      <x:c r="AO12" s="159" t="n">
        <x:v>8348</x:v>
      </x:c>
      <x:c r="AP12" s="154" t="n">
        <x:v>0.06324625734893023</x:v>
      </x:c>
      <x:c r="AQ12" s="159" t="n">
        <x:v>-37041</x:v>
      </x:c>
      <x:c r="AR12" s="147" t="str">
        <x:v>美国市场指标与CFTC数据均使用严格早于上金所交易日的最后已发布值</x:v>
      </x:c>
    </x:row>
    <x:row r="13">
      <x:c r="A13" s="155" t="n">
        <x:v>45310</x:v>
      </x:c>
      <x:c r="B13" s="153" t="n">
        <x:v>478.1</x:v>
      </x:c>
      <x:c r="C13" s="153" t="n">
        <x:v>482</x:v>
      </x:c>
      <x:c r="D13" s="153" t="n">
        <x:v>477.1</x:v>
      </x:c>
      <x:c r="E13" s="153" t="n">
        <x:v>479.51</x:v>
      </x:c>
      <x:c r="F13" s="154" t="n">
        <x:f>IFERROR(E13/E12-1,"")</x:f>
        <x:v>0.007373949579831951</x:v>
      </x:c>
      <x:c r="G13" s="154" t="n">
        <x:f>IFERROR((C13-D13)/E12,"")</x:f>
        <x:v>0.010294117647058777</x:v>
      </x:c>
      <x:c r="H13" s="153" t="n">
        <x:v>479.82</x:v>
      </x:c>
      <x:c r="I13" s="158" t="n">
        <x:v>14881.74</x:v>
      </x:c>
      <x:c r="J13" s="158" t="n">
        <x:v>7140560969</x:v>
      </x:c>
      <x:c r="K13" s="158"/>
      <x:c r="L13" s="153" t="n">
        <x:v>5885</x:v>
      </x:c>
      <x:c r="M13" s="153" t="n">
        <x:v>5928</x:v>
      </x:c>
      <x:c r="N13" s="153" t="n">
        <x:v>5877</x:v>
      </x:c>
      <x:c r="O13" s="153" t="n">
        <x:v>5920</x:v>
      </x:c>
      <x:c r="P13" s="154" t="n">
        <x:f>IFERROR(O13/O12-1,"")</x:f>
        <x:v>0.00220077873709168</x:v>
      </x:c>
      <x:c r="Q13" s="154" t="n">
        <x:f>IFERROR((M13-N13)/O12,"")</x:f>
        <x:v>0.008633824276282377</x:v>
      </x:c>
      <x:c r="R13" s="153" t="n">
        <x:v>5910</x:v>
      </x:c>
      <x:c r="S13" s="158" t="n">
        <x:v>420136</x:v>
      </x:c>
      <x:c r="T13" s="158" t="n">
        <x:v>2483200162</x:v>
      </x:c>
      <x:c r="U13" s="158" t="n">
        <x:v>4658206</x:v>
      </x:c>
      <x:c r="V13" s="153" t="n">
        <x:f>IFERROR(E13*1000/O13,"")</x:f>
        <x:v>80.9983108108108</x:v>
      </x:c>
      <x:c r="W13" s="153" t="n">
        <x:v>4.14</x:v>
      </x:c>
      <x:c r="X13" s="155" t="n">
        <x:v>45309</x:v>
      </x:c>
      <x:c r="Y13" s="153" t="n">
        <x:v>1.8</x:v>
      </x:c>
      <x:c r="Z13" s="155" t="n">
        <x:v>45309</x:v>
      </x:c>
      <x:c r="AA13" s="153" t="n">
        <x:f>IFERROR(Y13-Y12,"")</x:f>
        <x:v>0</x:v>
      </x:c>
      <x:c r="AB13" s="153" t="n">
        <x:v>2.34</x:v>
      </x:c>
      <x:c r="AC13" s="153" t="n">
        <x:v>120.8895</x:v>
      </x:c>
      <x:c r="AD13" s="155" t="n">
        <x:v>45309</x:v>
      </x:c>
      <x:c r="AE13" s="154" t="n">
        <x:f>IFERROR(AC13/AC12-1,"")</x:f>
        <x:v>-0.0012450409037658705</x:v>
      </x:c>
      <x:c r="AF13" s="153" t="n">
        <x:v>14.13</x:v>
      </x:c>
      <x:c r="AG13" s="155" t="n">
        <x:v>45309</x:v>
      </x:c>
      <x:c r="AH13" s="153" t="n">
        <x:f>IFERROR(AF13-AF12,"")</x:f>
        <x:v>-0.6599999999999984</x:v>
      </x:c>
      <x:c r="AI13" s="153" t="n">
        <x:v>5.33</x:v>
      </x:c>
      <x:c r="AJ13" s="155" t="n">
        <x:v>45303</x:v>
      </x:c>
      <x:c r="AK13" s="159" t="n">
        <x:v>88459</x:v>
      </x:c>
      <x:c r="AL13" s="154" t="n">
        <x:v>0.18058422085173187</x:v>
      </x:c>
      <x:c r="AM13" s="159" t="n">
        <x:v>-45001</x:v>
      </x:c>
      <x:c r="AN13" s="155" t="n">
        <x:v>45303</x:v>
      </x:c>
      <x:c r="AO13" s="159" t="n">
        <x:v>8348</x:v>
      </x:c>
      <x:c r="AP13" s="154" t="n">
        <x:v>0.06324625734893023</x:v>
      </x:c>
      <x:c r="AQ13" s="159" t="n">
        <x:v>-37041</x:v>
      </x:c>
      <x:c r="AR13" s="147" t="str">
        <x:v>美国市场指标与CFTC数据均使用严格早于上金所交易日的最后已发布值</x:v>
      </x:c>
    </x:row>
    <x:row r="14">
      <x:c r="A14" s="155" t="n">
        <x:v>45313</x:v>
      </x:c>
      <x:c r="B14" s="153" t="n">
        <x:v>480.1</x:v>
      </x:c>
      <x:c r="C14" s="153" t="n">
        <x:v>481</x:v>
      </x:c>
      <x:c r="D14" s="153" t="n">
        <x:v>477.5</x:v>
      </x:c>
      <x:c r="E14" s="153" t="n">
        <x:v>478.39</x:v>
      </x:c>
      <x:c r="F14" s="154" t="n">
        <x:f>IFERROR(E14/E13-1,"")</x:f>
        <x:v>-0.0023357177118308314</x:v>
      </x:c>
      <x:c r="G14" s="154" t="n">
        <x:f>IFERROR((C14-D14)/E13,"")</x:f>
        <x:v>0.007299117849471335</x:v>
      </x:c>
      <x:c r="H14" s="153" t="n">
        <x:v>479.73</x:v>
      </x:c>
      <x:c r="I14" s="158" t="n">
        <x:v>20485.24</x:v>
      </x:c>
      <x:c r="J14" s="158" t="n">
        <x:v>9827442345.4</x:v>
      </x:c>
      <x:c r="K14" s="158"/>
      <x:c r="L14" s="153" t="n">
        <x:v>5935</x:v>
      </x:c>
      <x:c r="M14" s="153" t="n">
        <x:v>5935</x:v>
      </x:c>
      <x:c r="N14" s="153" t="n">
        <x:v>5762</x:v>
      </x:c>
      <x:c r="O14" s="153" t="n">
        <x:v>5766</x:v>
      </x:c>
      <x:c r="P14" s="154" t="n">
        <x:f>IFERROR(O14/O13-1,"")</x:f>
        <x:v>-0.026013513513513553</x:v>
      </x:c>
      <x:c r="Q14" s="154" t="n">
        <x:f>IFERROR((M14-N14)/O13,"")</x:f>
        <x:v>0.029222972972972973</x:v>
      </x:c>
      <x:c r="R14" s="153" t="n">
        <x:v>5843</x:v>
      </x:c>
      <x:c r="S14" s="158" t="n">
        <x:v>672636</x:v>
      </x:c>
      <x:c r="T14" s="158" t="n">
        <x:v>3930437018</x:v>
      </x:c>
      <x:c r="U14" s="158" t="n">
        <x:v>4689124</x:v>
      </x:c>
      <x:c r="V14" s="153" t="n">
        <x:f>IFERROR(E14*1000/O14,"")</x:f>
        <x:v>82.9673950745751</x:v>
      </x:c>
      <x:c r="W14" s="153" t="n">
        <x:v>4.15</x:v>
      </x:c>
      <x:c r="X14" s="155" t="n">
        <x:v>45310</x:v>
      </x:c>
      <x:c r="Y14" s="153" t="n">
        <x:v>1.81</x:v>
      </x:c>
      <x:c r="Z14" s="155" t="n">
        <x:v>45310</x:v>
      </x:c>
      <x:c r="AA14" s="153" t="n">
        <x:f>IFERROR(Y14-Y13,"")</x:f>
        <x:v>0.010000000000000009</x:v>
      </x:c>
      <x:c r="AB14" s="153" t="n">
        <x:v>2.34</x:v>
      </x:c>
      <x:c r="AC14" s="153" t="n">
        <x:v>120.6442</x:v>
      </x:c>
      <x:c r="AD14" s="155" t="n">
        <x:v>45310</x:v>
      </x:c>
      <x:c r="AE14" s="154" t="n">
        <x:f>IFERROR(AC14/AC13-1,"")</x:f>
        <x:v>-0.002029125771882634</x:v>
      </x:c>
      <x:c r="AF14" s="153" t="n">
        <x:v>13.3</x:v>
      </x:c>
      <x:c r="AG14" s="155" t="n">
        <x:v>45310</x:v>
      </x:c>
      <x:c r="AH14" s="153" t="n">
        <x:f>IFERROR(AF14-AF13,"")</x:f>
        <x:v>-0.8300000000000001</x:v>
      </x:c>
      <x:c r="AI14" s="153" t="n">
        <x:v>5.33</x:v>
      </x:c>
      <x:c r="AJ14" s="155" t="n">
        <x:v>45310</x:v>
      </x:c>
      <x:c r="AK14" s="159" t="n">
        <x:v>83229</x:v>
      </x:c>
      <x:c r="AL14" s="154" t="n">
        <x:v>0.17008628053640254</x:v>
      </x:c>
      <x:c r="AM14" s="159" t="n">
        <x:v>-40554</x:v>
      </x:c>
      <x:c r="AN14" s="155" t="n">
        <x:v>45310</x:v>
      </x:c>
      <x:c r="AO14" s="159" t="n">
        <x:v>6223</x:v>
      </x:c>
      <x:c r="AP14" s="154" t="n">
        <x:v>0.04715965928036618</x:v>
      </x:c>
      <x:c r="AQ14" s="159" t="n">
        <x:v>-37207</x:v>
      </x:c>
      <x:c r="AR14" s="147" t="str">
        <x:v>美国市场指标与CFTC数据均使用严格早于上金所交易日的最后已发布值</x:v>
      </x:c>
    </x:row>
    <x:row r="15">
      <x:c r="A15" s="155" t="n">
        <x:v>45314</x:v>
      </x:c>
      <x:c r="B15" s="153" t="n">
        <x:v>479.49</x:v>
      </x:c>
      <x:c r="C15" s="153" t="n">
        <x:v>479.65</x:v>
      </x:c>
      <x:c r="D15" s="153" t="n">
        <x:v>477.5</x:v>
      </x:c>
      <x:c r="E15" s="153" t="n">
        <x:v>478.52</x:v>
      </x:c>
      <x:c r="F15" s="154" t="n">
        <x:f>IFERROR(E15/E14-1,"")</x:f>
        <x:v>0.0002717448107192322</x:v>
      </x:c>
      <x:c r="G15" s="154" t="n">
        <x:f>IFERROR((C15-D15)/E14,"")</x:f>
        <x:v>0.004494241100357402</x:v>
      </x:c>
      <x:c r="H15" s="153" t="n">
        <x:v>478.35</x:v>
      </x:c>
      <x:c r="I15" s="158" t="n">
        <x:v>16100.68</x:v>
      </x:c>
      <x:c r="J15" s="158" t="n">
        <x:v>7701809187.2</x:v>
      </x:c>
      <x:c r="K15" s="158"/>
      <x:c r="L15" s="153" t="n">
        <x:v>5780</x:v>
      </x:c>
      <x:c r="M15" s="153" t="n">
        <x:v>5830</x:v>
      </x:c>
      <x:c r="N15" s="153" t="n">
        <x:v>5759</x:v>
      </x:c>
      <x:c r="O15" s="153" t="n">
        <x:v>5830</x:v>
      </x:c>
      <x:c r="P15" s="154" t="n">
        <x:f>IFERROR(O15/O14-1,"")</x:f>
        <x:v>0.01109954908081856</x:v>
      </x:c>
      <x:c r="Q15" s="154" t="n">
        <x:f>IFERROR((M15-N15)/O14,"")</x:f>
        <x:v>0.012313562261533125</x:v>
      </x:c>
      <x:c r="R15" s="153" t="n">
        <x:v>5797</x:v>
      </x:c>
      <x:c r="S15" s="158" t="n">
        <x:v>457988</x:v>
      </x:c>
      <x:c r="T15" s="158" t="n">
        <x:v>2655344448</x:v>
      </x:c>
      <x:c r="U15" s="158" t="n">
        <x:v>4665220</x:v>
      </x:c>
      <x:c r="V15" s="153" t="n">
        <x:f>IFERROR(E15*1000/O15,"")</x:f>
        <x:v>82.07890222984562</x:v>
      </x:c>
      <x:c r="W15" s="153" t="n">
        <x:v>4.11</x:v>
      </x:c>
      <x:c r="X15" s="155" t="n">
        <x:v>45313</x:v>
      </x:c>
      <x:c r="Y15" s="153" t="n">
        <x:v>1.8</x:v>
      </x:c>
      <x:c r="Z15" s="155" t="n">
        <x:v>45313</x:v>
      </x:c>
      <x:c r="AA15" s="153" t="n">
        <x:f>IFERROR(Y15-Y14,"")</x:f>
        <x:v>-0.010000000000000009</x:v>
      </x:c>
      <x:c r="AB15" s="153" t="n">
        <x:v>2.31</x:v>
      </x:c>
      <x:c r="AC15" s="153" t="n">
        <x:v>120.6178</x:v>
      </x:c>
      <x:c r="AD15" s="155" t="n">
        <x:v>45313</x:v>
      </x:c>
      <x:c r="AE15" s="154" t="n">
        <x:f>IFERROR(AC15/AC14-1,"")</x:f>
        <x:v>-0.0002188252729927731</x:v>
      </x:c>
      <x:c r="AF15" s="153" t="n">
        <x:v>13.19</x:v>
      </x:c>
      <x:c r="AG15" s="155" t="n">
        <x:v>45313</x:v>
      </x:c>
      <x:c r="AH15" s="153" t="n">
        <x:f>IFERROR(AF15-AF14,"")</x:f>
        <x:v>-0.11000000000000121</x:v>
      </x:c>
      <x:c r="AI15" s="153" t="n">
        <x:v>5.33</x:v>
      </x:c>
      <x:c r="AJ15" s="155" t="n">
        <x:v>45310</x:v>
      </x:c>
      <x:c r="AK15" s="159" t="n">
        <x:v>83229</x:v>
      </x:c>
      <x:c r="AL15" s="154" t="n">
        <x:v>0.17008628053640254</x:v>
      </x:c>
      <x:c r="AM15" s="159" t="n">
        <x:v>-40554</x:v>
      </x:c>
      <x:c r="AN15" s="155" t="n">
        <x:v>45310</x:v>
      </x:c>
      <x:c r="AO15" s="159" t="n">
        <x:v>6223</x:v>
      </x:c>
      <x:c r="AP15" s="154" t="n">
        <x:v>0.04715965928036618</x:v>
      </x:c>
      <x:c r="AQ15" s="159" t="n">
        <x:v>-37207</x:v>
      </x:c>
      <x:c r="AR15" s="147" t="str">
        <x:v>美国市场指标与CFTC数据均使用严格早于上金所交易日的最后已发布值</x:v>
      </x:c>
    </x:row>
    <x:row r="16">
      <x:c r="A16" s="155" t="n">
        <x:v>45315</x:v>
      </x:c>
      <x:c r="B16" s="153" t="n">
        <x:v>478.31</x:v>
      </x:c>
      <x:c r="C16" s="153" t="n">
        <x:v>479</x:v>
      </x:c>
      <x:c r="D16" s="153" t="n">
        <x:v>477.8</x:v>
      </x:c>
      <x:c r="E16" s="153" t="n">
        <x:v>478</x:v>
      </x:c>
      <x:c r="F16" s="154" t="n">
        <x:f>IFERROR(E16/E15-1,"")</x:f>
        <x:v>-0.0010866839421549424</x:v>
      </x:c>
      <x:c r="G16" s="154" t="n">
        <x:f>IFERROR((C16-D16)/E15,"")</x:f>
        <x:v>0.0025077321742037716</x:v>
      </x:c>
      <x:c r="H16" s="153" t="n">
        <x:v>478.45</x:v>
      </x:c>
      <x:c r="I16" s="158" t="n">
        <x:v>18980.82</x:v>
      </x:c>
      <x:c r="J16" s="158" t="n">
        <x:v>9081510102</x:v>
      </x:c>
      <x:c r="K16" s="158"/>
      <x:c r="L16" s="153" t="n">
        <x:v>5811</x:v>
      </x:c>
      <x:c r="M16" s="153" t="n">
        <x:v>5868</x:v>
      </x:c>
      <x:c r="N16" s="153" t="n">
        <x:v>5807</x:v>
      </x:c>
      <x:c r="O16" s="153" t="n">
        <x:v>5866</x:v>
      </x:c>
      <x:c r="P16" s="154" t="n">
        <x:f>IFERROR(O16/O15-1,"")</x:f>
        <x:v>0.006174957118353364</x:v>
      </x:c>
      <x:c r="Q16" s="154" t="n">
        <x:f>IFERROR((M16-N16)/O15,"")</x:f>
        <x:v>0.0104631217838765</x:v>
      </x:c>
      <x:c r="R16" s="153" t="n">
        <x:v>5835</x:v>
      </x:c>
      <x:c r="S16" s="158" t="n">
        <x:v>419342</x:v>
      </x:c>
      <x:c r="T16" s="158" t="n">
        <x:v>2446863346</x:v>
      </x:c>
      <x:c r="U16" s="158" t="n">
        <x:v>4687330</x:v>
      </x:c>
      <x:c r="V16" s="153" t="n">
        <x:f>IFERROR(E16*1000/O16,"")</x:f>
        <x:v>81.48653256051824</x:v>
      </x:c>
      <x:c r="W16" s="153" t="n">
        <x:v>4.14</x:v>
      </x:c>
      <x:c r="X16" s="155" t="n">
        <x:v>45314</x:v>
      </x:c>
      <x:c r="Y16" s="153" t="n">
        <x:v>1.85</x:v>
      </x:c>
      <x:c r="Z16" s="155" t="n">
        <x:v>45314</x:v>
      </x:c>
      <x:c r="AA16" s="153" t="n">
        <x:f>IFERROR(Y16-Y15,"")</x:f>
        <x:v>0.050000000000000044</x:v>
      </x:c>
      <x:c r="AB16" s="153" t="n">
        <x:v>2.29</x:v>
      </x:c>
      <x:c r="AC16" s="153" t="n">
        <x:v>121.1001</x:v>
      </x:c>
      <x:c r="AD16" s="155" t="n">
        <x:v>45314</x:v>
      </x:c>
      <x:c r="AE16" s="154" t="n">
        <x:f>IFERROR(AC16/AC15-1,"")</x:f>
        <x:v>0.003998580640668159</x:v>
      </x:c>
      <x:c r="AF16" s="153" t="n">
        <x:v>12.55</x:v>
      </x:c>
      <x:c r="AG16" s="155" t="n">
        <x:v>45314</x:v>
      </x:c>
      <x:c r="AH16" s="153" t="n">
        <x:f>IFERROR(AF16-AF15,"")</x:f>
        <x:v>-0.6399999999999988</x:v>
      </x:c>
      <x:c r="AI16" s="153" t="n">
        <x:v>5.33</x:v>
      </x:c>
      <x:c r="AJ16" s="155" t="n">
        <x:v>45310</x:v>
      </x:c>
      <x:c r="AK16" s="159" t="n">
        <x:v>83229</x:v>
      </x:c>
      <x:c r="AL16" s="154" t="n">
        <x:v>0.17008628053640254</x:v>
      </x:c>
      <x:c r="AM16" s="159" t="n">
        <x:v>-40554</x:v>
      </x:c>
      <x:c r="AN16" s="155" t="n">
        <x:v>45310</x:v>
      </x:c>
      <x:c r="AO16" s="159" t="n">
        <x:v>6223</x:v>
      </x:c>
      <x:c r="AP16" s="154" t="n">
        <x:v>0.04715965928036618</x:v>
      </x:c>
      <x:c r="AQ16" s="159" t="n">
        <x:v>-37207</x:v>
      </x:c>
      <x:c r="AR16" s="147" t="str">
        <x:v>美国市场指标与CFTC数据均使用严格早于上金所交易日的最后已发布值</x:v>
      </x:c>
    </x:row>
    <x:row r="17">
      <x:c r="A17" s="155" t="n">
        <x:v>45316</x:v>
      </x:c>
      <x:c r="B17" s="153" t="n">
        <x:v>479.45</x:v>
      </x:c>
      <x:c r="C17" s="153" t="n">
        <x:v>479.5</x:v>
      </x:c>
      <x:c r="D17" s="153" t="n">
        <x:v>475</x:v>
      </x:c>
      <x:c r="E17" s="153" t="n">
        <x:v>475.8</x:v>
      </x:c>
      <x:c r="F17" s="154" t="n">
        <x:f>IFERROR(E17/E16-1,"")</x:f>
        <x:v>-0.004602510460251064</x:v>
      </x:c>
      <x:c r="G17" s="154" t="n">
        <x:f>IFERROR((C17-D17)/E16,"")</x:f>
        <x:v>0.009414225941422594</x:v>
      </x:c>
      <x:c r="H17" s="153" t="n">
        <x:v>476.18</x:v>
      </x:c>
      <x:c r="I17" s="158" t="n">
        <x:v>21079.44</x:v>
      </x:c>
      <x:c r="J17" s="158" t="n">
        <x:v>10037799479.2</x:v>
      </x:c>
      <x:c r="K17" s="158"/>
      <x:c r="L17" s="153" t="n">
        <x:v>5880</x:v>
      </x:c>
      <x:c r="M17" s="153" t="n">
        <x:v>5906</x:v>
      </x:c>
      <x:c r="N17" s="153" t="n">
        <x:v>5861</x:v>
      </x:c>
      <x:c r="O17" s="153" t="n">
        <x:v>5885</x:v>
      </x:c>
      <x:c r="P17" s="154" t="n">
        <x:f>IFERROR(O17/O16-1,"")</x:f>
        <x:v>0.0032390044323218348</x:v>
      </x:c>
      <x:c r="Q17" s="154" t="n">
        <x:f>IFERROR((M17-N17)/O16,"")</x:f>
        <x:v>0.0076713262870780775</x:v>
      </x:c>
      <x:c r="R17" s="153" t="n">
        <x:v>5886</x:v>
      </x:c>
      <x:c r="S17" s="158" t="n">
        <x:v>387592</x:v>
      </x:c>
      <x:c r="T17" s="158" t="n">
        <x:v>2281650368</x:v>
      </x:c>
      <x:c r="U17" s="158" t="n">
        <x:v>4723328</x:v>
      </x:c>
      <x:c r="V17" s="153" t="n">
        <x:f>IFERROR(E17*1000/O17,"")</x:f>
        <x:v>80.84961767204757</x:v>
      </x:c>
      <x:c r="W17" s="153" t="n">
        <x:v>4.18</x:v>
      </x:c>
      <x:c r="X17" s="155" t="n">
        <x:v>45315</x:v>
      </x:c>
      <x:c r="Y17" s="153" t="n">
        <x:v>1.88</x:v>
      </x:c>
      <x:c r="Z17" s="155" t="n">
        <x:v>45315</x:v>
      </x:c>
      <x:c r="AA17" s="153" t="n">
        <x:f>IFERROR(Y17-Y16,"")</x:f>
        <x:v>0.029999999999999805</x:v>
      </x:c>
      <x:c r="AB17" s="153" t="n">
        <x:v>2.3</x:v>
      </x:c>
      <x:c r="AC17" s="153" t="n">
        <x:v>120.4916</x:v>
      </x:c>
      <x:c r="AD17" s="155" t="n">
        <x:v>45315</x:v>
      </x:c>
      <x:c r="AE17" s="154" t="n">
        <x:f>IFERROR(AC17/AC16-1,"")</x:f>
        <x:v>-0.005024768765673926</x:v>
      </x:c>
      <x:c r="AF17" s="153" t="n">
        <x:v>13.14</x:v>
      </x:c>
      <x:c r="AG17" s="155" t="n">
        <x:v>45315</x:v>
      </x:c>
      <x:c r="AH17" s="153" t="n">
        <x:f>IFERROR(AF17-AF16,"")</x:f>
        <x:v>0.5899999999999999</x:v>
      </x:c>
      <x:c r="AI17" s="153" t="n">
        <x:v>5.33</x:v>
      </x:c>
      <x:c r="AJ17" s="155" t="n">
        <x:v>45310</x:v>
      </x:c>
      <x:c r="AK17" s="159" t="n">
        <x:v>83229</x:v>
      </x:c>
      <x:c r="AL17" s="154" t="n">
        <x:v>0.17008628053640254</x:v>
      </x:c>
      <x:c r="AM17" s="159" t="n">
        <x:v>-40554</x:v>
      </x:c>
      <x:c r="AN17" s="155" t="n">
        <x:v>45310</x:v>
      </x:c>
      <x:c r="AO17" s="159" t="n">
        <x:v>6223</x:v>
      </x:c>
      <x:c r="AP17" s="154" t="n">
        <x:v>0.04715965928036618</x:v>
      </x:c>
      <x:c r="AQ17" s="159" t="n">
        <x:v>-37207</x:v>
      </x:c>
      <x:c r="AR17" s="147" t="str">
        <x:v>美国市场指标与CFTC数据均使用严格早于上金所交易日的最后已发布值</x:v>
      </x:c>
    </x:row>
    <x:row r="18">
      <x:c r="A18" s="155" t="n">
        <x:v>45317</x:v>
      </x:c>
      <x:c r="B18" s="153" t="n">
        <x:v>476.5</x:v>
      </x:c>
      <x:c r="C18" s="153" t="n">
        <x:v>479.5</x:v>
      </x:c>
      <x:c r="D18" s="153" t="n">
        <x:v>475.75</x:v>
      </x:c>
      <x:c r="E18" s="153" t="n">
        <x:v>479.26</x:v>
      </x:c>
      <x:c r="F18" s="154" t="n">
        <x:f>IFERROR(E18/E17-1,"")</x:f>
        <x:v>0.0072719630096678145</x:v>
      </x:c>
      <x:c r="G18" s="154" t="n">
        <x:f>IFERROR((C18-D18)/E17,"")</x:f>
        <x:v>0.007881462799495587</x:v>
      </x:c>
      <x:c r="H18" s="153" t="n">
        <x:v>478.37</x:v>
      </x:c>
      <x:c r="I18" s="158" t="n">
        <x:v>16673.74</x:v>
      </x:c>
      <x:c r="J18" s="158" t="n">
        <x:v>7976270153</x:v>
      </x:c>
      <x:c r="K18" s="158"/>
      <x:c r="L18" s="153" t="n">
        <x:v>5899</x:v>
      </x:c>
      <x:c r="M18" s="153" t="n">
        <x:v>5922</x:v>
      </x:c>
      <x:c r="N18" s="153" t="n">
        <x:v>5882</x:v>
      </x:c>
      <x:c r="O18" s="153" t="n">
        <x:v>5920</x:v>
      </x:c>
      <x:c r="P18" s="154" t="n">
        <x:f>IFERROR(O18/O17-1,"")</x:f>
        <x:v>0.005947323704333041</x:v>
      </x:c>
      <x:c r="Q18" s="154" t="n">
        <x:f>IFERROR((M18-N18)/O17,"")</x:f>
        <x:v>0.006796941376380629</x:v>
      </x:c>
      <x:c r="R18" s="153" t="n">
        <x:v>5910</x:v>
      </x:c>
      <x:c r="S18" s="158" t="n">
        <x:v>265194</x:v>
      </x:c>
      <x:c r="T18" s="158" t="n">
        <x:v>1567523910</x:v>
      </x:c>
      <x:c r="U18" s="158" t="n">
        <x:v>4688118</x:v>
      </x:c>
      <x:c r="V18" s="153" t="n">
        <x:f>IFERROR(E18*1000/O18,"")</x:f>
        <x:v>80.95608108108108</x:v>
      </x:c>
      <x:c r="W18" s="153" t="n">
        <x:v>4.14</x:v>
      </x:c>
      <x:c r="X18" s="155" t="n">
        <x:v>45316</x:v>
      </x:c>
      <x:c r="Y18" s="153" t="n">
        <x:v>1.85</x:v>
      </x:c>
      <x:c r="Z18" s="155" t="n">
        <x:v>45316</x:v>
      </x:c>
      <x:c r="AA18" s="153" t="n">
        <x:f>IFERROR(Y18-Y17,"")</x:f>
        <x:v>-0.029999999999999805</x:v>
      </x:c>
      <x:c r="AB18" s="153" t="n">
        <x:v>2.29</x:v>
      </x:c>
      <x:c r="AC18" s="153" t="n">
        <x:v>120.8311</x:v>
      </x:c>
      <x:c r="AD18" s="155" t="n">
        <x:v>45316</x:v>
      </x:c>
      <x:c r="AE18" s="154" t="n">
        <x:f>IFERROR(AC18/AC17-1,"")</x:f>
        <x:v>0.0028176238011612398</x:v>
      </x:c>
      <x:c r="AF18" s="153" t="n">
        <x:v>13.45</x:v>
      </x:c>
      <x:c r="AG18" s="155" t="n">
        <x:v>45316</x:v>
      </x:c>
      <x:c r="AH18" s="153" t="n">
        <x:f>IFERROR(AF18-AF17,"")</x:f>
        <x:v>0.3099999999999987</x:v>
      </x:c>
      <x:c r="AI18" s="153" t="n">
        <x:v>5.33</x:v>
      </x:c>
      <x:c r="AJ18" s="155" t="n">
        <x:v>45310</x:v>
      </x:c>
      <x:c r="AK18" s="159" t="n">
        <x:v>83229</x:v>
      </x:c>
      <x:c r="AL18" s="154" t="n">
        <x:v>0.17008628053640254</x:v>
      </x:c>
      <x:c r="AM18" s="159" t="n">
        <x:v>-40554</x:v>
      </x:c>
      <x:c r="AN18" s="155" t="n">
        <x:v>45310</x:v>
      </x:c>
      <x:c r="AO18" s="159" t="n">
        <x:v>6223</x:v>
      </x:c>
      <x:c r="AP18" s="154" t="n">
        <x:v>0.04715965928036618</x:v>
      </x:c>
      <x:c r="AQ18" s="159" t="n">
        <x:v>-37207</x:v>
      </x:c>
      <x:c r="AR18" s="147" t="str">
        <x:v>美国市场指标与CFTC数据均使用严格早于上金所交易日的最后已发布值</x:v>
      </x:c>
    </x:row>
    <x:row r="19">
      <x:c r="A19" s="155" t="n">
        <x:v>45320</x:v>
      </x:c>
      <x:c r="B19" s="153" t="n">
        <x:v>478.45</x:v>
      </x:c>
      <x:c r="C19" s="153" t="n">
        <x:v>480.2</x:v>
      </x:c>
      <x:c r="D19" s="153" t="n">
        <x:v>476</x:v>
      </x:c>
      <x:c r="E19" s="153" t="n">
        <x:v>479.2</x:v>
      </x:c>
      <x:c r="F19" s="154" t="n">
        <x:f>IFERROR(E19/E18-1,"")</x:f>
        <x:v>-0.00012519300588409443</x:v>
      </x:c>
      <x:c r="G19" s="154" t="n">
        <x:f>IFERROR((C19-D19)/E18,"")</x:f>
        <x:v>0.008763510411884966</x:v>
      </x:c>
      <x:c r="H19" s="153" t="n">
        <x:v>479.22</x:v>
      </x:c>
      <x:c r="I19" s="158" t="n">
        <x:v>22269.12</x:v>
      </x:c>
      <x:c r="J19" s="158" t="n">
        <x:v>10672002851.4</x:v>
      </x:c>
      <x:c r="K19" s="158"/>
      <x:c r="L19" s="153" t="n">
        <x:v>5925</x:v>
      </x:c>
      <x:c r="M19" s="153" t="n">
        <x:v>5935</x:v>
      </x:c>
      <x:c r="N19" s="153" t="n">
        <x:v>5886</x:v>
      </x:c>
      <x:c r="O19" s="153" t="n">
        <x:v>5929</x:v>
      </x:c>
      <x:c r="P19" s="154" t="n">
        <x:f>IFERROR(O19/O18-1,"")</x:f>
        <x:v>0.0015202702702703519</x:v>
      </x:c>
      <x:c r="Q19" s="154" t="n">
        <x:f>IFERROR((M19-N19)/O18,"")</x:f>
        <x:v>0.008277027027027027</x:v>
      </x:c>
      <x:c r="R19" s="153" t="n">
        <x:v>5920</x:v>
      </x:c>
      <x:c r="S19" s="158" t="n">
        <x:v>391322</x:v>
      </x:c>
      <x:c r="T19" s="158" t="n">
        <x:v>2316823744</x:v>
      </x:c>
      <x:c r="U19" s="158" t="n">
        <x:v>4779322</x:v>
      </x:c>
      <x:c r="V19" s="153" t="n">
        <x:f>IFERROR(E19*1000/O19,"")</x:f>
        <x:v>80.82307303086525</x:v>
      </x:c>
      <x:c r="W19" s="153" t="n">
        <x:v>4.15</x:v>
      </x:c>
      <x:c r="X19" s="155" t="n">
        <x:v>45317</x:v>
      </x:c>
      <x:c r="Y19" s="153" t="n">
        <x:v>1.85</x:v>
      </x:c>
      <x:c r="Z19" s="155" t="n">
        <x:v>45317</x:v>
      </x:c>
      <x:c r="AA19" s="153" t="n">
        <x:f>IFERROR(Y19-Y18,"")</x:f>
        <x:v>0</x:v>
      </x:c>
      <x:c r="AB19" s="153" t="n">
        <x:v>2.3</x:v>
      </x:c>
      <x:c r="AC19" s="153" t="n">
        <x:v>120.6173</x:v>
      </x:c>
      <x:c r="AD19" s="155" t="n">
        <x:v>45317</x:v>
      </x:c>
      <x:c r="AE19" s="154" t="n">
        <x:f>IFERROR(AC19/AC18-1,"")</x:f>
        <x:v>-0.001769412013960081</x:v>
      </x:c>
      <x:c r="AF19" s="153" t="n">
        <x:v>13.26</x:v>
      </x:c>
      <x:c r="AG19" s="155" t="n">
        <x:v>45317</x:v>
      </x:c>
      <x:c r="AH19" s="153" t="n">
        <x:f>IFERROR(AF19-AF18,"")</x:f>
        <x:v>-0.1899999999999995</x:v>
      </x:c>
      <x:c r="AI19" s="153" t="n">
        <x:v>5.33</x:v>
      </x:c>
      <x:c r="AJ19" s="155" t="n">
        <x:v>45317</x:v>
      </x:c>
      <x:c r="AK19" s="159" t="n">
        <x:v>61033</x:v>
      </x:c>
      <x:c r="AL19" s="154" t="n">
        <x:v>0.13100808805852251</x:v>
      </x:c>
      <x:c r="AM19" s="159" t="n">
        <x:v>-38949</x:v>
      </x:c>
      <x:c r="AN19" s="155" t="n">
        <x:v>45317</x:v>
      </x:c>
      <x:c r="AO19" s="159" t="n">
        <x:v>-2654</x:v>
      </x:c>
      <x:c r="AP19" s="154" t="n">
        <x:v>-0.019146280759214238</x:v>
      </x:c>
      <x:c r="AQ19" s="159" t="n">
        <x:v>-32859</x:v>
      </x:c>
      <x:c r="AR19" s="147" t="str">
        <x:v>美国市场指标与CFTC数据均使用严格早于上金所交易日的最后已发布值</x:v>
      </x:c>
    </x:row>
    <x:row r="20">
      <x:c r="A20" s="155" t="n">
        <x:v>45321</x:v>
      </x:c>
      <x:c r="B20" s="153" t="n">
        <x:v>478.11</x:v>
      </x:c>
      <x:c r="C20" s="153" t="n">
        <x:v>480.9</x:v>
      </x:c>
      <x:c r="D20" s="153" t="n">
        <x:v>478.11</x:v>
      </x:c>
      <x:c r="E20" s="153" t="n">
        <x:v>480.15</x:v>
      </x:c>
      <x:c r="F20" s="154" t="n">
        <x:f>IFERROR(E20/E19-1,"")</x:f>
        <x:v>0.0019824707846409773</x:v>
      </x:c>
      <x:c r="G20" s="154" t="n">
        <x:f>IFERROR((C20-D20)/E19,"")</x:f>
        <x:v>0.005822203672787904</x:v>
      </x:c>
      <x:c r="H20" s="153" t="n">
        <x:v>480.33</x:v>
      </x:c>
      <x:c r="I20" s="158" t="n">
        <x:v>14099.58</x:v>
      </x:c>
      <x:c r="J20" s="158" t="n">
        <x:v>6772475597.2</x:v>
      </x:c>
      <x:c r="K20" s="158"/>
      <x:c r="L20" s="153" t="n">
        <x:v>5935</x:v>
      </x:c>
      <x:c r="M20" s="153" t="n">
        <x:v>5971</x:v>
      </x:c>
      <x:c r="N20" s="153" t="n">
        <x:v>5907</x:v>
      </x:c>
      <x:c r="O20" s="153" t="n">
        <x:v>5963</x:v>
      </x:c>
      <x:c r="P20" s="154" t="n">
        <x:f>IFERROR(O20/O19-1,"")</x:f>
        <x:v>0.005734525215044695</x:v>
      </x:c>
      <x:c r="Q20" s="154" t="n">
        <x:f>IFERROR((M20-N20)/O19,"")</x:f>
        <x:v>0.010794400404790015</x:v>
      </x:c>
      <x:c r="R20" s="153" t="n">
        <x:v>5952</x:v>
      </x:c>
      <x:c r="S20" s="158" t="n">
        <x:v>319714</x:v>
      </x:c>
      <x:c r="T20" s="158" t="n">
        <x:v>1903128756</x:v>
      </x:c>
      <x:c r="U20" s="158" t="n">
        <x:v>4821092</x:v>
      </x:c>
      <x:c r="V20" s="153" t="n">
        <x:f>IFERROR(E20*1000/O20,"")</x:f>
        <x:v>80.52154955559283</x:v>
      </x:c>
      <x:c r="W20" s="153" t="n">
        <x:v>4.08</x:v>
      </x:c>
      <x:c r="X20" s="155" t="n">
        <x:v>45320</x:v>
      </x:c>
      <x:c r="Y20" s="153" t="n">
        <x:v>1.78</x:v>
      </x:c>
      <x:c r="Z20" s="155" t="n">
        <x:v>45320</x:v>
      </x:c>
      <x:c r="AA20" s="153" t="n">
        <x:f>IFERROR(Y20-Y19,"")</x:f>
        <x:v>-0.07000000000000006</x:v>
      </x:c>
      <x:c r="AB20" s="153" t="n">
        <x:v>2.3</x:v>
      </x:c>
      <x:c r="AC20" s="153" t="n">
        <x:v>120.8538</x:v>
      </x:c>
      <x:c r="AD20" s="155" t="n">
        <x:v>45320</x:v>
      </x:c>
      <x:c r="AE20" s="154" t="n">
        <x:f>IFERROR(AC20/AC19-1,"")</x:f>
        <x:v>0.0019607469243632103</x:v>
      </x:c>
      <x:c r="AF20" s="153" t="n">
        <x:v>13.6</x:v>
      </x:c>
      <x:c r="AG20" s="155" t="n">
        <x:v>45320</x:v>
      </x:c>
      <x:c r="AH20" s="153" t="n">
        <x:f>IFERROR(AF20-AF19,"")</x:f>
        <x:v>0.33999999999999986</x:v>
      </x:c>
      <x:c r="AI20" s="153" t="n">
        <x:v>5.33</x:v>
      </x:c>
      <x:c r="AJ20" s="155" t="n">
        <x:v>45317</x:v>
      </x:c>
      <x:c r="AK20" s="159" t="n">
        <x:v>61033</x:v>
      </x:c>
      <x:c r="AL20" s="154" t="n">
        <x:v>0.13100808805852251</x:v>
      </x:c>
      <x:c r="AM20" s="159" t="n">
        <x:v>-38949</x:v>
      </x:c>
      <x:c r="AN20" s="155" t="n">
        <x:v>45317</x:v>
      </x:c>
      <x:c r="AO20" s="159" t="n">
        <x:v>-2654</x:v>
      </x:c>
      <x:c r="AP20" s="154" t="n">
        <x:v>-0.019146280759214238</x:v>
      </x:c>
      <x:c r="AQ20" s="159" t="n">
        <x:v>-32859</x:v>
      </x:c>
      <x:c r="AR20" s="147" t="str">
        <x:v>美国市场指标与CFTC数据均使用严格早于上金所交易日的最后已发布值</x:v>
      </x:c>
    </x:row>
    <x:row r="21">
      <x:c r="A21" s="155" t="n">
        <x:v>45322</x:v>
      </x:c>
      <x:c r="B21" s="153" t="n">
        <x:v>479.5</x:v>
      </x:c>
      <x:c r="C21" s="153" t="n">
        <x:v>481.93</x:v>
      </x:c>
      <x:c r="D21" s="153" t="n">
        <x:v>479.5</x:v>
      </x:c>
      <x:c r="E21" s="153" t="n">
        <x:v>480</x:v>
      </x:c>
      <x:c r="F21" s="154" t="n">
        <x:f>IFERROR(E21/E20-1,"")</x:f>
        <x:v>-0.0003124023742580029</x:v>
      </x:c>
      <x:c r="G21" s="154" t="n">
        <x:f>IFERROR((C21-D21)/E20,"")</x:f>
        <x:v>0.005060918462980333</x:v>
      </x:c>
      <x:c r="H21" s="153" t="n">
        <x:v>480.57</x:v>
      </x:c>
      <x:c r="I21" s="158" t="n">
        <x:v>12557</x:v>
      </x:c>
      <x:c r="J21" s="158" t="n">
        <x:v>6034585541</x:v>
      </x:c>
      <x:c r="K21" s="158"/>
      <x:c r="L21" s="153" t="n">
        <x:v>5958</x:v>
      </x:c>
      <x:c r="M21" s="153" t="n">
        <x:v>5976</x:v>
      </x:c>
      <x:c r="N21" s="153" t="n">
        <x:v>5934</x:v>
      </x:c>
      <x:c r="O21" s="153" t="n">
        <x:v>5939</x:v>
      </x:c>
      <x:c r="P21" s="154" t="n">
        <x:f>IFERROR(O21/O20-1,"")</x:f>
        <x:v>-0.004024819721616613</x:v>
      </x:c>
      <x:c r="Q21" s="154" t="n">
        <x:f>IFERROR((M21-N21)/O20,"")</x:f>
        <x:v>0.007043434512829113</x:v>
      </x:c>
      <x:c r="R21" s="153" t="n">
        <x:v>5951</x:v>
      </x:c>
      <x:c r="S21" s="158" t="n">
        <x:v>203532</x:v>
      </x:c>
      <x:c r="T21" s="158" t="n">
        <x:v>1211223342</x:v>
      </x:c>
      <x:c r="U21" s="158" t="n">
        <x:v>4862398</x:v>
      </x:c>
      <x:c r="V21" s="153" t="n">
        <x:f>IFERROR(E21*1000/O21,"")</x:f>
        <x:v>80.8216871527193</x:v>
      </x:c>
      <x:c r="W21" s="153" t="n">
        <x:v>4.06</x:v>
      </x:c>
      <x:c r="X21" s="155" t="n">
        <x:v>45321</x:v>
      </x:c>
      <x:c r="Y21" s="153" t="n">
        <x:v>1.8</x:v>
      </x:c>
      <x:c r="Z21" s="155" t="n">
        <x:v>45321</x:v>
      </x:c>
      <x:c r="AA21" s="153" t="n">
        <x:f>IFERROR(Y21-Y20,"")</x:f>
        <x:v>0.020000000000000018</x:v>
      </x:c>
      <x:c r="AB21" s="153" t="n">
        <x:v>2.26</x:v>
      </x:c>
      <x:c r="AC21" s="153" t="n">
        <x:v>120.6025</x:v>
      </x:c>
      <x:c r="AD21" s="155" t="n">
        <x:v>45321</x:v>
      </x:c>
      <x:c r="AE21" s="154" t="n">
        <x:f>IFERROR(AC21/AC20-1,"")</x:f>
        <x:v>-0.0020793719353466855</x:v>
      </x:c>
      <x:c r="AF21" s="153" t="n">
        <x:v>13.31</x:v>
      </x:c>
      <x:c r="AG21" s="155" t="n">
        <x:v>45321</x:v>
      </x:c>
      <x:c r="AH21" s="153" t="n">
        <x:f>IFERROR(AF21-AF20,"")</x:f>
        <x:v>-0.28999999999999915</x:v>
      </x:c>
      <x:c r="AI21" s="153" t="n">
        <x:v>5.33</x:v>
      </x:c>
      <x:c r="AJ21" s="155" t="n">
        <x:v>45317</x:v>
      </x:c>
      <x:c r="AK21" s="159" t="n">
        <x:v>61033</x:v>
      </x:c>
      <x:c r="AL21" s="154" t="n">
        <x:v>0.13100808805852251</x:v>
      </x:c>
      <x:c r="AM21" s="159" t="n">
        <x:v>-38949</x:v>
      </x:c>
      <x:c r="AN21" s="155" t="n">
        <x:v>45317</x:v>
      </x:c>
      <x:c r="AO21" s="159" t="n">
        <x:v>-2654</x:v>
      </x:c>
      <x:c r="AP21" s="154" t="n">
        <x:v>-0.019146280759214238</x:v>
      </x:c>
      <x:c r="AQ21" s="159" t="n">
        <x:v>-32859</x:v>
      </x:c>
      <x:c r="AR21" s="147" t="str">
        <x:v>美国市场指标与CFTC数据均使用严格早于上金所交易日的最后已发布值</x:v>
      </x:c>
    </x:row>
    <x:row r="22">
      <x:c r="A22" s="155" t="n">
        <x:v>45323</x:v>
      </x:c>
      <x:c r="B22" s="153" t="n">
        <x:v>480.01</x:v>
      </x:c>
      <x:c r="C22" s="153" t="n">
        <x:v>482.2</x:v>
      </x:c>
      <x:c r="D22" s="153" t="n">
        <x:v>480</x:v>
      </x:c>
      <x:c r="E22" s="153" t="n">
        <x:v>480</x:v>
      </x:c>
      <x:c r="F22" s="154" t="n">
        <x:f>IFERROR(E22/E21-1,"")</x:f>
        <x:v>0</x:v>
      </x:c>
      <x:c r="G22" s="154" t="n">
        <x:f>IFERROR((C22-D22)/E21,"")</x:f>
        <x:v>0.00458333333333331</x:v>
      </x:c>
      <x:c r="H22" s="153" t="n">
        <x:v>481.5</x:v>
      </x:c>
      <x:c r="I22" s="158" t="n">
        <x:v>15215.58</x:v>
      </x:c>
      <x:c r="J22" s="158" t="n">
        <x:v>7326426401.8</x:v>
      </x:c>
      <x:c r="K22" s="158"/>
      <x:c r="L22" s="153" t="n">
        <x:v>5944</x:v>
      </x:c>
      <x:c r="M22" s="153" t="n">
        <x:v>5972</x:v>
      </x:c>
      <x:c r="N22" s="153" t="n">
        <x:v>5911</x:v>
      </x:c>
      <x:c r="O22" s="153" t="n">
        <x:v>5920</x:v>
      </x:c>
      <x:c r="P22" s="154" t="n">
        <x:f>IFERROR(O22/O21-1,"")</x:f>
        <x:v>-0.003199191783128441</x:v>
      </x:c>
      <x:c r="Q22" s="154" t="n">
        <x:f>IFERROR((M22-N22)/O21,"")</x:f>
        <x:v>0.010271089408991413</x:v>
      </x:c>
      <x:c r="R22" s="153" t="n">
        <x:v>5930</x:v>
      </x:c>
      <x:c r="S22" s="158" t="n">
        <x:v>293058</x:v>
      </x:c>
      <x:c r="T22" s="158" t="n">
        <x:v>1738060558</x:v>
      </x:c>
      <x:c r="U22" s="158" t="n">
        <x:v>4861238</x:v>
      </x:c>
      <x:c r="V22" s="153" t="n">
        <x:f>IFERROR(E22*1000/O22,"")</x:f>
        <x:v>81.08108108108108</x:v>
      </x:c>
      <x:c r="W22" s="153" t="n">
        <x:v>3.99</x:v>
      </x:c>
      <x:c r="X22" s="155" t="n">
        <x:v>45322</x:v>
      </x:c>
      <x:c r="Y22" s="153" t="n">
        <x:v>1.73</x:v>
      </x:c>
      <x:c r="Z22" s="155" t="n">
        <x:v>45322</x:v>
      </x:c>
      <x:c r="AA22" s="153" t="n">
        <x:f>IFERROR(Y22-Y21,"")</x:f>
        <x:v>-0.07000000000000006</x:v>
      </x:c>
      <x:c r="AB22" s="153" t="n">
        <x:v>2.26</x:v>
      </x:c>
      <x:c r="AC22" s="153" t="n">
        <x:v>120.4331</x:v>
      </x:c>
      <x:c r="AD22" s="155" t="n">
        <x:v>45322</x:v>
      </x:c>
      <x:c r="AE22" s="154" t="n">
        <x:f>IFERROR(AC22/AC21-1,"")</x:f>
        <x:v>-0.001404614332207177</x:v>
      </x:c>
      <x:c r="AF22" s="153" t="n">
        <x:v>14.35</x:v>
      </x:c>
      <x:c r="AG22" s="155" t="n">
        <x:v>45322</x:v>
      </x:c>
      <x:c r="AH22" s="153" t="n">
        <x:f>IFERROR(AF22-AF21,"")</x:f>
        <x:v>1.0399999999999991</x:v>
      </x:c>
      <x:c r="AI22" s="153" t="n">
        <x:v>5.33</x:v>
      </x:c>
      <x:c r="AJ22" s="155" t="n">
        <x:v>45317</x:v>
      </x:c>
      <x:c r="AK22" s="159" t="n">
        <x:v>61033</x:v>
      </x:c>
      <x:c r="AL22" s="154" t="n">
        <x:v>0.13100808805852251</x:v>
      </x:c>
      <x:c r="AM22" s="159" t="n">
        <x:v>-38949</x:v>
      </x:c>
      <x:c r="AN22" s="155" t="n">
        <x:v>45317</x:v>
      </x:c>
      <x:c r="AO22" s="159" t="n">
        <x:v>-2654</x:v>
      </x:c>
      <x:c r="AP22" s="154" t="n">
        <x:v>-0.019146280759214238</x:v>
      </x:c>
      <x:c r="AQ22" s="159" t="n">
        <x:v>-32859</x:v>
      </x:c>
      <x:c r="AR22" s="147" t="str">
        <x:v>美国市场指标与CFTC数据均使用严格早于上金所交易日的最后已发布值</x:v>
      </x:c>
    </x:row>
    <x:row r="23">
      <x:c r="A23" s="155" t="n">
        <x:v>45324</x:v>
      </x:c>
      <x:c r="B23" s="153" t="n">
        <x:v>479.81</x:v>
      </x:c>
      <x:c r="C23" s="153" t="n">
        <x:v>483.8</x:v>
      </x:c>
      <x:c r="D23" s="153" t="n">
        <x:v>479.81</x:v>
      </x:c>
      <x:c r="E23" s="153" t="n">
        <x:v>483.55</x:v>
      </x:c>
      <x:c r="F23" s="154" t="n">
        <x:f>IFERROR(E23/E22-1,"")</x:f>
        <x:v>0.007395833333333268</x:v>
      </x:c>
      <x:c r="G23" s="154" t="n">
        <x:f>IFERROR((C23-D23)/E22,"")</x:f>
        <x:v>0.00831250000000002</x:v>
      </x:c>
      <x:c r="H23" s="153" t="n">
        <x:v>483.28</x:v>
      </x:c>
      <x:c r="I23" s="158" t="n">
        <x:v>10879.34</x:v>
      </x:c>
      <x:c r="J23" s="158" t="n">
        <x:v>5257795801.8</x:v>
      </x:c>
      <x:c r="K23" s="158"/>
      <x:c r="L23" s="153" t="n">
        <x:v>5894</x:v>
      </x:c>
      <x:c r="M23" s="153" t="n">
        <x:v>5951</x:v>
      </x:c>
      <x:c r="N23" s="153" t="n">
        <x:v>5853</x:v>
      </x:c>
      <x:c r="O23" s="153" t="n">
        <x:v>5940</x:v>
      </x:c>
      <x:c r="P23" s="154" t="n">
        <x:f>IFERROR(O23/O22-1,"")</x:f>
        <x:v>0.0033783783783782884</x:v>
      </x:c>
      <x:c r="Q23" s="154" t="n">
        <x:f>IFERROR((M23-N23)/O22,"")</x:f>
        <x:v>0.016554054054054055</x:v>
      </x:c>
      <x:c r="R23" s="153" t="n">
        <x:v>5919</x:v>
      </x:c>
      <x:c r="S23" s="158" t="n">
        <x:v>417394</x:v>
      </x:c>
      <x:c r="T23" s="158" t="n">
        <x:v>2470918748</x:v>
      </x:c>
      <x:c r="U23" s="158" t="n">
        <x:v>4812148</x:v>
      </x:c>
      <x:c r="V23" s="153" t="n">
        <x:f>IFERROR(E23*1000/O23,"")</x:f>
        <x:v>81.4057239057239</x:v>
      </x:c>
      <x:c r="W23" s="153" t="n">
        <x:v>3.87</x:v>
      </x:c>
      <x:c r="X23" s="155" t="n">
        <x:v>45323</x:v>
      </x:c>
      <x:c r="Y23" s="153" t="n">
        <x:v>1.68</x:v>
      </x:c>
      <x:c r="Z23" s="155" t="n">
        <x:v>45323</x:v>
      </x:c>
      <x:c r="AA23" s="153" t="n">
        <x:f>IFERROR(Y23-Y22,"")</x:f>
        <x:v>-0.050000000000000044</x:v>
      </x:c>
      <x:c r="AB23" s="153" t="n">
        <x:v>2.19</x:v>
      </x:c>
      <x:c r="AC23" s="153" t="n">
        <x:v>120.3335</x:v>
      </x:c>
      <x:c r="AD23" s="155" t="n">
        <x:v>45323</x:v>
      </x:c>
      <x:c r="AE23" s="154" t="n">
        <x:f>IFERROR(AC23/AC22-1,"")</x:f>
        <x:v>-0.0008270151644356183</x:v>
      </x:c>
      <x:c r="AF23" s="153" t="n">
        <x:v>13.88</x:v>
      </x:c>
      <x:c r="AG23" s="155" t="n">
        <x:v>45323</x:v>
      </x:c>
      <x:c r="AH23" s="153" t="n">
        <x:f>IFERROR(AF23-AF22,"")</x:f>
        <x:v>-0.46999999999999886</x:v>
      </x:c>
      <x:c r="AI23" s="153" t="n">
        <x:v>5.33</x:v>
      </x:c>
      <x:c r="AJ23" s="155" t="n">
        <x:v>45317</x:v>
      </x:c>
      <x:c r="AK23" s="159" t="n">
        <x:v>61033</x:v>
      </x:c>
      <x:c r="AL23" s="154" t="n">
        <x:v>0.13100808805852251</x:v>
      </x:c>
      <x:c r="AM23" s="159" t="n">
        <x:v>-38949</x:v>
      </x:c>
      <x:c r="AN23" s="155" t="n">
        <x:v>45317</x:v>
      </x:c>
      <x:c r="AO23" s="159" t="n">
        <x:v>-2654</x:v>
      </x:c>
      <x:c r="AP23" s="154" t="n">
        <x:v>-0.019146280759214238</x:v>
      </x:c>
      <x:c r="AQ23" s="159" t="n">
        <x:v>-32859</x:v>
      </x:c>
      <x:c r="AR23" s="147" t="str">
        <x:v>美国市场指标与CFTC数据均使用严格早于上金所交易日的最后已发布值</x:v>
      </x:c>
    </x:row>
    <x:row r="24">
      <x:c r="A24" s="155" t="n">
        <x:v>45327</x:v>
      </x:c>
      <x:c r="B24" s="153" t="n">
        <x:v>484</x:v>
      </x:c>
      <x:c r="C24" s="153" t="n">
        <x:v>484</x:v>
      </x:c>
      <x:c r="D24" s="153" t="n">
        <x:v>479.08</x:v>
      </x:c>
      <x:c r="E24" s="153" t="n">
        <x:v>479.11</x:v>
      </x:c>
      <x:c r="F24" s="154" t="n">
        <x:f>IFERROR(E24/E23-1,"")</x:f>
        <x:v>-0.009182090786888586</x:v>
      </x:c>
      <x:c r="G24" s="154" t="n">
        <x:f>IFERROR((C24-D24)/E23,"")</x:f>
        <x:v>0.010174749250336089</x:v>
      </x:c>
      <x:c r="H24" s="153" t="n">
        <x:v>481.01</x:v>
      </x:c>
      <x:c r="I24" s="158" t="n">
        <x:v>15799.46</x:v>
      </x:c>
      <x:c r="J24" s="158" t="n">
        <x:v>7599774074.6</x:v>
      </x:c>
      <x:c r="K24" s="158"/>
      <x:c r="L24" s="153" t="n">
        <x:v>5949</x:v>
      </x:c>
      <x:c r="M24" s="153" t="n">
        <x:v>5955</x:v>
      </x:c>
      <x:c r="N24" s="153" t="n">
        <x:v>5850</x:v>
      </x:c>
      <x:c r="O24" s="153" t="n">
        <x:v>5861</x:v>
      </x:c>
      <x:c r="P24" s="154" t="n">
        <x:f>IFERROR(O24/O23-1,"")</x:f>
        <x:v>-0.013299663299663256</x:v>
      </x:c>
      <x:c r="Q24" s="154" t="n">
        <x:f>IFERROR((M24-N24)/O23,"")</x:f>
        <x:v>0.017676767676767676</x:v>
      </x:c>
      <x:c r="R24" s="153" t="n">
        <x:v>5876</x:v>
      </x:c>
      <x:c r="S24" s="158" t="n">
        <x:v>389722</x:v>
      </x:c>
      <x:c r="T24" s="158" t="n">
        <x:v>2290109652</x:v>
      </x:c>
      <x:c r="U24" s="158" t="n">
        <x:v>4850708</x:v>
      </x:c>
      <x:c r="V24" s="153" t="n">
        <x:f>IFERROR(E24*1000/O24,"")</x:f>
        <x:v>81.74543593243475</x:v>
      </x:c>
      <x:c r="W24" s="153" t="n">
        <x:v>4.03</x:v>
      </x:c>
      <x:c r="X24" s="155" t="n">
        <x:v>45324</x:v>
      </x:c>
      <x:c r="Y24" s="153" t="n">
        <x:v>1.82</x:v>
      </x:c>
      <x:c r="Z24" s="155" t="n">
        <x:v>45324</x:v>
      </x:c>
      <x:c r="AA24" s="153" t="n">
        <x:f>IFERROR(Y24-Y23,"")</x:f>
        <x:v>0.14000000000000012</x:v>
      </x:c>
      <x:c r="AB24" s="153" t="n">
        <x:v>2.21</x:v>
      </x:c>
      <x:c r="AC24" s="153" t="n">
        <x:v>120.902</x:v>
      </x:c>
      <x:c r="AD24" s="155" t="n">
        <x:v>45324</x:v>
      </x:c>
      <x:c r="AE24" s="154" t="n">
        <x:f>IFERROR(AC24/AC23-1,"")</x:f>
        <x:v>0.004724370187852989</x:v>
      </x:c>
      <x:c r="AF24" s="153" t="n">
        <x:v>13.85</x:v>
      </x:c>
      <x:c r="AG24" s="155" t="n">
        <x:v>45324</x:v>
      </x:c>
      <x:c r="AH24" s="153" t="n">
        <x:f>IFERROR(AF24-AF23,"")</x:f>
        <x:v>-0.030000000000001137</x:v>
      </x:c>
      <x:c r="AI24" s="153" t="n">
        <x:v>5.33</x:v>
      </x:c>
      <x:c r="AJ24" s="155" t="n">
        <x:v>45324</x:v>
      </x:c>
      <x:c r="AK24" s="159" t="n">
        <x:v>56024</x:v>
      </x:c>
      <x:c r="AL24" s="154" t="n">
        <x:v>0.1301890650852373</x:v>
      </x:c>
      <x:c r="AM24" s="159" t="n">
        <x:v>-34359</x:v>
      </x:c>
      <x:c r="AN24" s="155" t="n">
        <x:v>45324</x:v>
      </x:c>
      <x:c r="AO24" s="159" t="n">
        <x:v>4331</x:v>
      </x:c>
      <x:c r="AP24" s="154" t="n">
        <x:v>0.03171871338176705</x:v>
      </x:c>
      <x:c r="AQ24" s="159" t="n">
        <x:v>-36033</x:v>
      </x:c>
      <x:c r="AR24" s="147" t="str">
        <x:v>美国市场指标与CFTC数据均使用严格早于上金所交易日的最后已发布值</x:v>
      </x:c>
    </x:row>
    <x:row r="25">
      <x:c r="A25" s="155" t="n">
        <x:v>45328</x:v>
      </x:c>
      <x:c r="B25" s="153" t="n">
        <x:v>480.79</x:v>
      </x:c>
      <x:c r="C25" s="153" t="n">
        <x:v>480.79</x:v>
      </x:c>
      <x:c r="D25" s="153" t="n">
        <x:v>477</x:v>
      </x:c>
      <x:c r="E25" s="153" t="n">
        <x:v>478.81</x:v>
      </x:c>
      <x:c r="F25" s="154" t="n">
        <x:f>IFERROR(E25/E24-1,"")</x:f>
        <x:v>-0.0006261610068669654</x:v>
      </x:c>
      <x:c r="G25" s="154" t="n">
        <x:f>IFERROR((C25-D25)/E24,"")</x:f>
        <x:v>0.0079105007200852</x:v>
      </x:c>
      <x:c r="H25" s="153" t="n">
        <x:v>479.57</x:v>
      </x:c>
      <x:c r="I25" s="158" t="n">
        <x:v>9541.94</x:v>
      </x:c>
      <x:c r="J25" s="158" t="n">
        <x:v>4576070391.6</x:v>
      </x:c>
      <x:c r="K25" s="158"/>
      <x:c r="L25" s="153" t="n">
        <x:v>5860</x:v>
      </x:c>
      <x:c r="M25" s="153" t="n">
        <x:v>5860</x:v>
      </x:c>
      <x:c r="N25" s="153" t="n">
        <x:v>5820</x:v>
      </x:c>
      <x:c r="O25" s="153" t="n">
        <x:v>5836</x:v>
      </x:c>
      <x:c r="P25" s="154" t="n">
        <x:f>IFERROR(O25/O24-1,"")</x:f>
        <x:v>-0.004265483705852224</x:v>
      </x:c>
      <x:c r="Q25" s="154" t="n">
        <x:f>IFERROR((M25-N25)/O24,"")</x:f>
        <x:v>0.00682477392936359</x:v>
      </x:c>
      <x:c r="R25" s="153" t="n">
        <x:v>5838</x:v>
      </x:c>
      <x:c r="S25" s="158" t="n">
        <x:v>292104</x:v>
      </x:c>
      <x:c r="T25" s="158" t="n">
        <x:v>1705570526</x:v>
      </x:c>
      <x:c r="U25" s="158" t="n">
        <x:v>4728210</x:v>
      </x:c>
      <x:c r="V25" s="153" t="n">
        <x:f>IFERROR(E25*1000/O25,"")</x:f>
        <x:v>82.0442083618917</x:v>
      </x:c>
      <x:c r="W25" s="153" t="n">
        <x:v>4.17</x:v>
      </x:c>
      <x:c r="X25" s="155" t="n">
        <x:v>45327</x:v>
      </x:c>
      <x:c r="Y25" s="153" t="n">
        <x:v>1.9</x:v>
      </x:c>
      <x:c r="Z25" s="155" t="n">
        <x:v>45327</x:v>
      </x:c>
      <x:c r="AA25" s="153" t="n">
        <x:f>IFERROR(Y25-Y24,"")</x:f>
        <x:v>0.07999999999999985</x:v>
      </x:c>
      <x:c r="AB25" s="153" t="n">
        <x:v>2.27</x:v>
      </x:c>
      <x:c r="AC25" s="153" t="n">
        <x:v>121.349</x:v>
      </x:c>
      <x:c r="AD25" s="155" t="n">
        <x:v>45327</x:v>
      </x:c>
      <x:c r="AE25" s="154" t="n">
        <x:f>IFERROR(AC25/AC24-1,"")</x:f>
        <x:v>0.0036972093100196</x:v>
      </x:c>
      <x:c r="AF25" s="153" t="n">
        <x:v>13.67</x:v>
      </x:c>
      <x:c r="AG25" s="155" t="n">
        <x:v>45327</x:v>
      </x:c>
      <x:c r="AH25" s="153" t="n">
        <x:f>IFERROR(AF25-AF24,"")</x:f>
        <x:v>-0.17999999999999972</x:v>
      </x:c>
      <x:c r="AI25" s="153" t="n">
        <x:v>5.33</x:v>
      </x:c>
      <x:c r="AJ25" s="155" t="n">
        <x:v>45324</x:v>
      </x:c>
      <x:c r="AK25" s="159" t="n">
        <x:v>56024</x:v>
      </x:c>
      <x:c r="AL25" s="154" t="n">
        <x:v>0.1301890650852373</x:v>
      </x:c>
      <x:c r="AM25" s="159" t="n">
        <x:v>-34359</x:v>
      </x:c>
      <x:c r="AN25" s="155" t="n">
        <x:v>45324</x:v>
      </x:c>
      <x:c r="AO25" s="159" t="n">
        <x:v>4331</x:v>
      </x:c>
      <x:c r="AP25" s="154" t="n">
        <x:v>0.03171871338176705</x:v>
      </x:c>
      <x:c r="AQ25" s="159" t="n">
        <x:v>-36033</x:v>
      </x:c>
      <x:c r="AR25" s="147" t="str">
        <x:v>美国市场指标与CFTC数据均使用严格早于上金所交易日的最后已发布值</x:v>
      </x:c>
    </x:row>
    <x:row r="26">
      <x:c r="A26" s="155" t="n">
        <x:v>45329</x:v>
      </x:c>
      <x:c r="B26" s="153" t="n">
        <x:v>479.8</x:v>
      </x:c>
      <x:c r="C26" s="153" t="n">
        <x:v>481.28</x:v>
      </x:c>
      <x:c r="D26" s="153" t="n">
        <x:v>478.6</x:v>
      </x:c>
      <x:c r="E26" s="153" t="n">
        <x:v>480.08</x:v>
      </x:c>
      <x:c r="F26" s="154" t="n">
        <x:f>IFERROR(E26/E25-1,"")</x:f>
        <x:v>0.0026524090975543757</x:v>
      </x:c>
      <x:c r="G26" s="154" t="n">
        <x:f>IFERROR((C26-D26)/E25,"")</x:f>
        <x:v>0.005597209749169712</x:v>
      </x:c>
      <x:c r="H26" s="153" t="n">
        <x:v>480.66</x:v>
      </x:c>
      <x:c r="I26" s="158" t="n">
        <x:v>8017.42</x:v>
      </x:c>
      <x:c r="J26" s="158" t="n">
        <x:v>3853679823.6</x:v>
      </x:c>
      <x:c r="K26" s="158"/>
      <x:c r="L26" s="153" t="n">
        <x:v>5834</x:v>
      </x:c>
      <x:c r="M26" s="153" t="n">
        <x:v>5847</x:v>
      </x:c>
      <x:c r="N26" s="153" t="n">
        <x:v>5783</x:v>
      </x:c>
      <x:c r="O26" s="153" t="n">
        <x:v>5795</x:v>
      </x:c>
      <x:c r="P26" s="154" t="n">
        <x:f>IFERROR(O26/O25-1,"")</x:f>
        <x:v>-0.007025359835503786</x:v>
      </x:c>
      <x:c r="Q26" s="154" t="n">
        <x:f>IFERROR((M26-N26)/O25,"")</x:f>
        <x:v>0.010966415352981495</x:v>
      </x:c>
      <x:c r="R26" s="153" t="n">
        <x:v>5804</x:v>
      </x:c>
      <x:c r="S26" s="158" t="n">
        <x:v>398624</x:v>
      </x:c>
      <x:c r="T26" s="158" t="n">
        <x:v>2313905546</x:v>
      </x:c>
      <x:c r="U26" s="158" t="n">
        <x:v>4748856</x:v>
      </x:c>
      <x:c r="V26" s="153" t="n">
        <x:f>IFERROR(E26*1000/O26,"")</x:f>
        <x:v>82.84383088869716</x:v>
      </x:c>
      <x:c r="W26" s="153" t="n">
        <x:v>4.09</x:v>
      </x:c>
      <x:c r="X26" s="155" t="n">
        <x:v>45328</x:v>
      </x:c>
      <x:c r="Y26" s="153" t="n">
        <x:v>1.85</x:v>
      </x:c>
      <x:c r="Z26" s="155" t="n">
        <x:v>45328</x:v>
      </x:c>
      <x:c r="AA26" s="153" t="n">
        <x:f>IFERROR(Y26-Y25,"")</x:f>
        <x:v>-0.04999999999999982</x:v>
      </x:c>
      <x:c r="AB26" s="153" t="n">
        <x:v>2.24</x:v>
      </x:c>
      <x:c r="AC26" s="153" t="n">
        <x:v>120.9588</x:v>
      </x:c>
      <x:c r="AD26" s="155" t="n">
        <x:v>45328</x:v>
      </x:c>
      <x:c r="AE26" s="154" t="n">
        <x:f>IFERROR(AC26/AC25-1,"")</x:f>
        <x:v>-0.0032155188753101305</x:v>
      </x:c>
      <x:c r="AF26" s="153" t="n">
        <x:v>13.06</x:v>
      </x:c>
      <x:c r="AG26" s="155" t="n">
        <x:v>45328</x:v>
      </x:c>
      <x:c r="AH26" s="153" t="n">
        <x:f>IFERROR(AF26-AF25,"")</x:f>
        <x:v>-0.6099999999999994</x:v>
      </x:c>
      <x:c r="AI26" s="153" t="n">
        <x:v>5.33</x:v>
      </x:c>
      <x:c r="AJ26" s="155" t="n">
        <x:v>45324</x:v>
      </x:c>
      <x:c r="AK26" s="159" t="n">
        <x:v>56024</x:v>
      </x:c>
      <x:c r="AL26" s="154" t="n">
        <x:v>0.1301890650852373</x:v>
      </x:c>
      <x:c r="AM26" s="159" t="n">
        <x:v>-34359</x:v>
      </x:c>
      <x:c r="AN26" s="155" t="n">
        <x:v>45324</x:v>
      </x:c>
      <x:c r="AO26" s="159" t="n">
        <x:v>4331</x:v>
      </x:c>
      <x:c r="AP26" s="154" t="n">
        <x:v>0.03171871338176705</x:v>
      </x:c>
      <x:c r="AQ26" s="159" t="n">
        <x:v>-36033</x:v>
      </x:c>
      <x:c r="AR26" s="147" t="str">
        <x:v>美国市场指标与CFTC数据均使用严格早于上金所交易日的最后已发布值</x:v>
      </x:c>
    </x:row>
    <x:row r="27">
      <x:c r="A27" s="155" t="n">
        <x:v>45330</x:v>
      </x:c>
      <x:c r="B27" s="153" t="n">
        <x:v>479.11</x:v>
      </x:c>
      <x:c r="C27" s="153" t="n">
        <x:v>482.49</x:v>
      </x:c>
      <x:c r="D27" s="153" t="n">
        <x:v>479</x:v>
      </x:c>
      <x:c r="E27" s="153" t="n">
        <x:v>480.58</x:v>
      </x:c>
      <x:c r="F27" s="154" t="n">
        <x:f>IFERROR(E27/E26-1,"")</x:f>
        <x:v>0.0010414930844859782</x:v>
      </x:c>
      <x:c r="G27" s="154" t="n">
        <x:f>IFERROR((C27-D27)/E26,"")</x:f>
        <x:v>0.007269621729711734</x:v>
      </x:c>
      <x:c r="H27" s="153" t="n">
        <x:v>481.14</x:v>
      </x:c>
      <x:c r="I27" s="158" t="n">
        <x:v>10063.5</x:v>
      </x:c>
      <x:c r="J27" s="158" t="n">
        <x:v>4842010754.6</x:v>
      </x:c>
      <x:c r="K27" s="158"/>
      <x:c r="L27" s="153" t="n">
        <x:v>5811</x:v>
      </x:c>
      <x:c r="M27" s="153" t="n">
        <x:v>5845</x:v>
      </x:c>
      <x:c r="N27" s="153" t="n">
        <x:v>5789</x:v>
      </x:c>
      <x:c r="O27" s="153" t="n">
        <x:v>5839</x:v>
      </x:c>
      <x:c r="P27" s="154" t="n">
        <x:f>IFERROR(O27/O26-1,"")</x:f>
        <x:v>0.0075927523727350454</x:v>
      </x:c>
      <x:c r="Q27" s="154" t="n">
        <x:f>IFERROR((M27-N27)/O26,"")</x:f>
        <x:v>0.009663503019844694</x:v>
      </x:c>
      <x:c r="R27" s="153" t="n">
        <x:v>5817</x:v>
      </x:c>
      <x:c r="S27" s="158" t="n">
        <x:v>208414</x:v>
      </x:c>
      <x:c r="T27" s="158" t="n">
        <x:v>1212472246</x:v>
      </x:c>
      <x:c r="U27" s="158" t="n">
        <x:v>4712518</x:v>
      </x:c>
      <x:c r="V27" s="153" t="n">
        <x:f>IFERROR(E27*1000/O27,"")</x:f>
        <x:v>82.30518924473368</x:v>
      </x:c>
      <x:c r="W27" s="153" t="n">
        <x:v>4.09</x:v>
      </x:c>
      <x:c r="X27" s="155" t="n">
        <x:v>45329</x:v>
      </x:c>
      <x:c r="Y27" s="153" t="n">
        <x:v>1.86</x:v>
      </x:c>
      <x:c r="Z27" s="155" t="n">
        <x:v>45329</x:v>
      </x:c>
      <x:c r="AA27" s="153" t="n">
        <x:f>IFERROR(Y27-Y26,"")</x:f>
        <x:v>0.010000000000000009</x:v>
      </x:c>
      <x:c r="AB27" s="153" t="n">
        <x:v>2.23</x:v>
      </x:c>
      <x:c r="AC27" s="153" t="n">
        <x:v>120.9049</x:v>
      </x:c>
      <x:c r="AD27" s="155" t="n">
        <x:v>45329</x:v>
      </x:c>
      <x:c r="AE27" s="154" t="n">
        <x:f>IFERROR(AC27/AC26-1,"")</x:f>
        <x:v>-0.00044560627254897067</x:v>
      </x:c>
      <x:c r="AF27" s="153" t="n">
        <x:v>12.83</x:v>
      </x:c>
      <x:c r="AG27" s="155" t="n">
        <x:v>45329</x:v>
      </x:c>
      <x:c r="AH27" s="153" t="n">
        <x:f>IFERROR(AF27-AF26,"")</x:f>
        <x:v>-0.23000000000000043</x:v>
      </x:c>
      <x:c r="AI27" s="153" t="n">
        <x:v>5.33</x:v>
      </x:c>
      <x:c r="AJ27" s="155" t="n">
        <x:v>45324</x:v>
      </x:c>
      <x:c r="AK27" s="159" t="n">
        <x:v>56024</x:v>
      </x:c>
      <x:c r="AL27" s="154" t="n">
        <x:v>0.1301890650852373</x:v>
      </x:c>
      <x:c r="AM27" s="159" t="n">
        <x:v>-34359</x:v>
      </x:c>
      <x:c r="AN27" s="155" t="n">
        <x:v>45324</x:v>
      </x:c>
      <x:c r="AO27" s="159" t="n">
        <x:v>4331</x:v>
      </x:c>
      <x:c r="AP27" s="154" t="n">
        <x:v>0.03171871338176705</x:v>
      </x:c>
      <x:c r="AQ27" s="159" t="n">
        <x:v>-36033</x:v>
      </x:c>
      <x:c r="AR27" s="147" t="str">
        <x:v>美国市场指标与CFTC数据均使用严格早于上金所交易日的最后已发布值</x:v>
      </x:c>
    </x:row>
    <x:row r="28">
      <x:c r="A28" s="155" t="n">
        <x:v>45331</x:v>
      </x:c>
      <x:c r="B28" s="153" t="n">
        <x:v>479.2</x:v>
      </x:c>
      <x:c r="C28" s="153" t="n">
        <x:v>482.2</x:v>
      </x:c>
      <x:c r="D28" s="153" t="n">
        <x:v>478.48</x:v>
      </x:c>
      <x:c r="E28" s="153" t="n">
        <x:v>479.99</x:v>
      </x:c>
      <x:c r="F28" s="154" t="n">
        <x:f>IFERROR(E28/E27-1,"")</x:f>
        <x:v>-0.001227683216113773</x:v>
      </x:c>
      <x:c r="G28" s="154" t="n">
        <x:f>IFERROR((C28-D28)/E27,"")</x:f>
        <x:v>0.007740646718548359</x:v>
      </x:c>
      <x:c r="H28" s="153" t="n">
        <x:v>480.73</x:v>
      </x:c>
      <x:c r="I28" s="158" t="n">
        <x:v>5420</x:v>
      </x:c>
      <x:c r="J28" s="158" t="n">
        <x:v>2605597329.2</x:v>
      </x:c>
      <x:c r="K28" s="158"/>
      <x:c r="L28" s="153" t="n">
        <x:v>5839</x:v>
      </x:c>
      <x:c r="M28" s="153" t="n">
        <x:v>5893</x:v>
      </x:c>
      <x:c r="N28" s="153" t="n">
        <x:v>5802</x:v>
      </x:c>
      <x:c r="O28" s="153" t="n">
        <x:v>5873</x:v>
      </x:c>
      <x:c r="P28" s="154" t="n">
        <x:f>IFERROR(O28/O27-1,"")</x:f>
        <x:v>0.005822914882685382</x:v>
      </x:c>
      <x:c r="Q28" s="154" t="n">
        <x:f>IFERROR((M28-N28)/O27,"")</x:f>
        <x:v>0.015584860421305018</x:v>
      </x:c>
      <x:c r="R28" s="153" t="n">
        <x:v>5845</x:v>
      </x:c>
      <x:c r="S28" s="158" t="n">
        <x:v>73756</x:v>
      </x:c>
      <x:c r="T28" s="158" t="n">
        <x:v>431154974</x:v>
      </x:c>
      <x:c r="U28" s="158" t="n">
        <x:v>4707930</x:v>
      </x:c>
      <x:c r="V28" s="153" t="n">
        <x:f>IFERROR(E28*1000/O28,"")</x:f>
        <x:v>81.72824791418356</x:v>
      </x:c>
      <x:c r="W28" s="153" t="n">
        <x:v>4.15</x:v>
      </x:c>
      <x:c r="X28" s="155" t="n">
        <x:v>45330</x:v>
      </x:c>
      <x:c r="Y28" s="153" t="n">
        <x:v>1.91</x:v>
      </x:c>
      <x:c r="Z28" s="155" t="n">
        <x:v>45330</x:v>
      </x:c>
      <x:c r="AA28" s="153" t="n">
        <x:f>IFERROR(Y28-Y27,"")</x:f>
        <x:v>0.04999999999999982</x:v>
      </x:c>
      <x:c r="AB28" s="153" t="n">
        <x:v>2.24</x:v>
      </x:c>
      <x:c r="AC28" s="153" t="n">
        <x:v>121.0798</x:v>
      </x:c>
      <x:c r="AD28" s="155" t="n">
        <x:v>45330</x:v>
      </x:c>
      <x:c r="AE28" s="154" t="n">
        <x:f>IFERROR(AC28/AC27-1,"")</x:f>
        <x:v>0.0014465914946375502</x:v>
      </x:c>
      <x:c r="AF28" s="153" t="n">
        <x:v>12.79</x:v>
      </x:c>
      <x:c r="AG28" s="155" t="n">
        <x:v>45330</x:v>
      </x:c>
      <x:c r="AH28" s="153" t="n">
        <x:f>IFERROR(AF28-AF27,"")</x:f>
        <x:v>-0.040000000000000924</x:v>
      </x:c>
      <x:c r="AI28" s="153" t="n">
        <x:v>5.33</x:v>
      </x:c>
      <x:c r="AJ28" s="155" t="n">
        <x:v>45324</x:v>
      </x:c>
      <x:c r="AK28" s="159" t="n">
        <x:v>56024</x:v>
      </x:c>
      <x:c r="AL28" s="154" t="n">
        <x:v>0.1301890650852373</x:v>
      </x:c>
      <x:c r="AM28" s="159" t="n">
        <x:v>-34359</x:v>
      </x:c>
      <x:c r="AN28" s="155" t="n">
        <x:v>45324</x:v>
      </x:c>
      <x:c r="AO28" s="159" t="n">
        <x:v>4331</x:v>
      </x:c>
      <x:c r="AP28" s="154" t="n">
        <x:v>0.03171871338176705</x:v>
      </x:c>
      <x:c r="AQ28" s="159" t="n">
        <x:v>-36033</x:v>
      </x:c>
      <x:c r="AR28" s="147" t="str">
        <x:v>美国市场指标与CFTC数据均使用严格早于上金所交易日的最后已发布值</x:v>
      </x:c>
    </x:row>
    <x:row r="29">
      <x:c r="A29" s="155" t="n">
        <x:v>45341</x:v>
      </x:c>
      <x:c r="B29" s="153" t="n">
        <x:v>478.1</x:v>
      </x:c>
      <x:c r="C29" s="153" t="n">
        <x:v>481.9</x:v>
      </x:c>
      <x:c r="D29" s="153" t="n">
        <x:v>477.5</x:v>
      </x:c>
      <x:c r="E29" s="153" t="n">
        <x:v>479.52</x:v>
      </x:c>
      <x:c r="F29" s="154" t="n">
        <x:f>IFERROR(E29/E28-1,"")</x:f>
        <x:v>-0.0009791870663973246</x:v>
      </x:c>
      <x:c r="G29" s="154" t="n">
        <x:f>IFERROR((C29-D29)/E28,"")</x:f>
        <x:v>0.009166857642867511</x:v>
      </x:c>
      <x:c r="H29" s="153" t="n">
        <x:v>479.37</x:v>
      </x:c>
      <x:c r="I29" s="158" t="n">
        <x:v>31702.54</x:v>
      </x:c>
      <x:c r="J29" s="158" t="n">
        <x:v>15197311957.2</x:v>
      </x:c>
      <x:c r="K29" s="158"/>
      <x:c r="L29" s="153" t="n">
        <x:v>5966</x:v>
      </x:c>
      <x:c r="M29" s="153" t="n">
        <x:v>5985</x:v>
      </x:c>
      <x:c r="N29" s="153" t="n">
        <x:v>5943</x:v>
      </x:c>
      <x:c r="O29" s="153" t="n">
        <x:v>5955</x:v>
      </x:c>
      <x:c r="P29" s="154" t="n">
        <x:f>IFERROR(O29/O28-1,"")</x:f>
        <x:v>0.013962199897837646</x:v>
      </x:c>
      <x:c r="Q29" s="154" t="n">
        <x:f>IFERROR((M29-N29)/O28,"")</x:f>
        <x:v>0.007151370679380214</x:v>
      </x:c>
      <x:c r="R29" s="153" t="n">
        <x:v>5961</x:v>
      </x:c>
      <x:c r="S29" s="158" t="n">
        <x:v>366704</x:v>
      </x:c>
      <x:c r="T29" s="158" t="n">
        <x:v>2186192500</x:v>
      </x:c>
      <x:c r="U29" s="158" t="n">
        <x:v>4726284</x:v>
      </x:c>
      <x:c r="V29" s="153" t="n">
        <x:f>IFERROR(E29*1000/O29,"")</x:f>
        <x:v>80.52392947103274</x:v>
      </x:c>
      <x:c r="W29" s="153" t="n">
        <x:v>4.3</x:v>
      </x:c>
      <x:c r="X29" s="155" t="n">
        <x:v>45338</x:v>
      </x:c>
      <x:c r="Y29" s="153" t="n">
        <x:v>1.97</x:v>
      </x:c>
      <x:c r="Z29" s="155" t="n">
        <x:v>45338</x:v>
      </x:c>
      <x:c r="AA29" s="153" t="n">
        <x:f>IFERROR(Y29-Y28,"")</x:f>
        <x:v>0.06000000000000005</x:v>
      </x:c>
      <x:c r="AB29" s="153" t="n">
        <x:v>2.33</x:v>
      </x:c>
      <x:c r="AC29" s="153" t="n">
        <x:v>121.1505</x:v>
      </x:c>
      <x:c r="AD29" s="155" t="n">
        <x:v>45338</x:v>
      </x:c>
      <x:c r="AE29" s="154" t="n">
        <x:f>IFERROR(AC29/AC28-1,"")</x:f>
        <x:v>0.0005839124280018204</x:v>
      </x:c>
      <x:c r="AF29" s="153" t="n">
        <x:v>14.24</x:v>
      </x:c>
      <x:c r="AG29" s="155" t="n">
        <x:v>45338</x:v>
      </x:c>
      <x:c r="AH29" s="153" t="n">
        <x:f>IFERROR(AF29-AF28,"")</x:f>
        <x:v>1.450000000000001</x:v>
      </x:c>
      <x:c r="AI29" s="153" t="n">
        <x:v>5.33</x:v>
      </x:c>
      <x:c r="AJ29" s="155" t="n">
        <x:v>45338</x:v>
      </x:c>
      <x:c r="AK29" s="159" t="n">
        <x:v>34176</x:v>
      </x:c>
      <x:c r="AL29" s="154" t="n">
        <x:v>0.0812144140376225</x:v>
      </x:c>
      <x:c r="AM29" s="159" t="n">
        <x:v>-32243</x:v>
      </x:c>
      <x:c r="AN29" s="155" t="n">
        <x:v>45338</x:v>
      </x:c>
      <x:c r="AO29" s="159" t="n">
        <x:v>-8983</x:v>
      </x:c>
      <x:c r="AP29" s="154" t="n">
        <x:v>-0.0588879274176631</x:v>
      </x:c>
      <x:c r="AQ29" s="159" t="n">
        <x:v>-31510</x:v>
      </x:c>
      <x:c r="AR29" s="147" t="str">
        <x:v>美国市场指标与CFTC数据均使用严格早于上金所交易日的最后已发布值</x:v>
      </x:c>
    </x:row>
    <x:row r="30">
      <x:c r="A30" s="155" t="n">
        <x:v>45342</x:v>
      </x:c>
      <x:c r="B30" s="153" t="n">
        <x:v>479.52</x:v>
      </x:c>
      <x:c r="C30" s="153" t="n">
        <x:v>480.3</x:v>
      </x:c>
      <x:c r="D30" s="153" t="n">
        <x:v>479.08</x:v>
      </x:c>
      <x:c r="E30" s="153" t="n">
        <x:v>479.66</x:v>
      </x:c>
      <x:c r="F30" s="154" t="n">
        <x:f>IFERROR(E30/E29-1,"")</x:f>
        <x:v>0.00029195862529207695</x:v>
      </x:c>
      <x:c r="G30" s="154" t="n">
        <x:f>IFERROR((C30-D30)/E29,"")</x:f>
        <x:v>0.002544210877544268</x:v>
      </x:c>
      <x:c r="H30" s="153" t="n">
        <x:v>479.67</x:v>
      </x:c>
      <x:c r="I30" s="158" t="n">
        <x:v>25552.06</x:v>
      </x:c>
      <x:c r="J30" s="158" t="n">
        <x:v>12256712617.8</x:v>
      </x:c>
      <x:c r="K30" s="158"/>
      <x:c r="L30" s="153" t="n">
        <x:v>5955</x:v>
      </x:c>
      <x:c r="M30" s="153" t="n">
        <x:v>5957</x:v>
      </x:c>
      <x:c r="N30" s="153" t="n">
        <x:v>5920</x:v>
      </x:c>
      <x:c r="O30" s="153" t="n">
        <x:v>5936</x:v>
      </x:c>
      <x:c r="P30" s="154" t="n">
        <x:f>IFERROR(O30/O29-1,"")</x:f>
        <x:v>-0.003190596137699453</x:v>
      </x:c>
      <x:c r="Q30" s="154" t="n">
        <x:f>IFERROR((M30-N30)/O29,"")</x:f>
        <x:v>0.006213266162888329</x:v>
      </x:c>
      <x:c r="R30" s="153" t="n">
        <x:v>5938</x:v>
      </x:c>
      <x:c r="S30" s="158" t="n">
        <x:v>229436</x:v>
      </x:c>
      <x:c r="T30" s="158" t="n">
        <x:v>1362618098</x:v>
      </x:c>
      <x:c r="U30" s="158" t="n">
        <x:v>4742580</x:v>
      </x:c>
      <x:c r="V30" s="153" t="n">
        <x:f>IFERROR(E30*1000/O30,"")</x:f>
        <x:v>80.80525606469003</x:v>
      </x:c>
      <x:c r="W30" s="153" t="n">
        <x:v>4.3</x:v>
      </x:c>
      <x:c r="X30" s="155" t="n">
        <x:v>45338</x:v>
      </x:c>
      <x:c r="Y30" s="153" t="n">
        <x:v>1.97</x:v>
      </x:c>
      <x:c r="Z30" s="155" t="n">
        <x:v>45338</x:v>
      </x:c>
      <x:c r="AA30" s="153" t="n">
        <x:f>IFERROR(Y30-Y29,"")</x:f>
        <x:v>0</x:v>
      </x:c>
      <x:c r="AB30" s="153" t="n">
        <x:v>2.33</x:v>
      </x:c>
      <x:c r="AC30" s="153" t="n">
        <x:v>121.1505</x:v>
      </x:c>
      <x:c r="AD30" s="155" t="n">
        <x:v>45338</x:v>
      </x:c>
      <x:c r="AE30" s="154" t="n">
        <x:f>IFERROR(AC30/AC29-1,"")</x:f>
        <x:v>0</x:v>
      </x:c>
      <x:c r="AF30" s="153" t="n">
        <x:v>14.71</x:v>
      </x:c>
      <x:c r="AG30" s="155" t="n">
        <x:v>45341</x:v>
      </x:c>
      <x:c r="AH30" s="153" t="n">
        <x:f>IFERROR(AF30-AF29,"")</x:f>
        <x:v>0.47000000000000064</x:v>
      </x:c>
      <x:c r="AI30" s="153" t="n">
        <x:v>5.33</x:v>
      </x:c>
      <x:c r="AJ30" s="155" t="n">
        <x:v>45338</x:v>
      </x:c>
      <x:c r="AK30" s="159" t="n">
        <x:v>34176</x:v>
      </x:c>
      <x:c r="AL30" s="154" t="n">
        <x:v>0.0812144140376225</x:v>
      </x:c>
      <x:c r="AM30" s="159" t="n">
        <x:v>-32243</x:v>
      </x:c>
      <x:c r="AN30" s="155" t="n">
        <x:v>45338</x:v>
      </x:c>
      <x:c r="AO30" s="159" t="n">
        <x:v>-8983</x:v>
      </x:c>
      <x:c r="AP30" s="154" t="n">
        <x:v>-0.0588879274176631</x:v>
      </x:c>
      <x:c r="AQ30" s="159" t="n">
        <x:v>-31510</x:v>
      </x:c>
      <x:c r="AR30" s="147" t="str">
        <x:v>美国市场指标与CFTC数据均使用严格早于上金所交易日的最后已发布值</x:v>
      </x:c>
    </x:row>
    <x:row r="31">
      <x:c r="A31" s="155" t="n">
        <x:v>45343</x:v>
      </x:c>
      <x:c r="B31" s="153" t="n">
        <x:v>480.95</x:v>
      </x:c>
      <x:c r="C31" s="153" t="n">
        <x:v>480.95</x:v>
      </x:c>
      <x:c r="D31" s="153" t="n">
        <x:v>479.31</x:v>
      </x:c>
      <x:c r="E31" s="153" t="n">
        <x:v>479.57</x:v>
      </x:c>
      <x:c r="F31" s="154" t="n">
        <x:f>IFERROR(E31/E30-1,"")</x:f>
        <x:v>-0.0001876329066422544</x:v>
      </x:c>
      <x:c r="G31" s="154" t="n">
        <x:f>IFERROR((C31-D31)/E30,"")</x:f>
        <x:v>0.003419088521035705</x:v>
      </x:c>
      <x:c r="H31" s="153" t="n">
        <x:v>480.07</x:v>
      </x:c>
      <x:c r="I31" s="158" t="n">
        <x:v>13918.46</x:v>
      </x:c>
      <x:c r="J31" s="158" t="n">
        <x:v>6681917734.8</x:v>
      </x:c>
      <x:c r="K31" s="158"/>
      <x:c r="L31" s="153" t="n">
        <x:v>5949</x:v>
      </x:c>
      <x:c r="M31" s="153" t="n">
        <x:v>5966</x:v>
      </x:c>
      <x:c r="N31" s="153" t="n">
        <x:v>5942</x:v>
      </x:c>
      <x:c r="O31" s="153" t="n">
        <x:v>5956</x:v>
      </x:c>
      <x:c r="P31" s="154" t="n">
        <x:f>IFERROR(O31/O30-1,"")</x:f>
        <x:v>0.003369272237196741</x:v>
      </x:c>
      <x:c r="Q31" s="154" t="n">
        <x:f>IFERROR((M31-N31)/O30,"")</x:f>
        <x:v>0.004043126684636119</x:v>
      </x:c>
      <x:c r="R31" s="153" t="n">
        <x:v>5955</x:v>
      </x:c>
      <x:c r="S31" s="158" t="n">
        <x:v>387598</x:v>
      </x:c>
      <x:c r="T31" s="158" t="n">
        <x:v>2308354248</x:v>
      </x:c>
      <x:c r="U31" s="158" t="n">
        <x:v>4858062</x:v>
      </x:c>
      <x:c r="V31" s="153" t="n">
        <x:f>IFERROR(E31*1000/O31,"")</x:f>
        <x:v>80.51880456682338</x:v>
      </x:c>
      <x:c r="W31" s="153" t="n">
        <x:v>4.27</x:v>
      </x:c>
      <x:c r="X31" s="155" t="n">
        <x:v>45342</x:v>
      </x:c>
      <x:c r="Y31" s="153" t="n">
        <x:v>1.95</x:v>
      </x:c>
      <x:c r="Z31" s="155" t="n">
        <x:v>45342</x:v>
      </x:c>
      <x:c r="AA31" s="153" t="n">
        <x:f>IFERROR(Y31-Y30,"")</x:f>
        <x:v>-0.020000000000000018</x:v>
      </x:c>
      <x:c r="AB31" s="153" t="n">
        <x:v>2.32</x:v>
      </x:c>
      <x:c r="AC31" s="153" t="n">
        <x:v>121.0199</x:v>
      </x:c>
      <x:c r="AD31" s="155" t="n">
        <x:v>45342</x:v>
      </x:c>
      <x:c r="AE31" s="154" t="n">
        <x:f>IFERROR(AC31/AC30-1,"")</x:f>
        <x:v>-0.0010779980272469514</x:v>
      </x:c>
      <x:c r="AF31" s="153" t="n">
        <x:v>15.42</x:v>
      </x:c>
      <x:c r="AG31" s="155" t="n">
        <x:v>45342</x:v>
      </x:c>
      <x:c r="AH31" s="153" t="n">
        <x:f>IFERROR(AF31-AF30,"")</x:f>
        <x:v>0.7099999999999991</x:v>
      </x:c>
      <x:c r="AI31" s="153" t="n">
        <x:v>5.33</x:v>
      </x:c>
      <x:c r="AJ31" s="155" t="n">
        <x:v>45338</x:v>
      </x:c>
      <x:c r="AK31" s="159" t="n">
        <x:v>34176</x:v>
      </x:c>
      <x:c r="AL31" s="154" t="n">
        <x:v>0.0812144140376225</x:v>
      </x:c>
      <x:c r="AM31" s="159" t="n">
        <x:v>-32243</x:v>
      </x:c>
      <x:c r="AN31" s="155" t="n">
        <x:v>45338</x:v>
      </x:c>
      <x:c r="AO31" s="159" t="n">
        <x:v>-8983</x:v>
      </x:c>
      <x:c r="AP31" s="154" t="n">
        <x:v>-0.0588879274176631</x:v>
      </x:c>
      <x:c r="AQ31" s="159" t="n">
        <x:v>-31510</x:v>
      </x:c>
      <x:c r="AR31" s="147" t="str">
        <x:v>美国市场指标与CFTC数据均使用严格早于上金所交易日的最后已发布值</x:v>
      </x:c>
    </x:row>
    <x:row r="32">
      <x:c r="A32" s="155" t="n">
        <x:v>45344</x:v>
      </x:c>
      <x:c r="B32" s="153" t="n">
        <x:v>479.21</x:v>
      </x:c>
      <x:c r="C32" s="153" t="n">
        <x:v>480.4</x:v>
      </x:c>
      <x:c r="D32" s="153" t="n">
        <x:v>478.4</x:v>
      </x:c>
      <x:c r="E32" s="153" t="n">
        <x:v>479.32</x:v>
      </x:c>
      <x:c r="F32" s="154" t="n">
        <x:f>IFERROR(E32/E31-1,"")</x:f>
        <x:v>-0.0005213003315469589</x:v>
      </x:c>
      <x:c r="G32" s="154" t="n">
        <x:f>IFERROR((C32-D32)/E31,"")</x:f>
        <x:v>0.004170402652376087</x:v>
      </x:c>
      <x:c r="H32" s="153" t="n">
        <x:v>479.21</x:v>
      </x:c>
      <x:c r="I32" s="158" t="n">
        <x:v>17491.5</x:v>
      </x:c>
      <x:c r="J32" s="158" t="n">
        <x:v>8382228438.2</x:v>
      </x:c>
      <x:c r="K32" s="158"/>
      <x:c r="L32" s="153" t="n">
        <x:v>5956</x:v>
      </x:c>
      <x:c r="M32" s="153" t="n">
        <x:v>5959</x:v>
      </x:c>
      <x:c r="N32" s="153" t="n">
        <x:v>5913</x:v>
      </x:c>
      <x:c r="O32" s="153" t="n">
        <x:v>5930</x:v>
      </x:c>
      <x:c r="P32" s="154" t="n">
        <x:f>IFERROR(O32/O31-1,"")</x:f>
        <x:v>-0.004365345869711268</x:v>
      </x:c>
      <x:c r="Q32" s="154" t="n">
        <x:f>IFERROR((M32-N32)/O31,"")</x:f>
        <x:v>0.007723304231027535</x:v>
      </x:c>
      <x:c r="R32" s="153" t="n">
        <x:v>5934</x:v>
      </x:c>
      <x:c r="S32" s="158" t="n">
        <x:v>428864</x:v>
      </x:c>
      <x:c r="T32" s="158" t="n">
        <x:v>2544880390</x:v>
      </x:c>
      <x:c r="U32" s="158" t="n">
        <x:v>5049292</x:v>
      </x:c>
      <x:c r="V32" s="153" t="n">
        <x:f>IFERROR(E32*1000/O32,"")</x:f>
        <x:v>80.82967959527825</x:v>
      </x:c>
      <x:c r="W32" s="153" t="n">
        <x:v>4.32</x:v>
      </x:c>
      <x:c r="X32" s="155" t="n">
        <x:v>45343</x:v>
      </x:c>
      <x:c r="Y32" s="153" t="n">
        <x:v>1.98</x:v>
      </x:c>
      <x:c r="Z32" s="155" t="n">
        <x:v>45343</x:v>
      </x:c>
      <x:c r="AA32" s="153" t="n">
        <x:f>IFERROR(Y32-Y31,"")</x:f>
        <x:v>0.030000000000000027</x:v>
      </x:c>
      <x:c r="AB32" s="153" t="n">
        <x:v>2.34</x:v>
      </x:c>
      <x:c r="AC32" s="153" t="n">
        <x:v>121.0379</x:v>
      </x:c>
      <x:c r="AD32" s="155" t="n">
        <x:v>45343</x:v>
      </x:c>
      <x:c r="AE32" s="154" t="n">
        <x:f>IFERROR(AC32/AC31-1,"")</x:f>
        <x:v>0.00014873586905950198</x:v>
      </x:c>
      <x:c r="AF32" s="153" t="n">
        <x:v>15.34</x:v>
      </x:c>
      <x:c r="AG32" s="155" t="n">
        <x:v>45343</x:v>
      </x:c>
      <x:c r="AH32" s="153" t="n">
        <x:f>IFERROR(AF32-AF31,"")</x:f>
        <x:v>-0.08000000000000007</x:v>
      </x:c>
      <x:c r="AI32" s="153" t="n">
        <x:v>5.33</x:v>
      </x:c>
      <x:c r="AJ32" s="155" t="n">
        <x:v>45338</x:v>
      </x:c>
      <x:c r="AK32" s="159" t="n">
        <x:v>34176</x:v>
      </x:c>
      <x:c r="AL32" s="154" t="n">
        <x:v>0.0812144140376225</x:v>
      </x:c>
      <x:c r="AM32" s="159" t="n">
        <x:v>-32243</x:v>
      </x:c>
      <x:c r="AN32" s="155" t="n">
        <x:v>45338</x:v>
      </x:c>
      <x:c r="AO32" s="159" t="n">
        <x:v>-8983</x:v>
      </x:c>
      <x:c r="AP32" s="154" t="n">
        <x:v>-0.0588879274176631</x:v>
      </x:c>
      <x:c r="AQ32" s="159" t="n">
        <x:v>-31510</x:v>
      </x:c>
      <x:c r="AR32" s="147" t="str">
        <x:v>美国市场指标与CFTC数据均使用严格早于上金所交易日的最后已发布值</x:v>
      </x:c>
    </x:row>
    <x:row r="33">
      <x:c r="A33" s="155" t="n">
        <x:v>45345</x:v>
      </x:c>
      <x:c r="B33" s="153" t="n">
        <x:v>479.21</x:v>
      </x:c>
      <x:c r="C33" s="153" t="n">
        <x:v>480</x:v>
      </x:c>
      <x:c r="D33" s="153" t="n">
        <x:v>477.65</x:v>
      </x:c>
      <x:c r="E33" s="153" t="n">
        <x:v>477.81</x:v>
      </x:c>
      <x:c r="F33" s="154" t="n">
        <x:f>IFERROR(E33/E32-1,"")</x:f>
        <x:v>-0.0031502962530250977</x:v>
      </x:c>
      <x:c r="G33" s="154" t="n">
        <x:f>IFERROR((C33-D33)/E32,"")</x:f>
        <x:v>0.004902778936827219</x:v>
      </x:c>
      <x:c r="H33" s="153" t="n">
        <x:v>478.61</x:v>
      </x:c>
      <x:c r="I33" s="158" t="n">
        <x:v>16090.64</x:v>
      </x:c>
      <x:c r="J33" s="158" t="n">
        <x:v>7701207890.6</x:v>
      </x:c>
      <x:c r="K33" s="158"/>
      <x:c r="L33" s="153" t="n">
        <x:v>5938</x:v>
      </x:c>
      <x:c r="M33" s="153" t="n">
        <x:v>5940</x:v>
      </x:c>
      <x:c r="N33" s="153" t="n">
        <x:v>5866</x:v>
      </x:c>
      <x:c r="O33" s="153" t="n">
        <x:v>5880</x:v>
      </x:c>
      <x:c r="P33" s="154" t="n">
        <x:f>IFERROR(O33/O32-1,"")</x:f>
        <x:v>-0.00843170320404718</x:v>
      </x:c>
      <x:c r="Q33" s="154" t="n">
        <x:f>IFERROR((M33-N33)/O32,"")</x:f>
        <x:v>0.012478920741989882</x:v>
      </x:c>
      <x:c r="R33" s="153" t="n">
        <x:v>5899</x:v>
      </x:c>
      <x:c r="S33" s="158" t="n">
        <x:v>690646</x:v>
      </x:c>
      <x:c r="T33" s="158" t="n">
        <x:v>4074357510</x:v>
      </x:c>
      <x:c r="U33" s="158" t="n">
        <x:v>5051990</x:v>
      </x:c>
      <x:c r="V33" s="153" t="n">
        <x:f>IFERROR(E33*1000/O33,"")</x:f>
        <x:v>81.26020408163265</x:v>
      </x:c>
      <x:c r="W33" s="153" t="n">
        <x:v>4.33</x:v>
      </x:c>
      <x:c r="X33" s="155" t="n">
        <x:v>45344</x:v>
      </x:c>
      <x:c r="Y33" s="153" t="n">
        <x:v>2.02</x:v>
      </x:c>
      <x:c r="Z33" s="155" t="n">
        <x:v>45344</x:v>
      </x:c>
      <x:c r="AA33" s="153" t="n">
        <x:f>IFERROR(Y33-Y32,"")</x:f>
        <x:v>0.040000000000000036</x:v>
      </x:c>
      <x:c r="AB33" s="153" t="n">
        <x:v>2.31</x:v>
      </x:c>
      <x:c r="AC33" s="153" t="n">
        <x:v>121.102</x:v>
      </x:c>
      <x:c r="AD33" s="155" t="n">
        <x:v>45344</x:v>
      </x:c>
      <x:c r="AE33" s="154" t="n">
        <x:f>IFERROR(AC33/AC32-1,"")</x:f>
        <x:v>0.0005295861874670127</x:v>
      </x:c>
      <x:c r="AF33" s="153" t="n">
        <x:v>14.54</x:v>
      </x:c>
      <x:c r="AG33" s="155" t="n">
        <x:v>45344</x:v>
      </x:c>
      <x:c r="AH33" s="153" t="n">
        <x:f>IFERROR(AF33-AF32,"")</x:f>
        <x:v>-0.8000000000000007</x:v>
      </x:c>
      <x:c r="AI33" s="153" t="n">
        <x:v>5.33</x:v>
      </x:c>
      <x:c r="AJ33" s="155" t="n">
        <x:v>45338</x:v>
      </x:c>
      <x:c r="AK33" s="159" t="n">
        <x:v>34176</x:v>
      </x:c>
      <x:c r="AL33" s="154" t="n">
        <x:v>0.0812144140376225</x:v>
      </x:c>
      <x:c r="AM33" s="159" t="n">
        <x:v>-32243</x:v>
      </x:c>
      <x:c r="AN33" s="155" t="n">
        <x:v>45338</x:v>
      </x:c>
      <x:c r="AO33" s="159" t="n">
        <x:v>-8983</x:v>
      </x:c>
      <x:c r="AP33" s="154" t="n">
        <x:v>-0.0588879274176631</x:v>
      </x:c>
      <x:c r="AQ33" s="159" t="n">
        <x:v>-31510</x:v>
      </x:c>
      <x:c r="AR33" s="147" t="str">
        <x:v>美国市场指标与CFTC数据均使用严格早于上金所交易日的最后已发布值</x:v>
      </x:c>
    </x:row>
    <x:row r="34">
      <x:c r="A34" s="155" t="n">
        <x:v>45348</x:v>
      </x:c>
      <x:c r="B34" s="153" t="n">
        <x:v>478.8</x:v>
      </x:c>
      <x:c r="C34" s="153" t="n">
        <x:v>481</x:v>
      </x:c>
      <x:c r="D34" s="153" t="n">
        <x:v>478.8</x:v>
      </x:c>
      <x:c r="E34" s="153" t="n">
        <x:v>480.57</x:v>
      </x:c>
      <x:c r="F34" s="154" t="n">
        <x:f>IFERROR(E34/E33-1,"")</x:f>
        <x:v>0.005776354617944346</x:v>
      </x:c>
      <x:c r="G34" s="154" t="n">
        <x:f>IFERROR((C34-D34)/E33,"")</x:f>
        <x:v>0.004604340637491866</x:v>
      </x:c>
      <x:c r="H34" s="153" t="n">
        <x:v>480.65</x:v>
      </x:c>
      <x:c r="I34" s="158" t="n">
        <x:v>11465.5</x:v>
      </x:c>
      <x:c r="J34" s="158" t="n">
        <x:v>5510983991.8</x:v>
      </x:c>
      <x:c r="K34" s="158"/>
      <x:c r="L34" s="153" t="n">
        <x:v>5888</x:v>
      </x:c>
      <x:c r="M34" s="153" t="n">
        <x:v>5928</x:v>
      </x:c>
      <x:c r="N34" s="153" t="n">
        <x:v>5875</x:v>
      </x:c>
      <x:c r="O34" s="153" t="n">
        <x:v>5901</x:v>
      </x:c>
      <x:c r="P34" s="154" t="n">
        <x:f>IFERROR(O34/O33-1,"")</x:f>
        <x:v>0.0035714285714285587</x:v>
      </x:c>
      <x:c r="Q34" s="154" t="n">
        <x:f>IFERROR((M34-N34)/O33,"")</x:f>
        <x:v>0.00901360544217687</x:v>
      </x:c>
      <x:c r="R34" s="153" t="n">
        <x:v>5902</x:v>
      </x:c>
      <x:c r="S34" s="158" t="n">
        <x:v>430230</x:v>
      </x:c>
      <x:c r="T34" s="158" t="n">
        <x:v>2539390502</x:v>
      </x:c>
      <x:c r="U34" s="158" t="n">
        <x:v>5061424</x:v>
      </x:c>
      <x:c r="V34" s="153" t="n">
        <x:f>IFERROR(E34*1000/O34,"")</x:f>
        <x:v>81.43873919674631</x:v>
      </x:c>
      <x:c r="W34" s="153" t="n">
        <x:v>4.26</x:v>
      </x:c>
      <x:c r="X34" s="155" t="n">
        <x:v>45345</x:v>
      </x:c>
      <x:c r="Y34" s="153" t="n">
        <x:v>1.96</x:v>
      </x:c>
      <x:c r="Z34" s="155" t="n">
        <x:v>45345</x:v>
      </x:c>
      <x:c r="AA34" s="153" t="n">
        <x:f>IFERROR(Y34-Y33,"")</x:f>
        <x:v>-0.06000000000000005</x:v>
      </x:c>
      <x:c r="AB34" s="153" t="n">
        <x:v>2.3</x:v>
      </x:c>
      <x:c r="AC34" s="153" t="n">
        <x:v>121.0369</x:v>
      </x:c>
      <x:c r="AD34" s="155" t="n">
        <x:v>45345</x:v>
      </x:c>
      <x:c r="AE34" s="154" t="n">
        <x:f>IFERROR(AC34/AC33-1,"")</x:f>
        <x:v>-0.0005375633763273768</x:v>
      </x:c>
      <x:c r="AF34" s="153" t="n">
        <x:v>13.75</x:v>
      </x:c>
      <x:c r="AG34" s="155" t="n">
        <x:v>45345</x:v>
      </x:c>
      <x:c r="AH34" s="153" t="n">
        <x:f>IFERROR(AF34-AF33,"")</x:f>
        <x:v>-0.7899999999999991</x:v>
      </x:c>
      <x:c r="AI34" s="153" t="n">
        <x:v>5.33</x:v>
      </x:c>
      <x:c r="AJ34" s="155" t="n">
        <x:v>45345</x:v>
      </x:c>
      <x:c r="AK34" s="159" t="n">
        <x:v>49923</x:v>
      </x:c>
      <x:c r="AL34" s="154" t="n">
        <x:v>0.12264194977190263</x:v>
      </x:c>
      <x:c r="AM34" s="159" t="n">
        <x:v>-38451</x:v>
      </x:c>
      <x:c r="AN34" s="155" t="n">
        <x:v>45345</x:v>
      </x:c>
      <x:c r="AO34" s="159" t="n">
        <x:v>4925</x:v>
      </x:c>
      <x:c r="AP34" s="154" t="n">
        <x:v>0.033598482781203955</x:v>
      </x:c>
      <x:c r="AQ34" s="159" t="n">
        <x:v>-36276</x:v>
      </x:c>
      <x:c r="AR34" s="147" t="str">
        <x:v>美国市场指标与CFTC数据均使用严格早于上金所交易日的最后已发布值</x:v>
      </x:c>
    </x:row>
    <x:row r="35">
      <x:c r="A35" s="155" t="n">
        <x:v>45349</x:v>
      </x:c>
      <x:c r="B35" s="153" t="n">
        <x:v>480.79</x:v>
      </x:c>
      <x:c r="C35" s="153" t="n">
        <x:v>481.3</x:v>
      </x:c>
      <x:c r="D35" s="153" t="n">
        <x:v>479.58</x:v>
      </x:c>
      <x:c r="E35" s="153" t="n">
        <x:v>481.3</x:v>
      </x:c>
      <x:c r="F35" s="154" t="n">
        <x:f>IFERROR(E35/E34-1,"")</x:f>
        <x:v>0.0015190294858189457</x:v>
      </x:c>
      <x:c r="G35" s="154" t="n">
        <x:f>IFERROR((C35-D35)/E34,"")</x:f>
        <x:v>0.0035790831720665614</x:v>
      </x:c>
      <x:c r="H35" s="153" t="n">
        <x:v>480.7</x:v>
      </x:c>
      <x:c r="I35" s="158" t="n">
        <x:v>7588.14</x:v>
      </x:c>
      <x:c r="J35" s="158" t="n">
        <x:v>3647673330.6</x:v>
      </x:c>
      <x:c r="K35" s="158"/>
      <x:c r="L35" s="153" t="n">
        <x:v>5860</x:v>
      </x:c>
      <x:c r="M35" s="153" t="n">
        <x:v>5883</x:v>
      </x:c>
      <x:c r="N35" s="153" t="n">
        <x:v>5840</x:v>
      </x:c>
      <x:c r="O35" s="153" t="n">
        <x:v>5879</x:v>
      </x:c>
      <x:c r="P35" s="154" t="n">
        <x:f>IFERROR(O35/O34-1,"")</x:f>
        <x:v>-0.0037281816641246968</x:v>
      </x:c>
      <x:c r="Q35" s="154" t="n">
        <x:f>IFERROR((M35-N35)/O34,"")</x:f>
        <x:v>0.007286900525334689</x:v>
      </x:c>
      <x:c r="R35" s="153" t="n">
        <x:v>5867</x:v>
      </x:c>
      <x:c r="S35" s="158" t="n">
        <x:v>474368</x:v>
      </x:c>
      <x:c r="T35" s="158" t="n">
        <x:v>2783386186</x:v>
      </x:c>
      <x:c r="U35" s="158" t="n">
        <x:v>5182764</x:v>
      </x:c>
      <x:c r="V35" s="153" t="n">
        <x:f>IFERROR(E35*1000/O35,"")</x:f>
        <x:v>81.86766456880422</x:v>
      </x:c>
      <x:c r="W35" s="153" t="n">
        <x:v>4.28</x:v>
      </x:c>
      <x:c r="X35" s="155" t="n">
        <x:v>45348</x:v>
      </x:c>
      <x:c r="Y35" s="153" t="n">
        <x:v>1.97</x:v>
      </x:c>
      <x:c r="Z35" s="155" t="n">
        <x:v>45348</x:v>
      </x:c>
      <x:c r="AA35" s="153" t="n">
        <x:f>IFERROR(Y35-Y34,"")</x:f>
        <x:v>0.010000000000000009</x:v>
      </x:c>
      <x:c r="AB35" s="153" t="n">
        <x:v>2.31</x:v>
      </x:c>
      <x:c r="AC35" s="153" t="n">
        <x:v>121.0592</x:v>
      </x:c>
      <x:c r="AD35" s="155" t="n">
        <x:v>45348</x:v>
      </x:c>
      <x:c r="AE35" s="154" t="n">
        <x:f>IFERROR(AC35/AC34-1,"")</x:f>
        <x:v>0.0001842413346673233</x:v>
      </x:c>
      <x:c r="AF35" s="153" t="n">
        <x:v>13.74</x:v>
      </x:c>
      <x:c r="AG35" s="155" t="n">
        <x:v>45348</x:v>
      </x:c>
      <x:c r="AH35" s="153" t="n">
        <x:f>IFERROR(AF35-AF34,"")</x:f>
        <x:v>-0.009999999999999787</x:v>
      </x:c>
      <x:c r="AI35" s="153" t="n">
        <x:v>5.33</x:v>
      </x:c>
      <x:c r="AJ35" s="155" t="n">
        <x:v>45345</x:v>
      </x:c>
      <x:c r="AK35" s="159" t="n">
        <x:v>49923</x:v>
      </x:c>
      <x:c r="AL35" s="154" t="n">
        <x:v>0.12264194977190263</x:v>
      </x:c>
      <x:c r="AM35" s="159" t="n">
        <x:v>-38451</x:v>
      </x:c>
      <x:c r="AN35" s="155" t="n">
        <x:v>45345</x:v>
      </x:c>
      <x:c r="AO35" s="159" t="n">
        <x:v>4925</x:v>
      </x:c>
      <x:c r="AP35" s="154" t="n">
        <x:v>0.033598482781203955</x:v>
      </x:c>
      <x:c r="AQ35" s="159" t="n">
        <x:v>-36276</x:v>
      </x:c>
      <x:c r="AR35" s="147" t="str">
        <x:v>美国市场指标与CFTC数据均使用严格早于上金所交易日的最后已发布值</x:v>
      </x:c>
    </x:row>
    <x:row r="36">
      <x:c r="A36" s="155" t="n">
        <x:v>45350</x:v>
      </x:c>
      <x:c r="B36" s="153" t="n">
        <x:v>481.3</x:v>
      </x:c>
      <x:c r="C36" s="153" t="n">
        <x:v>481.97</x:v>
      </x:c>
      <x:c r="D36" s="153" t="n">
        <x:v>480.05</x:v>
      </x:c>
      <x:c r="E36" s="153" t="n">
        <x:v>480.1</x:v>
      </x:c>
      <x:c r="F36" s="154" t="n">
        <x:f>IFERROR(E36/E35-1,"")</x:f>
        <x:v>-0.0024932474548098327</x:v>
      </x:c>
      <x:c r="G36" s="154" t="n">
        <x:f>IFERROR((C36-D36)/E35,"")</x:f>
        <x:v>0.003989195927695857</x:v>
      </x:c>
      <x:c r="H36" s="153" t="n">
        <x:v>480.56</x:v>
      </x:c>
      <x:c r="I36" s="158" t="n">
        <x:v>8592.14</x:v>
      </x:c>
      <x:c r="J36" s="158" t="n">
        <x:v>4129104864.2</x:v>
      </x:c>
      <x:c r="K36" s="158"/>
      <x:c r="L36" s="153" t="n">
        <x:v>5888</x:v>
      </x:c>
      <x:c r="M36" s="153" t="n">
        <x:v>5894</x:v>
      </x:c>
      <x:c r="N36" s="153" t="n">
        <x:v>5848</x:v>
      </x:c>
      <x:c r="O36" s="153" t="n">
        <x:v>5848</x:v>
      </x:c>
      <x:c r="P36" s="154" t="n">
        <x:f>IFERROR(O36/O35-1,"")</x:f>
        <x:v>-0.005273005613199544</x:v>
      </x:c>
      <x:c r="Q36" s="154" t="n">
        <x:f>IFERROR((M36-N36)/O35,"")</x:f>
        <x:v>0.007824459942167036</x:v>
      </x:c>
      <x:c r="R36" s="153" t="n">
        <x:v>5866</x:v>
      </x:c>
      <x:c r="S36" s="158" t="n">
        <x:v>475540</x:v>
      </x:c>
      <x:c r="T36" s="158" t="n">
        <x:v>2789721152</x:v>
      </x:c>
      <x:c r="U36" s="158" t="n">
        <x:v>5216772</x:v>
      </x:c>
      <x:c r="V36" s="153" t="n">
        <x:f>IFERROR(E36*1000/O36,"")</x:f>
        <x:v>82.09644322845418</x:v>
      </x:c>
      <x:c r="W36" s="153" t="n">
        <x:v>4.31</x:v>
      </x:c>
      <x:c r="X36" s="155" t="n">
        <x:v>45349</x:v>
      </x:c>
      <x:c r="Y36" s="153" t="n">
        <x:v>1.99</x:v>
      </x:c>
      <x:c r="Z36" s="155" t="n">
        <x:v>45349</x:v>
      </x:c>
      <x:c r="AA36" s="153" t="n">
        <x:f>IFERROR(Y36-Y35,"")</x:f>
        <x:v>0.020000000000000018</x:v>
      </x:c>
      <x:c r="AB36" s="153" t="n">
        <x:v>2.32</x:v>
      </x:c>
      <x:c r="AC36" s="153" t="n">
        <x:v>120.9647</x:v>
      </x:c>
      <x:c r="AD36" s="155" t="n">
        <x:v>45349</x:v>
      </x:c>
      <x:c r="AE36" s="154" t="n">
        <x:f>IFERROR(AC36/AC35-1,"")</x:f>
        <x:v>-0.0007806098173456233</x:v>
      </x:c>
      <x:c r="AF36" s="153" t="n">
        <x:v>13.43</x:v>
      </x:c>
      <x:c r="AG36" s="155" t="n">
        <x:v>45349</x:v>
      </x:c>
      <x:c r="AH36" s="153" t="n">
        <x:f>IFERROR(AF36-AF35,"")</x:f>
        <x:v>-0.3100000000000005</x:v>
      </x:c>
      <x:c r="AI36" s="153" t="n">
        <x:v>5.33</x:v>
      </x:c>
      <x:c r="AJ36" s="155" t="n">
        <x:v>45345</x:v>
      </x:c>
      <x:c r="AK36" s="159" t="n">
        <x:v>49923</x:v>
      </x:c>
      <x:c r="AL36" s="154" t="n">
        <x:v>0.12264194977190263</x:v>
      </x:c>
      <x:c r="AM36" s="159" t="n">
        <x:v>-38451</x:v>
      </x:c>
      <x:c r="AN36" s="155" t="n">
        <x:v>45345</x:v>
      </x:c>
      <x:c r="AO36" s="159" t="n">
        <x:v>4925</x:v>
      </x:c>
      <x:c r="AP36" s="154" t="n">
        <x:v>0.033598482781203955</x:v>
      </x:c>
      <x:c r="AQ36" s="159" t="n">
        <x:v>-36276</x:v>
      </x:c>
      <x:c r="AR36" s="147" t="str">
        <x:v>美国市场指标与CFTC数据均使用严格早于上金所交易日的最后已发布值</x:v>
      </x:c>
    </x:row>
    <x:row r="37">
      <x:c r="A37" s="155" t="n">
        <x:v>45351</x:v>
      </x:c>
      <x:c r="B37" s="153" t="n">
        <x:v>479.6</x:v>
      </x:c>
      <x:c r="C37" s="153" t="n">
        <x:v>481.5</x:v>
      </x:c>
      <x:c r="D37" s="153" t="n">
        <x:v>479.6</x:v>
      </x:c>
      <x:c r="E37" s="153" t="n">
        <x:v>480.96</x:v>
      </x:c>
      <x:c r="F37" s="154" t="n">
        <x:f>IFERROR(E37/E36-1,"")</x:f>
        <x:v>0.0017912934805248693</x:v>
      </x:c>
      <x:c r="G37" s="154" t="n">
        <x:f>IFERROR((C37-D37)/E36,"")</x:f>
        <x:v>0.003957508852322386</x:v>
      </x:c>
      <x:c r="H37" s="153" t="n">
        <x:v>480.91</x:v>
      </x:c>
      <x:c r="I37" s="158" t="n">
        <x:v>6880.04</x:v>
      </x:c>
      <x:c r="J37" s="158" t="n">
        <x:v>3308708679.8</x:v>
      </x:c>
      <x:c r="K37" s="158"/>
      <x:c r="L37" s="153" t="n">
        <x:v>5828</x:v>
      </x:c>
      <x:c r="M37" s="153" t="n">
        <x:v>5880</x:v>
      </x:c>
      <x:c r="N37" s="153" t="n">
        <x:v>5828</x:v>
      </x:c>
      <x:c r="O37" s="153" t="n">
        <x:v>5871</x:v>
      </x:c>
      <x:c r="P37" s="154" t="n">
        <x:f>IFERROR(O37/O36-1,"")</x:f>
        <x:v>0.003932968536251691</x:v>
      </x:c>
      <x:c r="Q37" s="154" t="n">
        <x:f>IFERROR((M37-N37)/O36,"")</x:f>
        <x:v>0.008891928864569083</x:v>
      </x:c>
      <x:c r="R37" s="153" t="n">
        <x:v>5864</x:v>
      </x:c>
      <x:c r="S37" s="158" t="n">
        <x:v>304532</x:v>
      </x:c>
      <x:c r="T37" s="158" t="n">
        <x:v>1786077078</x:v>
      </x:c>
      <x:c r="U37" s="158" t="n">
        <x:v>5285942</x:v>
      </x:c>
      <x:c r="V37" s="153" t="n">
        <x:f>IFERROR(E37*1000/O37,"")</x:f>
        <x:v>81.92130812468064</x:v>
      </x:c>
      <x:c r="W37" s="153" t="n">
        <x:v>4.27</x:v>
      </x:c>
      <x:c r="X37" s="155" t="n">
        <x:v>45350</x:v>
      </x:c>
      <x:c r="Y37" s="153" t="n">
        <x:v>1.94</x:v>
      </x:c>
      <x:c r="Z37" s="155" t="n">
        <x:v>45350</x:v>
      </x:c>
      <x:c r="AA37" s="153" t="n">
        <x:f>IFERROR(Y37-Y36,"")</x:f>
        <x:v>-0.050000000000000044</x:v>
      </x:c>
      <x:c r="AB37" s="153" t="n">
        <x:v>2.33</x:v>
      </x:c>
      <x:c r="AC37" s="153" t="n">
        <x:v>121.128</x:v>
      </x:c>
      <x:c r="AD37" s="155" t="n">
        <x:v>45350</x:v>
      </x:c>
      <x:c r="AE37" s="154" t="n">
        <x:f>IFERROR(AC37/AC36-1,"")</x:f>
        <x:v>0.0013499806141792359</x:v>
      </x:c>
      <x:c r="AF37" s="153" t="n">
        <x:v>13.84</x:v>
      </x:c>
      <x:c r="AG37" s="155" t="n">
        <x:v>45350</x:v>
      </x:c>
      <x:c r="AH37" s="153" t="n">
        <x:f>IFERROR(AF37-AF36,"")</x:f>
        <x:v>0.41000000000000014</x:v>
      </x:c>
      <x:c r="AI37" s="153" t="n">
        <x:v>5.33</x:v>
      </x:c>
      <x:c r="AJ37" s="155" t="n">
        <x:v>45345</x:v>
      </x:c>
      <x:c r="AK37" s="159" t="n">
        <x:v>49923</x:v>
      </x:c>
      <x:c r="AL37" s="154" t="n">
        <x:v>0.12264194977190263</x:v>
      </x:c>
      <x:c r="AM37" s="159" t="n">
        <x:v>-38451</x:v>
      </x:c>
      <x:c r="AN37" s="155" t="n">
        <x:v>45345</x:v>
      </x:c>
      <x:c r="AO37" s="159" t="n">
        <x:v>4925</x:v>
      </x:c>
      <x:c r="AP37" s="154" t="n">
        <x:v>0.033598482781203955</x:v>
      </x:c>
      <x:c r="AQ37" s="159" t="n">
        <x:v>-36276</x:v>
      </x:c>
      <x:c r="AR37" s="147" t="str">
        <x:v>美国市场指标与CFTC数据均使用严格早于上金所交易日的最后已发布值</x:v>
      </x:c>
    </x:row>
    <x:row r="38">
      <x:c r="A38" s="155" t="n">
        <x:v>45355</x:v>
      </x:c>
      <x:c r="B38" s="153" t="n">
        <x:v>482.88</x:v>
      </x:c>
      <x:c r="C38" s="153" t="n">
        <x:v>490</x:v>
      </x:c>
      <x:c r="D38" s="153" t="n">
        <x:v>482.88</x:v>
      </x:c>
      <x:c r="E38" s="153" t="n">
        <x:v>489</x:v>
      </x:c>
      <x:c r="F38" s="154" t="n">
        <x:f>IFERROR(E38/E37-1,"")</x:f>
        <x:v>0.016716566866267435</x:v>
      </x:c>
      <x:c r="G38" s="154" t="n">
        <x:f>IFERROR((C38-D38)/E37,"")</x:f>
        <x:v>0.014803725881570202</x:v>
      </x:c>
      <x:c r="H38" s="153" t="n">
        <x:v>489.43</x:v>
      </x:c>
      <x:c r="I38" s="158" t="n">
        <x:v>9286.32</x:v>
      </x:c>
      <x:c r="J38" s="158" t="n">
        <x:v>4545052767.6</x:v>
      </x:c>
      <x:c r="K38" s="158"/>
      <x:c r="L38" s="153" t="n">
        <x:v>5900</x:v>
      </x:c>
      <x:c r="M38" s="153" t="n">
        <x:v>5993</x:v>
      </x:c>
      <x:c r="N38" s="153" t="n">
        <x:v>5889</x:v>
      </x:c>
      <x:c r="O38" s="153" t="n">
        <x:v>5979</x:v>
      </x:c>
      <x:c r="P38" s="154" t="n">
        <x:f>IFERROR(O38/O37-1,"")</x:f>
        <x:v>0.018395503321410267</x:v>
      </x:c>
      <x:c r="Q38" s="154" t="n">
        <x:f>IFERROR((M38-N38)/O37,"")</x:f>
        <x:v>0.01771418838358031</x:v>
      </x:c>
      <x:c r="R38" s="153" t="n">
        <x:v>5962</x:v>
      </x:c>
      <x:c r="S38" s="158" t="n">
        <x:v>484270</x:v>
      </x:c>
      <x:c r="T38" s="158" t="n">
        <x:v>2887587646</x:v>
      </x:c>
      <x:c r="U38" s="158" t="n">
        <x:v>5327452</x:v>
      </x:c>
      <x:c r="V38" s="153" t="n">
        <x:f>IFERROR(E38*1000/O38,"")</x:f>
        <x:v>81.78625188158554</x:v>
      </x:c>
      <x:c r="W38" s="153" t="n">
        <x:v>4.19</x:v>
      </x:c>
      <x:c r="X38" s="155" t="n">
        <x:v>45352</x:v>
      </x:c>
      <x:c r="Y38" s="153" t="n">
        <x:v>1.87</x:v>
      </x:c>
      <x:c r="Z38" s="155" t="n">
        <x:v>45352</x:v>
      </x:c>
      <x:c r="AA38" s="153" t="n">
        <x:f>IFERROR(Y38-Y37,"")</x:f>
        <x:v>-0.06999999999999984</x:v>
      </x:c>
      <x:c r="AB38" s="153" t="n">
        <x:v>2.32</x:v>
      </x:c>
      <x:c r="AC38" s="153" t="n">
        <x:v>121.0111</x:v>
      </x:c>
      <x:c r="AD38" s="155" t="n">
        <x:v>45352</x:v>
      </x:c>
      <x:c r="AE38" s="154" t="n">
        <x:f>IFERROR(AC38/AC37-1,"")</x:f>
        <x:v>-0.0009650947757744444</x:v>
      </x:c>
      <x:c r="AF38" s="153" t="n">
        <x:v>13.11</x:v>
      </x:c>
      <x:c r="AG38" s="155" t="n">
        <x:v>45352</x:v>
      </x:c>
      <x:c r="AH38" s="153" t="n">
        <x:f>IFERROR(AF38-AF37,"")</x:f>
        <x:v>-0.7300000000000004</x:v>
      </x:c>
      <x:c r="AI38" s="153" t="n">
        <x:v>5.33</x:v>
      </x:c>
      <x:c r="AJ38" s="155" t="n">
        <x:v>45352</x:v>
      </x:c>
      <x:c r="AK38" s="159" t="n">
        <x:v>56153</x:v>
      </x:c>
      <x:c r="AL38" s="154" t="n">
        <x:v>0.136560512652148</x:v>
      </x:c>
      <x:c r="AM38" s="159" t="n">
        <x:v>-39672</x:v>
      </x:c>
      <x:c r="AN38" s="155" t="n">
        <x:v>45352</x:v>
      </x:c>
      <x:c r="AO38" s="159" t="n">
        <x:v>-4083</x:v>
      </x:c>
      <x:c r="AP38" s="154" t="n">
        <x:v>-0.028279148370295465</x:v>
      </x:c>
      <x:c r="AQ38" s="159" t="n">
        <x:v>-34205</x:v>
      </x:c>
      <x:c r="AR38" s="147" t="str">
        <x:v>美国市场指标与CFTC数据均使用严格早于上金所交易日的最后已发布值</x:v>
      </x:c>
    </x:row>
    <x:row r="39">
      <x:c r="A39" s="155" t="n">
        <x:v>45356</x:v>
      </x:c>
      <x:c r="B39" s="153" t="n">
        <x:v>489.43</x:v>
      </x:c>
      <x:c r="C39" s="153" t="n">
        <x:v>496.6</x:v>
      </x:c>
      <x:c r="D39" s="153" t="n">
        <x:v>489</x:v>
      </x:c>
      <x:c r="E39" s="153" t="n">
        <x:v>496.52</x:v>
      </x:c>
      <x:c r="F39" s="154" t="n">
        <x:f>IFERROR(E39/E38-1,"")</x:f>
        <x:v>0.015378323108384384</x:v>
      </x:c>
      <x:c r="G39" s="154" t="n">
        <x:f>IFERROR((C39-D39)/E38,"")</x:f>
        <x:v>0.015541922290388595</x:v>
      </x:c>
      <x:c r="H39" s="153" t="n">
        <x:v>495.32</x:v>
      </x:c>
      <x:c r="I39" s="158" t="n">
        <x:v>10983.64</x:v>
      </x:c>
      <x:c r="J39" s="158" t="n">
        <x:v>5440499596.8</x:v>
      </x:c>
      <x:c r="K39" s="158"/>
      <x:c r="L39" s="153" t="n">
        <x:v>5982</x:v>
      </x:c>
      <x:c r="M39" s="153" t="n">
        <x:v>6118</x:v>
      </x:c>
      <x:c r="N39" s="153" t="n">
        <x:v>5980</x:v>
      </x:c>
      <x:c r="O39" s="153" t="n">
        <x:v>6102</x:v>
      </x:c>
      <x:c r="P39" s="154" t="n">
        <x:f>IFERROR(O39/O38-1,"")</x:f>
        <x:v>0.02057200200702458</x:v>
      </x:c>
      <x:c r="Q39" s="154" t="n">
        <x:f>IFERROR((M39-N39)/O38,"")</x:f>
        <x:v>0.02308078273958856</x:v>
      </x:c>
      <x:c r="R39" s="153" t="n">
        <x:v>6080</x:v>
      </x:c>
      <x:c r="S39" s="158" t="n">
        <x:v>1002610</x:v>
      </x:c>
      <x:c r="T39" s="158" t="n">
        <x:v>6096788342</x:v>
      </x:c>
      <x:c r="U39" s="158" t="n">
        <x:v>5444160</x:v>
      </x:c>
      <x:c r="V39" s="153" t="n">
        <x:f>IFERROR(E39*1000/O39,"")</x:f>
        <x:v>81.37004260898067</x:v>
      </x:c>
      <x:c r="W39" s="153" t="n">
        <x:v>4.22</x:v>
      </x:c>
      <x:c r="X39" s="155" t="n">
        <x:v>45355</x:v>
      </x:c>
      <x:c r="Y39" s="153" t="n">
        <x:v>1.88</x:v>
      </x:c>
      <x:c r="Z39" s="155" t="n">
        <x:v>45355</x:v>
      </x:c>
      <x:c r="AA39" s="153" t="n">
        <x:f>IFERROR(Y39-Y38,"")</x:f>
        <x:v>0.009999999999999787</x:v>
      </x:c>
      <x:c r="AB39" s="153" t="n">
        <x:v>2.34</x:v>
      </x:c>
      <x:c r="AC39" s="153" t="n">
        <x:v>120.872</x:v>
      </x:c>
      <x:c r="AD39" s="155" t="n">
        <x:v>45355</x:v>
      </x:c>
      <x:c r="AE39" s="154" t="n">
        <x:f>IFERROR(AC39/AC38-1,"")</x:f>
        <x:v>-0.0011494813285722882</x:v>
      </x:c>
      <x:c r="AF39" s="153" t="n">
        <x:v>13.49</x:v>
      </x:c>
      <x:c r="AG39" s="155" t="n">
        <x:v>45355</x:v>
      </x:c>
      <x:c r="AH39" s="153" t="n">
        <x:f>IFERROR(AF39-AF38,"")</x:f>
        <x:v>0.3800000000000008</x:v>
      </x:c>
      <x:c r="AI39" s="153" t="n">
        <x:v>5.33</x:v>
      </x:c>
      <x:c r="AJ39" s="155" t="n">
        <x:v>45352</x:v>
      </x:c>
      <x:c r="AK39" s="159" t="n">
        <x:v>56153</x:v>
      </x:c>
      <x:c r="AL39" s="154" t="n">
        <x:v>0.136560512652148</x:v>
      </x:c>
      <x:c r="AM39" s="159" t="n">
        <x:v>-39672</x:v>
      </x:c>
      <x:c r="AN39" s="155" t="n">
        <x:v>45352</x:v>
      </x:c>
      <x:c r="AO39" s="159" t="n">
        <x:v>-4083</x:v>
      </x:c>
      <x:c r="AP39" s="154" t="n">
        <x:v>-0.028279148370295465</x:v>
      </x:c>
      <x:c r="AQ39" s="159" t="n">
        <x:v>-34205</x:v>
      </x:c>
      <x:c r="AR39" s="147" t="str">
        <x:v>美国市场指标与CFTC数据均使用严格早于上金所交易日的最后已发布值</x:v>
      </x:c>
    </x:row>
    <x:row r="40">
      <x:c r="A40" s="155" t="n">
        <x:v>45357</x:v>
      </x:c>
      <x:c r="B40" s="153" t="n">
        <x:v>498.09</x:v>
      </x:c>
      <x:c r="C40" s="153" t="n">
        <x:v>503.99</x:v>
      </x:c>
      <x:c r="D40" s="153" t="n">
        <x:v>497.5</x:v>
      </x:c>
      <x:c r="E40" s="153" t="n">
        <x:v>499.76</x:v>
      </x:c>
      <x:c r="F40" s="154" t="n">
        <x:f>IFERROR(E40/E39-1,"")</x:f>
        <x:v>0.006525416901635328</x:v>
      </x:c>
      <x:c r="G40" s="154" t="n">
        <x:f>IFERROR((C40-D40)/E39,"")</x:f>
        <x:v>0.013070973978893115</x:v>
      </x:c>
      <x:c r="H40" s="153" t="n">
        <x:v>498.48</x:v>
      </x:c>
      <x:c r="I40" s="158" t="n">
        <x:v>11147.76</x:v>
      </x:c>
      <x:c r="J40" s="158" t="n">
        <x:v>5557028826</x:v>
      </x:c>
      <x:c r="K40" s="158"/>
      <x:c r="L40" s="153" t="n">
        <x:v>6123</x:v>
      </x:c>
      <x:c r="M40" s="153" t="n">
        <x:v>6174</x:v>
      </x:c>
      <x:c r="N40" s="153" t="n">
        <x:v>6080</x:v>
      </x:c>
      <x:c r="O40" s="153" t="n">
        <x:v>6105</x:v>
      </x:c>
      <x:c r="P40" s="154" t="n">
        <x:f>IFERROR(O40/O39-1,"")</x:f>
        <x:v>0.000491642084562427</x:v>
      </x:c>
      <x:c r="Q40" s="154" t="n">
        <x:f>IFERROR((M40-N40)/O39,"")</x:f>
        <x:v>0.015404785316289742</x:v>
      </x:c>
      <x:c r="R40" s="153" t="n">
        <x:v>6107</x:v>
      </x:c>
      <x:c r="S40" s="158" t="n">
        <x:v>583774</x:v>
      </x:c>
      <x:c r="T40" s="158" t="n">
        <x:v>3565615348</x:v>
      </x:c>
      <x:c r="U40" s="158" t="n">
        <x:v>5530338</x:v>
      </x:c>
      <x:c r="V40" s="153" t="n">
        <x:f>IFERROR(E40*1000/O40,"")</x:f>
        <x:v>81.86076986076986</x:v>
      </x:c>
      <x:c r="W40" s="153" t="n">
        <x:v>4.13</x:v>
      </x:c>
      <x:c r="X40" s="155" t="n">
        <x:v>45356</x:v>
      </x:c>
      <x:c r="Y40" s="153" t="n">
        <x:v>1.81</x:v>
      </x:c>
      <x:c r="Z40" s="155" t="n">
        <x:v>45356</x:v>
      </x:c>
      <x:c r="AA40" s="153" t="n">
        <x:f>IFERROR(Y40-Y39,"")</x:f>
        <x:v>-0.06999999999999984</x:v>
      </x:c>
      <x:c r="AB40" s="153" t="n">
        <x:v>2.32</x:v>
      </x:c>
      <x:c r="AC40" s="153" t="n">
        <x:v>120.8846</x:v>
      </x:c>
      <x:c r="AD40" s="155" t="n">
        <x:v>45356</x:v>
      </x:c>
      <x:c r="AE40" s="154" t="n">
        <x:f>IFERROR(AC40/AC39-1,"")</x:f>
        <x:v>0.00010424250446749994</x:v>
      </x:c>
      <x:c r="AF40" s="153" t="n">
        <x:v>14.46</x:v>
      </x:c>
      <x:c r="AG40" s="155" t="n">
        <x:v>45356</x:v>
      </x:c>
      <x:c r="AH40" s="153" t="n">
        <x:f>IFERROR(AF40-AF39,"")</x:f>
        <x:v>0.9700000000000006</x:v>
      </x:c>
      <x:c r="AI40" s="153" t="n">
        <x:v>5.33</x:v>
      </x:c>
      <x:c r="AJ40" s="155" t="n">
        <x:v>45352</x:v>
      </x:c>
      <x:c r="AK40" s="159" t="n">
        <x:v>56153</x:v>
      </x:c>
      <x:c r="AL40" s="154" t="n">
        <x:v>0.136560512652148</x:v>
      </x:c>
      <x:c r="AM40" s="159" t="n">
        <x:v>-39672</x:v>
      </x:c>
      <x:c r="AN40" s="155" t="n">
        <x:v>45352</x:v>
      </x:c>
      <x:c r="AO40" s="159" t="n">
        <x:v>-4083</x:v>
      </x:c>
      <x:c r="AP40" s="154" t="n">
        <x:v>-0.028279148370295465</x:v>
      </x:c>
      <x:c r="AQ40" s="159" t="n">
        <x:v>-34205</x:v>
      </x:c>
      <x:c r="AR40" s="147" t="str">
        <x:v>美国市场指标与CFTC数据均使用严格早于上金所交易日的最后已发布值</x:v>
      </x:c>
    </x:row>
    <x:row r="41">
      <x:c r="A41" s="155" t="n">
        <x:v>45358</x:v>
      </x:c>
      <x:c r="B41" s="153" t="n">
        <x:v>499.5</x:v>
      </x:c>
      <x:c r="C41" s="153" t="n">
        <x:v>506</x:v>
      </x:c>
      <x:c r="D41" s="153" t="n">
        <x:v>499.5</x:v>
      </x:c>
      <x:c r="E41" s="153" t="n">
        <x:v>505.1</x:v>
      </x:c>
      <x:c r="F41" s="154" t="n">
        <x:f>IFERROR(E41/E40-1,"")</x:f>
        <x:v>0.010685128861853688</x:v>
      </x:c>
      <x:c r="G41" s="154" t="n">
        <x:f>IFERROR((C41-D41)/E40,"")</x:f>
        <x:v>0.013006242996638386</x:v>
      </x:c>
      <x:c r="H41" s="153" t="n">
        <x:v>504.28</x:v>
      </x:c>
      <x:c r="I41" s="158" t="n">
        <x:v>10666.76</x:v>
      </x:c>
      <x:c r="J41" s="158" t="n">
        <x:v>5379132322.2</x:v>
      </x:c>
      <x:c r="K41" s="158"/>
      <x:c r="L41" s="153" t="n">
        <x:v>6113</x:v>
      </x:c>
      <x:c r="M41" s="153" t="n">
        <x:v>6182</x:v>
      </x:c>
      <x:c r="N41" s="153" t="n">
        <x:v>6102</x:v>
      </x:c>
      <x:c r="O41" s="153" t="n">
        <x:v>6136</x:v>
      </x:c>
      <x:c r="P41" s="154" t="n">
        <x:f>IFERROR(O41/O40-1,"")</x:f>
        <x:v>0.0050778050778050865</x:v>
      </x:c>
      <x:c r="Q41" s="154" t="n">
        <x:f>IFERROR((M41-N41)/O40,"")</x:f>
        <x:v>0.013104013104013105</x:v>
      </x:c>
      <x:c r="R41" s="153" t="n">
        <x:v>6145</x:v>
      </x:c>
      <x:c r="S41" s="158" t="n">
        <x:v>631014</x:v>
      </x:c>
      <x:c r="T41" s="158" t="n">
        <x:v>3877771542</x:v>
      </x:c>
      <x:c r="U41" s="158" t="n">
        <x:v>5563040</x:v>
      </x:c>
      <x:c r="V41" s="153" t="n">
        <x:f>IFERROR(E41*1000/O41,"")</x:f>
        <x:v>82.3174706649283</x:v>
      </x:c>
      <x:c r="W41" s="153" t="n">
        <x:v>4.11</x:v>
      </x:c>
      <x:c r="X41" s="155" t="n">
        <x:v>45357</x:v>
      </x:c>
      <x:c r="Y41" s="153" t="n">
        <x:v>1.81</x:v>
      </x:c>
      <x:c r="Z41" s="155" t="n">
        <x:v>45357</x:v>
      </x:c>
      <x:c r="AA41" s="153" t="n">
        <x:f>IFERROR(Y41-Y40,"")</x:f>
        <x:v>0</x:v>
      </x:c>
      <x:c r="AB41" s="153" t="n">
        <x:v>2.3</x:v>
      </x:c>
      <x:c r="AC41" s="153" t="n">
        <x:v>120.4649</x:v>
      </x:c>
      <x:c r="AD41" s="155" t="n">
        <x:v>45357</x:v>
      </x:c>
      <x:c r="AE41" s="154" t="n">
        <x:f>IFERROR(AC41/AC40-1,"")</x:f>
        <x:v>-0.0034719062643215892</x:v>
      </x:c>
      <x:c r="AF41" s="153" t="n">
        <x:v>14.5</x:v>
      </x:c>
      <x:c r="AG41" s="155" t="n">
        <x:v>45357</x:v>
      </x:c>
      <x:c r="AH41" s="153" t="n">
        <x:f>IFERROR(AF41-AF40,"")</x:f>
        <x:v>0.03999999999999915</x:v>
      </x:c>
      <x:c r="AI41" s="153" t="n">
        <x:v>5.33</x:v>
      </x:c>
      <x:c r="AJ41" s="155" t="n">
        <x:v>45352</x:v>
      </x:c>
      <x:c r="AK41" s="159" t="n">
        <x:v>56153</x:v>
      </x:c>
      <x:c r="AL41" s="154" t="n">
        <x:v>0.136560512652148</x:v>
      </x:c>
      <x:c r="AM41" s="159" t="n">
        <x:v>-39672</x:v>
      </x:c>
      <x:c r="AN41" s="155" t="n">
        <x:v>45352</x:v>
      </x:c>
      <x:c r="AO41" s="159" t="n">
        <x:v>-4083</x:v>
      </x:c>
      <x:c r="AP41" s="154" t="n">
        <x:v>-0.028279148370295465</x:v>
      </x:c>
      <x:c r="AQ41" s="159" t="n">
        <x:v>-34205</x:v>
      </x:c>
      <x:c r="AR41" s="147" t="str">
        <x:v>美国市场指标与CFTC数据均使用严格早于上金所交易日的最后已发布值</x:v>
      </x:c>
    </x:row>
    <x:row r="42">
      <x:c r="A42" s="155" t="n">
        <x:v>45359</x:v>
      </x:c>
      <x:c r="B42" s="153" t="n">
        <x:v>505.1</x:v>
      </x:c>
      <x:c r="C42" s="153" t="n">
        <x:v>505.99</x:v>
      </x:c>
      <x:c r="D42" s="153" t="n">
        <x:v>503</x:v>
      </x:c>
      <x:c r="E42" s="153" t="n">
        <x:v>505.84</x:v>
      </x:c>
      <x:c r="F42" s="154" t="n">
        <x:f>IFERROR(E42/E41-1,"")</x:f>
        <x:v>0.0014650564244702569</x:v>
      </x:c>
      <x:c r="G42" s="154" t="n">
        <x:f>IFERROR((C42-D42)/E41,"")</x:f>
        <x:v>0.005919619877252047</x:v>
      </x:c>
      <x:c r="H42" s="153" t="n">
        <x:v>504.79</x:v>
      </x:c>
      <x:c r="I42" s="158" t="n">
        <x:v>9342.46</x:v>
      </x:c>
      <x:c r="J42" s="158" t="n">
        <x:v>4716048804.4</x:v>
      </x:c>
      <x:c r="K42" s="158"/>
      <x:c r="L42" s="153" t="n">
        <x:v>6144</x:v>
      </x:c>
      <x:c r="M42" s="153" t="n">
        <x:v>6173</x:v>
      </x:c>
      <x:c r="N42" s="153" t="n">
        <x:v>6127</x:v>
      </x:c>
      <x:c r="O42" s="153" t="n">
        <x:v>6166</x:v>
      </x:c>
      <x:c r="P42" s="154" t="n">
        <x:f>IFERROR(O42/O41-1,"")</x:f>
        <x:v>0.004889178617992096</x:v>
      </x:c>
      <x:c r="Q42" s="154" t="n">
        <x:f>IFERROR((M42-N42)/O41,"")</x:f>
        <x:v>0.007496740547588005</x:v>
      </x:c>
      <x:c r="R42" s="153" t="n">
        <x:v>6151</x:v>
      </x:c>
      <x:c r="S42" s="158" t="n">
        <x:v>613142</x:v>
      </x:c>
      <x:c r="T42" s="158" t="n">
        <x:v>3772000736</x:v>
      </x:c>
      <x:c r="U42" s="158" t="n">
        <x:v>5495092</x:v>
      </x:c>
      <x:c r="V42" s="153" t="n">
        <x:f>IFERROR(E42*1000/O42,"")</x:f>
        <x:v>82.0369769704833</x:v>
      </x:c>
      <x:c r="W42" s="153" t="n">
        <x:v>4.09</x:v>
      </x:c>
      <x:c r="X42" s="155" t="n">
        <x:v>45358</x:v>
      </x:c>
      <x:c r="Y42" s="153" t="n">
        <x:v>1.81</x:v>
      </x:c>
      <x:c r="Z42" s="155" t="n">
        <x:v>45358</x:v>
      </x:c>
      <x:c r="AA42" s="153" t="n">
        <x:f>IFERROR(Y42-Y41,"")</x:f>
        <x:v>0</x:v>
      </x:c>
      <x:c r="AB42" s="153" t="n">
        <x:v>2.28</x:v>
      </x:c>
      <x:c r="AC42" s="153" t="n">
        <x:v>120.1909</x:v>
      </x:c>
      <x:c r="AD42" s="155" t="n">
        <x:v>45358</x:v>
      </x:c>
      <x:c r="AE42" s="154" t="n">
        <x:f>IFERROR(AC42/AC41-1,"")</x:f>
        <x:v>-0.0022745214581176842</x:v>
      </x:c>
      <x:c r="AF42" s="153" t="n">
        <x:v>14.44</x:v>
      </x:c>
      <x:c r="AG42" s="155" t="n">
        <x:v>45358</x:v>
      </x:c>
      <x:c r="AH42" s="153" t="n">
        <x:f>IFERROR(AF42-AF41,"")</x:f>
        <x:v>-0.0600000000000005</x:v>
      </x:c>
      <x:c r="AI42" s="153" t="n">
        <x:v>5.33</x:v>
      </x:c>
      <x:c r="AJ42" s="155" t="n">
        <x:v>45352</x:v>
      </x:c>
      <x:c r="AK42" s="159" t="n">
        <x:v>56153</x:v>
      </x:c>
      <x:c r="AL42" s="154" t="n">
        <x:v>0.136560512652148</x:v>
      </x:c>
      <x:c r="AM42" s="159" t="n">
        <x:v>-39672</x:v>
      </x:c>
      <x:c r="AN42" s="155" t="n">
        <x:v>45352</x:v>
      </x:c>
      <x:c r="AO42" s="159" t="n">
        <x:v>-4083</x:v>
      </x:c>
      <x:c r="AP42" s="154" t="n">
        <x:v>-0.028279148370295465</x:v>
      </x:c>
      <x:c r="AQ42" s="159" t="n">
        <x:v>-34205</x:v>
      </x:c>
      <x:c r="AR42" s="147" t="str">
        <x:v>美国市场指标与CFTC数据均使用严格早于上金所交易日的最后已发布值</x:v>
      </x:c>
    </x:row>
    <x:row r="43">
      <x:c r="A43" s="155" t="n">
        <x:v>45362</x:v>
      </x:c>
      <x:c r="B43" s="153" t="n">
        <x:v>507</x:v>
      </x:c>
      <x:c r="C43" s="153" t="n">
        <x:v>509.99</x:v>
      </x:c>
      <x:c r="D43" s="153" t="n">
        <x:v>505.1</x:v>
      </x:c>
      <x:c r="E43" s="153" t="n">
        <x:v>507.29</x:v>
      </x:c>
      <x:c r="F43" s="154" t="n">
        <x:f>IFERROR(E43/E42-1,"")</x:f>
        <x:v>0.0028665190574095334</x:v>
      </x:c>
      <x:c r="G43" s="154" t="n">
        <x:f>IFERROR((C43-D43)/E42,"")</x:f>
        <x:v>0.009667088407401523</x:v>
      </x:c>
      <x:c r="H43" s="153" t="n">
        <x:v>507.84</x:v>
      </x:c>
      <x:c r="I43" s="158" t="n">
        <x:v>11214.08</x:v>
      </x:c>
      <x:c r="J43" s="158" t="n">
        <x:v>5695050009.4</x:v>
      </x:c>
      <x:c r="K43" s="158"/>
      <x:c r="L43" s="153" t="n">
        <x:v>6183</x:v>
      </x:c>
      <x:c r="M43" s="153" t="n">
        <x:v>6188</x:v>
      </x:c>
      <x:c r="N43" s="153" t="n">
        <x:v>6118</x:v>
      </x:c>
      <x:c r="O43" s="153" t="n">
        <x:v>6159</x:v>
      </x:c>
      <x:c r="P43" s="154" t="n">
        <x:f>IFERROR(O43/O42-1,"")</x:f>
        <x:v>-0.0011352578657152224</x:v>
      </x:c>
      <x:c r="Q43" s="154" t="n">
        <x:f>IFERROR((M43-N43)/O42,"")</x:f>
        <x:v>0.011352578657152125</x:v>
      </x:c>
      <x:c r="R43" s="153" t="n">
        <x:v>6155</x:v>
      </x:c>
      <x:c r="S43" s="158" t="n">
        <x:v>551720</x:v>
      </x:c>
      <x:c r="T43" s="158" t="n">
        <x:v>3396031502</x:v>
      </x:c>
      <x:c r="U43" s="158" t="n">
        <x:v>5566898</x:v>
      </x:c>
      <x:c r="V43" s="153" t="n">
        <x:f>IFERROR(E43*1000/O43,"")</x:f>
        <x:v>82.36564377333983</x:v>
      </x:c>
      <x:c r="W43" s="153" t="n">
        <x:v>4.09</x:v>
      </x:c>
      <x:c r="X43" s="155" t="n">
        <x:v>45359</x:v>
      </x:c>
      <x:c r="Y43" s="153" t="n">
        <x:v>1.81</x:v>
      </x:c>
      <x:c r="Z43" s="155" t="n">
        <x:v>45359</x:v>
      </x:c>
      <x:c r="AA43" s="153" t="n">
        <x:f>IFERROR(Y43-Y42,"")</x:f>
        <x:v>0</x:v>
      </x:c>
      <x:c r="AB43" s="153" t="n">
        <x:v>2.28</x:v>
      </x:c>
      <x:c r="AC43" s="153" t="n">
        <x:v>119.975</x:v>
      </x:c>
      <x:c r="AD43" s="155" t="n">
        <x:v>45359</x:v>
      </x:c>
      <x:c r="AE43" s="154" t="n">
        <x:f>IFERROR(AC43/AC42-1,"")</x:f>
        <x:v>-0.0017963090383714686</x:v>
      </x:c>
      <x:c r="AF43" s="153" t="n">
        <x:v>14.74</x:v>
      </x:c>
      <x:c r="AG43" s="155" t="n">
        <x:v>45359</x:v>
      </x:c>
      <x:c r="AH43" s="153" t="n">
        <x:f>IFERROR(AF43-AF42,"")</x:f>
        <x:v>0.3000000000000007</x:v>
      </x:c>
      <x:c r="AI43" s="153" t="n">
        <x:v>5.33</x:v>
      </x:c>
      <x:c r="AJ43" s="155" t="n">
        <x:v>45359</x:v>
      </x:c>
      <x:c r="AK43" s="159" t="n">
        <x:v>109763</x:v>
      </x:c>
      <x:c r="AL43" s="154" t="n">
        <x:v>0.23273807504410368</x:v>
      </x:c>
      <x:c r="AM43" s="159" t="n">
        <x:v>-48887</x:v>
      </x:c>
      <x:c r="AN43" s="155" t="n">
        <x:v>45359</x:v>
      </x:c>
      <x:c r="AO43" s="159" t="n">
        <x:v>14812</x:v>
      </x:c>
      <x:c r="AP43" s="154" t="n">
        <x:v>0.10503027810474665</x:v>
      </x:c>
      <x:c r="AQ43" s="159" t="n">
        <x:v>-35756</x:v>
      </x:c>
      <x:c r="AR43" s="147" t="str">
        <x:v>美国市场指标与CFTC数据均使用严格早于上金所交易日的最后已发布值</x:v>
      </x:c>
    </x:row>
    <x:row r="44">
      <x:c r="A44" s="155" t="n">
        <x:v>45363</x:v>
      </x:c>
      <x:c r="B44" s="153" t="n">
        <x:v>507.3</x:v>
      </x:c>
      <x:c r="C44" s="153" t="n">
        <x:v>507.9</x:v>
      </x:c>
      <x:c r="D44" s="153" t="n">
        <x:v>505.15</x:v>
      </x:c>
      <x:c r="E44" s="153" t="n">
        <x:v>505.24</x:v>
      </x:c>
      <x:c r="F44" s="154" t="n">
        <x:f>IFERROR(E44/E43-1,"")</x:f>
        <x:v>-0.004041081038459238</x:v>
      </x:c>
      <x:c r="G44" s="154" t="n">
        <x:f>IFERROR((C44-D44)/E43,"")</x:f>
        <x:v>0.005420962368664866</x:v>
      </x:c>
      <x:c r="H44" s="153" t="n">
        <x:v>506.74</x:v>
      </x:c>
      <x:c r="I44" s="158" t="n">
        <x:v>8635.24</x:v>
      </x:c>
      <x:c r="J44" s="158" t="n">
        <x:v>4375839521.4</x:v>
      </x:c>
      <x:c r="K44" s="158"/>
      <x:c r="L44" s="153" t="n">
        <x:v>6154</x:v>
      </x:c>
      <x:c r="M44" s="153" t="n">
        <x:v>6180</x:v>
      </x:c>
      <x:c r="N44" s="153" t="n">
        <x:v>6147</x:v>
      </x:c>
      <x:c r="O44" s="153" t="n">
        <x:v>6160</x:v>
      </x:c>
      <x:c r="P44" s="154" t="n">
        <x:f>IFERROR(O44/O43-1,"")</x:f>
        <x:v>0.00016236402013314333</x:v>
      </x:c>
      <x:c r="Q44" s="154" t="n">
        <x:f>IFERROR((M44-N44)/O43,"")</x:f>
        <x:v>0.00535801266439357</x:v>
      </x:c>
      <x:c r="R44" s="153" t="n">
        <x:v>6163</x:v>
      </x:c>
      <x:c r="S44" s="158" t="n">
        <x:v>377592</x:v>
      </x:c>
      <x:c r="T44" s="158" t="n">
        <x:v>2327289880</x:v>
      </x:c>
      <x:c r="U44" s="158" t="n">
        <x:v>5523532</x:v>
      </x:c>
      <x:c r="V44" s="153" t="n">
        <x:f>IFERROR(E44*1000/O44,"")</x:f>
        <x:v>82.01948051948052</x:v>
      </x:c>
      <x:c r="W44" s="153" t="n">
        <x:v>4.1</x:v>
      </x:c>
      <x:c r="X44" s="155" t="n">
        <x:v>45362</x:v>
      </x:c>
      <x:c r="Y44" s="153" t="n">
        <x:v>1.83</x:v>
      </x:c>
      <x:c r="Z44" s="155" t="n">
        <x:v>45362</x:v>
      </x:c>
      <x:c r="AA44" s="153" t="n">
        <x:f>IFERROR(Y44-Y43,"")</x:f>
        <x:v>0.020000000000000018</x:v>
      </x:c>
      <x:c r="AB44" s="153" t="n">
        <x:v>2.27</x:v>
      </x:c>
      <x:c r="AC44" s="153" t="n">
        <x:v>120.0394</x:v>
      </x:c>
      <x:c r="AD44" s="155" t="n">
        <x:v>45362</x:v>
      </x:c>
      <x:c r="AE44" s="154" t="n">
        <x:f>IFERROR(AC44/AC43-1,"")</x:f>
        <x:v>0.0005367784955199184</x:v>
      </x:c>
      <x:c r="AF44" s="153" t="n">
        <x:v>15.22</x:v>
      </x:c>
      <x:c r="AG44" s="155" t="n">
        <x:v>45362</x:v>
      </x:c>
      <x:c r="AH44" s="153" t="n">
        <x:f>IFERROR(AF44-AF43,"")</x:f>
        <x:v>0.4800000000000004</x:v>
      </x:c>
      <x:c r="AI44" s="153" t="n">
        <x:v>5.33</x:v>
      </x:c>
      <x:c r="AJ44" s="155" t="n">
        <x:v>45359</x:v>
      </x:c>
      <x:c r="AK44" s="159" t="n">
        <x:v>109763</x:v>
      </x:c>
      <x:c r="AL44" s="154" t="n">
        <x:v>0.23273807504410368</x:v>
      </x:c>
      <x:c r="AM44" s="159" t="n">
        <x:v>-48887</x:v>
      </x:c>
      <x:c r="AN44" s="155" t="n">
        <x:v>45359</x:v>
      </x:c>
      <x:c r="AO44" s="159" t="n">
        <x:v>14812</x:v>
      </x:c>
      <x:c r="AP44" s="154" t="n">
        <x:v>0.10503027810474665</x:v>
      </x:c>
      <x:c r="AQ44" s="159" t="n">
        <x:v>-35756</x:v>
      </x:c>
      <x:c r="AR44" s="147" t="str">
        <x:v>美国市场指标与CFTC数据均使用严格早于上金所交易日的最后已发布值</x:v>
      </x:c>
    </x:row>
    <x:row r="45">
      <x:c r="A45" s="155" t="n">
        <x:v>45364</x:v>
      </x:c>
      <x:c r="B45" s="153" t="n">
        <x:v>504.5</x:v>
      </x:c>
      <x:c r="C45" s="153" t="n">
        <x:v>506</x:v>
      </x:c>
      <x:c r="D45" s="153" t="n">
        <x:v>503.26</x:v>
      </x:c>
      <x:c r="E45" s="153" t="n">
        <x:v>504.79</x:v>
      </x:c>
      <x:c r="F45" s="154" t="n">
        <x:f>IFERROR(E45/E44-1,"")</x:f>
        <x:v>-0.0008906658221834451</x:v>
      </x:c>
      <x:c r="G45" s="154" t="n">
        <x:f>IFERROR((C45-D45)/E44,"")</x:f>
        <x:v>0.00542316522840632</x:v>
      </x:c>
      <x:c r="H45" s="153" t="n">
        <x:v>504.33</x:v>
      </x:c>
      <x:c r="I45" s="158" t="n">
        <x:v>13162.48</x:v>
      </x:c>
      <x:c r="J45" s="158" t="n">
        <x:v>6638299849.6</x:v>
      </x:c>
      <x:c r="K45" s="158"/>
      <x:c r="L45" s="153" t="n">
        <x:v>6161</x:v>
      </x:c>
      <x:c r="M45" s="153" t="n">
        <x:v>6206</x:v>
      </x:c>
      <x:c r="N45" s="153" t="n">
        <x:v>6109</x:v>
      </x:c>
      <x:c r="O45" s="153" t="n">
        <x:v>6151</x:v>
      </x:c>
      <x:c r="P45" s="154" t="n">
        <x:f>IFERROR(O45/O44-1,"")</x:f>
        <x:v>-0.0014610389610389962</x:v>
      </x:c>
      <x:c r="Q45" s="154" t="n">
        <x:f>IFERROR((M45-N45)/O44,"")</x:f>
        <x:v>0.015746753246753245</x:v>
      </x:c>
      <x:c r="R45" s="153" t="n">
        <x:v>6144</x:v>
      </x:c>
      <x:c r="S45" s="158" t="n">
        <x:v>661980</x:v>
      </x:c>
      <x:c r="T45" s="158" t="n">
        <x:v>4067599188</x:v>
      </x:c>
      <x:c r="U45" s="158" t="n">
        <x:v>5512152</x:v>
      </x:c>
      <x:c r="V45" s="153" t="n">
        <x:f>IFERROR(E45*1000/O45,"")</x:f>
        <x:v>82.06633067793855</x:v>
      </x:c>
      <x:c r="W45" s="153" t="n">
        <x:v>4.16</x:v>
      </x:c>
      <x:c r="X45" s="155" t="n">
        <x:v>45363</x:v>
      </x:c>
      <x:c r="Y45" s="153" t="n">
        <x:v>1.86</x:v>
      </x:c>
      <x:c r="Z45" s="155" t="n">
        <x:v>45363</x:v>
      </x:c>
      <x:c r="AA45" s="153" t="n">
        <x:f>IFERROR(Y45-Y44,"")</x:f>
        <x:v>0.030000000000000027</x:v>
      </x:c>
      <x:c r="AB45" s="153" t="n">
        <x:v>2.3</x:v>
      </x:c>
      <x:c r="AC45" s="153" t="n">
        <x:v>120.1668</x:v>
      </x:c>
      <x:c r="AD45" s="155" t="n">
        <x:v>45363</x:v>
      </x:c>
      <x:c r="AE45" s="154" t="n">
        <x:f>IFERROR(AC45/AC44-1,"")</x:f>
        <x:v>0.0010613182005241306</x:v>
      </x:c>
      <x:c r="AF45" s="153" t="n">
        <x:v>13.84</x:v>
      </x:c>
      <x:c r="AG45" s="155" t="n">
        <x:v>45363</x:v>
      </x:c>
      <x:c r="AH45" s="153" t="n">
        <x:f>IFERROR(AF45-AF44,"")</x:f>
        <x:v>-1.3800000000000008</x:v>
      </x:c>
      <x:c r="AI45" s="153" t="n">
        <x:v>5.33</x:v>
      </x:c>
      <x:c r="AJ45" s="155" t="n">
        <x:v>45359</x:v>
      </x:c>
      <x:c r="AK45" s="159" t="n">
        <x:v>109763</x:v>
      </x:c>
      <x:c r="AL45" s="154" t="n">
        <x:v>0.23273807504410368</x:v>
      </x:c>
      <x:c r="AM45" s="159" t="n">
        <x:v>-48887</x:v>
      </x:c>
      <x:c r="AN45" s="155" t="n">
        <x:v>45359</x:v>
      </x:c>
      <x:c r="AO45" s="159" t="n">
        <x:v>14812</x:v>
      </x:c>
      <x:c r="AP45" s="154" t="n">
        <x:v>0.10503027810474665</x:v>
      </x:c>
      <x:c r="AQ45" s="159" t="n">
        <x:v>-35756</x:v>
      </x:c>
      <x:c r="AR45" s="147" t="str">
        <x:v>美国市场指标与CFTC数据均使用严格早于上金所交易日的最后已发布值</x:v>
      </x:c>
    </x:row>
    <x:row r="46">
      <x:c r="A46" s="155" t="n">
        <x:v>45365</x:v>
      </x:c>
      <x:c r="B46" s="153" t="n">
        <x:v>505.2</x:v>
      </x:c>
      <x:c r="C46" s="153" t="n">
        <x:v>507.95</x:v>
      </x:c>
      <x:c r="D46" s="153" t="n">
        <x:v>505</x:v>
      </x:c>
      <x:c r="E46" s="153" t="n">
        <x:v>505.2</x:v>
      </x:c>
      <x:c r="F46" s="154" t="n">
        <x:f>IFERROR(E46/E45-1,"")</x:f>
        <x:v>0.0008122189425305848</x:v>
      </x:c>
      <x:c r="G46" s="154" t="n">
        <x:f>IFERROR((C46-D46)/E45,"")</x:f>
        <x:v>0.005844014342597889</x:v>
      </x:c>
      <x:c r="H46" s="153" t="n">
        <x:v>506.36</x:v>
      </x:c>
      <x:c r="I46" s="158" t="n">
        <x:v>6961.58</x:v>
      </x:c>
      <x:c r="J46" s="158" t="n">
        <x:v>3525098125.8</x:v>
      </x:c>
      <x:c r="K46" s="158"/>
      <x:c r="L46" s="153" t="n">
        <x:v>6163</x:v>
      </x:c>
      <x:c r="M46" s="153" t="n">
        <x:v>6345</x:v>
      </x:c>
      <x:c r="N46" s="153" t="n">
        <x:v>6161</x:v>
      </x:c>
      <x:c r="O46" s="153" t="n">
        <x:v>6281</x:v>
      </x:c>
      <x:c r="P46" s="154" t="n">
        <x:f>IFERROR(O46/O45-1,"")</x:f>
        <x:v>0.021134774833360348</x:v>
      </x:c>
      <x:c r="Q46" s="154" t="n">
        <x:f>IFERROR((M46-N46)/O45,"")</x:f>
        <x:v>0.0299138351487563</x:v>
      </x:c>
      <x:c r="R46" s="153" t="n">
        <x:v>6273</x:v>
      </x:c>
      <x:c r="S46" s="158" t="n">
        <x:v>1043482</x:v>
      </x:c>
      <x:c r="T46" s="158" t="n">
        <x:v>6546062110</x:v>
      </x:c>
      <x:c r="U46" s="158" t="n">
        <x:v>5501558</x:v>
      </x:c>
      <x:c r="V46" s="153" t="n">
        <x:f>IFERROR(E46*1000/O46,"")</x:f>
        <x:v>80.43305206177361</x:v>
      </x:c>
      <x:c r="W46" s="153" t="n">
        <x:v>4.19</x:v>
      </x:c>
      <x:c r="X46" s="155" t="n">
        <x:v>45364</x:v>
      </x:c>
      <x:c r="Y46" s="153" t="n">
        <x:v>1.89</x:v>
      </x:c>
      <x:c r="Z46" s="155" t="n">
        <x:v>45364</x:v>
      </x:c>
      <x:c r="AA46" s="153" t="n">
        <x:f>IFERROR(Y46-Y45,"")</x:f>
        <x:v>0.029999999999999805</x:v>
      </x:c>
      <x:c r="AB46" s="153" t="n">
        <x:v>2.3</x:v>
      </x:c>
      <x:c r="AC46" s="153" t="n">
        <x:v>119.9642</x:v>
      </x:c>
      <x:c r="AD46" s="155" t="n">
        <x:v>45364</x:v>
      </x:c>
      <x:c r="AE46" s="154" t="n">
        <x:f>IFERROR(AC46/AC45-1,"")</x:f>
        <x:v>-0.0016859898075007873</x:v>
      </x:c>
      <x:c r="AF46" s="153" t="n">
        <x:v>13.75</x:v>
      </x:c>
      <x:c r="AG46" s="155" t="n">
        <x:v>45364</x:v>
      </x:c>
      <x:c r="AH46" s="153" t="n">
        <x:f>IFERROR(AF46-AF45,"")</x:f>
        <x:v>-0.08999999999999986</x:v>
      </x:c>
      <x:c r="AI46" s="153" t="n">
        <x:v>5.33</x:v>
      </x:c>
      <x:c r="AJ46" s="155" t="n">
        <x:v>45359</x:v>
      </x:c>
      <x:c r="AK46" s="159" t="n">
        <x:v>109763</x:v>
      </x:c>
      <x:c r="AL46" s="154" t="n">
        <x:v>0.23273807504410368</x:v>
      </x:c>
      <x:c r="AM46" s="159" t="n">
        <x:v>-48887</x:v>
      </x:c>
      <x:c r="AN46" s="155" t="n">
        <x:v>45359</x:v>
      </x:c>
      <x:c r="AO46" s="159" t="n">
        <x:v>14812</x:v>
      </x:c>
      <x:c r="AP46" s="154" t="n">
        <x:v>0.10503027810474665</x:v>
      </x:c>
      <x:c r="AQ46" s="159" t="n">
        <x:v>-35756</x:v>
      </x:c>
      <x:c r="AR46" s="147" t="str">
        <x:v>美国市场指标与CFTC数据均使用严格早于上金所交易日的最后已发布值</x:v>
      </x:c>
    </x:row>
    <x:row r="47">
      <x:c r="A47" s="155" t="n">
        <x:v>45366</x:v>
      </x:c>
      <x:c r="B47" s="153" t="n">
        <x:v>505.3</x:v>
      </x:c>
      <x:c r="C47" s="153" t="n">
        <x:v>507.2</x:v>
      </x:c>
      <x:c r="D47" s="153" t="n">
        <x:v>504.5</x:v>
      </x:c>
      <x:c r="E47" s="153" t="n">
        <x:v>507.12</x:v>
      </x:c>
      <x:c r="F47" s="154" t="n">
        <x:f>IFERROR(E47/E46-1,"")</x:f>
        <x:v>0.0038004750593825243</x:v>
      </x:c>
      <x:c r="G47" s="154" t="n">
        <x:f>IFERROR((C47-D47)/E46,"")</x:f>
        <x:v>0.00534441805225651</x:v>
      </x:c>
      <x:c r="H47" s="153" t="n">
        <x:v>506.15</x:v>
      </x:c>
      <x:c r="I47" s="158" t="n">
        <x:v>10185.02</x:v>
      </x:c>
      <x:c r="J47" s="158" t="n">
        <x:v>5155174814.6</x:v>
      </x:c>
      <x:c r="K47" s="158"/>
      <x:c r="L47" s="153" t="n">
        <x:v>6294</x:v>
      </x:c>
      <x:c r="M47" s="153" t="n">
        <x:v>6383</x:v>
      </x:c>
      <x:c r="N47" s="153" t="n">
        <x:v>6252</x:v>
      </x:c>
      <x:c r="O47" s="153" t="n">
        <x:v>6343</x:v>
      </x:c>
      <x:c r="P47" s="154" t="n">
        <x:f>IFERROR(O47/O46-1,"")</x:f>
        <x:v>0.009871039643368995</x:v>
      </x:c>
      <x:c r="Q47" s="154" t="n">
        <x:f>IFERROR((M47-N47)/O46,"")</x:f>
        <x:v>0.020856551504537493</x:v>
      </x:c>
      <x:c r="R47" s="153" t="n">
        <x:v>6316</x:v>
      </x:c>
      <x:c r="S47" s="158" t="n">
        <x:v>507290</x:v>
      </x:c>
      <x:c r="T47" s="158" t="n">
        <x:v>3204322692</x:v>
      </x:c>
      <x:c r="U47" s="158" t="n">
        <x:v>5404302</x:v>
      </x:c>
      <x:c r="V47" s="153" t="n">
        <x:f>IFERROR(E47*1000/O47,"")</x:f>
        <x:v>79.94955068579536</x:v>
      </x:c>
      <x:c r="W47" s="153" t="n">
        <x:v>4.29</x:v>
      </x:c>
      <x:c r="X47" s="155" t="n">
        <x:v>45365</x:v>
      </x:c>
      <x:c r="Y47" s="153" t="n">
        <x:v>1.99</x:v>
      </x:c>
      <x:c r="Z47" s="155" t="n">
        <x:v>45365</x:v>
      </x:c>
      <x:c r="AA47" s="153" t="n">
        <x:f>IFERROR(Y47-Y46,"")</x:f>
        <x:v>0.10000000000000009</x:v>
      </x:c>
      <x:c r="AB47" s="153" t="n">
        <x:v>2.3</x:v>
      </x:c>
      <x:c r="AC47" s="153" t="n">
        <x:v>120.241</x:v>
      </x:c>
      <x:c r="AD47" s="155" t="n">
        <x:v>45365</x:v>
      </x:c>
      <x:c r="AE47" s="154" t="n">
        <x:f>IFERROR(AC47/AC46-1,"")</x:f>
        <x:v>0.002307355027583169</x:v>
      </x:c>
      <x:c r="AF47" s="153" t="n">
        <x:v>14.4</x:v>
      </x:c>
      <x:c r="AG47" s="155" t="n">
        <x:v>45365</x:v>
      </x:c>
      <x:c r="AH47" s="153" t="n">
        <x:f>IFERROR(AF47-AF46,"")</x:f>
        <x:v>0.6500000000000004</x:v>
      </x:c>
      <x:c r="AI47" s="153" t="n">
        <x:v>5.33</x:v>
      </x:c>
      <x:c r="AJ47" s="155" t="n">
        <x:v>45359</x:v>
      </x:c>
      <x:c r="AK47" s="159" t="n">
        <x:v>109763</x:v>
      </x:c>
      <x:c r="AL47" s="154" t="n">
        <x:v>0.23273807504410368</x:v>
      </x:c>
      <x:c r="AM47" s="159" t="n">
        <x:v>-48887</x:v>
      </x:c>
      <x:c r="AN47" s="155" t="n">
        <x:v>45359</x:v>
      </x:c>
      <x:c r="AO47" s="159" t="n">
        <x:v>14812</x:v>
      </x:c>
      <x:c r="AP47" s="154" t="n">
        <x:v>0.10503027810474665</x:v>
      </x:c>
      <x:c r="AQ47" s="159" t="n">
        <x:v>-35756</x:v>
      </x:c>
      <x:c r="AR47" s="147" t="str">
        <x:v>美国市场指标与CFTC数据均使用严格早于上金所交易日的最后已发布值</x:v>
      </x:c>
    </x:row>
    <x:row r="48">
      <x:c r="A48" s="155" t="n">
        <x:v>45369</x:v>
      </x:c>
      <x:c r="B48" s="153" t="n">
        <x:v>505.5</x:v>
      </x:c>
      <x:c r="C48" s="153" t="n">
        <x:v>506.3</x:v>
      </x:c>
      <x:c r="D48" s="153" t="n">
        <x:v>502.7</x:v>
      </x:c>
      <x:c r="E48" s="153" t="n">
        <x:v>503.26</x:v>
      </x:c>
      <x:c r="F48" s="154" t="n">
        <x:f>IFERROR(E48/E47-1,"")</x:f>
        <x:v>-0.007611610664142621</x:v>
      </x:c>
      <x:c r="G48" s="154" t="n">
        <x:f>IFERROR((C48-D48)/E47,"")</x:f>
        <x:v>0.007098911500236675</x:v>
      </x:c>
      <x:c r="H48" s="153" t="n">
        <x:v>503.42</x:v>
      </x:c>
      <x:c r="I48" s="158" t="n">
        <x:v>10146.66</x:v>
      </x:c>
      <x:c r="J48" s="158" t="n">
        <x:v>5108033502</x:v>
      </x:c>
      <x:c r="K48" s="158"/>
      <x:c r="L48" s="153" t="n">
        <x:v>6360</x:v>
      </x:c>
      <x:c r="M48" s="153" t="n">
        <x:v>6419</x:v>
      </x:c>
      <x:c r="N48" s="153" t="n">
        <x:v>6306</x:v>
      </x:c>
      <x:c r="O48" s="153" t="n">
        <x:v>6325</x:v>
      </x:c>
      <x:c r="P48" s="154" t="n">
        <x:f>IFERROR(O48/O47-1,"")</x:f>
        <x:v>-0.0028377739240107447</x:v>
      </x:c>
      <x:c r="Q48" s="154" t="n">
        <x:f>IFERROR((M48-N48)/O47,"")</x:f>
        <x:v>0.017814914078511747</x:v>
      </x:c>
      <x:c r="R48" s="153" t="n">
        <x:v>6345</x:v>
      </x:c>
      <x:c r="S48" s="158" t="n">
        <x:v>635926</x:v>
      </x:c>
      <x:c r="T48" s="158" t="n">
        <x:v>4035242744</x:v>
      </x:c>
      <x:c r="U48" s="158" t="n">
        <x:v>5375452</x:v>
      </x:c>
      <x:c r="V48" s="153" t="n">
        <x:f>IFERROR(E48*1000/O48,"")</x:f>
        <x:v>79.56679841897233</x:v>
      </x:c>
      <x:c r="W48" s="153" t="n">
        <x:v>4.31</x:v>
      </x:c>
      <x:c r="X48" s="155" t="n">
        <x:v>45366</x:v>
      </x:c>
      <x:c r="Y48" s="153" t="n">
        <x:v>1.99</x:v>
      </x:c>
      <x:c r="Z48" s="155" t="n">
        <x:v>45366</x:v>
      </x:c>
      <x:c r="AA48" s="153" t="n">
        <x:f>IFERROR(Y48-Y47,"")</x:f>
        <x:v>0</x:v>
      </x:c>
      <x:c r="AB48" s="153" t="n">
        <x:v>2.32</x:v>
      </x:c>
      <x:c r="AC48" s="153" t="n">
        <x:v>120.4003</x:v>
      </x:c>
      <x:c r="AD48" s="155" t="n">
        <x:v>45366</x:v>
      </x:c>
      <x:c r="AE48" s="154" t="n">
        <x:f>IFERROR(AC48/AC47-1,"")</x:f>
        <x:v>0.0013248392811104903</x:v>
      </x:c>
      <x:c r="AF48" s="153" t="n">
        <x:v>14.41</x:v>
      </x:c>
      <x:c r="AG48" s="155" t="n">
        <x:v>45366</x:v>
      </x:c>
      <x:c r="AH48" s="153" t="n">
        <x:f>IFERROR(AF48-AF47,"")</x:f>
        <x:v>0.009999999999999787</x:v>
      </x:c>
      <x:c r="AI48" s="153" t="n">
        <x:v>5.33</x:v>
      </x:c>
      <x:c r="AJ48" s="155" t="n">
        <x:v>45366</x:v>
      </x:c>
      <x:c r="AK48" s="159" t="n">
        <x:v>141083</x:v>
      </x:c>
      <x:c r="AL48" s="154" t="n">
        <x:v>0.27338646699880054</x:v>
      </x:c>
      <x:c r="AM48" s="159" t="n">
        <x:v>-48440</x:v>
      </x:c>
      <x:c r="AN48" s="155" t="n">
        <x:v>45366</x:v>
      </x:c>
      <x:c r="AO48" s="159" t="n">
        <x:v>25794</x:v>
      </x:c>
      <x:c r="AP48" s="154" t="n">
        <x:v>0.17846319897048446</x:v>
      </x:c>
      <x:c r="AQ48" s="159" t="n">
        <x:v>-35855</x:v>
      </x:c>
      <x:c r="AR48" s="147" t="str">
        <x:v>美国市场指标与CFTC数据均使用严格早于上金所交易日的最后已发布值</x:v>
      </x:c>
    </x:row>
    <x:row r="49">
      <x:c r="A49" s="155" t="n">
        <x:v>45370</x:v>
      </x:c>
      <x:c r="B49" s="153" t="n">
        <x:v>504.5</x:v>
      </x:c>
      <x:c r="C49" s="153" t="n">
        <x:v>505.94</x:v>
      </x:c>
      <x:c r="D49" s="153" t="n">
        <x:v>503.21</x:v>
      </x:c>
      <x:c r="E49" s="153" t="n">
        <x:v>504.06</x:v>
      </x:c>
      <x:c r="F49" s="154" t="n">
        <x:f>IFERROR(E49/E48-1,"")</x:f>
        <x:v>0.0015896355760443015</x:v>
      </x:c>
      <x:c r="G49" s="154" t="n">
        <x:f>IFERROR((C49-D49)/E48,"")</x:f>
        <x:v>0.005424631403250841</x:v>
      </x:c>
      <x:c r="H49" s="153" t="n">
        <x:v>504.44</x:v>
      </x:c>
      <x:c r="I49" s="158" t="n">
        <x:v>10873.84</x:v>
      </x:c>
      <x:c r="J49" s="158" t="n">
        <x:v>5485295879.2</x:v>
      </x:c>
      <x:c r="K49" s="158"/>
      <x:c r="L49" s="153" t="n">
        <x:v>6345</x:v>
      </x:c>
      <x:c r="M49" s="153" t="n">
        <x:v>6378</x:v>
      </x:c>
      <x:c r="N49" s="153" t="n">
        <x:v>6290</x:v>
      </x:c>
      <x:c r="O49" s="153" t="n">
        <x:v>6311</x:v>
      </x:c>
      <x:c r="P49" s="154" t="n">
        <x:f>IFERROR(O49/O48-1,"")</x:f>
        <x:v>-0.002213438735177875</x:v>
      </x:c>
      <x:c r="Q49" s="154" t="n">
        <x:f>IFERROR((M49-N49)/O48,"")</x:f>
        <x:v>0.01391304347826087</x:v>
      </x:c>
      <x:c r="R49" s="153" t="n">
        <x:v>6330</x:v>
      </x:c>
      <x:c r="S49" s="158" t="n">
        <x:v>568280</x:v>
      </x:c>
      <x:c r="T49" s="158" t="n">
        <x:v>3597237204</x:v>
      </x:c>
      <x:c r="U49" s="158" t="n">
        <x:v>5356614</x:v>
      </x:c>
      <x:c r="V49" s="153" t="n">
        <x:f>IFERROR(E49*1000/O49,"")</x:f>
        <x:v>79.87006813500237</x:v>
      </x:c>
      <x:c r="W49" s="153" t="n">
        <x:v>4.34</x:v>
      </x:c>
      <x:c r="X49" s="155" t="n">
        <x:v>45369</x:v>
      </x:c>
      <x:c r="Y49" s="153" t="n">
        <x:v>2.03</x:v>
      </x:c>
      <x:c r="Z49" s="155" t="n">
        <x:v>45369</x:v>
      </x:c>
      <x:c r="AA49" s="153" t="n">
        <x:f>IFERROR(Y49-Y48,"")</x:f>
        <x:v>0.039999999999999813</x:v>
      </x:c>
      <x:c r="AB49" s="153" t="n">
        <x:v>2.31</x:v>
      </x:c>
      <x:c r="AC49" s="153" t="n">
        <x:v>120.5752</x:v>
      </x:c>
      <x:c r="AD49" s="155" t="n">
        <x:v>45369</x:v>
      </x:c>
      <x:c r="AE49" s="154" t="n">
        <x:f>IFERROR(AC49/AC48-1,"")</x:f>
        <x:v>0.0014526541877386556</x:v>
      </x:c>
      <x:c r="AF49" s="153" t="n">
        <x:v>14.33</x:v>
      </x:c>
      <x:c r="AG49" s="155" t="n">
        <x:v>45369</x:v>
      </x:c>
      <x:c r="AH49" s="153" t="n">
        <x:f>IFERROR(AF49-AF48,"")</x:f>
        <x:v>-0.08000000000000007</x:v>
      </x:c>
      <x:c r="AI49" s="153" t="n">
        <x:v>5.33</x:v>
      </x:c>
      <x:c r="AJ49" s="155" t="n">
        <x:v>45366</x:v>
      </x:c>
      <x:c r="AK49" s="159" t="n">
        <x:v>141083</x:v>
      </x:c>
      <x:c r="AL49" s="154" t="n">
        <x:v>0.27338646699880054</x:v>
      </x:c>
      <x:c r="AM49" s="159" t="n">
        <x:v>-48440</x:v>
      </x:c>
      <x:c r="AN49" s="155" t="n">
        <x:v>45366</x:v>
      </x:c>
      <x:c r="AO49" s="159" t="n">
        <x:v>25794</x:v>
      </x:c>
      <x:c r="AP49" s="154" t="n">
        <x:v>0.17846319897048446</x:v>
      </x:c>
      <x:c r="AQ49" s="159" t="n">
        <x:v>-35855</x:v>
      </x:c>
      <x:c r="AR49" s="147" t="str">
        <x:v>美国市场指标与CFTC数据均使用严格早于上金所交易日的最后已发布值</x:v>
      </x:c>
    </x:row>
    <x:row r="50">
      <x:c r="A50" s="155" t="n">
        <x:v>45371</x:v>
      </x:c>
      <x:c r="B50" s="153" t="n">
        <x:v>504.2</x:v>
      </x:c>
      <x:c r="C50" s="153" t="n">
        <x:v>505.2</x:v>
      </x:c>
      <x:c r="D50" s="153" t="n">
        <x:v>503.6</x:v>
      </x:c>
      <x:c r="E50" s="153" t="n">
        <x:v>505.2</x:v>
      </x:c>
      <x:c r="F50" s="154" t="n">
        <x:f>IFERROR(E50/E49-1,"")</x:f>
        <x:v>0.002261635519581029</x:v>
      </x:c>
      <x:c r="G50" s="154" t="n">
        <x:f>IFERROR((C50-D50)/E49,"")</x:f>
        <x:v>0.0031742252906399354</x:v>
      </x:c>
      <x:c r="H50" s="153" t="n">
        <x:v>504.91</x:v>
      </x:c>
      <x:c r="I50" s="158" t="n">
        <x:v>8102.4</x:v>
      </x:c>
      <x:c r="J50" s="158" t="n">
        <x:v>4091024394.2</x:v>
      </x:c>
      <x:c r="K50" s="158"/>
      <x:c r="L50" s="153" t="n">
        <x:v>6310</x:v>
      </x:c>
      <x:c r="M50" s="153" t="n">
        <x:v>6334</x:v>
      </x:c>
      <x:c r="N50" s="153" t="n">
        <x:v>6260</x:v>
      </x:c>
      <x:c r="O50" s="153" t="n">
        <x:v>6324</x:v>
      </x:c>
      <x:c r="P50" s="154" t="n">
        <x:f>IFERROR(O50/O49-1,"")</x:f>
        <x:v>0.002059895420694069</x:v>
      </x:c>
      <x:c r="Q50" s="154" t="n">
        <x:f>IFERROR((M50-N50)/O49,"")</x:f>
        <x:v>0.011725558548565995</x:v>
      </x:c>
      <x:c r="R50" s="153" t="n">
        <x:v>6310</x:v>
      </x:c>
      <x:c r="S50" s="158" t="n">
        <x:v>579492</x:v>
      </x:c>
      <x:c r="T50" s="158" t="n">
        <x:v>3656846738</x:v>
      </x:c>
      <x:c r="U50" s="158" t="n">
        <x:v>5324586</x:v>
      </x:c>
      <x:c r="V50" s="153" t="n">
        <x:f>IFERROR(E50*1000/O50,"")</x:f>
        <x:v>79.88614800759014</x:v>
      </x:c>
      <x:c r="W50" s="153" t="n">
        <x:v>4.3</x:v>
      </x:c>
      <x:c r="X50" s="155" t="n">
        <x:v>45370</x:v>
      </x:c>
      <x:c r="Y50" s="153" t="n">
        <x:v>2</x:v>
      </x:c>
      <x:c r="Z50" s="155" t="n">
        <x:v>45370</x:v>
      </x:c>
      <x:c r="AA50" s="153" t="n">
        <x:f>IFERROR(Y50-Y49,"")</x:f>
        <x:v>-0.029999999999999805</x:v>
      </x:c>
      <x:c r="AB50" s="153" t="n">
        <x:v>2.3</x:v>
      </x:c>
      <x:c r="AC50" s="153" t="n">
        <x:v>120.9332</x:v>
      </x:c>
      <x:c r="AD50" s="155" t="n">
        <x:v>45370</x:v>
      </x:c>
      <x:c r="AE50" s="154" t="n">
        <x:f>IFERROR(AC50/AC49-1,"")</x:f>
        <x:v>0.002969101440428945</x:v>
      </x:c>
      <x:c r="AF50" s="153" t="n">
        <x:v>13.82</x:v>
      </x:c>
      <x:c r="AG50" s="155" t="n">
        <x:v>45370</x:v>
      </x:c>
      <x:c r="AH50" s="153" t="n">
        <x:f>IFERROR(AF50-AF49,"")</x:f>
        <x:v>-0.5099999999999998</x:v>
      </x:c>
      <x:c r="AI50" s="153" t="n">
        <x:v>5.33</x:v>
      </x:c>
      <x:c r="AJ50" s="155" t="n">
        <x:v>45366</x:v>
      </x:c>
      <x:c r="AK50" s="159" t="n">
        <x:v>141083</x:v>
      </x:c>
      <x:c r="AL50" s="154" t="n">
        <x:v>0.27338646699880054</x:v>
      </x:c>
      <x:c r="AM50" s="159" t="n">
        <x:v>-48440</x:v>
      </x:c>
      <x:c r="AN50" s="155" t="n">
        <x:v>45366</x:v>
      </x:c>
      <x:c r="AO50" s="159" t="n">
        <x:v>25794</x:v>
      </x:c>
      <x:c r="AP50" s="154" t="n">
        <x:v>0.17846319897048446</x:v>
      </x:c>
      <x:c r="AQ50" s="159" t="n">
        <x:v>-35855</x:v>
      </x:c>
      <x:c r="AR50" s="147" t="str">
        <x:v>美国市场指标与CFTC数据均使用严格早于上金所交易日的最后已发布值</x:v>
      </x:c>
    </x:row>
    <x:row r="51">
      <x:c r="A51" s="155" t="n">
        <x:v>45372</x:v>
      </x:c>
      <x:c r="B51" s="153" t="n">
        <x:v>504.51</x:v>
      </x:c>
      <x:c r="C51" s="153" t="n">
        <x:v>514.95</x:v>
      </x:c>
      <x:c r="D51" s="153" t="n">
        <x:v>504</x:v>
      </x:c>
      <x:c r="E51" s="153" t="n">
        <x:v>514.94</x:v>
      </x:c>
      <x:c r="F51" s="154" t="n">
        <x:f>IFERROR(E51/E50-1,"")</x:f>
        <x:v>0.01927949326999223</x:v>
      </x:c>
      <x:c r="G51" s="154" t="n">
        <x:f>IFERROR((C51-D51)/E50,"")</x:f>
        <x:v>0.02167458432304047</x:v>
      </x:c>
      <x:c r="H51" s="153" t="n">
        <x:v>514.21</x:v>
      </x:c>
      <x:c r="I51" s="158" t="n">
        <x:v>15456.88</x:v>
      </x:c>
      <x:c r="J51" s="158" t="n">
        <x:v>7948185903.8</x:v>
      </x:c>
      <x:c r="K51" s="158"/>
      <x:c r="L51" s="153" t="n">
        <x:v>6311</x:v>
      </x:c>
      <x:c r="M51" s="153" t="n">
        <x:v>6501</x:v>
      </x:c>
      <x:c r="N51" s="153" t="n">
        <x:v>6291</x:v>
      </x:c>
      <x:c r="O51" s="153" t="n">
        <x:v>6498</x:v>
      </x:c>
      <x:c r="P51" s="154" t="n">
        <x:f>IFERROR(O51/O50-1,"")</x:f>
        <x:v>0.0275142314990513</x:v>
      </x:c>
      <x:c r="Q51" s="154" t="n">
        <x:f>IFERROR((M51-N51)/O50,"")</x:f>
        <x:v>0.03320683111954459</x:v>
      </x:c>
      <x:c r="R51" s="153" t="n">
        <x:v>6457</x:v>
      </x:c>
      <x:c r="S51" s="158" t="n">
        <x:v>848648</x:v>
      </x:c>
      <x:c r="T51" s="158" t="n">
        <x:v>5480263726</x:v>
      </x:c>
      <x:c r="U51" s="158" t="n">
        <x:v>5214078</x:v>
      </x:c>
      <x:c r="V51" s="153" t="n">
        <x:f>IFERROR(E51*1000/O51,"")</x:f>
        <x:v>79.24592182209912</x:v>
      </x:c>
      <x:c r="W51" s="153" t="n">
        <x:v>4.27</x:v>
      </x:c>
      <x:c r="X51" s="155" t="n">
        <x:v>45371</x:v>
      </x:c>
      <x:c r="Y51" s="153" t="n">
        <x:v>1.96</x:v>
      </x:c>
      <x:c r="Z51" s="155" t="n">
        <x:v>45371</x:v>
      </x:c>
      <x:c r="AA51" s="153" t="n">
        <x:f>IFERROR(Y51-Y50,"")</x:f>
        <x:v>-0.040000000000000036</x:v>
      </x:c>
      <x:c r="AB51" s="153" t="n">
        <x:v>2.31</x:v>
      </x:c>
      <x:c r="AC51" s="153" t="n">
        <x:v>120.9289</x:v>
      </x:c>
      <x:c r="AD51" s="155" t="n">
        <x:v>45371</x:v>
      </x:c>
      <x:c r="AE51" s="154" t="n">
        <x:f>IFERROR(AC51/AC50-1,"")</x:f>
        <x:v>-0.00003555681979805492</x:v>
      </x:c>
      <x:c r="AF51" s="153" t="n">
        <x:v>13.04</x:v>
      </x:c>
      <x:c r="AG51" s="155" t="n">
        <x:v>45371</x:v>
      </x:c>
      <x:c r="AH51" s="153" t="n">
        <x:f>IFERROR(AF51-AF50,"")</x:f>
        <x:v>-0.7800000000000011</x:v>
      </x:c>
      <x:c r="AI51" s="153" t="n">
        <x:v>5.33</x:v>
      </x:c>
      <x:c r="AJ51" s="155" t="n">
        <x:v>45366</x:v>
      </x:c>
      <x:c r="AK51" s="159" t="n">
        <x:v>141083</x:v>
      </x:c>
      <x:c r="AL51" s="154" t="n">
        <x:v>0.27338646699880054</x:v>
      </x:c>
      <x:c r="AM51" s="159" t="n">
        <x:v>-48440</x:v>
      </x:c>
      <x:c r="AN51" s="155" t="n">
        <x:v>45366</x:v>
      </x:c>
      <x:c r="AO51" s="159" t="n">
        <x:v>25794</x:v>
      </x:c>
      <x:c r="AP51" s="154" t="n">
        <x:v>0.17846319897048446</x:v>
      </x:c>
      <x:c r="AQ51" s="159" t="n">
        <x:v>-35855</x:v>
      </x:c>
      <x:c r="AR51" s="147" t="str">
        <x:v>美国市场指标与CFTC数据均使用严格早于上金所交易日的最后已发布值</x:v>
      </x:c>
    </x:row>
    <x:row r="52">
      <x:c r="A52" s="155" t="n">
        <x:v>45373</x:v>
      </x:c>
      <x:c r="B52" s="153" t="n">
        <x:v>514.94</x:v>
      </x:c>
      <x:c r="C52" s="153" t="n">
        <x:v>515.5</x:v>
      </x:c>
      <x:c r="D52" s="153" t="n">
        <x:v>508</x:v>
      </x:c>
      <x:c r="E52" s="153" t="n">
        <x:v>511.16</x:v>
      </x:c>
      <x:c r="F52" s="154" t="n">
        <x:f>IFERROR(E52/E51-1,"")</x:f>
        <x:v>-0.007340661047889108</x:v>
      </x:c>
      <x:c r="G52" s="154" t="n">
        <x:f>IFERROR((C52-D52)/E51,"")</x:f>
        <x:v>0.014564803666446574</x:v>
      </x:c>
      <x:c r="H52" s="153" t="n">
        <x:v>511.21</x:v>
      </x:c>
      <x:c r="I52" s="158" t="n">
        <x:v>12209.02</x:v>
      </x:c>
      <x:c r="J52" s="158" t="n">
        <x:v>6241395832.4</x:v>
      </x:c>
      <x:c r="K52" s="158"/>
      <x:c r="L52" s="153" t="n">
        <x:v>6441</x:v>
      </x:c>
      <x:c r="M52" s="153" t="n">
        <x:v>6459</x:v>
      </x:c>
      <x:c r="N52" s="153" t="n">
        <x:v>6282</x:v>
      </x:c>
      <x:c r="O52" s="153" t="n">
        <x:v>6301</x:v>
      </x:c>
      <x:c r="P52" s="154" t="n">
        <x:f>IFERROR(O52/O51-1,"")</x:f>
        <x:v>-0.030317020621729807</x:v>
      </x:c>
      <x:c r="Q52" s="154" t="n">
        <x:f>IFERROR((M52-N52)/O51,"")</x:f>
        <x:v>0.02723915050784857</x:v>
      </x:c>
      <x:c r="R52" s="153" t="n">
        <x:v>6347</x:v>
      </x:c>
      <x:c r="S52" s="158" t="n">
        <x:v>1412642</x:v>
      </x:c>
      <x:c r="T52" s="158" t="n">
        <x:v>8966296972</x:v>
      </x:c>
      <x:c r="U52" s="158" t="n">
        <x:v>5325506</x:v>
      </x:c>
      <x:c r="V52" s="153" t="n">
        <x:f>IFERROR(E52*1000/O52,"")</x:f>
        <x:v>81.12363116965561</x:v>
      </x:c>
      <x:c r="W52" s="153" t="n">
        <x:v>4.27</x:v>
      </x:c>
      <x:c r="X52" s="155" t="n">
        <x:v>45372</x:v>
      </x:c>
      <x:c r="Y52" s="153" t="n">
        <x:v>1.93</x:v>
      </x:c>
      <x:c r="Z52" s="155" t="n">
        <x:v>45372</x:v>
      </x:c>
      <x:c r="AA52" s="153" t="n">
        <x:f>IFERROR(Y52-Y51,"")</x:f>
        <x:v>-0.030000000000000027</x:v>
      </x:c>
      <x:c r="AB52" s="153" t="n">
        <x:v>2.34</x:v>
      </x:c>
      <x:c r="AC52" s="153" t="n">
        <x:v>120.8086</x:v>
      </x:c>
      <x:c r="AD52" s="155" t="n">
        <x:v>45372</x:v>
      </x:c>
      <x:c r="AE52" s="154" t="n">
        <x:f>IFERROR(AC52/AC51-1,"")</x:f>
        <x:v>-0.000994799423462922</x:v>
      </x:c>
      <x:c r="AF52" s="153" t="n">
        <x:v>12.92</x:v>
      </x:c>
      <x:c r="AG52" s="155" t="n">
        <x:v>45372</x:v>
      </x:c>
      <x:c r="AH52" s="153" t="n">
        <x:f>IFERROR(AF52-AF51,"")</x:f>
        <x:v>-0.11999999999999922</x:v>
      </x:c>
      <x:c r="AI52" s="153" t="n">
        <x:v>5.33</x:v>
      </x:c>
      <x:c r="AJ52" s="155" t="n">
        <x:v>45366</x:v>
      </x:c>
      <x:c r="AK52" s="159" t="n">
        <x:v>141083</x:v>
      </x:c>
      <x:c r="AL52" s="154" t="n">
        <x:v>0.27338646699880054</x:v>
      </x:c>
      <x:c r="AM52" s="159" t="n">
        <x:v>-48440</x:v>
      </x:c>
      <x:c r="AN52" s="155" t="n">
        <x:v>45366</x:v>
      </x:c>
      <x:c r="AO52" s="159" t="n">
        <x:v>25794</x:v>
      </x:c>
      <x:c r="AP52" s="154" t="n">
        <x:v>0.17846319897048446</x:v>
      </x:c>
      <x:c r="AQ52" s="159" t="n">
        <x:v>-35855</x:v>
      </x:c>
      <x:c r="AR52" s="147" t="str">
        <x:v>美国市场指标与CFTC数据均使用严格早于上金所交易日的最后已发布值</x:v>
      </x:c>
    </x:row>
    <x:row r="53">
      <x:c r="A53" s="155" t="n">
        <x:v>45376</x:v>
      </x:c>
      <x:c r="B53" s="153" t="n">
        <x:v>510.7</x:v>
      </x:c>
      <x:c r="C53" s="153" t="n">
        <x:v>514.8</x:v>
      </x:c>
      <x:c r="D53" s="153" t="n">
        <x:v>510.7</x:v>
      </x:c>
      <x:c r="E53" s="153" t="n">
        <x:v>511.13</x:v>
      </x:c>
      <x:c r="F53" s="154" t="n">
        <x:f>IFERROR(E53/E52-1,"")</x:f>
        <x:v>-0.00005869003834424458</x:v>
      </x:c>
      <x:c r="G53" s="154" t="n">
        <x:f>IFERROR((C53-D53)/E52,"")</x:f>
        <x:v>0.008020971907034912</x:v>
      </x:c>
      <x:c r="H53" s="153" t="n">
        <x:v>512.62</x:v>
      </x:c>
      <x:c r="I53" s="158" t="n">
        <x:v>12879.04</x:v>
      </x:c>
      <x:c r="J53" s="158" t="n">
        <x:v>6602180980</x:v>
      </x:c>
      <x:c r="K53" s="158"/>
      <x:c r="L53" s="153" t="n">
        <x:v>6325</x:v>
      </x:c>
      <x:c r="M53" s="153" t="n">
        <x:v>6414</x:v>
      </x:c>
      <x:c r="N53" s="153" t="n">
        <x:v>6325</x:v>
      </x:c>
      <x:c r="O53" s="153" t="n">
        <x:v>6346</x:v>
      </x:c>
      <x:c r="P53" s="154" t="n">
        <x:f>IFERROR(O53/O52-1,"")</x:f>
        <x:v>0.007141723535946776</x:v>
      </x:c>
      <x:c r="Q53" s="154" t="n">
        <x:f>IFERROR((M53-N53)/O52,"")</x:f>
        <x:v>0.014124742104427868</x:v>
      </x:c>
      <x:c r="R53" s="153" t="n">
        <x:v>6365</x:v>
      </x:c>
      <x:c r="S53" s="158" t="n">
        <x:v>657984</x:v>
      </x:c>
      <x:c r="T53" s="158" t="n">
        <x:v>4188506070</x:v>
      </x:c>
      <x:c r="U53" s="158" t="n">
        <x:v>5420702</x:v>
      </x:c>
      <x:c r="V53" s="153" t="n">
        <x:f>IFERROR(E53*1000/O53,"")</x:f>
        <x:v>80.54364954301923</x:v>
      </x:c>
      <x:c r="W53" s="153" t="n">
        <x:v>4.22</x:v>
      </x:c>
      <x:c r="X53" s="155" t="n">
        <x:v>45373</x:v>
      </x:c>
      <x:c r="Y53" s="153" t="n">
        <x:v>1.87</x:v>
      </x:c>
      <x:c r="Z53" s="155" t="n">
        <x:v>45373</x:v>
      </x:c>
      <x:c r="AA53" s="153" t="n">
        <x:f>IFERROR(Y53-Y52,"")</x:f>
        <x:v>-0.05999999999999983</x:v>
      </x:c>
      <x:c r="AB53" s="153" t="n">
        <x:v>2.35</x:v>
      </x:c>
      <x:c r="AC53" s="153" t="n">
        <x:v>121.1842</x:v>
      </x:c>
      <x:c r="AD53" s="155" t="n">
        <x:v>45373</x:v>
      </x:c>
      <x:c r="AE53" s="154" t="n">
        <x:f>IFERROR(AC53/AC52-1,"")</x:f>
        <x:v>0.0031090501835133733</x:v>
      </x:c>
      <x:c r="AF53" s="153" t="n">
        <x:v>13.06</x:v>
      </x:c>
      <x:c r="AG53" s="155" t="n">
        <x:v>45373</x:v>
      </x:c>
      <x:c r="AH53" s="153" t="n">
        <x:f>IFERROR(AF53-AF52,"")</x:f>
        <x:v>0.14000000000000057</x:v>
      </x:c>
      <x:c r="AI53" s="153" t="n">
        <x:v>5.33</x:v>
      </x:c>
      <x:c r="AJ53" s="155" t="n">
        <x:v>45373</x:v>
      </x:c>
      <x:c r="AK53" s="159" t="n">
        <x:v>142896</x:v>
      </x:c>
      <x:c r="AL53" s="154" t="n">
        <x:v>0.26707186471468863</x:v>
      </x:c>
      <x:c r="AM53" s="159" t="n">
        <x:v>-49210</x:v>
      </x:c>
      <x:c r="AN53" s="155" t="n">
        <x:v>45373</x:v>
      </x:c>
      <x:c r="AO53" s="159" t="n">
        <x:v>37122</x:v>
      </x:c>
      <x:c r="AP53" s="154" t="n">
        <x:v>0.2423834832913277</x:v>
      </x:c>
      <x:c r="AQ53" s="159" t="n">
        <x:v>-38068</x:v>
      </x:c>
      <x:c r="AR53" s="147" t="str">
        <x:v>美国市场指标与CFTC数据均使用严格早于上金所交易日的最后已发布值</x:v>
      </x:c>
    </x:row>
    <x:row r="54">
      <x:c r="A54" s="155" t="n">
        <x:v>45377</x:v>
      </x:c>
      <x:c r="B54" s="153" t="n">
        <x:v>511.2</x:v>
      </x:c>
      <x:c r="C54" s="153" t="n">
        <x:v>513.9</x:v>
      </x:c>
      <x:c r="D54" s="153" t="n">
        <x:v>511.2</x:v>
      </x:c>
      <x:c r="E54" s="153" t="n">
        <x:v>512.52</x:v>
      </x:c>
      <x:c r="F54" s="154" t="n">
        <x:f>IFERROR(E54/E53-1,"")</x:f>
        <x:v>0.002719464715434494</x:v>
      </x:c>
      <x:c r="G54" s="154" t="n">
        <x:f>IFERROR((C54-D54)/E53,"")</x:f>
        <x:v>0.00528241347602369</x:v>
      </x:c>
      <x:c r="H54" s="153" t="n">
        <x:v>512.86</x:v>
      </x:c>
      <x:c r="I54" s="158" t="n">
        <x:v>12660.36</x:v>
      </x:c>
      <x:c r="J54" s="158" t="n">
        <x:v>6493016252.4</x:v>
      </x:c>
      <x:c r="K54" s="158"/>
      <x:c r="L54" s="153" t="n">
        <x:v>6352</x:v>
      </x:c>
      <x:c r="M54" s="153" t="n">
        <x:v>6383</x:v>
      </x:c>
      <x:c r="N54" s="153" t="n">
        <x:v>6333</x:v>
      </x:c>
      <x:c r="O54" s="153" t="n">
        <x:v>6346</x:v>
      </x:c>
      <x:c r="P54" s="154" t="n">
        <x:f>IFERROR(O54/O53-1,"")</x:f>
        <x:v>0</x:v>
      </x:c>
      <x:c r="Q54" s="154" t="n">
        <x:f>IFERROR((M54-N54)/O53,"")</x:f>
        <x:v>0.00787897888433659</x:v>
      </x:c>
      <x:c r="R54" s="153" t="n">
        <x:v>6353</x:v>
      </x:c>
      <x:c r="S54" s="158" t="n">
        <x:v>472270</x:v>
      </x:c>
      <x:c r="T54" s="158" t="n">
        <x:v>3000537780</x:v>
      </x:c>
      <x:c r="U54" s="158" t="n">
        <x:v>5491740</x:v>
      </x:c>
      <x:c r="V54" s="153" t="n">
        <x:f>IFERROR(E54*1000/O54,"")</x:f>
        <x:v>80.76268515600378</x:v>
      </x:c>
      <x:c r="W54" s="153" t="n">
        <x:v>4.25</x:v>
      </x:c>
      <x:c r="X54" s="155" t="n">
        <x:v>45376</x:v>
      </x:c>
      <x:c r="Y54" s="153" t="n">
        <x:v>1.92</x:v>
      </x:c>
      <x:c r="Z54" s="155" t="n">
        <x:v>45376</x:v>
      </x:c>
      <x:c r="AA54" s="153" t="n">
        <x:f>IFERROR(Y54-Y53,"")</x:f>
        <x:v>0.04999999999999982</x:v>
      </x:c>
      <x:c r="AB54" s="153" t="n">
        <x:v>2.33</x:v>
      </x:c>
      <x:c r="AC54" s="153" t="n">
        <x:v>121.0295</x:v>
      </x:c>
      <x:c r="AD54" s="155" t="n">
        <x:v>45376</x:v>
      </x:c>
      <x:c r="AE54" s="154" t="n">
        <x:f>IFERROR(AC54/AC53-1,"")</x:f>
        <x:v>-0.001276569057682475</x:v>
      </x:c>
      <x:c r="AF54" s="153" t="n">
        <x:v>13.19</x:v>
      </x:c>
      <x:c r="AG54" s="155" t="n">
        <x:v>45376</x:v>
      </x:c>
      <x:c r="AH54" s="153" t="n">
        <x:f>IFERROR(AF54-AF53,"")</x:f>
        <x:v>0.129999999999999</x:v>
      </x:c>
      <x:c r="AI54" s="153" t="n">
        <x:v>5.33</x:v>
      </x:c>
      <x:c r="AJ54" s="155" t="n">
        <x:v>45373</x:v>
      </x:c>
      <x:c r="AK54" s="159" t="n">
        <x:v>142896</x:v>
      </x:c>
      <x:c r="AL54" s="154" t="n">
        <x:v>0.26707186471468863</x:v>
      </x:c>
      <x:c r="AM54" s="159" t="n">
        <x:v>-49210</x:v>
      </x:c>
      <x:c r="AN54" s="155" t="n">
        <x:v>45373</x:v>
      </x:c>
      <x:c r="AO54" s="159" t="n">
        <x:v>37122</x:v>
      </x:c>
      <x:c r="AP54" s="154" t="n">
        <x:v>0.2423834832913277</x:v>
      </x:c>
      <x:c r="AQ54" s="159" t="n">
        <x:v>-38068</x:v>
      </x:c>
      <x:c r="AR54" s="147" t="str">
        <x:v>美国市场指标与CFTC数据均使用严格早于上金所交易日的最后已发布值</x:v>
      </x:c>
    </x:row>
    <x:row r="55">
      <x:c r="A55" s="155" t="n">
        <x:v>45378</x:v>
      </x:c>
      <x:c r="B55" s="153" t="n">
        <x:v>517</x:v>
      </x:c>
      <x:c r="C55" s="153" t="n">
        <x:v>517.5</x:v>
      </x:c>
      <x:c r="D55" s="153" t="n">
        <x:v>514</x:v>
      </x:c>
      <x:c r="E55" s="153" t="n">
        <x:v>515.94</x:v>
      </x:c>
      <x:c r="F55" s="154" t="n">
        <x:f>IFERROR(E55/E54-1,"")</x:f>
        <x:v>0.006672910325450809</x:v>
      </x:c>
      <x:c r="G55" s="154" t="n">
        <x:f>IFERROR((C55-D55)/E54,"")</x:f>
        <x:v>0.0068290017950519005</x:v>
      </x:c>
      <x:c r="H55" s="153" t="n">
        <x:v>515.03</x:v>
      </x:c>
      <x:c r="I55" s="158" t="n">
        <x:v>11755.02</x:v>
      </x:c>
      <x:c r="J55" s="158" t="n">
        <x:v>6054295805</x:v>
      </x:c>
      <x:c r="K55" s="158"/>
      <x:c r="L55" s="153" t="n">
        <x:v>6390</x:v>
      </x:c>
      <x:c r="M55" s="153" t="n">
        <x:v>6394</x:v>
      </x:c>
      <x:c r="N55" s="153" t="n">
        <x:v>6297</x:v>
      </x:c>
      <x:c r="O55" s="153" t="n">
        <x:v>6338</x:v>
      </x:c>
      <x:c r="P55" s="154" t="n">
        <x:f>IFERROR(O55/O54-1,"")</x:f>
        <x:v>-0.0012606366214938935</x:v>
      </x:c>
      <x:c r="Q55" s="154" t="n">
        <x:f>IFERROR((M55-N55)/O54,"")</x:f>
        <x:v>0.015285219035612984</x:v>
      </x:c>
      <x:c r="R55" s="153" t="n">
        <x:v>6331</x:v>
      </x:c>
      <x:c r="S55" s="158" t="n">
        <x:v>759714</x:v>
      </x:c>
      <x:c r="T55" s="158" t="n">
        <x:v>4810392002</x:v>
      </x:c>
      <x:c r="U55" s="158" t="n">
        <x:v>5602194</x:v>
      </x:c>
      <x:c r="V55" s="153" t="n">
        <x:f>IFERROR(E55*1000/O55,"")</x:f>
        <x:v>81.40422846323763</x:v>
      </x:c>
      <x:c r="W55" s="153" t="n">
        <x:v>4.24</x:v>
      </x:c>
      <x:c r="X55" s="155" t="n">
        <x:v>45377</x:v>
      </x:c>
      <x:c r="Y55" s="153" t="n">
        <x:v>1.92</x:v>
      </x:c>
      <x:c r="Z55" s="155" t="n">
        <x:v>45377</x:v>
      </x:c>
      <x:c r="AA55" s="153" t="n">
        <x:f>IFERROR(Y55-Y54,"")</x:f>
        <x:v>0</x:v>
      </x:c>
      <x:c r="AB55" s="153" t="n">
        <x:v>2.32</x:v>
      </x:c>
      <x:c r="AC55" s="153" t="n">
        <x:v>121.0742</x:v>
      </x:c>
      <x:c r="AD55" s="155" t="n">
        <x:v>45377</x:v>
      </x:c>
      <x:c r="AE55" s="154" t="n">
        <x:f>IFERROR(AC55/AC54-1,"")</x:f>
        <x:v>0.00036933144398676454</x:v>
      </x:c>
      <x:c r="AF55" s="153" t="n">
        <x:v>13.24</x:v>
      </x:c>
      <x:c r="AG55" s="155" t="n">
        <x:v>45377</x:v>
      </x:c>
      <x:c r="AH55" s="153" t="n">
        <x:f>IFERROR(AF55-AF54,"")</x:f>
        <x:v>0.05000000000000071</x:v>
      </x:c>
      <x:c r="AI55" s="153" t="n">
        <x:v>5.33</x:v>
      </x:c>
      <x:c r="AJ55" s="155" t="n">
        <x:v>45373</x:v>
      </x:c>
      <x:c r="AK55" s="159" t="n">
        <x:v>142896</x:v>
      </x:c>
      <x:c r="AL55" s="154" t="n">
        <x:v>0.26707186471468863</x:v>
      </x:c>
      <x:c r="AM55" s="159" t="n">
        <x:v>-49210</x:v>
      </x:c>
      <x:c r="AN55" s="155" t="n">
        <x:v>45373</x:v>
      </x:c>
      <x:c r="AO55" s="159" t="n">
        <x:v>37122</x:v>
      </x:c>
      <x:c r="AP55" s="154" t="n">
        <x:v>0.2423834832913277</x:v>
      </x:c>
      <x:c r="AQ55" s="159" t="n">
        <x:v>-38068</x:v>
      </x:c>
      <x:c r="AR55" s="147" t="str">
        <x:v>美国市场指标与CFTC数据均使用严格早于上金所交易日的最后已发布值</x:v>
      </x:c>
    </x:row>
    <x:row r="56">
      <x:c r="A56" s="155" t="n">
        <x:v>45379</x:v>
      </x:c>
      <x:c r="B56" s="153" t="n">
        <x:v>516</x:v>
      </x:c>
      <x:c r="C56" s="153" t="n">
        <x:v>518.9</x:v>
      </x:c>
      <x:c r="D56" s="153" t="n">
        <x:v>516</x:v>
      </x:c>
      <x:c r="E56" s="153" t="n">
        <x:v>518.8</x:v>
      </x:c>
      <x:c r="F56" s="154" t="n">
        <x:f>IFERROR(E56/E55-1,"")</x:f>
        <x:v>0.005543280226382619</x:v>
      </x:c>
      <x:c r="G56" s="154" t="n">
        <x:f>IFERROR((C56-D56)/E55,"")</x:f>
        <x:v>0.005620808621157454</x:v>
      </x:c>
      <x:c r="H56" s="153" t="n">
        <x:v>517.44</x:v>
      </x:c>
      <x:c r="I56" s="158" t="n">
        <x:v>13231.42</x:v>
      </x:c>
      <x:c r="J56" s="158" t="n">
        <x:v>6846552101.4</x:v>
      </x:c>
      <x:c r="K56" s="158"/>
      <x:c r="L56" s="153" t="n">
        <x:v>6340</x:v>
      </x:c>
      <x:c r="M56" s="153" t="n">
        <x:v>6374</x:v>
      </x:c>
      <x:c r="N56" s="153" t="n">
        <x:v>6321</x:v>
      </x:c>
      <x:c r="O56" s="153" t="n">
        <x:v>6358</x:v>
      </x:c>
      <x:c r="P56" s="154" t="n">
        <x:f>IFERROR(O56/O55-1,"")</x:f>
        <x:v>0.003155569580309159</x:v>
      </x:c>
      <x:c r="Q56" s="154" t="n">
        <x:f>IFERROR((M56-N56)/O55,"")</x:f>
        <x:v>0.0083622593878195</x:v>
      </x:c>
      <x:c r="R56" s="153" t="n">
        <x:v>6358</x:v>
      </x:c>
      <x:c r="S56" s="158" t="n">
        <x:v>614638</x:v>
      </x:c>
      <x:c r="T56" s="158" t="n">
        <x:v>3908471986</x:v>
      </x:c>
      <x:c r="U56" s="158" t="n">
        <x:v>5611326</x:v>
      </x:c>
      <x:c r="V56" s="153" t="n">
        <x:f>IFERROR(E56*1000/O56,"")</x:f>
        <x:v>81.5979867882982</x:v>
      </x:c>
      <x:c r="W56" s="153" t="n">
        <x:v>4.2</x:v>
      </x:c>
      <x:c r="X56" s="155" t="n">
        <x:v>45378</x:v>
      </x:c>
      <x:c r="Y56" s="153" t="n">
        <x:v>1.88</x:v>
      </x:c>
      <x:c r="Z56" s="155" t="n">
        <x:v>45378</x:v>
      </x:c>
      <x:c r="AA56" s="153" t="n">
        <x:f>IFERROR(Y56-Y55,"")</x:f>
        <x:v>-0.040000000000000036</x:v>
      </x:c>
      <x:c r="AB56" s="153" t="n">
        <x:v>2.32</x:v>
      </x:c>
      <x:c r="AC56" s="153" t="n">
        <x:v>121.0089</x:v>
      </x:c>
      <x:c r="AD56" s="155" t="n">
        <x:v>45378</x:v>
      </x:c>
      <x:c r="AE56" s="154" t="n">
        <x:f>IFERROR(AC56/AC55-1,"")</x:f>
        <x:v>-0.0005393386865245597</x:v>
      </x:c>
      <x:c r="AF56" s="153" t="n">
        <x:v>12.78</x:v>
      </x:c>
      <x:c r="AG56" s="155" t="n">
        <x:v>45378</x:v>
      </x:c>
      <x:c r="AH56" s="153" t="n">
        <x:f>IFERROR(AF56-AF55,"")</x:f>
        <x:v>-0.46000000000000085</x:v>
      </x:c>
      <x:c r="AI56" s="153" t="n">
        <x:v>5.33</x:v>
      </x:c>
      <x:c r="AJ56" s="155" t="n">
        <x:v>45373</x:v>
      </x:c>
      <x:c r="AK56" s="159" t="n">
        <x:v>142896</x:v>
      </x:c>
      <x:c r="AL56" s="154" t="n">
        <x:v>0.26707186471468863</x:v>
      </x:c>
      <x:c r="AM56" s="159" t="n">
        <x:v>-49210</x:v>
      </x:c>
      <x:c r="AN56" s="155" t="n">
        <x:v>45373</x:v>
      </x:c>
      <x:c r="AO56" s="159" t="n">
        <x:v>37122</x:v>
      </x:c>
      <x:c r="AP56" s="154" t="n">
        <x:v>0.2423834832913277</x:v>
      </x:c>
      <x:c r="AQ56" s="159" t="n">
        <x:v>-38068</x:v>
      </x:c>
      <x:c r="AR56" s="147" t="str">
        <x:v>美国市场指标与CFTC数据均使用严格早于上金所交易日的最后已发布值</x:v>
      </x:c>
    </x:row>
    <x:row r="57">
      <x:c r="A57" s="155" t="n">
        <x:v>45380</x:v>
      </x:c>
      <x:c r="B57" s="153" t="n">
        <x:v>520.5</x:v>
      </x:c>
      <x:c r="C57" s="153" t="n">
        <x:v>538</x:v>
      </x:c>
      <x:c r="D57" s="153" t="n">
        <x:v>519</x:v>
      </x:c>
      <x:c r="E57" s="153" t="n">
        <x:v>527.54</x:v>
      </x:c>
      <x:c r="F57" s="154" t="n">
        <x:f>IFERROR(E57/E56-1,"")</x:f>
        <x:v>0.01684656900539716</x:v>
      </x:c>
      <x:c r="G57" s="154" t="n">
        <x:f>IFERROR((C57-D57)/E56,"")</x:f>
        <x:v>0.03662297609868929</x:v>
      </x:c>
      <x:c r="H57" s="153" t="n">
        <x:v>527.72</x:v>
      </x:c>
      <x:c r="I57" s="158" t="n">
        <x:v>19152.08</x:v>
      </x:c>
      <x:c r="J57" s="158" t="n">
        <x:v>10107044762.8</x:v>
      </x:c>
      <x:c r="K57" s="158"/>
      <x:c r="L57" s="153" t="n">
        <x:v>6369</x:v>
      </x:c>
      <x:c r="M57" s="153" t="n">
        <x:v>6479</x:v>
      </x:c>
      <x:c r="N57" s="153" t="n">
        <x:v>6344</x:v>
      </x:c>
      <x:c r="O57" s="153" t="n">
        <x:v>6454</x:v>
      </x:c>
      <x:c r="P57" s="154" t="n">
        <x:f>IFERROR(O57/O56-1,"")</x:f>
        <x:v>0.015099087763447594</x:v>
      </x:c>
      <x:c r="Q57" s="154" t="n">
        <x:f>IFERROR((M57-N57)/O56,"")</x:f>
        <x:v>0.021233092167348224</x:v>
      </x:c>
      <x:c r="R57" s="153" t="n">
        <x:v>6432</x:v>
      </x:c>
      <x:c r="S57" s="158" t="n">
        <x:v>500146</x:v>
      </x:c>
      <x:c r="T57" s="158" t="n">
        <x:v>3217396376</x:v>
      </x:c>
      <x:c r="U57" s="158" t="n">
        <x:v>5570788</x:v>
      </x:c>
      <x:c r="V57" s="153" t="n">
        <x:f>IFERROR(E57*1000/O57,"")</x:f>
        <x:v>81.73845677099473</x:v>
      </x:c>
      <x:c r="W57" s="153" t="n">
        <x:v>4.2</x:v>
      </x:c>
      <x:c r="X57" s="155" t="n">
        <x:v>45379</x:v>
      </x:c>
      <x:c r="Y57" s="153" t="n">
        <x:v>1.88</x:v>
      </x:c>
      <x:c r="Z57" s="155" t="n">
        <x:v>45379</x:v>
      </x:c>
      <x:c r="AA57" s="153" t="n">
        <x:f>IFERROR(Y57-Y56,"")</x:f>
        <x:v>0</x:v>
      </x:c>
      <x:c r="AB57" s="153" t="n">
        <x:v>2.32</x:v>
      </x:c>
      <x:c r="AC57" s="153" t="n">
        <x:v>121.0635</x:v>
      </x:c>
      <x:c r="AD57" s="155" t="n">
        <x:v>45379</x:v>
      </x:c>
      <x:c r="AE57" s="154" t="n">
        <x:f>IFERROR(AC57/AC56-1,"")</x:f>
        <x:v>0.0004512064815067607</x:v>
      </x:c>
      <x:c r="AF57" s="153" t="n">
        <x:v>13.01</x:v>
      </x:c>
      <x:c r="AG57" s="155" t="n">
        <x:v>45379</x:v>
      </x:c>
      <x:c r="AH57" s="153" t="n">
        <x:f>IFERROR(AF57-AF56,"")</x:f>
        <x:v>0.23000000000000043</x:v>
      </x:c>
      <x:c r="AI57" s="153" t="n">
        <x:v>5.33</x:v>
      </x:c>
      <x:c r="AJ57" s="155" t="n">
        <x:v>45373</x:v>
      </x:c>
      <x:c r="AK57" s="159" t="n">
        <x:v>142896</x:v>
      </x:c>
      <x:c r="AL57" s="154" t="n">
        <x:v>0.26707186471468863</x:v>
      </x:c>
      <x:c r="AM57" s="159" t="n">
        <x:v>-49210</x:v>
      </x:c>
      <x:c r="AN57" s="155" t="n">
        <x:v>45373</x:v>
      </x:c>
      <x:c r="AO57" s="159" t="n">
        <x:v>37122</x:v>
      </x:c>
      <x:c r="AP57" s="154" t="n">
        <x:v>0.2423834832913277</x:v>
      </x:c>
      <x:c r="AQ57" s="159" t="n">
        <x:v>-38068</x:v>
      </x:c>
      <x:c r="AR57" s="147" t="str">
        <x:v>美国市场指标与CFTC数据均使用严格早于上金所交易日的最后已发布值</x:v>
      </x:c>
    </x:row>
    <x:row r="58">
      <x:c r="A58" s="155" t="n">
        <x:v>45383</x:v>
      </x:c>
      <x:c r="B58" s="153" t="n">
        <x:v>528</x:v>
      </x:c>
      <x:c r="C58" s="153" t="n">
        <x:v>533.8</x:v>
      </x:c>
      <x:c r="D58" s="153" t="n">
        <x:v>527.11</x:v>
      </x:c>
      <x:c r="E58" s="153" t="n">
        <x:v>533.74</x:v>
      </x:c>
      <x:c r="F58" s="154" t="n">
        <x:f>IFERROR(E58/E57-1,"")</x:f>
        <x:v>0.011752663305152344</x:v>
      </x:c>
      <x:c r="G58" s="154" t="n">
        <x:f>IFERROR((C58-D58)/E57,"")</x:f>
        <x:v>0.012681502824430264</x:v>
      </x:c>
      <x:c r="H58" s="153" t="n">
        <x:v>532.33</x:v>
      </x:c>
      <x:c r="I58" s="158" t="n">
        <x:v>16442.06</x:v>
      </x:c>
      <x:c r="J58" s="158" t="n">
        <x:v>8752618132.8</x:v>
      </x:c>
      <x:c r="K58" s="158"/>
      <x:c r="L58" s="153" t="n">
        <x:v>6459</x:v>
      </x:c>
      <x:c r="M58" s="153" t="n">
        <x:v>6515</x:v>
      </x:c>
      <x:c r="N58" s="153" t="n">
        <x:v>6430</x:v>
      </x:c>
      <x:c r="O58" s="153" t="n">
        <x:v>6489</x:v>
      </x:c>
      <x:c r="P58" s="154" t="n">
        <x:f>IFERROR(O58/O57-1,"")</x:f>
        <x:v>0.005422993492407713</x:v>
      </x:c>
      <x:c r="Q58" s="154" t="n">
        <x:f>IFERROR((M58-N58)/O57,"")</x:f>
        <x:v>0.013170127052990394</x:v>
      </x:c>
      <x:c r="R58" s="153" t="n">
        <x:v>6475</x:v>
      </x:c>
      <x:c r="S58" s="158" t="n">
        <x:v>451100</x:v>
      </x:c>
      <x:c r="T58" s="158" t="n">
        <x:v>2920999550</x:v>
      </x:c>
      <x:c r="U58" s="158" t="n">
        <x:v>5531288</x:v>
      </x:c>
      <x:c r="V58" s="153" t="n">
        <x:f>IFERROR(E58*1000/O58,"")</x:f>
        <x:v>82.25304361226691</x:v>
      </x:c>
      <x:c r="W58" s="153" t="n">
        <x:v>4.2</x:v>
      </x:c>
      <x:c r="X58" s="155" t="n">
        <x:v>45379</x:v>
      </x:c>
      <x:c r="Y58" s="153" t="n">
        <x:v>1.88</x:v>
      </x:c>
      <x:c r="Z58" s="155" t="n">
        <x:v>45379</x:v>
      </x:c>
      <x:c r="AA58" s="153" t="n">
        <x:f>IFERROR(Y58-Y57,"")</x:f>
        <x:v>0</x:v>
      </x:c>
      <x:c r="AB58" s="153" t="n">
        <x:v>2.32</x:v>
      </x:c>
      <x:c r="AC58" s="153" t="n">
        <x:v>121.0191</x:v>
      </x:c>
      <x:c r="AD58" s="155" t="n">
        <x:v>45380</x:v>
      </x:c>
      <x:c r="AE58" s="154" t="n">
        <x:f>IFERROR(AC58/AC57-1,"")</x:f>
        <x:v>-0.00036674968095262717</x:v>
      </x:c>
      <x:c r="AF58" s="153" t="n">
        <x:v>13.01</x:v>
      </x:c>
      <x:c r="AG58" s="155" t="n">
        <x:v>45379</x:v>
      </x:c>
      <x:c r="AH58" s="153" t="n">
        <x:f>IFERROR(AF58-AF57,"")</x:f>
        <x:v>0</x:v>
      </x:c>
      <x:c r="AI58" s="153" t="n">
        <x:v>5.33</x:v>
      </x:c>
      <x:c r="AJ58" s="155" t="n">
        <x:v>45380</x:v>
      </x:c>
      <x:c r="AK58" s="159" t="n">
        <x:v>135795</x:v>
      </x:c>
      <x:c r="AL58" s="154" t="n">
        <x:v>0.26962604389625966</x:v>
      </x:c>
      <x:c r="AM58" s="159" t="n">
        <x:v>-47505</x:v>
      </x:c>
      <x:c r="AN58" s="155" t="n">
        <x:v>45380</x:v>
      </x:c>
      <x:c r="AO58" s="159" t="n">
        <x:v>29939</x:v>
      </x:c>
      <x:c r="AP58" s="154" t="n">
        <x:v>0.1867371060395317</x:v>
      </x:c>
      <x:c r="AQ58" s="159" t="n">
        <x:v>-36340</x:v>
      </x:c>
      <x:c r="AR58" s="147" t="str">
        <x:v>美国市场指标与CFTC数据均使用严格早于上金所交易日的最后已发布值</x:v>
      </x:c>
    </x:row>
    <x:row r="59">
      <x:c r="A59" s="155" t="n">
        <x:v>45384</x:v>
      </x:c>
      <x:c r="B59" s="153" t="n">
        <x:v>529.81</x:v>
      </x:c>
      <x:c r="C59" s="153" t="n">
        <x:v>533.9</x:v>
      </x:c>
      <x:c r="D59" s="153" t="n">
        <x:v>528</x:v>
      </x:c>
      <x:c r="E59" s="153" t="n">
        <x:v>533.8</x:v>
      </x:c>
      <x:c r="F59" s="154" t="n">
        <x:f>IFERROR(E59/E58-1,"")</x:f>
        <x:v>0.00011241428410824206</x:v>
      </x:c>
      <x:c r="G59" s="154" t="n">
        <x:f>IFERROR((C59-D59)/E58,"")</x:f>
        <x:v>0.011054071270656081</x:v>
      </x:c>
      <x:c r="H59" s="153" t="n">
        <x:v>532.62</x:v>
      </x:c>
      <x:c r="I59" s="158" t="n">
        <x:v>14610.88</x:v>
      </x:c>
      <x:c r="J59" s="158" t="n">
        <x:v>7782089522.8</x:v>
      </x:c>
      <x:c r="K59" s="158"/>
      <x:c r="L59" s="153" t="n">
        <x:v>6455</x:v>
      </x:c>
      <x:c r="M59" s="153" t="n">
        <x:v>6548</x:v>
      </x:c>
      <x:c r="N59" s="153" t="n">
        <x:v>6402</x:v>
      </x:c>
      <x:c r="O59" s="153" t="n">
        <x:v>6545</x:v>
      </x:c>
      <x:c r="P59" s="154" t="n">
        <x:f>IFERROR(O59/O58-1,"")</x:f>
        <x:v>0.008629989212513456</x:v>
      </x:c>
      <x:c r="Q59" s="154" t="n">
        <x:f>IFERROR((M59-N59)/O58,"")</x:f>
        <x:v>0.02249961473262444</x:v>
      </x:c>
      <x:c r="R59" s="153" t="n">
        <x:v>6485</x:v>
      </x:c>
      <x:c r="S59" s="158" t="n">
        <x:v>978150</x:v>
      </x:c>
      <x:c r="T59" s="158" t="n">
        <x:v>6343612116</x:v>
      </x:c>
      <x:c r="U59" s="158" t="n">
        <x:v>5592552</x:v>
      </x:c>
      <x:c r="V59" s="153" t="n">
        <x:f>IFERROR(E59*1000/O59,"")</x:f>
        <x:v>81.55844155844156</x:v>
      </x:c>
      <x:c r="W59" s="153" t="n">
        <x:v>4.33</x:v>
      </x:c>
      <x:c r="X59" s="155" t="n">
        <x:v>45383</x:v>
      </x:c>
      <x:c r="Y59" s="153" t="n">
        <x:v>1.98</x:v>
      </x:c>
      <x:c r="Z59" s="155" t="n">
        <x:v>45383</x:v>
      </x:c>
      <x:c r="AA59" s="153" t="n">
        <x:f>IFERROR(Y59-Y58,"")</x:f>
        <x:v>0.10000000000000009</x:v>
      </x:c>
      <x:c r="AB59" s="153" t="n">
        <x:v>2.35</x:v>
      </x:c>
      <x:c r="AC59" s="153" t="n">
        <x:v>121.5151</x:v>
      </x:c>
      <x:c r="AD59" s="155" t="n">
        <x:v>45383</x:v>
      </x:c>
      <x:c r="AE59" s="154" t="n">
        <x:f>IFERROR(AC59/AC58-1,"")</x:f>
        <x:v>0.004098526596215013</x:v>
      </x:c>
      <x:c r="AF59" s="153" t="n">
        <x:v>13.65</x:v>
      </x:c>
      <x:c r="AG59" s="155" t="n">
        <x:v>45383</x:v>
      </x:c>
      <x:c r="AH59" s="153" t="n">
        <x:f>IFERROR(AF59-AF58,"")</x:f>
        <x:v>0.6400000000000006</x:v>
      </x:c>
      <x:c r="AI59" s="153" t="n">
        <x:v>5.33</x:v>
      </x:c>
      <x:c r="AJ59" s="155" t="n">
        <x:v>45380</x:v>
      </x:c>
      <x:c r="AK59" s="159" t="n">
        <x:v>135795</x:v>
      </x:c>
      <x:c r="AL59" s="154" t="n">
        <x:v>0.26962604389625966</x:v>
      </x:c>
      <x:c r="AM59" s="159" t="n">
        <x:v>-47505</x:v>
      </x:c>
      <x:c r="AN59" s="155" t="n">
        <x:v>45380</x:v>
      </x:c>
      <x:c r="AO59" s="159" t="n">
        <x:v>29939</x:v>
      </x:c>
      <x:c r="AP59" s="154" t="n">
        <x:v>0.1867371060395317</x:v>
      </x:c>
      <x:c r="AQ59" s="159" t="n">
        <x:v>-36340</x:v>
      </x:c>
      <x:c r="AR59" s="147" t="str">
        <x:v>美国市场指标与CFTC数据均使用严格早于上金所交易日的最后已发布值</x:v>
      </x:c>
    </x:row>
    <x:row r="60">
      <x:c r="A60" s="155" t="n">
        <x:v>45385</x:v>
      </x:c>
      <x:c r="B60" s="153" t="n">
        <x:v>533.8</x:v>
      </x:c>
      <x:c r="C60" s="153" t="n">
        <x:v>540.7</x:v>
      </x:c>
      <x:c r="D60" s="153" t="n">
        <x:v>533</x:v>
      </x:c>
      <x:c r="E60" s="153" t="n">
        <x:v>537.5</x:v>
      </x:c>
      <x:c r="F60" s="154" t="n">
        <x:f>IFERROR(E60/E59-1,"")</x:f>
        <x:v>0.006931434994380092</x:v>
      </x:c>
      <x:c r="G60" s="154" t="n">
        <x:f>IFERROR((C60-D60)/E59,"")</x:f>
        <x:v>0.014424878231547483</x:v>
      </x:c>
      <x:c r="H60" s="153" t="n">
        <x:v>539.6</x:v>
      </x:c>
      <x:c r="I60" s="158" t="n">
        <x:v>17672.44</x:v>
      </x:c>
      <x:c r="J60" s="158" t="n">
        <x:v>9536139770</x:v>
      </x:c>
      <x:c r="K60" s="158"/>
      <x:c r="L60" s="153" t="n">
        <x:v>6566</x:v>
      </x:c>
      <x:c r="M60" s="153" t="n">
        <x:v>6780</x:v>
      </x:c>
      <x:c r="N60" s="153" t="n">
        <x:v>6513</x:v>
      </x:c>
      <x:c r="O60" s="153" t="n">
        <x:v>6739</x:v>
      </x:c>
      <x:c r="P60" s="154" t="n">
        <x:f>IFERROR(O60/O59-1,"")</x:f>
        <x:v>0.029640947288006148</x:v>
      </x:c>
      <x:c r="Q60" s="154" t="n">
        <x:f>IFERROR((M60-N60)/O59,"")</x:f>
        <x:v>0.04079449961802903</x:v>
      </x:c>
      <x:c r="R60" s="153" t="n">
        <x:v>6698</x:v>
      </x:c>
      <x:c r="S60" s="158" t="n">
        <x:v>1161602</x:v>
      </x:c>
      <x:c r="T60" s="158" t="n">
        <x:v>7781138296</x:v>
      </x:c>
      <x:c r="U60" s="158" t="n">
        <x:v>5560380</x:v>
      </x:c>
      <x:c r="V60" s="153" t="n">
        <x:f>IFERROR(E60*1000/O60,"")</x:f>
        <x:v>79.75960825048227</x:v>
      </x:c>
      <x:c r="W60" s="153" t="n">
        <x:v>4.36</x:v>
      </x:c>
      <x:c r="X60" s="155" t="n">
        <x:v>45384</x:v>
      </x:c>
      <x:c r="Y60" s="153" t="n">
        <x:v>2</x:v>
      </x:c>
      <x:c r="Z60" s="155" t="n">
        <x:v>45384</x:v>
      </x:c>
      <x:c r="AA60" s="153" t="n">
        <x:f>IFERROR(Y60-Y59,"")</x:f>
        <x:v>0.020000000000000018</x:v>
      </x:c>
      <x:c r="AB60" s="153" t="n">
        <x:v>2.36</x:v>
      </x:c>
      <x:c r="AC60" s="153" t="n">
        <x:v>121.3035</x:v>
      </x:c>
      <x:c r="AD60" s="155" t="n">
        <x:v>45384</x:v>
      </x:c>
      <x:c r="AE60" s="154" t="n">
        <x:f>IFERROR(AC60/AC59-1,"")</x:f>
        <x:v>-0.0017413473716435535</x:v>
      </x:c>
      <x:c r="AF60" s="153" t="n">
        <x:v>14.61</x:v>
      </x:c>
      <x:c r="AG60" s="155" t="n">
        <x:v>45384</x:v>
      </x:c>
      <x:c r="AH60" s="153" t="n">
        <x:f>IFERROR(AF60-AF59,"")</x:f>
        <x:v>0.9599999999999991</x:v>
      </x:c>
      <x:c r="AI60" s="153" t="n">
        <x:v>5.33</x:v>
      </x:c>
      <x:c r="AJ60" s="155" t="n">
        <x:v>45380</x:v>
      </x:c>
      <x:c r="AK60" s="159" t="n">
        <x:v>135795</x:v>
      </x:c>
      <x:c r="AL60" s="154" t="n">
        <x:v>0.26962604389625966</x:v>
      </x:c>
      <x:c r="AM60" s="159" t="n">
        <x:v>-47505</x:v>
      </x:c>
      <x:c r="AN60" s="155" t="n">
        <x:v>45380</x:v>
      </x:c>
      <x:c r="AO60" s="159" t="n">
        <x:v>29939</x:v>
      </x:c>
      <x:c r="AP60" s="154" t="n">
        <x:v>0.1867371060395317</x:v>
      </x:c>
      <x:c r="AQ60" s="159" t="n">
        <x:v>-36340</x:v>
      </x:c>
      <x:c r="AR60" s="147" t="str">
        <x:v>美国市场指标与CFTC数据均使用严格早于上金所交易日的最后已发布值</x:v>
      </x:c>
    </x:row>
    <x:row r="61">
      <x:c r="A61" s="155" t="n">
        <x:v>45390</x:v>
      </x:c>
      <x:c r="B61" s="153" t="n">
        <x:v>537.5</x:v>
      </x:c>
      <x:c r="C61" s="153" t="n">
        <x:v>560</x:v>
      </x:c>
      <x:c r="D61" s="153" t="n">
        <x:v>537.5</x:v>
      </x:c>
      <x:c r="E61" s="153" t="n">
        <x:v>554.11</x:v>
      </x:c>
      <x:c r="F61" s="154" t="n">
        <x:f>IFERROR(E61/E60-1,"")</x:f>
        <x:v>0.030902325581395385</x:v>
      </x:c>
      <x:c r="G61" s="154" t="n">
        <x:f>IFERROR((C61-D61)/E60,"")</x:f>
        <x:v>0.04186046511627907</x:v>
      </x:c>
      <x:c r="H61" s="153" t="n">
        <x:v>552.81</x:v>
      </x:c>
      <x:c r="I61" s="158" t="n">
        <x:v>25204.7</x:v>
      </x:c>
      <x:c r="J61" s="158" t="n">
        <x:v>13933661916.6</x:v>
      </x:c>
      <x:c r="K61" s="158"/>
      <x:c r="L61" s="153" t="n">
        <x:v>6895</x:v>
      </x:c>
      <x:c r="M61" s="153" t="n">
        <x:v>7170</x:v>
      </x:c>
      <x:c r="N61" s="153" t="n">
        <x:v>6789</x:v>
      </x:c>
      <x:c r="O61" s="153" t="n">
        <x:v>7110</x:v>
      </x:c>
      <x:c r="P61" s="154" t="n">
        <x:f>IFERROR(O61/O60-1,"")</x:f>
        <x:v>0.055052678438937575</x:v>
      </x:c>
      <x:c r="Q61" s="154" t="n">
        <x:f>IFERROR((M61-N61)/O60,"")</x:f>
        <x:v>0.05653657812731859</x:v>
      </x:c>
      <x:c r="R61" s="153" t="n">
        <x:v>7057</x:v>
      </x:c>
      <x:c r="S61" s="158" t="n">
        <x:v>1303136</x:v>
      </x:c>
      <x:c r="T61" s="158" t="n">
        <x:v>9196478842</x:v>
      </x:c>
      <x:c r="U61" s="158" t="n">
        <x:v>5371568</x:v>
      </x:c>
      <x:c r="V61" s="153" t="n">
        <x:f>IFERROR(E61*1000/O61,"")</x:f>
        <x:v>77.93389592123769</x:v>
      </x:c>
      <x:c r="W61" s="153" t="n">
        <x:v>4.39</x:v>
      </x:c>
      <x:c r="X61" s="155" t="n">
        <x:v>45387</x:v>
      </x:c>
      <x:c r="Y61" s="153" t="n">
        <x:v>2.02</x:v>
      </x:c>
      <x:c r="Z61" s="155" t="n">
        <x:v>45387</x:v>
      </x:c>
      <x:c r="AA61" s="153" t="n">
        <x:f>IFERROR(Y61-Y60,"")</x:f>
        <x:v>0.020000000000000018</x:v>
      </x:c>
      <x:c r="AB61" s="153" t="n">
        <x:v>2.37</x:v>
      </x:c>
      <x:c r="AC61" s="153" t="n">
        <x:v>120.9646</x:v>
      </x:c>
      <x:c r="AD61" s="155" t="n">
        <x:v>45387</x:v>
      </x:c>
      <x:c r="AE61" s="154" t="n">
        <x:f>IFERROR(AC61/AC60-1,"")</x:f>
        <x:v>-0.0027938188098446393</x:v>
      </x:c>
      <x:c r="AF61" s="153" t="n">
        <x:v>16.03</x:v>
      </x:c>
      <x:c r="AG61" s="155" t="n">
        <x:v>45387</x:v>
      </x:c>
      <x:c r="AH61" s="153" t="n">
        <x:f>IFERROR(AF61-AF60,"")</x:f>
        <x:v>1.4200000000000017</x:v>
      </x:c>
      <x:c r="AI61" s="153" t="n">
        <x:v>5.33</x:v>
      </x:c>
      <x:c r="AJ61" s="155" t="n">
        <x:v>45387</x:v>
      </x:c>
      <x:c r="AK61" s="159" t="n">
        <x:v>147080</x:v>
      </x:c>
      <x:c r="AL61" s="154" t="n">
        <x:v>0.2941335279824816</x:v>
      </x:c>
      <x:c r="AM61" s="159" t="n">
        <x:v>-44887</x:v>
      </x:c>
      <x:c r="AN61" s="155" t="n">
        <x:v>45387</x:v>
      </x:c>
      <x:c r="AO61" s="159" t="n">
        <x:v>33301</x:v>
      </x:c>
      <x:c r="AP61" s="154" t="n">
        <x:v>0.19961875760536615</x:v>
      </x:c>
      <x:c r="AQ61" s="159" t="n">
        <x:v>-38700</x:v>
      </x:c>
      <x:c r="AR61" s="147" t="str">
        <x:v>美国市场指标与CFTC数据均使用严格早于上金所交易日的最后已发布值</x:v>
      </x:c>
    </x:row>
    <x:row r="62">
      <x:c r="A62" s="155" t="n">
        <x:v>45391</x:v>
      </x:c>
      <x:c r="B62" s="153" t="n">
        <x:v>552</x:v>
      </x:c>
      <x:c r="C62" s="153" t="n">
        <x:v>558.3</x:v>
      </x:c>
      <x:c r="D62" s="153" t="n">
        <x:v>550.5</x:v>
      </x:c>
      <x:c r="E62" s="153" t="n">
        <x:v>555.5</x:v>
      </x:c>
      <x:c r="F62" s="154" t="n">
        <x:f>IFERROR(E62/E61-1,"")</x:f>
        <x:v>0.0025085271877425264</x:v>
      </x:c>
      <x:c r="G62" s="154" t="n">
        <x:f>IFERROR((C62-D62)/E61,"")</x:f>
        <x:v>0.014076627384454268</x:v>
      </x:c>
      <x:c r="H62" s="153" t="n">
        <x:v>555.61</x:v>
      </x:c>
      <x:c r="I62" s="158" t="n">
        <x:v>25558.48</x:v>
      </x:c>
      <x:c r="J62" s="158" t="n">
        <x:v>14200737013</x:v>
      </x:c>
      <x:c r="K62" s="158"/>
      <x:c r="L62" s="153" t="n">
        <x:v>7085</x:v>
      </x:c>
      <x:c r="M62" s="153" t="n">
        <x:v>7269</x:v>
      </x:c>
      <x:c r="N62" s="153" t="n">
        <x:v>7002</x:v>
      </x:c>
      <x:c r="O62" s="153" t="n">
        <x:v>7188</x:v>
      </x:c>
      <x:c r="P62" s="154" t="n">
        <x:f>IFERROR(O62/O61-1,"")</x:f>
        <x:v>0.010970464135021007</x:v>
      </x:c>
      <x:c r="Q62" s="154" t="n">
        <x:f>IFERROR((M62-N62)/O61,"")</x:f>
        <x:v>0.03755274261603375</x:v>
      </x:c>
      <x:c r="R62" s="153" t="n">
        <x:v>7159</x:v>
      </x:c>
      <x:c r="S62" s="158" t="n">
        <x:v>1319284</x:v>
      </x:c>
      <x:c r="T62" s="158" t="n">
        <x:v>9444978604</x:v>
      </x:c>
      <x:c r="U62" s="158" t="n">
        <x:v>5177476</x:v>
      </x:c>
      <x:c r="V62" s="153" t="n">
        <x:f>IFERROR(E62*1000/O62,"")</x:f>
        <x:v>77.28158041179744</x:v>
      </x:c>
      <x:c r="W62" s="153" t="n">
        <x:v>4.42</x:v>
      </x:c>
      <x:c r="X62" s="155" t="n">
        <x:v>45390</x:v>
      </x:c>
      <x:c r="Y62" s="153" t="n">
        <x:v>2.04</x:v>
      </x:c>
      <x:c r="Z62" s="155" t="n">
        <x:v>45390</x:v>
      </x:c>
      <x:c r="AA62" s="153" t="n">
        <x:f>IFERROR(Y62-Y61,"")</x:f>
        <x:v>0.020000000000000018</x:v>
      </x:c>
      <x:c r="AB62" s="153" t="n">
        <x:v>2.38</x:v>
      </x:c>
      <x:c r="AC62" s="153" t="n">
        <x:v>120.7359</x:v>
      </x:c>
      <x:c r="AD62" s="155" t="n">
        <x:v>45390</x:v>
      </x:c>
      <x:c r="AE62" s="154" t="n">
        <x:f>IFERROR(AC62/AC61-1,"")</x:f>
        <x:v>-0.001890635772779814</x:v>
      </x:c>
      <x:c r="AF62" s="153" t="n">
        <x:v>15.19</x:v>
      </x:c>
      <x:c r="AG62" s="155" t="n">
        <x:v>45390</x:v>
      </x:c>
      <x:c r="AH62" s="153" t="n">
        <x:f>IFERROR(AF62-AF61,"")</x:f>
        <x:v>-0.8400000000000016</x:v>
      </x:c>
      <x:c r="AI62" s="153" t="n">
        <x:v>5.33</x:v>
      </x:c>
      <x:c r="AJ62" s="155" t="n">
        <x:v>45387</x:v>
      </x:c>
      <x:c r="AK62" s="159" t="n">
        <x:v>147080</x:v>
      </x:c>
      <x:c r="AL62" s="154" t="n">
        <x:v>0.2941335279824816</x:v>
      </x:c>
      <x:c r="AM62" s="159" t="n">
        <x:v>-44887</x:v>
      </x:c>
      <x:c r="AN62" s="155" t="n">
        <x:v>45387</x:v>
      </x:c>
      <x:c r="AO62" s="159" t="n">
        <x:v>33301</x:v>
      </x:c>
      <x:c r="AP62" s="154" t="n">
        <x:v>0.19961875760536615</x:v>
      </x:c>
      <x:c r="AQ62" s="159" t="n">
        <x:v>-38700</x:v>
      </x:c>
      <x:c r="AR62" s="147" t="str">
        <x:v>美国市场指标与CFTC数据均使用严格早于上金所交易日的最后已发布值</x:v>
      </x:c>
    </x:row>
    <x:row r="63">
      <x:c r="A63" s="155" t="n">
        <x:v>45392</x:v>
      </x:c>
      <x:c r="B63" s="153" t="n">
        <x:v>556</x:v>
      </x:c>
      <x:c r="C63" s="153" t="n">
        <x:v>559.97</x:v>
      </x:c>
      <x:c r="D63" s="153" t="n">
        <x:v>554.5</x:v>
      </x:c>
      <x:c r="E63" s="153" t="n">
        <x:v>557.9</x:v>
      </x:c>
      <x:c r="F63" s="154" t="n">
        <x:f>IFERROR(E63/E62-1,"")</x:f>
        <x:v>0.004320432043204203</x:v>
      </x:c>
      <x:c r="G63" s="154" t="n">
        <x:f>IFERROR((C63-D63)/E62,"")</x:f>
        <x:v>0.009846984698469896</x:v>
      </x:c>
      <x:c r="H63" s="153" t="n">
        <x:v>557.43</x:v>
      </x:c>
      <x:c r="I63" s="158" t="n">
        <x:v>17173.4</x:v>
      </x:c>
      <x:c r="J63" s="158" t="n">
        <x:v>9573130596</x:v>
      </x:c>
      <x:c r="K63" s="158"/>
      <x:c r="L63" s="153" t="n">
        <x:v>7210</x:v>
      </x:c>
      <x:c r="M63" s="153" t="n">
        <x:v>7507</x:v>
      </x:c>
      <x:c r="N63" s="153" t="n">
        <x:v>7123</x:v>
      </x:c>
      <x:c r="O63" s="153" t="n">
        <x:v>7196</x:v>
      </x:c>
      <x:c r="P63" s="154" t="n">
        <x:f>IFERROR(O63/O62-1,"")</x:f>
        <x:v>0.0011129660545352582</x:v>
      </x:c>
      <x:c r="Q63" s="154" t="n">
        <x:f>IFERROR((M63-N63)/O62,"")</x:f>
        <x:v>0.05342237061769616</x:v>
      </x:c>
      <x:c r="R63" s="153" t="n">
        <x:v>7198</x:v>
      </x:c>
      <x:c r="S63" s="158" t="n">
        <x:v>945416</x:v>
      </x:c>
      <x:c r="T63" s="158" t="n">
        <x:v>6805658186</x:v>
      </x:c>
      <x:c r="U63" s="158" t="n">
        <x:v>5176462</x:v>
      </x:c>
      <x:c r="V63" s="153" t="n">
        <x:f>IFERROR(E63*1000/O63,"")</x:f>
        <x:v>77.52918287937743</x:v>
      </x:c>
      <x:c r="W63" s="153" t="n">
        <x:v>4.36</x:v>
      </x:c>
      <x:c r="X63" s="155" t="n">
        <x:v>45391</x:v>
      </x:c>
      <x:c r="Y63" s="153" t="n">
        <x:v>2</x:v>
      </x:c>
      <x:c r="Z63" s="155" t="n">
        <x:v>45391</x:v>
      </x:c>
      <x:c r="AA63" s="153" t="n">
        <x:f>IFERROR(Y63-Y62,"")</x:f>
        <x:v>-0.040000000000000036</x:v>
      </x:c>
      <x:c r="AB63" s="153" t="n">
        <x:v>2.36</x:v>
      </x:c>
      <x:c r="AC63" s="153" t="n">
        <x:v>120.7048</x:v>
      </x:c>
      <x:c r="AD63" s="155" t="n">
        <x:v>45391</x:v>
      </x:c>
      <x:c r="AE63" s="154" t="n">
        <x:f>IFERROR(AC63/AC62-1,"")</x:f>
        <x:v>-0.0002575870143014525</x:v>
      </x:c>
      <x:c r="AF63" s="153" t="n">
        <x:v>14.98</x:v>
      </x:c>
      <x:c r="AG63" s="155" t="n">
        <x:v>45391</x:v>
      </x:c>
      <x:c r="AH63" s="153" t="n">
        <x:f>IFERROR(AF63-AF62,"")</x:f>
        <x:v>-0.20999999999999908</x:v>
      </x:c>
      <x:c r="AI63" s="153" t="n">
        <x:v>5.33</x:v>
      </x:c>
      <x:c r="AJ63" s="155" t="n">
        <x:v>45387</x:v>
      </x:c>
      <x:c r="AK63" s="159" t="n">
        <x:v>147080</x:v>
      </x:c>
      <x:c r="AL63" s="154" t="n">
        <x:v>0.2941335279824816</x:v>
      </x:c>
      <x:c r="AM63" s="159" t="n">
        <x:v>-44887</x:v>
      </x:c>
      <x:c r="AN63" s="155" t="n">
        <x:v>45387</x:v>
      </x:c>
      <x:c r="AO63" s="159" t="n">
        <x:v>33301</x:v>
      </x:c>
      <x:c r="AP63" s="154" t="n">
        <x:v>0.19961875760536615</x:v>
      </x:c>
      <x:c r="AQ63" s="159" t="n">
        <x:v>-38700</x:v>
      </x:c>
      <x:c r="AR63" s="147" t="str">
        <x:v>美国市场指标与CFTC数据均使用严格早于上金所交易日的最后已发布值</x:v>
      </x:c>
    </x:row>
    <x:row r="64">
      <x:c r="A64" s="155" t="n">
        <x:v>45393</x:v>
      </x:c>
      <x:c r="B64" s="153" t="n">
        <x:v>554.3</x:v>
      </x:c>
      <x:c r="C64" s="153" t="n">
        <x:v>556.89</x:v>
      </x:c>
      <x:c r="D64" s="153" t="n">
        <x:v>551</x:v>
      </x:c>
      <x:c r="E64" s="153" t="n">
        <x:v>554.14</x:v>
      </x:c>
      <x:c r="F64" s="154" t="n">
        <x:f>IFERROR(E64/E63-1,"")</x:f>
        <x:v>-0.006739559060763511</x:v>
      </x:c>
      <x:c r="G64" s="154" t="n">
        <x:f>IFERROR((C64-D64)/E63,"")</x:f>
        <x:v>0.010557447571249304</x:v>
      </x:c>
      <x:c r="H64" s="153" t="n">
        <x:v>554.95</x:v>
      </x:c>
      <x:c r="I64" s="158" t="n">
        <x:v>19175.42</x:v>
      </x:c>
      <x:c r="J64" s="158" t="n">
        <x:v>10641524129.2</x:v>
      </x:c>
      <x:c r="K64" s="158"/>
      <x:c r="L64" s="153" t="n">
        <x:v>7188</x:v>
      </x:c>
      <x:c r="M64" s="153" t="n">
        <x:v>7250</x:v>
      </x:c>
      <x:c r="N64" s="153" t="n">
        <x:v>7086</x:v>
      </x:c>
      <x:c r="O64" s="153" t="n">
        <x:v>7169</x:v>
      </x:c>
      <x:c r="P64" s="154" t="n">
        <x:f>IFERROR(O64/O63-1,"")</x:f>
        <x:v>-0.003752084491384089</x:v>
      </x:c>
      <x:c r="Q64" s="154" t="n">
        <x:f>IFERROR((M64-N64)/O63,"")</x:f>
        <x:v>0.022790439132851583</x:v>
      </x:c>
      <x:c r="R64" s="153" t="n">
        <x:v>7168</x:v>
      </x:c>
      <x:c r="S64" s="158" t="n">
        <x:v>818058</x:v>
      </x:c>
      <x:c r="T64" s="158" t="n">
        <x:v>5864611160</x:v>
      </x:c>
      <x:c r="U64" s="158" t="n">
        <x:v>5138574</x:v>
      </x:c>
      <x:c r="V64" s="153" t="n">
        <x:f>IFERROR(E64*1000/O64,"")</x:f>
        <x:v>77.29669409959548</x:v>
      </x:c>
      <x:c r="W64" s="153" t="n">
        <x:v>4.55</x:v>
      </x:c>
      <x:c r="X64" s="155" t="n">
        <x:v>45392</x:v>
      </x:c>
      <x:c r="Y64" s="153" t="n">
        <x:v>2.15</x:v>
      </x:c>
      <x:c r="Z64" s="155" t="n">
        <x:v>45392</x:v>
      </x:c>
      <x:c r="AA64" s="153" t="n">
        <x:f>IFERROR(Y64-Y63,"")</x:f>
        <x:v>0.1499999999999999</x:v>
      </x:c>
      <x:c r="AB64" s="153" t="n">
        <x:v>2.4</x:v>
      </x:c>
      <x:c r="AC64" s="153" t="n">
        <x:v>121.5727</x:v>
      </x:c>
      <x:c r="AD64" s="155" t="n">
        <x:v>45392</x:v>
      </x:c>
      <x:c r="AE64" s="154" t="n">
        <x:f>IFERROR(AC64/AC63-1,"")</x:f>
        <x:v>0.007190269152510753</x:v>
      </x:c>
      <x:c r="AF64" s="153" t="n">
        <x:v>15.8</x:v>
      </x:c>
      <x:c r="AG64" s="155" t="n">
        <x:v>45392</x:v>
      </x:c>
      <x:c r="AH64" s="153" t="n">
        <x:f>IFERROR(AF64-AF63,"")</x:f>
        <x:v>0.8200000000000003</x:v>
      </x:c>
      <x:c r="AI64" s="153" t="n">
        <x:v>5.33</x:v>
      </x:c>
      <x:c r="AJ64" s="155" t="n">
        <x:v>45387</x:v>
      </x:c>
      <x:c r="AK64" s="159" t="n">
        <x:v>147080</x:v>
      </x:c>
      <x:c r="AL64" s="154" t="n">
        <x:v>0.2941335279824816</x:v>
      </x:c>
      <x:c r="AM64" s="159" t="n">
        <x:v>-44887</x:v>
      </x:c>
      <x:c r="AN64" s="155" t="n">
        <x:v>45387</x:v>
      </x:c>
      <x:c r="AO64" s="159" t="n">
        <x:v>33301</x:v>
      </x:c>
      <x:c r="AP64" s="154" t="n">
        <x:v>0.19961875760536615</x:v>
      </x:c>
      <x:c r="AQ64" s="159" t="n">
        <x:v>-38700</x:v>
      </x:c>
      <x:c r="AR64" s="147" t="str">
        <x:v>美国市场指标与CFTC数据均使用严格早于上金所交易日的最后已发布值</x:v>
      </x:c>
    </x:row>
    <x:row r="65">
      <x:c r="A65" s="155" t="n">
        <x:v>45394</x:v>
      </x:c>
      <x:c r="B65" s="153" t="n">
        <x:v>553.5</x:v>
      </x:c>
      <x:c r="C65" s="153" t="n">
        <x:v>569.87</x:v>
      </x:c>
      <x:c r="D65" s="153" t="n">
        <x:v>553.5</x:v>
      </x:c>
      <x:c r="E65" s="153" t="n">
        <x:v>567.21</x:v>
      </x:c>
      <x:c r="F65" s="154" t="n">
        <x:f>IFERROR(E65/E64-1,"")</x:f>
        <x:v>0.02358609737611439</x:v>
      </x:c>
      <x:c r="G65" s="154" t="n">
        <x:f>IFERROR((C65-D65)/E64,"")</x:f>
        <x:v>0.02954127115891292</x:v>
      </x:c>
      <x:c r="H65" s="153" t="n">
        <x:v>566.49</x:v>
      </x:c>
      <x:c r="I65" s="158" t="n">
        <x:v>16110.18</x:v>
      </x:c>
      <x:c r="J65" s="158" t="n">
        <x:v>9126390906</x:v>
      </x:c>
      <x:c r="K65" s="158"/>
      <x:c r="L65" s="153" t="n">
        <x:v>7167</x:v>
      </x:c>
      <x:c r="M65" s="153" t="n">
        <x:v>7475</x:v>
      </x:c>
      <x:c r="N65" s="153" t="n">
        <x:v>7143</x:v>
      </x:c>
      <x:c r="O65" s="153" t="n">
        <x:v>7450</x:v>
      </x:c>
      <x:c r="P65" s="154" t="n">
        <x:f>IFERROR(O65/O64-1,"")</x:f>
        <x:v>0.03919654066118006</x:v>
      </x:c>
      <x:c r="Q65" s="154" t="n">
        <x:f>IFERROR((M65-N65)/O64,"")</x:f>
        <x:v>0.04631050355698145</x:v>
      </x:c>
      <x:c r="R65" s="153" t="n">
        <x:v>7354</x:v>
      </x:c>
      <x:c r="S65" s="158" t="n">
        <x:v>1299688</x:v>
      </x:c>
      <x:c r="T65" s="158" t="n">
        <x:v>9558194330</x:v>
      </x:c>
      <x:c r="U65" s="158" t="n">
        <x:v>5038964</x:v>
      </x:c>
      <x:c r="V65" s="153" t="n">
        <x:f>IFERROR(E65*1000/O65,"")</x:f>
        <x:v>76.13557046979865</x:v>
      </x:c>
      <x:c r="W65" s="153" t="n">
        <x:v>4.56</x:v>
      </x:c>
      <x:c r="X65" s="155" t="n">
        <x:v>45393</x:v>
      </x:c>
      <x:c r="Y65" s="153" t="n">
        <x:v>2.16</x:v>
      </x:c>
      <x:c r="Z65" s="155" t="n">
        <x:v>45393</x:v>
      </x:c>
      <x:c r="AA65" s="153" t="n">
        <x:f>IFERROR(Y65-Y64,"")</x:f>
        <x:v>0.010000000000000231</x:v>
      </x:c>
      <x:c r="AB65" s="153" t="n">
        <x:v>2.4</x:v>
      </x:c>
      <x:c r="AC65" s="153" t="n">
        <x:v>121.6081</x:v>
      </x:c>
      <x:c r="AD65" s="155" t="n">
        <x:v>45393</x:v>
      </x:c>
      <x:c r="AE65" s="154" t="n">
        <x:f>IFERROR(AC65/AC64-1,"")</x:f>
        <x:v>0.0002911837937300543</x:v>
      </x:c>
      <x:c r="AF65" s="153" t="n">
        <x:v>14.91</x:v>
      </x:c>
      <x:c r="AG65" s="155" t="n">
        <x:v>45393</x:v>
      </x:c>
      <x:c r="AH65" s="153" t="n">
        <x:f>IFERROR(AF65-AF64,"")</x:f>
        <x:v>-0.8900000000000006</x:v>
      </x:c>
      <x:c r="AI65" s="153" t="n">
        <x:v>5.33</x:v>
      </x:c>
      <x:c r="AJ65" s="155" t="n">
        <x:v>45387</x:v>
      </x:c>
      <x:c r="AK65" s="159" t="n">
        <x:v>147080</x:v>
      </x:c>
      <x:c r="AL65" s="154" t="n">
        <x:v>0.2941335279824816</x:v>
      </x:c>
      <x:c r="AM65" s="159" t="n">
        <x:v>-44887</x:v>
      </x:c>
      <x:c r="AN65" s="155" t="n">
        <x:v>45387</x:v>
      </x:c>
      <x:c r="AO65" s="159" t="n">
        <x:v>33301</x:v>
      </x:c>
      <x:c r="AP65" s="154" t="n">
        <x:v>0.19961875760536615</x:v>
      </x:c>
      <x:c r="AQ65" s="159" t="n">
        <x:v>-38700</x:v>
      </x:c>
      <x:c r="AR65" s="147" t="str">
        <x:v>美国市场指标与CFTC数据均使用严格早于上金所交易日的最后已发布值</x:v>
      </x:c>
    </x:row>
    <x:row r="66">
      <x:c r="A66" s="155" t="n">
        <x:v>45397</x:v>
      </x:c>
      <x:c r="B66" s="153" t="n">
        <x:v>567.01</x:v>
      </x:c>
      <x:c r="C66" s="153" t="n">
        <x:v>576.99</x:v>
      </x:c>
      <x:c r="D66" s="153" t="n">
        <x:v>556</x:v>
      </x:c>
      <x:c r="E66" s="153" t="n">
        <x:v>558.68</x:v>
      </x:c>
      <x:c r="F66" s="154" t="n">
        <x:f>IFERROR(E66/E65-1,"")</x:f>
        <x:v>-0.015038521887837053</x:v>
      </x:c>
      <x:c r="G66" s="154" t="n">
        <x:f>IFERROR((C66-D66)/E65,"")</x:f>
        <x:v>0.03700569453994113</x:v>
      </x:c>
      <x:c r="H66" s="153" t="n">
        <x:v>561.43</x:v>
      </x:c>
      <x:c r="I66" s="158" t="n">
        <x:v>29370.68</x:v>
      </x:c>
      <x:c r="J66" s="158" t="n">
        <x:v>16489665322</x:v>
      </x:c>
      <x:c r="K66" s="158"/>
      <x:c r="L66" s="153" t="n">
        <x:v>7450</x:v>
      </x:c>
      <x:c r="M66" s="153" t="n">
        <x:v>7786</x:v>
      </x:c>
      <x:c r="N66" s="153" t="n">
        <x:v>7200</x:v>
      </x:c>
      <x:c r="O66" s="153" t="n">
        <x:v>7433</x:v>
      </x:c>
      <x:c r="P66" s="154" t="n">
        <x:f>IFERROR(O66/O65-1,"")</x:f>
        <x:v>-0.0022818791946308536</x:v>
      </x:c>
      <x:c r="Q66" s="154" t="n">
        <x:f>IFERROR((M66-N66)/O65,"")</x:f>
        <x:v>0.07865771812080537</x:v>
      </x:c>
      <x:c r="R66" s="153" t="n">
        <x:v>7485</x:v>
      </x:c>
      <x:c r="S66" s="158" t="n">
        <x:v>2243474</x:v>
      </x:c>
      <x:c r="T66" s="158" t="n">
        <x:v>16793635638</x:v>
      </x:c>
      <x:c r="U66" s="158" t="n">
        <x:v>4827720</x:v>
      </x:c>
      <x:c r="V66" s="153" t="n">
        <x:f>IFERROR(E66*1000/O66,"")</x:f>
        <x:v>75.16211489304453</x:v>
      </x:c>
      <x:c r="W66" s="153" t="n">
        <x:v>4.5</x:v>
      </x:c>
      <x:c r="X66" s="155" t="n">
        <x:v>45394</x:v>
      </x:c>
      <x:c r="Y66" s="153" t="n">
        <x:v>2.11</x:v>
      </x:c>
      <x:c r="Z66" s="155" t="n">
        <x:v>45394</x:v>
      </x:c>
      <x:c r="AA66" s="153" t="n">
        <x:f>IFERROR(Y66-Y65,"")</x:f>
        <x:v>-0.050000000000000266</x:v>
      </x:c>
      <x:c r="AB66" s="153" t="n">
        <x:v>2.39</x:v>
      </x:c>
      <x:c r="AC66" s="153" t="n">
        <x:v>122.2885</x:v>
      </x:c>
      <x:c r="AD66" s="155" t="n">
        <x:v>45394</x:v>
      </x:c>
      <x:c r="AE66" s="154" t="n">
        <x:f>IFERROR(AC66/AC65-1,"")</x:f>
        <x:v>0.005595022042117259</x:v>
      </x:c>
      <x:c r="AF66" s="153" t="n">
        <x:v>17.31</x:v>
      </x:c>
      <x:c r="AG66" s="155" t="n">
        <x:v>45394</x:v>
      </x:c>
      <x:c r="AH66" s="153" t="n">
        <x:f>IFERROR(AF66-AF65,"")</x:f>
        <x:v>2.3999999999999986</x:v>
      </x:c>
      <x:c r="AI66" s="153" t="n">
        <x:v>5.33</x:v>
      </x:c>
      <x:c r="AJ66" s="155" t="n">
        <x:v>45394</x:v>
      </x:c>
      <x:c r="AK66" s="159" t="n">
        <x:v>141732</x:v>
      </x:c>
      <x:c r="AL66" s="154" t="n">
        <x:v>0.2805385440625161</x:v>
      </x:c>
      <x:c r="AM66" s="159" t="n">
        <x:v>-42026</x:v>
      </x:c>
      <x:c r="AN66" s="155" t="n">
        <x:v>45394</x:v>
      </x:c>
      <x:c r="AO66" s="159" t="n">
        <x:v>36631</x:v>
      </x:c>
      <x:c r="AP66" s="154" t="n">
        <x:v>0.2100437507525932</x:v>
      </x:c>
      <x:c r="AQ66" s="159" t="n">
        <x:v>-41103</x:v>
      </x:c>
      <x:c r="AR66" s="147" t="str">
        <x:v>美国市场指标与CFTC数据均使用严格早于上金所交易日的最后已发布值</x:v>
      </x:c>
    </x:row>
    <x:row r="67">
      <x:c r="A67" s="155" t="n">
        <x:v>45398</x:v>
      </x:c>
      <x:c r="B67" s="153" t="n">
        <x:v>559</x:v>
      </x:c>
      <x:c r="C67" s="153" t="n">
        <x:v>569</x:v>
      </x:c>
      <x:c r="D67" s="153" t="n">
        <x:v>552.66</x:v>
      </x:c>
      <x:c r="E67" s="153" t="n">
        <x:v>562.5</x:v>
      </x:c>
      <x:c r="F67" s="154" t="n">
        <x:f>IFERROR(E67/E66-1,"")</x:f>
        <x:v>0.006837545643302079</x:v>
      </x:c>
      <x:c r="G67" s="154" t="n">
        <x:f>IFERROR((C67-D67)/E66,"")</x:f>
        <x:v>0.029247511992553935</x:v>
      </x:c>
      <x:c r="H67" s="153" t="n">
        <x:v>565.81</x:v>
      </x:c>
      <x:c r="I67" s="158" t="n">
        <x:v>14841.34</x:v>
      </x:c>
      <x:c r="J67" s="158" t="n">
        <x:v>8397498763.8</x:v>
      </x:c>
      <x:c r="K67" s="158"/>
      <x:c r="L67" s="153" t="n">
        <x:v>7445</x:v>
      </x:c>
      <x:c r="M67" s="153" t="n">
        <x:v>7498</x:v>
      </x:c>
      <x:c r="N67" s="153" t="n">
        <x:v>7320</x:v>
      </x:c>
      <x:c r="O67" s="153" t="n">
        <x:v>7360</x:v>
      </x:c>
      <x:c r="P67" s="154" t="n">
        <x:f>IFERROR(O67/O66-1,"")</x:f>
        <x:v>-0.009821068209336703</x:v>
      </x:c>
      <x:c r="Q67" s="154" t="n">
        <x:f>IFERROR((M67-N67)/O66,"")</x:f>
        <x:v>0.02394726220906767</x:v>
      </x:c>
      <x:c r="R67" s="153" t="n">
        <x:v>7421</x:v>
      </x:c>
      <x:c r="S67" s="158" t="n">
        <x:v>768676</x:v>
      </x:c>
      <x:c r="T67" s="158" t="n">
        <x:v>5705002114</x:v>
      </x:c>
      <x:c r="U67" s="158" t="n">
        <x:v>4856750</x:v>
      </x:c>
      <x:c r="V67" s="153" t="n">
        <x:f>IFERROR(E67*1000/O67,"")</x:f>
        <x:v>76.42663043478261</x:v>
      </x:c>
      <x:c r="W67" s="153" t="n">
        <x:v>4.63</x:v>
      </x:c>
      <x:c r="X67" s="155" t="n">
        <x:v>45397</x:v>
      </x:c>
      <x:c r="Y67" s="153" t="n">
        <x:v>2.2</x:v>
      </x:c>
      <x:c r="Z67" s="155" t="n">
        <x:v>45397</x:v>
      </x:c>
      <x:c r="AA67" s="153" t="n">
        <x:f>IFERROR(Y67-Y66,"")</x:f>
        <x:v>0.0900000000000003</x:v>
      </x:c>
      <x:c r="AB67" s="153" t="n">
        <x:v>2.43</x:v>
      </x:c>
      <x:c r="AC67" s="153" t="n">
        <x:v>122.425</x:v>
      </x:c>
      <x:c r="AD67" s="155" t="n">
        <x:v>45397</x:v>
      </x:c>
      <x:c r="AE67" s="154" t="n">
        <x:f>IFERROR(AC67/AC66-1,"")</x:f>
        <x:v>0.001116212890010182</x:v>
      </x:c>
      <x:c r="AF67" s="153" t="n">
        <x:v>19.23</x:v>
      </x:c>
      <x:c r="AG67" s="155" t="n">
        <x:v>45397</x:v>
      </x:c>
      <x:c r="AH67" s="153" t="n">
        <x:f>IFERROR(AF67-AF66,"")</x:f>
        <x:v>1.9200000000000017</x:v>
      </x:c>
      <x:c r="AI67" s="153" t="n">
        <x:v>5.33</x:v>
      </x:c>
      <x:c r="AJ67" s="155" t="n">
        <x:v>45394</x:v>
      </x:c>
      <x:c r="AK67" s="159" t="n">
        <x:v>141732</x:v>
      </x:c>
      <x:c r="AL67" s="154" t="n">
        <x:v>0.2805385440625161</x:v>
      </x:c>
      <x:c r="AM67" s="159" t="n">
        <x:v>-42026</x:v>
      </x:c>
      <x:c r="AN67" s="155" t="n">
        <x:v>45394</x:v>
      </x:c>
      <x:c r="AO67" s="159" t="n">
        <x:v>36631</x:v>
      </x:c>
      <x:c r="AP67" s="154" t="n">
        <x:v>0.2100437507525932</x:v>
      </x:c>
      <x:c r="AQ67" s="159" t="n">
        <x:v>-41103</x:v>
      </x:c>
      <x:c r="AR67" s="147" t="str">
        <x:v>美国市场指标与CFTC数据均使用严格早于上金所交易日的最后已发布值</x:v>
      </x:c>
    </x:row>
    <x:row r="68">
      <x:c r="A68" s="155" t="n">
        <x:v>45399</x:v>
      </x:c>
      <x:c r="B68" s="153" t="n">
        <x:v>562.61</x:v>
      </x:c>
      <x:c r="C68" s="153" t="n">
        <x:v>569</x:v>
      </x:c>
      <x:c r="D68" s="153" t="n">
        <x:v>562.02</x:v>
      </x:c>
      <x:c r="E68" s="153" t="n">
        <x:v>564.46</x:v>
      </x:c>
      <x:c r="F68" s="154" t="n">
        <x:f>IFERROR(E68/E67-1,"")</x:f>
        <x:v>0.003484444444444401</x:v>
      </x:c>
      <x:c r="G68" s="154" t="n">
        <x:f>IFERROR((C68-D68)/E67,"")</x:f>
        <x:v>0.01240888888888892</x:v>
      </x:c>
      <x:c r="H68" s="153" t="n">
        <x:v>565.67</x:v>
      </x:c>
      <x:c r="I68" s="158" t="n">
        <x:v>13674.22</x:v>
      </x:c>
      <x:c r="J68" s="158" t="n">
        <x:v>7735106058.6</x:v>
      </x:c>
      <x:c r="K68" s="158"/>
      <x:c r="L68" s="153" t="n">
        <x:v>7363</x:v>
      </x:c>
      <x:c r="M68" s="153" t="n">
        <x:v>7408</x:v>
      </x:c>
      <x:c r="N68" s="153" t="n">
        <x:v>7297</x:v>
      </x:c>
      <x:c r="O68" s="153" t="n">
        <x:v>7371</x:v>
      </x:c>
      <x:c r="P68" s="154" t="n">
        <x:f>IFERROR(O68/O67-1,"")</x:f>
        <x:v>0.0014945652173912194</x:v>
      </x:c>
      <x:c r="Q68" s="154" t="n">
        <x:f>IFERROR((M68-N68)/O67,"")</x:f>
        <x:v>0.015081521739130434</x:v>
      </x:c>
      <x:c r="R68" s="153" t="n">
        <x:v>7351</x:v>
      </x:c>
      <x:c r="S68" s="158" t="n">
        <x:v>722248</x:v>
      </x:c>
      <x:c r="T68" s="158" t="n">
        <x:v>5309425588</x:v>
      </x:c>
      <x:c r="U68" s="158" t="n">
        <x:v>4963684</x:v>
      </x:c>
      <x:c r="V68" s="153" t="n">
        <x:f>IFERROR(E68*1000/O68,"")</x:f>
        <x:v>76.57848324514991</x:v>
      </x:c>
      <x:c r="W68" s="153" t="n">
        <x:v>4.67</x:v>
      </x:c>
      <x:c r="X68" s="155" t="n">
        <x:v>45398</x:v>
      </x:c>
      <x:c r="Y68" s="153" t="n">
        <x:v>2.24</x:v>
      </x:c>
      <x:c r="Z68" s="155" t="n">
        <x:v>45398</x:v>
      </x:c>
      <x:c r="AA68" s="153" t="n">
        <x:f>IFERROR(Y68-Y67,"")</x:f>
        <x:v>0.040000000000000036</x:v>
      </x:c>
      <x:c r="AB68" s="153" t="n">
        <x:v>2.43</x:v>
      </x:c>
      <x:c r="AC68" s="153" t="n">
        <x:v>123.1234</x:v>
      </x:c>
      <x:c r="AD68" s="155" t="n">
        <x:v>45398</x:v>
      </x:c>
      <x:c r="AE68" s="154" t="n">
        <x:f>IFERROR(AC68/AC67-1,"")</x:f>
        <x:v>0.00570471717377985</x:v>
      </x:c>
      <x:c r="AF68" s="153" t="n">
        <x:v>18.4</x:v>
      </x:c>
      <x:c r="AG68" s="155" t="n">
        <x:v>45398</x:v>
      </x:c>
      <x:c r="AH68" s="153" t="n">
        <x:f>IFERROR(AF68-AF67,"")</x:f>
        <x:v>-0.8300000000000018</x:v>
      </x:c>
      <x:c r="AI68" s="153" t="n">
        <x:v>5.33</x:v>
      </x:c>
      <x:c r="AJ68" s="155" t="n">
        <x:v>45394</x:v>
      </x:c>
      <x:c r="AK68" s="159" t="n">
        <x:v>141732</x:v>
      </x:c>
      <x:c r="AL68" s="154" t="n">
        <x:v>0.2805385440625161</x:v>
      </x:c>
      <x:c r="AM68" s="159" t="n">
        <x:v>-42026</x:v>
      </x:c>
      <x:c r="AN68" s="155" t="n">
        <x:v>45394</x:v>
      </x:c>
      <x:c r="AO68" s="159" t="n">
        <x:v>36631</x:v>
      </x:c>
      <x:c r="AP68" s="154" t="n">
        <x:v>0.2100437507525932</x:v>
      </x:c>
      <x:c r="AQ68" s="159" t="n">
        <x:v>-41103</x:v>
      </x:c>
      <x:c r="AR68" s="147" t="str">
        <x:v>美国市场指标与CFTC数据均使用严格早于上金所交易日的最后已发布值</x:v>
      </x:c>
    </x:row>
    <x:row r="69">
      <x:c r="A69" s="155" t="n">
        <x:v>45400</x:v>
      </x:c>
      <x:c r="B69" s="153" t="n">
        <x:v>566.3</x:v>
      </x:c>
      <x:c r="C69" s="153" t="n">
        <x:v>568</x:v>
      </x:c>
      <x:c r="D69" s="153" t="n">
        <x:v>558.8</x:v>
      </x:c>
      <x:c r="E69" s="153" t="n">
        <x:v>563.37</x:v>
      </x:c>
      <x:c r="F69" s="154" t="n">
        <x:f>IFERROR(E69/E68-1,"")</x:f>
        <x:v>-0.0019310491443149669</x:v>
      </x:c>
      <x:c r="G69" s="154" t="n">
        <x:f>IFERROR((C69-D69)/E68,"")</x:f>
        <x:v>0.01629876341990583</x:v>
      </x:c>
      <x:c r="H69" s="153" t="n">
        <x:v>561.77</x:v>
      </x:c>
      <x:c r="I69" s="158" t="n">
        <x:v>9874.98</x:v>
      </x:c>
      <x:c r="J69" s="158" t="n">
        <x:v>5547477005.6</x:v>
      </x:c>
      <x:c r="K69" s="158"/>
      <x:c r="L69" s="153" t="n">
        <x:v>7397</x:v>
      </x:c>
      <x:c r="M69" s="153" t="n">
        <x:v>7490</x:v>
      </x:c>
      <x:c r="N69" s="153" t="n">
        <x:v>7310</x:v>
      </x:c>
      <x:c r="O69" s="153" t="n">
        <x:v>7416</x:v>
      </x:c>
      <x:c r="P69" s="154" t="n">
        <x:f>IFERROR(O69/O68-1,"")</x:f>
        <x:v>0.006105006105006083</x:v>
      </x:c>
      <x:c r="Q69" s="154" t="n">
        <x:f>IFERROR((M69-N69)/O68,"")</x:f>
        <x:v>0.02442002442002442</x:v>
      </x:c>
      <x:c r="R69" s="153" t="n">
        <x:v>7391</x:v>
      </x:c>
      <x:c r="S69" s="158" t="n">
        <x:v>762798</x:v>
      </x:c>
      <x:c r="T69" s="158" t="n">
        <x:v>5638396712</x:v>
      </x:c>
      <x:c r="U69" s="158" t="n">
        <x:v>5003582</x:v>
      </x:c>
      <x:c r="V69" s="153" t="n">
        <x:f>IFERROR(E69*1000/O69,"")</x:f>
        <x:v>75.9668284789644</x:v>
      </x:c>
      <x:c r="W69" s="153" t="n">
        <x:v>4.59</x:v>
      </x:c>
      <x:c r="X69" s="155" t="n">
        <x:v>45399</x:v>
      </x:c>
      <x:c r="Y69" s="153" t="n">
        <x:v>2.2</x:v>
      </x:c>
      <x:c r="Z69" s="155" t="n">
        <x:v>45399</x:v>
      </x:c>
      <x:c r="AA69" s="153" t="n">
        <x:f>IFERROR(Y69-Y68,"")</x:f>
        <x:v>-0.040000000000000036</x:v>
      </x:c>
      <x:c r="AB69" s="153" t="n">
        <x:v>2.39</x:v>
      </x:c>
      <x:c r="AC69" s="153" t="n">
        <x:v>123.0207</x:v>
      </x:c>
      <x:c r="AD69" s="155" t="n">
        <x:v>45399</x:v>
      </x:c>
      <x:c r="AE69" s="154" t="n">
        <x:f>IFERROR(AC69/AC68-1,"")</x:f>
        <x:v>-0.0008341225144854469</x:v>
      </x:c>
      <x:c r="AF69" s="153" t="n">
        <x:v>18.21</x:v>
      </x:c>
      <x:c r="AG69" s="155" t="n">
        <x:v>45399</x:v>
      </x:c>
      <x:c r="AH69" s="153" t="n">
        <x:f>IFERROR(AF69-AF68,"")</x:f>
        <x:v>-0.18999999999999773</x:v>
      </x:c>
      <x:c r="AI69" s="153" t="n">
        <x:v>5.33</x:v>
      </x:c>
      <x:c r="AJ69" s="155" t="n">
        <x:v>45394</x:v>
      </x:c>
      <x:c r="AK69" s="159" t="n">
        <x:v>141732</x:v>
      </x:c>
      <x:c r="AL69" s="154" t="n">
        <x:v>0.2805385440625161</x:v>
      </x:c>
      <x:c r="AM69" s="159" t="n">
        <x:v>-42026</x:v>
      </x:c>
      <x:c r="AN69" s="155" t="n">
        <x:v>45394</x:v>
      </x:c>
      <x:c r="AO69" s="159" t="n">
        <x:v>36631</x:v>
      </x:c>
      <x:c r="AP69" s="154" t="n">
        <x:v>0.2100437507525932</x:v>
      </x:c>
      <x:c r="AQ69" s="159" t="n">
        <x:v>-41103</x:v>
      </x:c>
      <x:c r="AR69" s="147" t="str">
        <x:v>美国市场指标与CFTC数据均使用严格早于上金所交易日的最后已发布值</x:v>
      </x:c>
    </x:row>
    <x:row r="70">
      <x:c r="A70" s="155" t="n">
        <x:v>45401</x:v>
      </x:c>
      <x:c r="B70" s="153" t="n">
        <x:v>562.8</x:v>
      </x:c>
      <x:c r="C70" s="153" t="n">
        <x:v>573.96</x:v>
      </x:c>
      <x:c r="D70" s="153" t="n">
        <x:v>561</x:v>
      </x:c>
      <x:c r="E70" s="153" t="n">
        <x:v>565.55</x:v>
      </x:c>
      <x:c r="F70" s="154" t="n">
        <x:f>IFERROR(E70/E69-1,"")</x:f>
        <x:v>0.0038695706196636426</x:v>
      </x:c>
      <x:c r="G70" s="154" t="n">
        <x:f>IFERROR((C70-D70)/E69,"")</x:f>
        <x:v>0.023004419830661975</x:v>
      </x:c>
      <x:c r="H70" s="153" t="n">
        <x:v>567.2</x:v>
      </x:c>
      <x:c r="I70" s="158" t="n">
        <x:v>9604.92</x:v>
      </x:c>
      <x:c r="J70" s="158" t="n">
        <x:v>5447961625.4</x:v>
      </x:c>
      <x:c r="K70" s="158"/>
      <x:c r="L70" s="153" t="n">
        <x:v>7412</x:v>
      </x:c>
      <x:c r="M70" s="153" t="n">
        <x:v>7534</x:v>
      </x:c>
      <x:c r="N70" s="153" t="n">
        <x:v>7331</x:v>
      </x:c>
      <x:c r="O70" s="153" t="n">
        <x:v>7418</x:v>
      </x:c>
      <x:c r="P70" s="154" t="n">
        <x:f>IFERROR(O70/O69-1,"")</x:f>
        <x:v>0.00026968716289110795</x:v>
      </x:c>
      <x:c r="Q70" s="154" t="n">
        <x:f>IFERROR((M70-N70)/O69,"")</x:f>
        <x:v>0.027373247033441208</x:v>
      </x:c>
      <x:c r="R70" s="153" t="n">
        <x:v>7412</x:v>
      </x:c>
      <x:c r="S70" s="158" t="n">
        <x:v>976708</x:v>
      </x:c>
      <x:c r="T70" s="158" t="n">
        <x:v>7239474824</x:v>
      </x:c>
      <x:c r="U70" s="158" t="n">
        <x:v>5019410</x:v>
      </x:c>
      <x:c r="V70" s="153" t="n">
        <x:f>IFERROR(E70*1000/O70,"")</x:f>
        <x:v>76.24022647613913</x:v>
      </x:c>
      <x:c r="W70" s="153" t="n">
        <x:v>4.64</x:v>
      </x:c>
      <x:c r="X70" s="155" t="n">
        <x:v>45400</x:v>
      </x:c>
      <x:c r="Y70" s="153" t="n">
        <x:v>2.24</x:v>
      </x:c>
      <x:c r="Z70" s="155" t="n">
        <x:v>45400</x:v>
      </x:c>
      <x:c r="AA70" s="153" t="n">
        <x:f>IFERROR(Y70-Y69,"")</x:f>
        <x:v>0.040000000000000036</x:v>
      </x:c>
      <x:c r="AB70" s="153" t="n">
        <x:v>2.4</x:v>
      </x:c>
      <x:c r="AC70" s="153" t="n">
        <x:v>123.0017</x:v>
      </x:c>
      <x:c r="AD70" s="155" t="n">
        <x:v>45400</x:v>
      </x:c>
      <x:c r="AE70" s="154" t="n">
        <x:f>IFERROR(AC70/AC69-1,"")</x:f>
        <x:v>-0.00015444555265908821</x:v>
      </x:c>
      <x:c r="AF70" s="153" t="n">
        <x:v>18</x:v>
      </x:c>
      <x:c r="AG70" s="155" t="n">
        <x:v>45400</x:v>
      </x:c>
      <x:c r="AH70" s="153" t="n">
        <x:f>IFERROR(AF70-AF69,"")</x:f>
        <x:v>-0.21000000000000085</x:v>
      </x:c>
      <x:c r="AI70" s="153" t="n">
        <x:v>5.33</x:v>
      </x:c>
      <x:c r="AJ70" s="155" t="n">
        <x:v>45394</x:v>
      </x:c>
      <x:c r="AK70" s="159" t="n">
        <x:v>141732</x:v>
      </x:c>
      <x:c r="AL70" s="154" t="n">
        <x:v>0.2805385440625161</x:v>
      </x:c>
      <x:c r="AM70" s="159" t="n">
        <x:v>-42026</x:v>
      </x:c>
      <x:c r="AN70" s="155" t="n">
        <x:v>45394</x:v>
      </x:c>
      <x:c r="AO70" s="159" t="n">
        <x:v>36631</x:v>
      </x:c>
      <x:c r="AP70" s="154" t="n">
        <x:v>0.2100437507525932</x:v>
      </x:c>
      <x:c r="AQ70" s="159" t="n">
        <x:v>-41103</x:v>
      </x:c>
      <x:c r="AR70" s="147" t="str">
        <x:v>美国市场指标与CFTC数据均使用严格早于上金所交易日的最后已发布值</x:v>
      </x:c>
    </x:row>
    <x:row r="71">
      <x:c r="A71" s="155" t="n">
        <x:v>45404</x:v>
      </x:c>
      <x:c r="B71" s="153" t="n">
        <x:v>563.1</x:v>
      </x:c>
      <x:c r="C71" s="153" t="n">
        <x:v>567.6</x:v>
      </x:c>
      <x:c r="D71" s="153" t="n">
        <x:v>555.8</x:v>
      </x:c>
      <x:c r="E71" s="153" t="n">
        <x:v>556.55</x:v>
      </x:c>
      <x:c r="F71" s="154" t="n">
        <x:f>IFERROR(E71/E70-1,"")</x:f>
        <x:v>-0.01591371231544514</x:v>
      </x:c>
      <x:c r="G71" s="154" t="n">
        <x:f>IFERROR((C71-D71)/E70,"")</x:f>
        <x:v>0.020864645035805974</x:v>
      </x:c>
      <x:c r="H71" s="153" t="n">
        <x:v>560.07</x:v>
      </x:c>
      <x:c r="I71" s="158" t="n">
        <x:v>11469.94</x:v>
      </x:c>
      <x:c r="J71" s="158" t="n">
        <x:v>6423989404.6</x:v>
      </x:c>
      <x:c r="K71" s="158"/>
      <x:c r="L71" s="153" t="n">
        <x:v>7361</x:v>
      </x:c>
      <x:c r="M71" s="153" t="n">
        <x:v>7458</x:v>
      </x:c>
      <x:c r="N71" s="153" t="n">
        <x:v>7154</x:v>
      </x:c>
      <x:c r="O71" s="153" t="n">
        <x:v>7164</x:v>
      </x:c>
      <x:c r="P71" s="154" t="n">
        <x:f>IFERROR(O71/O70-1,"")</x:f>
        <x:v>-0.034241035319493074</x:v>
      </x:c>
      <x:c r="Q71" s="154" t="n">
        <x:f>IFERROR((M71-N71)/O70,"")</x:f>
        <x:v>0.04098139660285791</x:v>
      </x:c>
      <x:c r="R71" s="153" t="n">
        <x:v>7270</x:v>
      </x:c>
      <x:c r="S71" s="158" t="n">
        <x:v>1131126</x:v>
      </x:c>
      <x:c r="T71" s="158" t="n">
        <x:v>8224177618</x:v>
      </x:c>
      <x:c r="U71" s="158" t="n">
        <x:v>4789080</x:v>
      </x:c>
      <x:c r="V71" s="153" t="n">
        <x:f>IFERROR(E71*1000/O71,"")</x:f>
        <x:v>77.68704634282524</x:v>
      </x:c>
      <x:c r="W71" s="153" t="n">
        <x:v>4.62</x:v>
      </x:c>
      <x:c r="X71" s="155" t="n">
        <x:v>45401</x:v>
      </x:c>
      <x:c r="Y71" s="153" t="n">
        <x:v>2.21</x:v>
      </x:c>
      <x:c r="Z71" s="155" t="n">
        <x:v>45401</x:v>
      </x:c>
      <x:c r="AA71" s="153" t="n">
        <x:f>IFERROR(Y71-Y70,"")</x:f>
        <x:v>-0.03000000000000025</x:v>
      </x:c>
      <x:c r="AB71" s="153" t="n">
        <x:v>2.41</x:v>
      </x:c>
      <x:c r="AC71" s="153" t="n">
        <x:v>123.1075</x:v>
      </x:c>
      <x:c r="AD71" s="155" t="n">
        <x:v>45401</x:v>
      </x:c>
      <x:c r="AE71" s="154" t="n">
        <x:f>IFERROR(AC71/AC70-1,"")</x:f>
        <x:v>0.000860150713364094</x:v>
      </x:c>
      <x:c r="AF71" s="153" t="n">
        <x:v>18.71</x:v>
      </x:c>
      <x:c r="AG71" s="155" t="n">
        <x:v>45401</x:v>
      </x:c>
      <x:c r="AH71" s="153" t="n">
        <x:f>IFERROR(AF71-AF70,"")</x:f>
        <x:v>0.7100000000000009</x:v>
      </x:c>
      <x:c r="AI71" s="153" t="n">
        <x:v>5.33</x:v>
      </x:c>
      <x:c r="AJ71" s="155" t="n">
        <x:v>45401</x:v>
      </x:c>
      <x:c r="AK71" s="159" t="n">
        <x:v>134736</x:v>
      </x:c>
      <x:c r="AL71" s="154" t="n">
        <x:v>0.2605139667396891</x:v>
      </x:c>
      <x:c r="AM71" s="159" t="n">
        <x:v>-33903</x:v>
      </x:c>
      <x:c r="AN71" s="155" t="n">
        <x:v>45401</x:v>
      </x:c>
      <x:c r="AO71" s="159" t="n">
        <x:v>40190</x:v>
      </x:c>
      <x:c r="AP71" s="154" t="n">
        <x:v>0.22863286761024895</x:v>
      </x:c>
      <x:c r="AQ71" s="159" t="n">
        <x:v>-41156</x:v>
      </x:c>
      <x:c r="AR71" s="147" t="str">
        <x:v>美国市场指标与CFTC数据均使用严格早于上金所交易日的最后已发布值</x:v>
      </x:c>
    </x:row>
    <x:row r="72">
      <x:c r="A72" s="155" t="n">
        <x:v>45405</x:v>
      </x:c>
      <x:c r="B72" s="153" t="n">
        <x:v>552.8</x:v>
      </x:c>
      <x:c r="C72" s="153" t="n">
        <x:v>553.55</x:v>
      </x:c>
      <x:c r="D72" s="153" t="n">
        <x:v>542.01</x:v>
      </x:c>
      <x:c r="E72" s="153" t="n">
        <x:v>544.01</x:v>
      </x:c>
      <x:c r="F72" s="154" t="n">
        <x:f>IFERROR(E72/E71-1,"")</x:f>
        <x:v>-0.022531668313718334</x:v>
      </x:c>
      <x:c r="G72" s="154" t="n">
        <x:f>IFERROR((C72-D72)/E71,"")</x:f>
        <x:v>0.020734884556643546</x:v>
      </x:c>
      <x:c r="H72" s="153" t="n">
        <x:v>545.05</x:v>
      </x:c>
      <x:c r="I72" s="158" t="n">
        <x:v>11876.42</x:v>
      </x:c>
      <x:c r="J72" s="158" t="n">
        <x:v>6473327084.6</x:v>
      </x:c>
      <x:c r="K72" s="158"/>
      <x:c r="L72" s="153" t="n">
        <x:v>7122</x:v>
      </x:c>
      <x:c r="M72" s="153" t="n">
        <x:v>7136</x:v>
      </x:c>
      <x:c r="N72" s="153" t="n">
        <x:v>6947</x:v>
      </x:c>
      <x:c r="O72" s="153" t="n">
        <x:v>6985</x:v>
      </x:c>
      <x:c r="P72" s="154" t="n">
        <x:f>IFERROR(O72/O71-1,"")</x:f>
        <x:v>-0.02498604131769966</x:v>
      </x:c>
      <x:c r="Q72" s="154" t="n">
        <x:f>IFERROR((M72-N72)/O71,"")</x:f>
        <x:v>0.026381909547738693</x:v>
      </x:c>
      <x:c r="R72" s="153" t="n">
        <x:v>7024</x:v>
      </x:c>
      <x:c r="S72" s="158" t="n">
        <x:v>1165426</x:v>
      </x:c>
      <x:c r="T72" s="158" t="n">
        <x:v>8186546186</x:v>
      </x:c>
      <x:c r="U72" s="158" t="n">
        <x:v>4610454</x:v>
      </x:c>
      <x:c r="V72" s="153" t="n">
        <x:f>IFERROR(E72*1000/O72,"")</x:f>
        <x:v>77.88260558339299</x:v>
      </x:c>
      <x:c r="W72" s="153" t="n">
        <x:v>4.62</x:v>
      </x:c>
      <x:c r="X72" s="155" t="n">
        <x:v>45404</x:v>
      </x:c>
      <x:c r="Y72" s="153" t="n">
        <x:v>2.21</x:v>
      </x:c>
      <x:c r="Z72" s="155" t="n">
        <x:v>45404</x:v>
      </x:c>
      <x:c r="AA72" s="153" t="n">
        <x:f>IFERROR(Y72-Y71,"")</x:f>
        <x:v>0</x:v>
      </x:c>
      <x:c r="AB72" s="153" t="n">
        <x:v>2.41</x:v>
      </x:c>
      <x:c r="AC72" s="153" t="n">
        <x:v>123.0609</x:v>
      </x:c>
      <x:c r="AD72" s="155" t="n">
        <x:v>45404</x:v>
      </x:c>
      <x:c r="AE72" s="154" t="n">
        <x:f>IFERROR(AC72/AC71-1,"")</x:f>
        <x:v>-0.0003785309587148733</x:v>
      </x:c>
      <x:c r="AF72" s="153" t="n">
        <x:v>16.94</x:v>
      </x:c>
      <x:c r="AG72" s="155" t="n">
        <x:v>45404</x:v>
      </x:c>
      <x:c r="AH72" s="153" t="n">
        <x:f>IFERROR(AF72-AF71,"")</x:f>
        <x:v>-1.7699999999999996</x:v>
      </x:c>
      <x:c r="AI72" s="153" t="n">
        <x:v>5.33</x:v>
      </x:c>
      <x:c r="AJ72" s="155" t="n">
        <x:v>45401</x:v>
      </x:c>
      <x:c r="AK72" s="159" t="n">
        <x:v>134736</x:v>
      </x:c>
      <x:c r="AL72" s="154" t="n">
        <x:v>0.2605139667396891</x:v>
      </x:c>
      <x:c r="AM72" s="159" t="n">
        <x:v>-33903</x:v>
      </x:c>
      <x:c r="AN72" s="155" t="n">
        <x:v>45401</x:v>
      </x:c>
      <x:c r="AO72" s="159" t="n">
        <x:v>40190</x:v>
      </x:c>
      <x:c r="AP72" s="154" t="n">
        <x:v>0.22863286761024895</x:v>
      </x:c>
      <x:c r="AQ72" s="159" t="n">
        <x:v>-41156</x:v>
      </x:c>
      <x:c r="AR72" s="147" t="str">
        <x:v>美国市场指标与CFTC数据均使用严格早于上金所交易日的最后已发布值</x:v>
      </x:c>
    </x:row>
    <x:row r="73">
      <x:c r="A73" s="155" t="n">
        <x:v>45406</x:v>
      </x:c>
      <x:c r="B73" s="153" t="n">
        <x:v>544</x:v>
      </x:c>
      <x:c r="C73" s="153" t="n">
        <x:v>549.3</x:v>
      </x:c>
      <x:c r="D73" s="153" t="n">
        <x:v>544</x:v>
      </x:c>
      <x:c r="E73" s="153" t="n">
        <x:v>548.33</x:v>
      </x:c>
      <x:c r="F73" s="154" t="n">
        <x:f>IFERROR(E73/E72-1,"")</x:f>
        <x:v>0.007941030495763002</x:v>
      </x:c>
      <x:c r="G73" s="154" t="n">
        <x:f>IFERROR((C73-D73)/E72,"")</x:f>
        <x:v>0.009742467969338715</x:v>
      </x:c>
      <x:c r="H73" s="153" t="n">
        <x:v>547.73</x:v>
      </x:c>
      <x:c r="I73" s="158" t="n">
        <x:v>12047.44</x:v>
      </x:c>
      <x:c r="J73" s="158" t="n">
        <x:v>6598844902</x:v>
      </x:c>
      <x:c r="K73" s="158"/>
      <x:c r="L73" s="153" t="n">
        <x:v>6996</x:v>
      </x:c>
      <x:c r="M73" s="153" t="n">
        <x:v>7127</x:v>
      </x:c>
      <x:c r="N73" s="153" t="n">
        <x:v>6981</x:v>
      </x:c>
      <x:c r="O73" s="153" t="n">
        <x:v>7093</x:v>
      </x:c>
      <x:c r="P73" s="154" t="n">
        <x:f>IFERROR(O73/O72-1,"")</x:f>
        <x:v>0.015461703650680114</x:v>
      </x:c>
      <x:c r="Q73" s="154" t="n">
        <x:f>IFERROR((M73-N73)/O72,"")</x:f>
        <x:v>0.020901932712956334</x:v>
      </x:c>
      <x:c r="R73" s="153" t="n">
        <x:v>7053</x:v>
      </x:c>
      <x:c r="S73" s="158" t="n">
        <x:v>1011894</x:v>
      </x:c>
      <x:c r="T73" s="158" t="n">
        <x:v>7137398628</x:v>
      </x:c>
      <x:c r="U73" s="158" t="n">
        <x:v>4502394</x:v>
      </x:c>
      <x:c r="V73" s="153" t="n">
        <x:f>IFERROR(E73*1000/O73,"")</x:f>
        <x:v>77.30579444522769</x:v>
      </x:c>
      <x:c r="W73" s="153" t="n">
        <x:v>4.61</x:v>
      </x:c>
      <x:c r="X73" s="155" t="n">
        <x:v>45405</x:v>
      </x:c>
      <x:c r="Y73" s="153" t="n">
        <x:v>2.2</x:v>
      </x:c>
      <x:c r="Z73" s="155" t="n">
        <x:v>45405</x:v>
      </x:c>
      <x:c r="AA73" s="153" t="n">
        <x:f>IFERROR(Y73-Y72,"")</x:f>
        <x:v>-0.009999999999999787</x:v>
      </x:c>
      <x:c r="AB73" s="153" t="n">
        <x:v>2.41</x:v>
      </x:c>
      <x:c r="AC73" s="153" t="n">
        <x:v>122.7227</x:v>
      </x:c>
      <x:c r="AD73" s="155" t="n">
        <x:v>45405</x:v>
      </x:c>
      <x:c r="AE73" s="154" t="n">
        <x:f>IFERROR(AC73/AC72-1,"")</x:f>
        <x:v>-0.002748232785555804</x:v>
      </x:c>
      <x:c r="AF73" s="153" t="n">
        <x:v>15.69</x:v>
      </x:c>
      <x:c r="AG73" s="155" t="n">
        <x:v>45405</x:v>
      </x:c>
      <x:c r="AH73" s="153" t="n">
        <x:f>IFERROR(AF73-AF72,"")</x:f>
        <x:v>-1.2500000000000018</x:v>
      </x:c>
      <x:c r="AI73" s="153" t="n">
        <x:v>5.33</x:v>
      </x:c>
      <x:c r="AJ73" s="155" t="n">
        <x:v>45401</x:v>
      </x:c>
      <x:c r="AK73" s="159" t="n">
        <x:v>134736</x:v>
      </x:c>
      <x:c r="AL73" s="154" t="n">
        <x:v>0.2605139667396891</x:v>
      </x:c>
      <x:c r="AM73" s="159" t="n">
        <x:v>-33903</x:v>
      </x:c>
      <x:c r="AN73" s="155" t="n">
        <x:v>45401</x:v>
      </x:c>
      <x:c r="AO73" s="159" t="n">
        <x:v>40190</x:v>
      </x:c>
      <x:c r="AP73" s="154" t="n">
        <x:v>0.22863286761024895</x:v>
      </x:c>
      <x:c r="AQ73" s="159" t="n">
        <x:v>-41156</x:v>
      </x:c>
      <x:c r="AR73" s="147" t="str">
        <x:v>美国市场指标与CFTC数据均使用严格早于上金所交易日的最后已发布值</x:v>
      </x:c>
    </x:row>
    <x:row r="74">
      <x:c r="A74" s="155" t="n">
        <x:v>45407</x:v>
      </x:c>
      <x:c r="B74" s="153" t="n">
        <x:v>546.01</x:v>
      </x:c>
      <x:c r="C74" s="153" t="n">
        <x:v>550</x:v>
      </x:c>
      <x:c r="D74" s="153" t="n">
        <x:v>544.6</x:v>
      </x:c>
      <x:c r="E74" s="153" t="n">
        <x:v>548.16</x:v>
      </x:c>
      <x:c r="F74" s="154" t="n">
        <x:f>IFERROR(E74/E73-1,"")</x:f>
        <x:v>-0.00031003227983161796</x:v>
      </x:c>
      <x:c r="G74" s="154" t="n">
        <x:f>IFERROR((C74-D74)/E73,"")</x:f>
        <x:v>0.009848084182882529</x:v>
      </x:c>
      <x:c r="H74" s="153" t="n">
        <x:v>547.09</x:v>
      </x:c>
      <x:c r="I74" s="158" t="n">
        <x:v>9228.32</x:v>
      </x:c>
      <x:c r="J74" s="158" t="n">
        <x:v>5048753660</x:v>
      </x:c>
      <x:c r="K74" s="158"/>
      <x:c r="L74" s="153" t="n">
        <x:v>7049</x:v>
      </x:c>
      <x:c r="M74" s="153" t="n">
        <x:v>7100</x:v>
      </x:c>
      <x:c r="N74" s="153" t="n">
        <x:v>6992</x:v>
      </x:c>
      <x:c r="O74" s="153" t="n">
        <x:v>7075</x:v>
      </x:c>
      <x:c r="P74" s="154" t="n">
        <x:f>IFERROR(O74/O73-1,"")</x:f>
        <x:v>-0.0025377132384040157</x:v>
      </x:c>
      <x:c r="Q74" s="154" t="n">
        <x:f>IFERROR((M74-N74)/O73,"")</x:f>
        <x:v>0.015226279430424362</x:v>
      </x:c>
      <x:c r="R74" s="153" t="n">
        <x:v>7054</x:v>
      </x:c>
      <x:c r="S74" s="158" t="n">
        <x:v>539868</x:v>
      </x:c>
      <x:c r="T74" s="158" t="n">
        <x:v>3808364408</x:v>
      </x:c>
      <x:c r="U74" s="158" t="n">
        <x:v>4542150</x:v>
      </x:c>
      <x:c r="V74" s="153" t="n">
        <x:f>IFERROR(E74*1000/O74,"")</x:f>
        <x:v>77.47844522968198</x:v>
      </x:c>
      <x:c r="W74" s="153" t="n">
        <x:v>4.65</x:v>
      </x:c>
      <x:c r="X74" s="155" t="n">
        <x:v>45406</x:v>
      </x:c>
      <x:c r="Y74" s="153" t="n">
        <x:v>2.24</x:v>
      </x:c>
      <x:c r="Z74" s="155" t="n">
        <x:v>45406</x:v>
      </x:c>
      <x:c r="AA74" s="153" t="n">
        <x:f>IFERROR(Y74-Y73,"")</x:f>
        <x:v>0.040000000000000036</x:v>
      </x:c>
      <x:c r="AB74" s="153" t="n">
        <x:v>2.41</x:v>
      </x:c>
      <x:c r="AC74" s="153" t="n">
        <x:v>122.89</x:v>
      </x:c>
      <x:c r="AD74" s="155" t="n">
        <x:v>45406</x:v>
      </x:c>
      <x:c r="AE74" s="154" t="n">
        <x:f>IFERROR(AC74/AC73-1,"")</x:f>
        <x:v>0.0013632359783479764</x:v>
      </x:c>
      <x:c r="AF74" s="153" t="n">
        <x:v>15.97</x:v>
      </x:c>
      <x:c r="AG74" s="155" t="n">
        <x:v>45406</x:v>
      </x:c>
      <x:c r="AH74" s="153" t="n">
        <x:f>IFERROR(AF74-AF73,"")</x:f>
        <x:v>0.28000000000000114</x:v>
      </x:c>
      <x:c r="AI74" s="153" t="n">
        <x:v>5.33</x:v>
      </x:c>
      <x:c r="AJ74" s="155" t="n">
        <x:v>45401</x:v>
      </x:c>
      <x:c r="AK74" s="159" t="n">
        <x:v>134736</x:v>
      </x:c>
      <x:c r="AL74" s="154" t="n">
        <x:v>0.2605139667396891</x:v>
      </x:c>
      <x:c r="AM74" s="159" t="n">
        <x:v>-33903</x:v>
      </x:c>
      <x:c r="AN74" s="155" t="n">
        <x:v>45401</x:v>
      </x:c>
      <x:c r="AO74" s="159" t="n">
        <x:v>40190</x:v>
      </x:c>
      <x:c r="AP74" s="154" t="n">
        <x:v>0.22863286761024895</x:v>
      </x:c>
      <x:c r="AQ74" s="159" t="n">
        <x:v>-41156</x:v>
      </x:c>
      <x:c r="AR74" s="147" t="str">
        <x:v>美国市场指标与CFTC数据均使用严格早于上金所交易日的最后已发布值</x:v>
      </x:c>
    </x:row>
    <x:row r="75">
      <x:c r="A75" s="155" t="n">
        <x:v>45408</x:v>
      </x:c>
      <x:c r="B75" s="153" t="n">
        <x:v>555</x:v>
      </x:c>
      <x:c r="C75" s="153" t="n">
        <x:v>555</x:v>
      </x:c>
      <x:c r="D75" s="153" t="n">
        <x:v>546</x:v>
      </x:c>
      <x:c r="E75" s="153" t="n">
        <x:v>553</x:v>
      </x:c>
      <x:c r="F75" s="154" t="n">
        <x:f>IFERROR(E75/E74-1,"")</x:f>
        <x:v>0.008829538820782412</x:v>
      </x:c>
      <x:c r="G75" s="154" t="n">
        <x:f>IFERROR((C75-D75)/E74,"")</x:f>
        <x:v>0.016418563922942206</x:v>
      </x:c>
      <x:c r="H75" s="153" t="n">
        <x:v>550.45</x:v>
      </x:c>
      <x:c r="I75" s="158" t="n">
        <x:v>11807.96</x:v>
      </x:c>
      <x:c r="J75" s="158" t="n">
        <x:v>6499794114.4</x:v>
      </x:c>
      <x:c r="K75" s="158"/>
      <x:c r="L75" s="153" t="n">
        <x:v>7098</x:v>
      </x:c>
      <x:c r="M75" s="153" t="n">
        <x:v>7163</x:v>
      </x:c>
      <x:c r="N75" s="153" t="n">
        <x:v>7044</x:v>
      </x:c>
      <x:c r="O75" s="153" t="n">
        <x:v>7151</x:v>
      </x:c>
      <x:c r="P75" s="154" t="n">
        <x:f>IFERROR(O75/O74-1,"")</x:f>
        <x:v>0.010742049469964599</x:v>
      </x:c>
      <x:c r="Q75" s="154" t="n">
        <x:f>IFERROR((M75-N75)/O74,"")</x:f>
        <x:v>0.016819787985865725</x:v>
      </x:c>
      <x:c r="R75" s="153" t="n">
        <x:v>7108</x:v>
      </x:c>
      <x:c r="S75" s="158" t="n">
        <x:v>592092</x:v>
      </x:c>
      <x:c r="T75" s="158" t="n">
        <x:v>4208911764</x:v>
      </x:c>
      <x:c r="U75" s="158" t="n">
        <x:v>4583412</x:v>
      </x:c>
      <x:c r="V75" s="153" t="n">
        <x:f>IFERROR(E75*1000/O75,"")</x:f>
        <x:v>77.33184170046147</x:v>
      </x:c>
      <x:c r="W75" s="153" t="n">
        <x:v>4.7</x:v>
      </x:c>
      <x:c r="X75" s="155" t="n">
        <x:v>45407</x:v>
      </x:c>
      <x:c r="Y75" s="153" t="n">
        <x:v>2.28</x:v>
      </x:c>
      <x:c r="Z75" s="155" t="n">
        <x:v>45407</x:v>
      </x:c>
      <x:c r="AA75" s="153" t="n">
        <x:f>IFERROR(Y75-Y74,"")</x:f>
        <x:v>0.03999999999999959</x:v>
      </x:c>
      <x:c r="AB75" s="153" t="n">
        <x:v>2.42</x:v>
      </x:c>
      <x:c r="AC75" s="153" t="n">
        <x:v>122.8384</x:v>
      </x:c>
      <x:c r="AD75" s="155" t="n">
        <x:v>45407</x:v>
      </x:c>
      <x:c r="AE75" s="154" t="n">
        <x:f>IFERROR(AC75/AC74-1,"")</x:f>
        <x:v>-0.00041988770445122725</x:v>
      </x:c>
      <x:c r="AF75" s="153" t="n">
        <x:v>15.37</x:v>
      </x:c>
      <x:c r="AG75" s="155" t="n">
        <x:v>45407</x:v>
      </x:c>
      <x:c r="AH75" s="153" t="n">
        <x:f>IFERROR(AF75-AF74,"")</x:f>
        <x:v>-0.6000000000000014</x:v>
      </x:c>
      <x:c r="AI75" s="153" t="n">
        <x:v>5.33</x:v>
      </x:c>
      <x:c r="AJ75" s="155" t="n">
        <x:v>45401</x:v>
      </x:c>
      <x:c r="AK75" s="159" t="n">
        <x:v>134736</x:v>
      </x:c>
      <x:c r="AL75" s="154" t="n">
        <x:v>0.2605139667396891</x:v>
      </x:c>
      <x:c r="AM75" s="159" t="n">
        <x:v>-33903</x:v>
      </x:c>
      <x:c r="AN75" s="155" t="n">
        <x:v>45401</x:v>
      </x:c>
      <x:c r="AO75" s="159" t="n">
        <x:v>40190</x:v>
      </x:c>
      <x:c r="AP75" s="154" t="n">
        <x:v>0.22863286761024895</x:v>
      </x:c>
      <x:c r="AQ75" s="159" t="n">
        <x:v>-41156</x:v>
      </x:c>
      <x:c r="AR75" s="147" t="str">
        <x:v>美国市场指标与CFTC数据均使用严格早于上金所交易日的最后已发布值</x:v>
      </x:c>
    </x:row>
    <x:row r="76">
      <x:c r="A76" s="155" t="n">
        <x:v>45411</x:v>
      </x:c>
      <x:c r="B76" s="153" t="n">
        <x:v>552</x:v>
      </x:c>
      <x:c r="C76" s="153" t="n">
        <x:v>553</x:v>
      </x:c>
      <x:c r="D76" s="153" t="n">
        <x:v>548</x:v>
      </x:c>
      <x:c r="E76" s="153" t="n">
        <x:v>549.06</x:v>
      </x:c>
      <x:c r="F76" s="154" t="n">
        <x:f>IFERROR(E76/E75-1,"")</x:f>
        <x:v>-0.007124773960217046</x:v>
      </x:c>
      <x:c r="G76" s="154" t="n">
        <x:f>IFERROR((C76-D76)/E75,"")</x:f>
        <x:v>0.009041591320072333</x:v>
      </x:c>
      <x:c r="H76" s="153" t="n">
        <x:v>548.88</x:v>
      </x:c>
      <x:c r="I76" s="158" t="n">
        <x:v>14023.7</x:v>
      </x:c>
      <x:c r="J76" s="158" t="n">
        <x:v>7697380989.6</x:v>
      </x:c>
      <x:c r="K76" s="158"/>
      <x:c r="L76" s="153" t="n">
        <x:v>7123</x:v>
      </x:c>
      <x:c r="M76" s="153" t="n">
        <x:v>7160</x:v>
      </x:c>
      <x:c r="N76" s="153" t="n">
        <x:v>7019</x:v>
      </x:c>
      <x:c r="O76" s="153" t="n">
        <x:v>7076</x:v>
      </x:c>
      <x:c r="P76" s="154" t="n">
        <x:f>IFERROR(O76/O75-1,"")</x:f>
        <x:v>-0.010488043630261457</x:v>
      </x:c>
      <x:c r="Q76" s="154" t="n">
        <x:f>IFERROR((M76-N76)/O75,"")</x:f>
        <x:v>0.019717522024891625</x:v>
      </x:c>
      <x:c r="R76" s="153" t="n">
        <x:v>7082</x:v>
      </x:c>
      <x:c r="S76" s="158" t="n">
        <x:v>755224</x:v>
      </x:c>
      <x:c r="T76" s="158" t="n">
        <x:v>5348700228</x:v>
      </x:c>
      <x:c r="U76" s="158" t="n">
        <x:v>4717682</x:v>
      </x:c>
      <x:c r="V76" s="153" t="n">
        <x:f>IFERROR(E76*1000/O76,"")</x:f>
        <x:v>77.59468626342566</x:v>
      </x:c>
      <x:c r="W76" s="153" t="n">
        <x:v>4.67</x:v>
      </x:c>
      <x:c r="X76" s="155" t="n">
        <x:v>45408</x:v>
      </x:c>
      <x:c r="Y76" s="153" t="n">
        <x:v>2.24</x:v>
      </x:c>
      <x:c r="Z76" s="155" t="n">
        <x:v>45408</x:v>
      </x:c>
      <x:c r="AA76" s="153" t="n">
        <x:f>IFERROR(Y76-Y75,"")</x:f>
        <x:v>-0.03999999999999959</x:v>
      </x:c>
      <x:c r="AB76" s="153" t="n">
        <x:v>2.43</x:v>
      </x:c>
      <x:c r="AC76" s="153" t="n">
        <x:v>122.9471</x:v>
      </x:c>
      <x:c r="AD76" s="155" t="n">
        <x:v>45408</x:v>
      </x:c>
      <x:c r="AE76" s="154" t="n">
        <x:f>IFERROR(AC76/AC75-1,"")</x:f>
        <x:v>0.000884902440930535</x:v>
      </x:c>
      <x:c r="AF76" s="153" t="n">
        <x:v>15.03</x:v>
      </x:c>
      <x:c r="AG76" s="155" t="n">
        <x:v>45408</x:v>
      </x:c>
      <x:c r="AH76" s="153" t="n">
        <x:f>IFERROR(AF76-AF75,"")</x:f>
        <x:v>-0.33999999999999986</x:v>
      </x:c>
      <x:c r="AI76" s="153" t="n">
        <x:v>5.33</x:v>
      </x:c>
      <x:c r="AJ76" s="155" t="n">
        <x:v>45408</x:v>
      </x:c>
      <x:c r="AK76" s="159" t="n">
        <x:v>142139</x:v>
      </x:c>
      <x:c r="AL76" s="154" t="n">
        <x:v>0.27533031540981195</x:v>
      </x:c>
      <x:c r="AM76" s="159" t="n">
        <x:v>-32593</x:v>
      </x:c>
      <x:c r="AN76" s="155" t="n">
        <x:v>45408</x:v>
      </x:c>
      <x:c r="AO76" s="159" t="n">
        <x:v>39393</x:v>
      </x:c>
      <x:c r="AP76" s="154" t="n">
        <x:v>0.22415500170706726</x:v>
      </x:c>
      <x:c r="AQ76" s="159" t="n">
        <x:v>-42181</x:v>
      </x:c>
      <x:c r="AR76" s="147" t="str">
        <x:v>美国市场指标与CFTC数据均使用严格早于上金所交易日的最后已发布值</x:v>
      </x:c>
    </x:row>
    <x:row r="77">
      <x:c r="A77" s="155" t="n">
        <x:v>45412</x:v>
      </x:c>
      <x:c r="B77" s="153" t="n">
        <x:v>549.2</x:v>
      </x:c>
      <x:c r="C77" s="153" t="n">
        <x:v>550</x:v>
      </x:c>
      <x:c r="D77" s="153" t="n">
        <x:v>545.67</x:v>
      </x:c>
      <x:c r="E77" s="153" t="n">
        <x:v>545.8</x:v>
      </x:c>
      <x:c r="F77" s="154" t="n">
        <x:f>IFERROR(E77/E76-1,"")</x:f>
        <x:v>-0.0059374203183623075</x:v>
      </x:c>
      <x:c r="G77" s="154" t="n">
        <x:f>IFERROR((C77-D77)/E76,"")</x:f>
        <x:v>0.007886205514880052</x:v>
      </x:c>
      <x:c r="H77" s="153" t="n">
        <x:v>547.21</x:v>
      </x:c>
      <x:c r="I77" s="158" t="n">
        <x:v>9798.2</x:v>
      </x:c>
      <x:c r="J77" s="158" t="n">
        <x:v>5361711143.6</x:v>
      </x:c>
      <x:c r="K77" s="158"/>
      <x:c r="L77" s="153" t="n">
        <x:v>7089</x:v>
      </x:c>
      <x:c r="M77" s="153" t="n">
        <x:v>7106</x:v>
      </x:c>
      <x:c r="N77" s="153" t="n">
        <x:v>6963</x:v>
      </x:c>
      <x:c r="O77" s="153" t="n">
        <x:v>7000</x:v>
      </x:c>
      <x:c r="P77" s="154" t="n">
        <x:f>IFERROR(O77/O76-1,"")</x:f>
        <x:v>-0.01074053137365738</x:v>
      </x:c>
      <x:c r="Q77" s="154" t="n">
        <x:f>IFERROR((M77-N77)/O76,"")</x:f>
        <x:v>0.020209157716223856</x:v>
      </x:c>
      <x:c r="R77" s="153" t="n">
        <x:v>7026</x:v>
      </x:c>
      <x:c r="S77" s="158" t="n">
        <x:v>855164</x:v>
      </x:c>
      <x:c r="T77" s="158" t="n">
        <x:v>6008670328</x:v>
      </x:c>
      <x:c r="U77" s="158" t="n">
        <x:v>4316360</x:v>
      </x:c>
      <x:c r="V77" s="153" t="n">
        <x:f>IFERROR(E77*1000/O77,"")</x:f>
        <x:v>77.97142857142858</x:v>
      </x:c>
      <x:c r="W77" s="153" t="n">
        <x:v>4.63</x:v>
      </x:c>
      <x:c r="X77" s="155" t="n">
        <x:v>45411</x:v>
      </x:c>
      <x:c r="Y77" s="153" t="n">
        <x:v>2.22</x:v>
      </x:c>
      <x:c r="Z77" s="155" t="n">
        <x:v>45411</x:v>
      </x:c>
      <x:c r="AA77" s="153" t="n">
        <x:f>IFERROR(Y77-Y76,"")</x:f>
        <x:v>-0.020000000000000018</x:v>
      </x:c>
      <x:c r="AB77" s="153" t="n">
        <x:v>2.41</x:v>
      </x:c>
      <x:c r="AC77" s="153" t="n">
        <x:v>122.5449</x:v>
      </x:c>
      <x:c r="AD77" s="155" t="n">
        <x:v>45411</x:v>
      </x:c>
      <x:c r="AE77" s="154" t="n">
        <x:f>IFERROR(AC77/AC76-1,"")</x:f>
        <x:v>-0.003271325635171629</x:v>
      </x:c>
      <x:c r="AF77" s="153" t="n">
        <x:v>14.67</x:v>
      </x:c>
      <x:c r="AG77" s="155" t="n">
        <x:v>45411</x:v>
      </x:c>
      <x:c r="AH77" s="153" t="n">
        <x:f>IFERROR(AF77-AF76,"")</x:f>
        <x:v>-0.35999999999999943</x:v>
      </x:c>
      <x:c r="AI77" s="153" t="n">
        <x:v>5.33</x:v>
      </x:c>
      <x:c r="AJ77" s="155" t="n">
        <x:v>45408</x:v>
      </x:c>
      <x:c r="AK77" s="159" t="n">
        <x:v>142139</x:v>
      </x:c>
      <x:c r="AL77" s="154" t="n">
        <x:v>0.27533031540981195</x:v>
      </x:c>
      <x:c r="AM77" s="159" t="n">
        <x:v>-32593</x:v>
      </x:c>
      <x:c r="AN77" s="155" t="n">
        <x:v>45408</x:v>
      </x:c>
      <x:c r="AO77" s="159" t="n">
        <x:v>39393</x:v>
      </x:c>
      <x:c r="AP77" s="154" t="n">
        <x:v>0.22415500170706726</x:v>
      </x:c>
      <x:c r="AQ77" s="159" t="n">
        <x:v>-42181</x:v>
      </x:c>
      <x:c r="AR77" s="147" t="str">
        <x:v>美国市场指标与CFTC数据均使用严格早于上金所交易日的最后已发布值</x:v>
      </x:c>
    </x:row>
    <x:row r="78">
      <x:c r="A78" s="155" t="n">
        <x:v>45418</x:v>
      </x:c>
      <x:c r="B78" s="153" t="n">
        <x:v>545.8</x:v>
      </x:c>
      <x:c r="C78" s="153" t="n">
        <x:v>545.8</x:v>
      </x:c>
      <x:c r="D78" s="153" t="n">
        <x:v>540</x:v>
      </x:c>
      <x:c r="E78" s="153" t="n">
        <x:v>544.13</x:v>
      </x:c>
      <x:c r="F78" s="154" t="n">
        <x:f>IFERROR(E78/E77-1,"")</x:f>
        <x:v>-0.0030597288384022203</x:v>
      </x:c>
      <x:c r="G78" s="154" t="n">
        <x:f>IFERROR((C78-D78)/E77,"")</x:f>
        <x:v>0.010626603151337405</x:v>
      </x:c>
      <x:c r="H78" s="153" t="n">
        <x:v>543.01</x:v>
      </x:c>
      <x:c r="I78" s="158" t="n">
        <x:v>8944.7</x:v>
      </x:c>
      <x:c r="J78" s="158" t="n">
        <x:v>4857092472.2</x:v>
      </x:c>
      <x:c r="K78" s="158"/>
      <x:c r="L78" s="153" t="n">
        <x:v>6919</x:v>
      </x:c>
      <x:c r="M78" s="153" t="n">
        <x:v>7050</x:v>
      </x:c>
      <x:c r="N78" s="153" t="n">
        <x:v>6906</x:v>
      </x:c>
      <x:c r="O78" s="153" t="n">
        <x:v>7042</x:v>
      </x:c>
      <x:c r="P78" s="154" t="n">
        <x:f>IFERROR(O78/O77-1,"")</x:f>
        <x:v>0.006000000000000005</x:v>
      </x:c>
      <x:c r="Q78" s="154" t="n">
        <x:f>IFERROR((M78-N78)/O77,"")</x:f>
        <x:v>0.02057142857142857</x:v>
      </x:c>
      <x:c r="R78" s="153" t="n">
        <x:v>7019</x:v>
      </x:c>
      <x:c r="S78" s="158" t="n">
        <x:v>573696</x:v>
      </x:c>
      <x:c r="T78" s="158" t="n">
        <x:v>4027267482</x:v>
      </x:c>
      <x:c r="U78" s="158" t="n">
        <x:v>4281210</x:v>
      </x:c>
      <x:c r="V78" s="153" t="n">
        <x:f>IFERROR(E78*1000/O78,"")</x:f>
        <x:v>77.26924169270093</x:v>
      </x:c>
      <x:c r="W78" s="153" t="n">
        <x:v>4.5</x:v>
      </x:c>
      <x:c r="X78" s="155" t="n">
        <x:v>45415</x:v>
      </x:c>
      <x:c r="Y78" s="153" t="n">
        <x:v>2.15</x:v>
      </x:c>
      <x:c r="Z78" s="155" t="n">
        <x:v>45415</x:v>
      </x:c>
      <x:c r="AA78" s="153" t="n">
        <x:f>IFERROR(Y78-Y77,"")</x:f>
        <x:v>-0.07000000000000028</x:v>
      </x:c>
      <x:c r="AB78" s="153" t="n">
        <x:v>2.35</x:v>
      </x:c>
      <x:c r="AC78" s="153" t="n">
        <x:v>122.1375</x:v>
      </x:c>
      <x:c r="AD78" s="155" t="n">
        <x:v>45415</x:v>
      </x:c>
      <x:c r="AE78" s="154" t="n">
        <x:f>IFERROR(AC78/AC77-1,"")</x:f>
        <x:v>-0.0033244957562492683</x:v>
      </x:c>
      <x:c r="AF78" s="153" t="n">
        <x:v>13.49</x:v>
      </x:c>
      <x:c r="AG78" s="155" t="n">
        <x:v>45415</x:v>
      </x:c>
      <x:c r="AH78" s="153" t="n">
        <x:f>IFERROR(AF78-AF77,"")</x:f>
        <x:v>-1.1799999999999997</x:v>
      </x:c>
      <x:c r="AI78" s="153" t="n">
        <x:v>5.33</x:v>
      </x:c>
      <x:c r="AJ78" s="155" t="n">
        <x:v>45415</x:v>
      </x:c>
      <x:c r="AK78" s="159" t="n">
        <x:v>135027</x:v>
      </x:c>
      <x:c r="AL78" s="154" t="n">
        <x:v>0.25977171593967574</x:v>
      </x:c>
      <x:c r="AM78" s="159" t="n">
        <x:v>-30727</x:v>
      </x:c>
      <x:c r="AN78" s="155" t="n">
        <x:v>45415</x:v>
      </x:c>
      <x:c r="AO78" s="159" t="n">
        <x:v>33886</x:v>
      </x:c>
      <x:c r="AP78" s="154" t="n">
        <x:v>0.20374590385713856</x:v>
      </x:c>
      <x:c r="AQ78" s="159" t="n">
        <x:v>-39666</x:v>
      </x:c>
      <x:c r="AR78" s="147" t="str">
        <x:v>美国市场指标与CFTC数据均使用严格早于上金所交易日的最后已发布值</x:v>
      </x:c>
    </x:row>
    <x:row r="79">
      <x:c r="A79" s="155" t="n">
        <x:v>45419</x:v>
      </x:c>
      <x:c r="B79" s="153" t="n">
        <x:v>544.1</x:v>
      </x:c>
      <x:c r="C79" s="153" t="n">
        <x:v>547.6</x:v>
      </x:c>
      <x:c r="D79" s="153" t="n">
        <x:v>543.3</x:v>
      </x:c>
      <x:c r="E79" s="153" t="n">
        <x:v>544.84</x:v>
      </x:c>
      <x:c r="F79" s="154" t="n">
        <x:f>IFERROR(E79/E78-1,"")</x:f>
        <x:v>0.001304835241578317</x:v>
      </x:c>
      <x:c r="G79" s="154" t="n">
        <x:f>IFERROR((C79-D79)/E78,"")</x:f>
        <x:v>0.007902523294065883</x:v>
      </x:c>
      <x:c r="H79" s="153" t="n">
        <x:v>545.54</x:v>
      </x:c>
      <x:c r="I79" s="158" t="n">
        <x:v>7234.94</x:v>
      </x:c>
      <x:c r="J79" s="158" t="n">
        <x:v>3946957258.6</x:v>
      </x:c>
      <x:c r="K79" s="158"/>
      <x:c r="L79" s="153" t="n">
        <x:v>7042</x:v>
      </x:c>
      <x:c r="M79" s="153" t="n">
        <x:v>7145</x:v>
      </x:c>
      <x:c r="N79" s="153" t="n">
        <x:v>7030</x:v>
      </x:c>
      <x:c r="O79" s="153" t="n">
        <x:v>7083</x:v>
      </x:c>
      <x:c r="P79" s="154" t="n">
        <x:f>IFERROR(O79/O78-1,"")</x:f>
        <x:v>0.0058222095995454914</x:v>
      </x:c>
      <x:c r="Q79" s="154" t="n">
        <x:f>IFERROR((M79-N79)/O78,"")</x:f>
        <x:v>0.016330587901164442</x:v>
      </x:c>
      <x:c r="R79" s="153" t="n">
        <x:v>7096</x:v>
      </x:c>
      <x:c r="S79" s="158" t="n">
        <x:v>568710</x:v>
      </x:c>
      <x:c r="T79" s="158" t="n">
        <x:v>4035855622</x:v>
      </x:c>
      <x:c r="U79" s="158" t="n">
        <x:v>4179222</x:v>
      </x:c>
      <x:c r="V79" s="153" t="n">
        <x:f>IFERROR(E79*1000/O79,"")</x:f>
        <x:v>76.92220810391078</x:v>
      </x:c>
      <x:c r="W79" s="153" t="n">
        <x:v>4.49</x:v>
      </x:c>
      <x:c r="X79" s="155" t="n">
        <x:v>45418</x:v>
      </x:c>
      <x:c r="Y79" s="153" t="n">
        <x:v>2.14</x:v>
      </x:c>
      <x:c r="Z79" s="155" t="n">
        <x:v>45418</x:v>
      </x:c>
      <x:c r="AA79" s="153" t="n">
        <x:f>IFERROR(Y79-Y78,"")</x:f>
        <x:v>-0.009999999999999787</x:v>
      </x:c>
      <x:c r="AB79" s="153" t="n">
        <x:v>2.35</x:v>
      </x:c>
      <x:c r="AC79" s="153" t="n">
        <x:v>121.8913</x:v>
      </x:c>
      <x:c r="AD79" s="155" t="n">
        <x:v>45418</x:v>
      </x:c>
      <x:c r="AE79" s="154" t="n">
        <x:f>IFERROR(AC79/AC78-1,"")</x:f>
        <x:v>-0.002015760925186738</x:v>
      </x:c>
      <x:c r="AF79" s="153" t="n">
        <x:v>13.49</x:v>
      </x:c>
      <x:c r="AG79" s="155" t="n">
        <x:v>45418</x:v>
      </x:c>
      <x:c r="AH79" s="153" t="n">
        <x:f>IFERROR(AF79-AF78,"")</x:f>
        <x:v>0</x:v>
      </x:c>
      <x:c r="AI79" s="153" t="n">
        <x:v>5.33</x:v>
      </x:c>
      <x:c r="AJ79" s="155" t="n">
        <x:v>45415</x:v>
      </x:c>
      <x:c r="AK79" s="159" t="n">
        <x:v>135027</x:v>
      </x:c>
      <x:c r="AL79" s="154" t="n">
        <x:v>0.25977171593967574</x:v>
      </x:c>
      <x:c r="AM79" s="159" t="n">
        <x:v>-30727</x:v>
      </x:c>
      <x:c r="AN79" s="155" t="n">
        <x:v>45415</x:v>
      </x:c>
      <x:c r="AO79" s="159" t="n">
        <x:v>33886</x:v>
      </x:c>
      <x:c r="AP79" s="154" t="n">
        <x:v>0.20374590385713856</x:v>
      </x:c>
      <x:c r="AQ79" s="159" t="n">
        <x:v>-39666</x:v>
      </x:c>
      <x:c r="AR79" s="147" t="str">
        <x:v>美国市场指标与CFTC数据均使用严格早于上金所交易日的最后已发布值</x:v>
      </x:c>
    </x:row>
    <x:row r="80">
      <x:c r="A80" s="155" t="n">
        <x:v>45420</x:v>
      </x:c>
      <x:c r="B80" s="153" t="n">
        <x:v>543</x:v>
      </x:c>
      <x:c r="C80" s="153" t="n">
        <x:v>545.9</x:v>
      </x:c>
      <x:c r="D80" s="153" t="n">
        <x:v>542.5</x:v>
      </x:c>
      <x:c r="E80" s="153" t="n">
        <x:v>544.18</x:v>
      </x:c>
      <x:c r="F80" s="154" t="n">
        <x:f>IFERROR(E80/E79-1,"")</x:f>
        <x:v>-0.0012113648043463598</x:v>
      </x:c>
      <x:c r="G80" s="154" t="n">
        <x:f>IFERROR((C80-D80)/E79,"")</x:f>
        <x:v>0.006240364143601749</x:v>
      </x:c>
      <x:c r="H80" s="153" t="n">
        <x:v>544.27</x:v>
      </x:c>
      <x:c r="I80" s="158" t="n">
        <x:v>7743.62</x:v>
      </x:c>
      <x:c r="J80" s="158" t="n">
        <x:v>4214694909.6</x:v>
      </x:c>
      <x:c r="K80" s="158"/>
      <x:c r="L80" s="153" t="n">
        <x:v>7090</x:v>
      </x:c>
      <x:c r="M80" s="153" t="n">
        <x:v>7129</x:v>
      </x:c>
      <x:c r="N80" s="153" t="n">
        <x:v>7037</x:v>
      </x:c>
      <x:c r="O80" s="153" t="n">
        <x:v>7097</x:v>
      </x:c>
      <x:c r="P80" s="154" t="n">
        <x:f>IFERROR(O80/O79-1,"")</x:f>
        <x:v>0.001976563602993142</x:v>
      </x:c>
      <x:c r="Q80" s="154" t="n">
        <x:f>IFERROR((M80-N80)/O79,"")</x:f>
        <x:v>0.012988846533954539</x:v>
      </x:c>
      <x:c r="R80" s="153" t="n">
        <x:v>7089</x:v>
      </x:c>
      <x:c r="S80" s="158" t="n">
        <x:v>612780</x:v>
      </x:c>
      <x:c r="T80" s="158" t="n">
        <x:v>4344007810</x:v>
      </x:c>
      <x:c r="U80" s="158" t="n">
        <x:v>4042588</x:v>
      </x:c>
      <x:c r="V80" s="153" t="n">
        <x:f>IFERROR(E80*1000/O80,"")</x:f>
        <x:v>76.67746935324786</x:v>
      </x:c>
      <x:c r="W80" s="153" t="n">
        <x:v>4.47</x:v>
      </x:c>
      <x:c r="X80" s="155" t="n">
        <x:v>45419</x:v>
      </x:c>
      <x:c r="Y80" s="153" t="n">
        <x:v>2.15</x:v>
      </x:c>
      <x:c r="Z80" s="155" t="n">
        <x:v>45419</x:v>
      </x:c>
      <x:c r="AA80" s="153" t="n">
        <x:f>IFERROR(Y80-Y79,"")</x:f>
        <x:v>0.009999999999999787</x:v>
      </x:c>
      <x:c r="AB80" s="153" t="n">
        <x:v>2.32</x:v>
      </x:c>
      <x:c r="AC80" s="153" t="n">
        <x:v>122.093</x:v>
      </x:c>
      <x:c r="AD80" s="155" t="n">
        <x:v>45419</x:v>
      </x:c>
      <x:c r="AE80" s="154" t="n">
        <x:f>IFERROR(AC80/AC79-1,"")</x:f>
        <x:v>0.0016547530463617566</x:v>
      </x:c>
      <x:c r="AF80" s="153" t="n">
        <x:v>13.23</x:v>
      </x:c>
      <x:c r="AG80" s="155" t="n">
        <x:v>45419</x:v>
      </x:c>
      <x:c r="AH80" s="153" t="n">
        <x:f>IFERROR(AF80-AF79,"")</x:f>
        <x:v>-0.2599999999999998</x:v>
      </x:c>
      <x:c r="AI80" s="153" t="n">
        <x:v>5.33</x:v>
      </x:c>
      <x:c r="AJ80" s="155" t="n">
        <x:v>45415</x:v>
      </x:c>
      <x:c r="AK80" s="159" t="n">
        <x:v>135027</x:v>
      </x:c>
      <x:c r="AL80" s="154" t="n">
        <x:v>0.25977171593967574</x:v>
      </x:c>
      <x:c r="AM80" s="159" t="n">
        <x:v>-30727</x:v>
      </x:c>
      <x:c r="AN80" s="155" t="n">
        <x:v>45415</x:v>
      </x:c>
      <x:c r="AO80" s="159" t="n">
        <x:v>33886</x:v>
      </x:c>
      <x:c r="AP80" s="154" t="n">
        <x:v>0.20374590385713856</x:v>
      </x:c>
      <x:c r="AQ80" s="159" t="n">
        <x:v>-39666</x:v>
      </x:c>
      <x:c r="AR80" s="147" t="str">
        <x:v>美国市场指标与CFTC数据均使用严格早于上金所交易日的最后已发布值</x:v>
      </x:c>
    </x:row>
    <x:row r="81">
      <x:c r="A81" s="155" t="n">
        <x:v>45421</x:v>
      </x:c>
      <x:c r="B81" s="153" t="n">
        <x:v>545.6</x:v>
      </x:c>
      <x:c r="C81" s="153" t="n">
        <x:v>545.6</x:v>
      </x:c>
      <x:c r="D81" s="153" t="n">
        <x:v>543</x:v>
      </x:c>
      <x:c r="E81" s="153" t="n">
        <x:v>543.43</x:v>
      </x:c>
      <x:c r="F81" s="154" t="n">
        <x:f>IFERROR(E81/E80-1,"")</x:f>
        <x:v>-0.0013782204417656096</x:v>
      </x:c>
      <x:c r="G81" s="154" t="n">
        <x:f>IFERROR((C81-D81)/E80,"")</x:f>
        <x:v>0.004777830864787429</x:v>
      </x:c>
      <x:c r="H81" s="153" t="n">
        <x:v>543.72</x:v>
      </x:c>
      <x:c r="I81" s="158" t="n">
        <x:v>5752.38</x:v>
      </x:c>
      <x:c r="J81" s="158" t="n">
        <x:v>3127734599.2</x:v>
      </x:c>
      <x:c r="K81" s="158"/>
      <x:c r="L81" s="153" t="n">
        <x:v>7085</x:v>
      </x:c>
      <x:c r="M81" s="153" t="n">
        <x:v>7183</x:v>
      </x:c>
      <x:c r="N81" s="153" t="n">
        <x:v>7072</x:v>
      </x:c>
      <x:c r="O81" s="153" t="n">
        <x:v>7148</x:v>
      </x:c>
      <x:c r="P81" s="154" t="n">
        <x:f>IFERROR(O81/O80-1,"")</x:f>
        <x:v>0.007186134986614023</x:v>
      </x:c>
      <x:c r="Q81" s="154" t="n">
        <x:f>IFERROR((M81-N81)/O80,"")</x:f>
        <x:v>0.015640411441454137</x:v>
      </x:c>
      <x:c r="R81" s="153" t="n">
        <x:v>7120</x:v>
      </x:c>
      <x:c r="S81" s="158" t="n">
        <x:v>556874</x:v>
      </x:c>
      <x:c r="T81" s="158" t="n">
        <x:v>3965254056</x:v>
      </x:c>
      <x:c r="U81" s="158" t="n">
        <x:v>4059054</x:v>
      </x:c>
      <x:c r="V81" s="153" t="n">
        <x:f>IFERROR(E81*1000/O81,"")</x:f>
        <x:v>76.02546166759933</x:v>
      </x:c>
      <x:c r="W81" s="153" t="n">
        <x:v>4.48</x:v>
      </x:c>
      <x:c r="X81" s="155" t="n">
        <x:v>45420</x:v>
      </x:c>
      <x:c r="Y81" s="153" t="n">
        <x:v>2.17</x:v>
      </x:c>
      <x:c r="Z81" s="155" t="n">
        <x:v>45420</x:v>
      </x:c>
      <x:c r="AA81" s="153" t="n">
        <x:f>IFERROR(Y81-Y80,"")</x:f>
        <x:v>0.020000000000000018</x:v>
      </x:c>
      <x:c r="AB81" s="153" t="n">
        <x:v>2.31</x:v>
      </x:c>
      <x:c r="AC81" s="153" t="n">
        <x:v>122.1926</x:v>
      </x:c>
      <x:c r="AD81" s="155" t="n">
        <x:v>45420</x:v>
      </x:c>
      <x:c r="AE81" s="154" t="n">
        <x:f>IFERROR(AC81/AC80-1,"")</x:f>
        <x:v>0.0008157715839565149</x:v>
      </x:c>
      <x:c r="AF81" s="153" t="n">
        <x:v>13</x:v>
      </x:c>
      <x:c r="AG81" s="155" t="n">
        <x:v>45420</x:v>
      </x:c>
      <x:c r="AH81" s="153" t="n">
        <x:f>IFERROR(AF81-AF80,"")</x:f>
        <x:v>-0.23000000000000043</x:v>
      </x:c>
      <x:c r="AI81" s="153" t="n">
        <x:v>5.33</x:v>
      </x:c>
      <x:c r="AJ81" s="155" t="n">
        <x:v>45415</x:v>
      </x:c>
      <x:c r="AK81" s="159" t="n">
        <x:v>135027</x:v>
      </x:c>
      <x:c r="AL81" s="154" t="n">
        <x:v>0.25977171593967574</x:v>
      </x:c>
      <x:c r="AM81" s="159" t="n">
        <x:v>-30727</x:v>
      </x:c>
      <x:c r="AN81" s="155" t="n">
        <x:v>45415</x:v>
      </x:c>
      <x:c r="AO81" s="159" t="n">
        <x:v>33886</x:v>
      </x:c>
      <x:c r="AP81" s="154" t="n">
        <x:v>0.20374590385713856</x:v>
      </x:c>
      <x:c r="AQ81" s="159" t="n">
        <x:v>-39666</x:v>
      </x:c>
      <x:c r="AR81" s="147" t="str">
        <x:v>美国市场指标与CFTC数据均使用严格早于上金所交易日的最后已发布值</x:v>
      </x:c>
    </x:row>
    <x:row r="82">
      <x:c r="A82" s="155" t="n">
        <x:v>45422</x:v>
      </x:c>
      <x:c r="B82" s="153" t="n">
        <x:v>544</x:v>
      </x:c>
      <x:c r="C82" s="153" t="n">
        <x:v>556.4</x:v>
      </x:c>
      <x:c r="D82" s="153" t="n">
        <x:v>544</x:v>
      </x:c>
      <x:c r="E82" s="153" t="n">
        <x:v>556.34</x:v>
      </x:c>
      <x:c r="F82" s="154" t="n">
        <x:f>IFERROR(E82/E81-1,"")</x:f>
        <x:v>0.023756509578050755</x:v>
      </x:c>
      <x:c r="G82" s="154" t="n">
        <x:f>IFERROR((C82-D82)/E81,"")</x:f>
        <x:v>0.022818026240730135</x:v>
      </x:c>
      <x:c r="H82" s="153" t="n">
        <x:v>553.3</x:v>
      </x:c>
      <x:c r="I82" s="158" t="n">
        <x:v>7754.06</x:v>
      </x:c>
      <x:c r="J82" s="158" t="n">
        <x:v>4290332061.4</x:v>
      </x:c>
      <x:c r="K82" s="158"/>
      <x:c r="L82" s="153" t="n">
        <x:v>7162</x:v>
      </x:c>
      <x:c r="M82" s="153" t="n">
        <x:v>7400</x:v>
      </x:c>
      <x:c r="N82" s="153" t="n">
        <x:v>7144</x:v>
      </x:c>
      <x:c r="O82" s="153" t="n">
        <x:v>7397</x:v>
      </x:c>
      <x:c r="P82" s="154" t="n">
        <x:f>IFERROR(O82/O81-1,"")</x:f>
        <x:v>0.034834918858421826</x:v>
      </x:c>
      <x:c r="Q82" s="154" t="n">
        <x:f>IFERROR((M82-N82)/O81,"")</x:f>
        <x:v>0.03581421376608842</x:v>
      </x:c>
      <x:c r="R82" s="153" t="n">
        <x:v>7311</x:v>
      </x:c>
      <x:c r="S82" s="158" t="n">
        <x:v>827110</x:v>
      </x:c>
      <x:c r="T82" s="158" t="n">
        <x:v>6047038808</x:v>
      </x:c>
      <x:c r="U82" s="158" t="n">
        <x:v>4029440</x:v>
      </x:c>
      <x:c r="V82" s="153" t="n">
        <x:f>IFERROR(E82*1000/O82,"")</x:f>
        <x:v>75.21157225902392</x:v>
      </x:c>
      <x:c r="W82" s="153" t="n">
        <x:v>4.45</x:v>
      </x:c>
      <x:c r="X82" s="155" t="n">
        <x:v>45421</x:v>
      </x:c>
      <x:c r="Y82" s="153" t="n">
        <x:v>2.13</x:v>
      </x:c>
      <x:c r="Z82" s="155" t="n">
        <x:v>45421</x:v>
      </x:c>
      <x:c r="AA82" s="153" t="n">
        <x:f>IFERROR(Y82-Y81,"")</x:f>
        <x:v>-0.040000000000000036</x:v>
      </x:c>
      <x:c r="AB82" s="153" t="n">
        <x:v>2.32</x:v>
      </x:c>
      <x:c r="AC82" s="153" t="n">
        <x:v>122.1634</x:v>
      </x:c>
      <x:c r="AD82" s="155" t="n">
        <x:v>45421</x:v>
      </x:c>
      <x:c r="AE82" s="154" t="n">
        <x:f>IFERROR(AC82/AC81-1,"")</x:f>
        <x:v>-0.00023896700782211067</x:v>
      </x:c>
      <x:c r="AF82" s="153" t="n">
        <x:v>12.69</x:v>
      </x:c>
      <x:c r="AG82" s="155" t="n">
        <x:v>45421</x:v>
      </x:c>
      <x:c r="AH82" s="153" t="n">
        <x:f>IFERROR(AF82-AF81,"")</x:f>
        <x:v>-0.3100000000000005</x:v>
      </x:c>
      <x:c r="AI82" s="153" t="n">
        <x:v>5.33</x:v>
      </x:c>
      <x:c r="AJ82" s="155" t="n">
        <x:v>45415</x:v>
      </x:c>
      <x:c r="AK82" s="159" t="n">
        <x:v>135027</x:v>
      </x:c>
      <x:c r="AL82" s="154" t="n">
        <x:v>0.25977171593967574</x:v>
      </x:c>
      <x:c r="AM82" s="159" t="n">
        <x:v>-30727</x:v>
      </x:c>
      <x:c r="AN82" s="155" t="n">
        <x:v>45415</x:v>
      </x:c>
      <x:c r="AO82" s="159" t="n">
        <x:v>33886</x:v>
      </x:c>
      <x:c r="AP82" s="154" t="n">
        <x:v>0.20374590385713856</x:v>
      </x:c>
      <x:c r="AQ82" s="159" t="n">
        <x:v>-39666</x:v>
      </x:c>
      <x:c r="AR82" s="147" t="str">
        <x:v>美国市场指标与CFTC数据均使用严格早于上金所交易日的最后已发布值</x:v>
      </x:c>
    </x:row>
    <x:row r="83">
      <x:c r="A83" s="155" t="n">
        <x:v>45425</x:v>
      </x:c>
      <x:c r="B83" s="153" t="n">
        <x:v>556.5</x:v>
      </x:c>
      <x:c r="C83" s="153" t="n">
        <x:v>558</x:v>
      </x:c>
      <x:c r="D83" s="153" t="n">
        <x:v>552.1</x:v>
      </x:c>
      <x:c r="E83" s="153" t="n">
        <x:v>553.01</x:v>
      </x:c>
      <x:c r="F83" s="154" t="n">
        <x:f>IFERROR(E83/E82-1,"")</x:f>
        <x:v>-0.005985548405651242</x:v>
      </x:c>
      <x:c r="G83" s="154" t="n">
        <x:f>IFERROR((C83-D83)/E82,"")</x:f>
        <x:v>0.010605025703706325</x:v>
      </x:c>
      <x:c r="H83" s="153" t="n">
        <x:v>554.04</x:v>
      </x:c>
      <x:c r="I83" s="158" t="n">
        <x:v>9666.76</x:v>
      </x:c>
      <x:c r="J83" s="158" t="n">
        <x:v>5355780813.2</x:v>
      </x:c>
      <x:c r="K83" s="158"/>
      <x:c r="L83" s="153" t="n">
        <x:v>7393</x:v>
      </x:c>
      <x:c r="M83" s="153" t="n">
        <x:v>7397</x:v>
      </x:c>
      <x:c r="N83" s="153" t="n">
        <x:v>7244</x:v>
      </x:c>
      <x:c r="O83" s="153" t="n">
        <x:v>7311</x:v>
      </x:c>
      <x:c r="P83" s="154" t="n">
        <x:f>IFERROR(O83/O82-1,"")</x:f>
        <x:v>-0.011626335000676002</x:v>
      </x:c>
      <x:c r="Q83" s="154" t="n">
        <x:f>IFERROR((M83-N83)/O82,"")</x:f>
        <x:v>0.020684061105853725</x:v>
      </x:c>
      <x:c r="R83" s="153" t="n">
        <x:v>7299</x:v>
      </x:c>
      <x:c r="S83" s="158" t="n">
        <x:v>620098</x:v>
      </x:c>
      <x:c r="T83" s="158" t="n">
        <x:v>4526591814</x:v>
      </x:c>
      <x:c r="U83" s="158" t="n">
        <x:v>4029176</x:v>
      </x:c>
      <x:c r="V83" s="153" t="n">
        <x:f>IFERROR(E83*1000/O83,"")</x:f>
        <x:v>75.6408152099576</x:v>
      </x:c>
      <x:c r="W83" s="153" t="n">
        <x:v>4.5</x:v>
      </x:c>
      <x:c r="X83" s="155" t="n">
        <x:v>45422</x:v>
      </x:c>
      <x:c r="Y83" s="153" t="n">
        <x:v>2.16</x:v>
      </x:c>
      <x:c r="Z83" s="155" t="n">
        <x:v>45422</x:v>
      </x:c>
      <x:c r="AA83" s="153" t="n">
        <x:f>IFERROR(Y83-Y82,"")</x:f>
        <x:v>0.03000000000000025</x:v>
      </x:c>
      <x:c r="AB83" s="153" t="n">
        <x:v>2.34</x:v>
      </x:c>
      <x:c r="AC83" s="153" t="n">
        <x:v>122.014</x:v>
      </x:c>
      <x:c r="AD83" s="155" t="n">
        <x:v>45422</x:v>
      </x:c>
      <x:c r="AE83" s="154" t="n">
        <x:f>IFERROR(AC83/AC82-1,"")</x:f>
        <x:v>-0.0012229522099089785</x:v>
      </x:c>
      <x:c r="AF83" s="153" t="n">
        <x:v>12.55</x:v>
      </x:c>
      <x:c r="AG83" s="155" t="n">
        <x:v>45422</x:v>
      </x:c>
      <x:c r="AH83" s="153" t="n">
        <x:f>IFERROR(AF83-AF82,"")</x:f>
        <x:v>-0.1399999999999988</x:v>
      </x:c>
      <x:c r="AI83" s="153" t="n">
        <x:v>5.33</x:v>
      </x:c>
      <x:c r="AJ83" s="155" t="n">
        <x:v>45422</x:v>
      </x:c>
      <x:c r="AK83" s="159" t="n">
        <x:v>126099</x:v>
      </x:c>
      <x:c r="AL83" s="154" t="n">
        <x:v>0.23799673483254222</x:v>
      </x:c>
      <x:c r="AM83" s="159" t="n">
        <x:v>-32170</x:v>
      </x:c>
      <x:c r="AN83" s="155" t="n">
        <x:v>45422</x:v>
      </x:c>
      <x:c r="AO83" s="159" t="n">
        <x:v>34194</x:v>
      </x:c>
      <x:c r="AP83" s="154" t="n">
        <x:v>0.21124620060790272</x:v>
      </x:c>
      <x:c r="AQ83" s="159" t="n">
        <x:v>-40283</x:v>
      </x:c>
      <x:c r="AR83" s="147" t="str">
        <x:v>美国市场指标与CFTC数据均使用严格早于上金所交易日的最后已发布值</x:v>
      </x:c>
    </x:row>
    <x:row r="84">
      <x:c r="A84" s="155" t="n">
        <x:v>45426</x:v>
      </x:c>
      <x:c r="B84" s="153" t="n">
        <x:v>552</x:v>
      </x:c>
      <x:c r="C84" s="153" t="n">
        <x:v>553.6</x:v>
      </x:c>
      <x:c r="D84" s="153" t="n">
        <x:v>550.6</x:v>
      </x:c>
      <x:c r="E84" s="153" t="n">
        <x:v>550.66</x:v>
      </x:c>
      <x:c r="F84" s="154" t="n">
        <x:f>IFERROR(E84/E83-1,"")</x:f>
        <x:v>-0.004249471076472444</x:v>
      </x:c>
      <x:c r="G84" s="154" t="n">
        <x:f>IFERROR((C84-D84)/E83,"")</x:f>
        <x:v>0.005424856693369017</x:v>
      </x:c>
      <x:c r="H84" s="153" t="n">
        <x:v>552.14</x:v>
      </x:c>
      <x:c r="I84" s="158" t="n">
        <x:v>9671.78</x:v>
      </x:c>
      <x:c r="J84" s="158" t="n">
        <x:v>5340222870.4</x:v>
      </x:c>
      <x:c r="K84" s="158"/>
      <x:c r="L84" s="153" t="n">
        <x:v>7326</x:v>
      </x:c>
      <x:c r="M84" s="153" t="n">
        <x:v>7369</x:v>
      </x:c>
      <x:c r="N84" s="153" t="n">
        <x:v>7268</x:v>
      </x:c>
      <x:c r="O84" s="153" t="n">
        <x:v>7323</x:v>
      </x:c>
      <x:c r="P84" s="154" t="n">
        <x:f>IFERROR(O84/O83-1,"")</x:f>
        <x:v>0.0016413623307345304</x:v>
      </x:c>
      <x:c r="Q84" s="154" t="n">
        <x:f>IFERROR((M84-N84)/O83,"")</x:f>
        <x:v>0.013814799617015457</x:v>
      </x:c>
      <x:c r="R84" s="153" t="n">
        <x:v>7325</x:v>
      </x:c>
      <x:c r="S84" s="158" t="n">
        <x:v>578248</x:v>
      </x:c>
      <x:c r="T84" s="158" t="n">
        <x:v>4236234708</x:v>
      </x:c>
      <x:c r="U84" s="158" t="n">
        <x:v>4036510</x:v>
      </x:c>
      <x:c r="V84" s="153" t="n">
        <x:f>IFERROR(E84*1000/O84,"")</x:f>
        <x:v>75.19595794073467</x:v>
      </x:c>
      <x:c r="W84" s="153" t="n">
        <x:v>4.48</x:v>
      </x:c>
      <x:c r="X84" s="155" t="n">
        <x:v>45425</x:v>
      </x:c>
      <x:c r="Y84" s="153" t="n">
        <x:v>2.15</x:v>
      </x:c>
      <x:c r="Z84" s="155" t="n">
        <x:v>45425</x:v>
      </x:c>
      <x:c r="AA84" s="153" t="n">
        <x:f>IFERROR(Y84-Y83,"")</x:f>
        <x:v>-0.010000000000000231</x:v>
      </x:c>
      <x:c r="AB84" s="153" t="n">
        <x:v>2.33</x:v>
      </x:c>
      <x:c r="AC84" s="153" t="n">
        <x:v>122.0261</x:v>
      </x:c>
      <x:c r="AD84" s="155" t="n">
        <x:v>45425</x:v>
      </x:c>
      <x:c r="AE84" s="154" t="n">
        <x:f>IFERROR(AC84/AC83-1,"")</x:f>
        <x:v>0.00009916894782580066</x:v>
      </x:c>
      <x:c r="AF84" s="153" t="n">
        <x:v>13.6</x:v>
      </x:c>
      <x:c r="AG84" s="155" t="n">
        <x:v>45425</x:v>
      </x:c>
      <x:c r="AH84" s="153" t="n">
        <x:f>IFERROR(AF84-AF83,"")</x:f>
        <x:v>1.049999999999999</x:v>
      </x:c>
      <x:c r="AI84" s="153" t="n">
        <x:v>5.33</x:v>
      </x:c>
      <x:c r="AJ84" s="155" t="n">
        <x:v>45422</x:v>
      </x:c>
      <x:c r="AK84" s="159" t="n">
        <x:v>126099</x:v>
      </x:c>
      <x:c r="AL84" s="154" t="n">
        <x:v>0.23799673483254222</x:v>
      </x:c>
      <x:c r="AM84" s="159" t="n">
        <x:v>-32170</x:v>
      </x:c>
      <x:c r="AN84" s="155" t="n">
        <x:v>45422</x:v>
      </x:c>
      <x:c r="AO84" s="159" t="n">
        <x:v>34194</x:v>
      </x:c>
      <x:c r="AP84" s="154" t="n">
        <x:v>0.21124620060790272</x:v>
      </x:c>
      <x:c r="AQ84" s="159" t="n">
        <x:v>-40283</x:v>
      </x:c>
      <x:c r="AR84" s="147" t="str">
        <x:v>美国市场指标与CFTC数据均使用严格早于上金所交易日的最后已发布值</x:v>
      </x:c>
    </x:row>
    <x:row r="85">
      <x:c r="A85" s="155" t="n">
        <x:v>45427</x:v>
      </x:c>
      <x:c r="B85" s="153" t="n">
        <x:v>552.8</x:v>
      </x:c>
      <x:c r="C85" s="153" t="n">
        <x:v>561.5</x:v>
      </x:c>
      <x:c r="D85" s="153" t="n">
        <x:v>552.3</x:v>
      </x:c>
      <x:c r="E85" s="153" t="n">
        <x:v>555.99</x:v>
      </x:c>
      <x:c r="F85" s="154" t="n">
        <x:f>IFERROR(E85/E84-1,"")</x:f>
        <x:v>0.009679293938183342</x:v>
      </x:c>
      <x:c r="G85" s="154" t="n">
        <x:f>IFERROR((C85-D85)/E84,"")</x:f>
        <x:v>0.016707224058402727</x:v>
      </x:c>
      <x:c r="H85" s="153" t="n">
        <x:v>555.43</x:v>
      </x:c>
      <x:c r="I85" s="158" t="n">
        <x:v>6951.14</x:v>
      </x:c>
      <x:c r="J85" s="158" t="n">
        <x:v>3860925709.6</x:v>
      </x:c>
      <x:c r="K85" s="158"/>
      <x:c r="L85" s="153" t="n">
        <x:v>7329</x:v>
      </x:c>
      <x:c r="M85" s="153" t="n">
        <x:v>7398</x:v>
      </x:c>
      <x:c r="N85" s="153" t="n">
        <x:v>7295</x:v>
      </x:c>
      <x:c r="O85" s="153" t="n">
        <x:v>7379</x:v>
      </x:c>
      <x:c r="P85" s="154" t="n">
        <x:f>IFERROR(O85/O84-1,"")</x:f>
        <x:v>0.007647139150621429</x:v>
      </x:c>
      <x:c r="Q85" s="154" t="n">
        <x:f>IFERROR((M85-N85)/O84,"")</x:f>
        <x:v>0.014065273794892804</x:v>
      </x:c>
      <x:c r="R85" s="153" t="n">
        <x:v>7355</x:v>
      </x:c>
      <x:c r="S85" s="158" t="n">
        <x:v>523544</x:v>
      </x:c>
      <x:c r="T85" s="158" t="n">
        <x:v>3850961612</x:v>
      </x:c>
      <x:c r="U85" s="158" t="n">
        <x:v>3974806</x:v>
      </x:c>
      <x:c r="V85" s="153" t="n">
        <x:f>IFERROR(E85*1000/O85,"")</x:f>
        <x:v>75.3476080769752</x:v>
      </x:c>
      <x:c r="W85" s="153" t="n">
        <x:v>4.45</x:v>
      </x:c>
      <x:c r="X85" s="155" t="n">
        <x:v>45426</x:v>
      </x:c>
      <x:c r="Y85" s="153" t="n">
        <x:v>2.12</x:v>
      </x:c>
      <x:c r="Z85" s="155" t="n">
        <x:v>45426</x:v>
      </x:c>
      <x:c r="AA85" s="153" t="n">
        <x:f>IFERROR(Y85-Y84,"")</x:f>
        <x:v>-0.029999999999999805</x:v>
      </x:c>
      <x:c r="AB85" s="153" t="n">
        <x:v>2.33</x:v>
      </x:c>
      <x:c r="AC85" s="153" t="n">
        <x:v>121.9256</x:v>
      </x:c>
      <x:c r="AD85" s="155" t="n">
        <x:v>45426</x:v>
      </x:c>
      <x:c r="AE85" s="154" t="n">
        <x:f>IFERROR(AC85/AC84-1,"")</x:f>
        <x:v>-0.0008235942966299259</x:v>
      </x:c>
      <x:c r="AF85" s="153" t="n">
        <x:v>13.42</x:v>
      </x:c>
      <x:c r="AG85" s="155" t="n">
        <x:v>45426</x:v>
      </x:c>
      <x:c r="AH85" s="153" t="n">
        <x:f>IFERROR(AF85-AF84,"")</x:f>
        <x:v>-0.17999999999999972</x:v>
      </x:c>
      <x:c r="AI85" s="153" t="n">
        <x:v>5.33</x:v>
      </x:c>
      <x:c r="AJ85" s="155" t="n">
        <x:v>45422</x:v>
      </x:c>
      <x:c r="AK85" s="159" t="n">
        <x:v>126099</x:v>
      </x:c>
      <x:c r="AL85" s="154" t="n">
        <x:v>0.23799673483254222</x:v>
      </x:c>
      <x:c r="AM85" s="159" t="n">
        <x:v>-32170</x:v>
      </x:c>
      <x:c r="AN85" s="155" t="n">
        <x:v>45422</x:v>
      </x:c>
      <x:c r="AO85" s="159" t="n">
        <x:v>34194</x:v>
      </x:c>
      <x:c r="AP85" s="154" t="n">
        <x:v>0.21124620060790272</x:v>
      </x:c>
      <x:c r="AQ85" s="159" t="n">
        <x:v>-40283</x:v>
      </x:c>
      <x:c r="AR85" s="147" t="str">
        <x:v>美国市场指标与CFTC数据均使用严格早于上金所交易日的最后已发布值</x:v>
      </x:c>
    </x:row>
    <x:row r="86">
      <x:c r="A86" s="155" t="n">
        <x:v>45428</x:v>
      </x:c>
      <x:c r="B86" s="153" t="n">
        <x:v>555</x:v>
      </x:c>
      <x:c r="C86" s="153" t="n">
        <x:v>563.5</x:v>
      </x:c>
      <x:c r="D86" s="153" t="n">
        <x:v>554.5</x:v>
      </x:c>
      <x:c r="E86" s="153" t="n">
        <x:v>560.35</x:v>
      </x:c>
      <x:c r="F86" s="154" t="n">
        <x:f>IFERROR(E86/E85-1,"")</x:f>
        <x:v>0.007841867659490243</x:v>
      </x:c>
      <x:c r="G86" s="154" t="n">
        <x:f>IFERROR((C86-D86)/E85,"")</x:f>
        <x:v>0.01618734149894782</x:v>
      </x:c>
      <x:c r="H86" s="153" t="n">
        <x:v>561.17</x:v>
      </x:c>
      <x:c r="I86" s="158" t="n">
        <x:v>8788.08</x:v>
      </x:c>
      <x:c r="J86" s="158" t="n">
        <x:v>4931644911.8</x:v>
      </x:c>
      <x:c r="K86" s="158"/>
      <x:c r="L86" s="153" t="n">
        <x:v>7386</x:v>
      </x:c>
      <x:c r="M86" s="153" t="n">
        <x:v>7645</x:v>
      </x:c>
      <x:c r="N86" s="153" t="n">
        <x:v>7360</x:v>
      </x:c>
      <x:c r="O86" s="153" t="n">
        <x:v>7570</x:v>
      </x:c>
      <x:c r="P86" s="154" t="n">
        <x:f>IFERROR(O86/O85-1,"")</x:f>
        <x:v>0.025884266160726366</x:v>
      </x:c>
      <x:c r="Q86" s="154" t="n">
        <x:f>IFERROR((M86-N86)/O85,"")</x:f>
        <x:v>0.0386231196639111</x:v>
      </x:c>
      <x:c r="R86" s="153" t="n">
        <x:v>7530</x:v>
      </x:c>
      <x:c r="S86" s="158" t="n">
        <x:v>1159042</x:v>
      </x:c>
      <x:c r="T86" s="158" t="n">
        <x:v>8728350532</x:v>
      </x:c>
      <x:c r="U86" s="158" t="n">
        <x:v>3904348</x:v>
      </x:c>
      <x:c r="V86" s="153" t="n">
        <x:f>IFERROR(E86*1000/O86,"")</x:f>
        <x:v>74.0224570673712</x:v>
      </x:c>
      <x:c r="W86" s="153" t="n">
        <x:v>4.36</x:v>
      </x:c>
      <x:c r="X86" s="155" t="n">
        <x:v>45427</x:v>
      </x:c>
      <x:c r="Y86" s="153" t="n">
        <x:v>2.05</x:v>
      </x:c>
      <x:c r="Z86" s="155" t="n">
        <x:v>45427</x:v>
      </x:c>
      <x:c r="AA86" s="153" t="n">
        <x:f>IFERROR(Y86-Y85,"")</x:f>
        <x:v>-0.07000000000000028</x:v>
      </x:c>
      <x:c r="AB86" s="153" t="n">
        <x:v>2.31</x:v>
      </x:c>
      <x:c r="AC86" s="153" t="n">
        <x:v>121.3543</x:v>
      </x:c>
      <x:c r="AD86" s="155" t="n">
        <x:v>45427</x:v>
      </x:c>
      <x:c r="AE86" s="154" t="n">
        <x:f>IFERROR(AC86/AC85-1,"")</x:f>
        <x:v>-0.004685644360167274</x:v>
      </x:c>
      <x:c r="AF86" s="153" t="n">
        <x:v>12.45</x:v>
      </x:c>
      <x:c r="AG86" s="155" t="n">
        <x:v>45427</x:v>
      </x:c>
      <x:c r="AH86" s="153" t="n">
        <x:f>IFERROR(AF86-AF85,"")</x:f>
        <x:v>-0.9700000000000006</x:v>
      </x:c>
      <x:c r="AI86" s="153" t="n">
        <x:v>5.33</x:v>
      </x:c>
      <x:c r="AJ86" s="155" t="n">
        <x:v>45422</x:v>
      </x:c>
      <x:c r="AK86" s="159" t="n">
        <x:v>126099</x:v>
      </x:c>
      <x:c r="AL86" s="154" t="n">
        <x:v>0.23799673483254222</x:v>
      </x:c>
      <x:c r="AM86" s="159" t="n">
        <x:v>-32170</x:v>
      </x:c>
      <x:c r="AN86" s="155" t="n">
        <x:v>45422</x:v>
      </x:c>
      <x:c r="AO86" s="159" t="n">
        <x:v>34194</x:v>
      </x:c>
      <x:c r="AP86" s="154" t="n">
        <x:v>0.21124620060790272</x:v>
      </x:c>
      <x:c r="AQ86" s="159" t="n">
        <x:v>-40283</x:v>
      </x:c>
      <x:c r="AR86" s="147" t="str">
        <x:v>美国市场指标与CFTC数据均使用严格早于上金所交易日的最后已发布值</x:v>
      </x:c>
    </x:row>
    <x:row r="87">
      <x:c r="A87" s="155" t="n">
        <x:v>45429</x:v>
      </x:c>
      <x:c r="B87" s="153" t="n">
        <x:v>559.5</x:v>
      </x:c>
      <x:c r="C87" s="153" t="n">
        <x:v>563</x:v>
      </x:c>
      <x:c r="D87" s="153" t="n">
        <x:v>558.5</x:v>
      </x:c>
      <x:c r="E87" s="153" t="n">
        <x:v>561.44</x:v>
      </x:c>
      <x:c r="F87" s="154" t="n">
        <x:f>IFERROR(E87/E86-1,"")</x:f>
        <x:v>0.001945212813420305</x:v>
      </x:c>
      <x:c r="G87" s="154" t="n">
        <x:f>IFERROR((C87-D87)/E86,"")</x:f>
        <x:v>0.008030695101275988</x:v>
      </x:c>
      <x:c r="H87" s="153" t="n">
        <x:v>560.16</x:v>
      </x:c>
      <x:c r="I87" s="158" t="n">
        <x:v>6402.94</x:v>
      </x:c>
      <x:c r="J87" s="158" t="n">
        <x:v>3586693275.8</x:v>
      </x:c>
      <x:c r="K87" s="158"/>
      <x:c r="L87" s="153" t="n">
        <x:v>7601</x:v>
      </x:c>
      <x:c r="M87" s="153" t="n">
        <x:v>7652</x:v>
      </x:c>
      <x:c r="N87" s="153" t="n">
        <x:v>7544</x:v>
      </x:c>
      <x:c r="O87" s="153" t="n">
        <x:v>7649</x:v>
      </x:c>
      <x:c r="P87" s="154" t="n">
        <x:f>IFERROR(O87/O86-1,"")</x:f>
        <x:v>0.010435931307793966</x:v>
      </x:c>
      <x:c r="Q87" s="154" t="n">
        <x:f>IFERROR((M87-N87)/O86,"")</x:f>
        <x:v>0.014266842800528402</x:v>
      </x:c>
      <x:c r="R87" s="153" t="n">
        <x:v>7596</x:v>
      </x:c>
      <x:c r="S87" s="158" t="n">
        <x:v>574468</x:v>
      </x:c>
      <x:c r="T87" s="158" t="n">
        <x:v>4364124952</x:v>
      </x:c>
      <x:c r="U87" s="158" t="n">
        <x:v>3995600</x:v>
      </x:c>
      <x:c r="V87" s="153" t="n">
        <x:f>IFERROR(E87*1000/O87,"")</x:f>
        <x:v>73.40044450254935</x:v>
      </x:c>
      <x:c r="W87" s="153" t="n">
        <x:v>4.38</x:v>
      </x:c>
      <x:c r="X87" s="155" t="n">
        <x:v>45428</x:v>
      </x:c>
      <x:c r="Y87" s="153" t="n">
        <x:v>2.07</x:v>
      </x:c>
      <x:c r="Z87" s="155" t="n">
        <x:v>45428</x:v>
      </x:c>
      <x:c r="AA87" s="153" t="n">
        <x:f>IFERROR(Y87-Y86,"")</x:f>
        <x:v>0.020000000000000018</x:v>
      </x:c>
      <x:c r="AB87" s="153" t="n">
        <x:v>2.31</x:v>
      </x:c>
      <x:c r="AC87" s="153" t="n">
        <x:v>121.2236</x:v>
      </x:c>
      <x:c r="AD87" s="155" t="n">
        <x:v>45428</x:v>
      </x:c>
      <x:c r="AE87" s="154" t="n">
        <x:f>IFERROR(AC87/AC86-1,"")</x:f>
        <x:v>-0.0010770116922101947</x:v>
      </x:c>
      <x:c r="AF87" s="153" t="n">
        <x:v>12.42</x:v>
      </x:c>
      <x:c r="AG87" s="155" t="n">
        <x:v>45428</x:v>
      </x:c>
      <x:c r="AH87" s="153" t="n">
        <x:f>IFERROR(AF87-AF86,"")</x:f>
        <x:v>-0.02999999999999936</x:v>
      </x:c>
      <x:c r="AI87" s="153" t="n">
        <x:v>5.33</x:v>
      </x:c>
      <x:c r="AJ87" s="155" t="n">
        <x:v>45422</x:v>
      </x:c>
      <x:c r="AK87" s="159" t="n">
        <x:v>126099</x:v>
      </x:c>
      <x:c r="AL87" s="154" t="n">
        <x:v>0.23799673483254222</x:v>
      </x:c>
      <x:c r="AM87" s="159" t="n">
        <x:v>-32170</x:v>
      </x:c>
      <x:c r="AN87" s="155" t="n">
        <x:v>45422</x:v>
      </x:c>
      <x:c r="AO87" s="159" t="n">
        <x:v>34194</x:v>
      </x:c>
      <x:c r="AP87" s="154" t="n">
        <x:v>0.21124620060790272</x:v>
      </x:c>
      <x:c r="AQ87" s="159" t="n">
        <x:v>-40283</x:v>
      </x:c>
      <x:c r="AR87" s="147" t="str">
        <x:v>美国市场指标与CFTC数据均使用严格早于上金所交易日的最后已发布值</x:v>
      </x:c>
    </x:row>
    <x:row r="88">
      <x:c r="A88" s="155" t="n">
        <x:v>45432</x:v>
      </x:c>
      <x:c r="B88" s="153" t="n">
        <x:v>562</x:v>
      </x:c>
      <x:c r="C88" s="153" t="n">
        <x:v>578</x:v>
      </x:c>
      <x:c r="D88" s="153" t="n">
        <x:v>562</x:v>
      </x:c>
      <x:c r="E88" s="153" t="n">
        <x:v>573.8</x:v>
      </x:c>
      <x:c r="F88" s="154" t="n">
        <x:f>IFERROR(E88/E87-1,"")</x:f>
        <x:v>0.02201481903676239</x:v>
      </x:c>
      <x:c r="G88" s="154" t="n">
        <x:f>IFERROR((C88-D88)/E87,"")</x:f>
        <x:v>0.02849814762040467</x:v>
      </x:c>
      <x:c r="H88" s="153" t="n">
        <x:v>573.89</x:v>
      </x:c>
      <x:c r="I88" s="158" t="n">
        <x:v>12573.8</x:v>
      </x:c>
      <x:c r="J88" s="158" t="n">
        <x:v>7216096929.2</x:v>
      </x:c>
      <x:c r="K88" s="158"/>
      <x:c r="L88" s="153" t="n">
        <x:v>7650</x:v>
      </x:c>
      <x:c r="M88" s="153" t="n">
        <x:v>8315</x:v>
      </x:c>
      <x:c r="N88" s="153" t="n">
        <x:v>7635</x:v>
      </x:c>
      <x:c r="O88" s="153" t="n">
        <x:v>8228</x:v>
      </x:c>
      <x:c r="P88" s="154" t="n">
        <x:f>IFERROR(O88/O87-1,"")</x:f>
        <x:v>0.07569616943391289</x:v>
      </x:c>
      <x:c r="Q88" s="154" t="n">
        <x:f>IFERROR((M88-N88)/O87,"")</x:f>
        <x:v>0.08890050987057131</x:v>
      </x:c>
      <x:c r="R88" s="153" t="n">
        <x:v>8142</x:v>
      </x:c>
      <x:c r="S88" s="158" t="n">
        <x:v>1641910</x:v>
      </x:c>
      <x:c r="T88" s="158" t="n">
        <x:v>13369354374</x:v>
      </x:c>
      <x:c r="U88" s="158" t="n">
        <x:v>3984908</x:v>
      </x:c>
      <x:c r="V88" s="153" t="n">
        <x:f>IFERROR(E88*1000/O88,"")</x:f>
        <x:v>69.73748176956732</x:v>
      </x:c>
      <x:c r="W88" s="153" t="n">
        <x:v>4.42</x:v>
      </x:c>
      <x:c r="X88" s="155" t="n">
        <x:v>45429</x:v>
      </x:c>
      <x:c r="Y88" s="153" t="n">
        <x:v>2.1</x:v>
      </x:c>
      <x:c r="Z88" s="155" t="n">
        <x:v>45429</x:v>
      </x:c>
      <x:c r="AA88" s="153" t="n">
        <x:f>IFERROR(Y88-Y87,"")</x:f>
        <x:v>0.03000000000000025</x:v>
      </x:c>
      <x:c r="AB88" s="153" t="n">
        <x:v>2.32</x:v>
      </x:c>
      <x:c r="AC88" s="153" t="n">
        <x:v>121.2354</x:v>
      </x:c>
      <x:c r="AD88" s="155" t="n">
        <x:v>45429</x:v>
      </x:c>
      <x:c r="AE88" s="154" t="n">
        <x:f>IFERROR(AC88/AC87-1,"")</x:f>
        <x:v>0.00009734078182788153</x:v>
      </x:c>
      <x:c r="AF88" s="153" t="n">
        <x:v>11.99</x:v>
      </x:c>
      <x:c r="AG88" s="155" t="n">
        <x:v>45429</x:v>
      </x:c>
      <x:c r="AH88" s="153" t="n">
        <x:f>IFERROR(AF88-AF87,"")</x:f>
        <x:v>-0.4299999999999997</x:v>
      </x:c>
      <x:c r="AI88" s="153" t="n">
        <x:v>5.33</x:v>
      </x:c>
      <x:c r="AJ88" s="155" t="n">
        <x:v>45429</x:v>
      </x:c>
      <x:c r="AK88" s="159" t="n">
        <x:v>130435</x:v>
      </x:c>
      <x:c r="AL88" s="154" t="n">
        <x:v>0.2494205969190289</x:v>
      </x:c>
      <x:c r="AM88" s="159" t="n">
        <x:v>-29559</x:v>
      </x:c>
      <x:c r="AN88" s="155" t="n">
        <x:v>45429</x:v>
      </x:c>
      <x:c r="AO88" s="159" t="n">
        <x:v>39696</x:v>
      </x:c>
      <x:c r="AP88" s="154" t="n">
        <x:v>0.2316377916917098</x:v>
      </x:c>
      <x:c r="AQ88" s="159" t="n">
        <x:v>-43900</x:v>
      </x:c>
      <x:c r="AR88" s="147" t="str">
        <x:v>美国市场指标与CFTC数据均使用严格早于上金所交易日的最后已发布值</x:v>
      </x:c>
    </x:row>
    <x:row r="89">
      <x:c r="A89" s="155" t="n">
        <x:v>45433</x:v>
      </x:c>
      <x:c r="B89" s="153" t="n">
        <x:v>572</x:v>
      </x:c>
      <x:c r="C89" s="153" t="n">
        <x:v>576</x:v>
      </x:c>
      <x:c r="D89" s="153" t="n">
        <x:v>566.3</x:v>
      </x:c>
      <x:c r="E89" s="153" t="n">
        <x:v>568.96</x:v>
      </x:c>
      <x:c r="F89" s="154" t="n">
        <x:f>IFERROR(E89/E88-1,"")</x:f>
        <x:v>-0.00843499477169729</x:v>
      </x:c>
      <x:c r="G89" s="154" t="n">
        <x:f>IFERROR((C89-D89)/E88,"")</x:f>
        <x:v>0.016904844893691262</x:v>
      </x:c>
      <x:c r="H89" s="153" t="n">
        <x:v>570.2</x:v>
      </x:c>
      <x:c r="I89" s="158" t="n">
        <x:v>6834.7</x:v>
      </x:c>
      <x:c r="J89" s="158" t="n">
        <x:v>3897162746.4</x:v>
      </x:c>
      <x:c r="K89" s="158"/>
      <x:c r="L89" s="153" t="n">
        <x:v>8190</x:v>
      </x:c>
      <x:c r="M89" s="153" t="n">
        <x:v>8697</x:v>
      </x:c>
      <x:c r="N89" s="153" t="n">
        <x:v>8078</x:v>
      </x:c>
      <x:c r="O89" s="153" t="n">
        <x:v>8260</x:v>
      </x:c>
      <x:c r="P89" s="154" t="n">
        <x:f>IFERROR(O89/O88-1,"")</x:f>
        <x:v>0.003889158969372808</x:v>
      </x:c>
      <x:c r="Q89" s="154" t="n">
        <x:f>IFERROR((M89-N89)/O88,"")</x:f>
        <x:v>0.07523091881380652</x:v>
      </x:c>
      <x:c r="R89" s="153" t="n">
        <x:v>8279</x:v>
      </x:c>
      <x:c r="S89" s="158" t="n">
        <x:v>1415848</x:v>
      </x:c>
      <x:c r="T89" s="158" t="n">
        <x:v>11722301738</x:v>
      </x:c>
      <x:c r="U89" s="158" t="n">
        <x:v>3660304</x:v>
      </x:c>
      <x:c r="V89" s="153" t="n">
        <x:f>IFERROR(E89*1000/O89,"")</x:f>
        <x:v>68.88135593220339</x:v>
      </x:c>
      <x:c r="W89" s="153" t="n">
        <x:v>4.44</x:v>
      </x:c>
      <x:c r="X89" s="155" t="n">
        <x:v>45432</x:v>
      </x:c>
      <x:c r="Y89" s="153" t="n">
        <x:v>2.11</x:v>
      </x:c>
      <x:c r="Z89" s="155" t="n">
        <x:v>45432</x:v>
      </x:c>
      <x:c r="AA89" s="153" t="n">
        <x:f>IFERROR(Y89-Y88,"")</x:f>
        <x:v>0.009999999999999787</x:v>
      </x:c>
      <x:c r="AB89" s="153" t="n">
        <x:v>2.33</x:v>
      </x:c>
      <x:c r="AC89" s="153" t="n">
        <x:v>121.2289</x:v>
      </x:c>
      <x:c r="AD89" s="155" t="n">
        <x:v>45432</x:v>
      </x:c>
      <x:c r="AE89" s="154" t="n">
        <x:f>IFERROR(AC89/AC88-1,"")</x:f>
        <x:v>-0.00005361470329623419</x:v>
      </x:c>
      <x:c r="AF89" s="153" t="n">
        <x:v>12.15</x:v>
      </x:c>
      <x:c r="AG89" s="155" t="n">
        <x:v>45432</x:v>
      </x:c>
      <x:c r="AH89" s="153" t="n">
        <x:f>IFERROR(AF89-AF88,"")</x:f>
        <x:v>0.16000000000000014</x:v>
      </x:c>
      <x:c r="AI89" s="153" t="n">
        <x:v>5.33</x:v>
      </x:c>
      <x:c r="AJ89" s="155" t="n">
        <x:v>45429</x:v>
      </x:c>
      <x:c r="AK89" s="159" t="n">
        <x:v>130435</x:v>
      </x:c>
      <x:c r="AL89" s="154" t="n">
        <x:v>0.2494205969190289</x:v>
      </x:c>
      <x:c r="AM89" s="159" t="n">
        <x:v>-29559</x:v>
      </x:c>
      <x:c r="AN89" s="155" t="n">
        <x:v>45429</x:v>
      </x:c>
      <x:c r="AO89" s="159" t="n">
        <x:v>39696</x:v>
      </x:c>
      <x:c r="AP89" s="154" t="n">
        <x:v>0.2316377916917098</x:v>
      </x:c>
      <x:c r="AQ89" s="159" t="n">
        <x:v>-43900</x:v>
      </x:c>
      <x:c r="AR89" s="147" t="str">
        <x:v>美国市场指标与CFTC数据均使用严格早于上金所交易日的最后已发布值</x:v>
      </x:c>
    </x:row>
    <x:row r="90">
      <x:c r="A90" s="155" t="n">
        <x:v>45434</x:v>
      </x:c>
      <x:c r="B90" s="153" t="n">
        <x:v>570.5</x:v>
      </x:c>
      <x:c r="C90" s="153" t="n">
        <x:v>572.5</x:v>
      </x:c>
      <x:c r="D90" s="153" t="n">
        <x:v>568.1</x:v>
      </x:c>
      <x:c r="E90" s="153" t="n">
        <x:v>568.6</x:v>
      </x:c>
      <x:c r="F90" s="154" t="n">
        <x:f>IFERROR(E90/E89-1,"")</x:f>
        <x:v>-0.0006327334083240377</x:v>
      </x:c>
      <x:c r="G90" s="154" t="n">
        <x:f>IFERROR((C90-D90)/E89,"")</x:f>
        <x:v>0.007733408323959465</x:v>
      </x:c>
      <x:c r="H90" s="153" t="n">
        <x:v>569.35</x:v>
      </x:c>
      <x:c r="I90" s="158" t="n">
        <x:v>7459.64</x:v>
      </x:c>
      <x:c r="J90" s="158" t="n">
        <x:v>4247155504</x:v>
      </x:c>
      <x:c r="K90" s="158"/>
      <x:c r="L90" s="153" t="n">
        <x:v>8272</x:v>
      </x:c>
      <x:c r="M90" s="153" t="n">
        <x:v>8487</x:v>
      </x:c>
      <x:c r="N90" s="153" t="n">
        <x:v>8230</x:v>
      </x:c>
      <x:c r="O90" s="153" t="n">
        <x:v>8313</x:v>
      </x:c>
      <x:c r="P90" s="154" t="n">
        <x:f>IFERROR(O90/O89-1,"")</x:f>
        <x:v>0.006416464891041196</x:v>
      </x:c>
      <x:c r="Q90" s="154" t="n">
        <x:f>IFERROR((M90-N90)/O89,"")</x:f>
        <x:v>0.031113801452784504</x:v>
      </x:c>
      <x:c r="R90" s="153" t="n">
        <x:v>8345</x:v>
      </x:c>
      <x:c r="S90" s="158" t="n">
        <x:v>609004</x:v>
      </x:c>
      <x:c r="T90" s="158" t="n">
        <x:v>5082277654</x:v>
      </x:c>
      <x:c r="U90" s="158" t="n">
        <x:v>3698048</x:v>
      </x:c>
      <x:c r="V90" s="153" t="n">
        <x:f>IFERROR(E90*1000/O90,"")</x:f>
        <x:v>68.39889329965115</x:v>
      </x:c>
      <x:c r="W90" s="153" t="n">
        <x:v>4.41</x:v>
      </x:c>
      <x:c r="X90" s="155" t="n">
        <x:v>45433</x:v>
      </x:c>
      <x:c r="Y90" s="153" t="n">
        <x:v>2.09</x:v>
      </x:c>
      <x:c r="Z90" s="155" t="n">
        <x:v>45433</x:v>
      </x:c>
      <x:c r="AA90" s="153" t="n">
        <x:f>IFERROR(Y90-Y89,"")</x:f>
        <x:v>-0.020000000000000018</x:v>
      </x:c>
      <x:c r="AB90" s="153" t="n">
        <x:v>2.32</x:v>
      </x:c>
      <x:c r="AC90" s="153" t="n">
        <x:v>121.3793</x:v>
      </x:c>
      <x:c r="AD90" s="155" t="n">
        <x:v>45433</x:v>
      </x:c>
      <x:c r="AE90" s="154" t="n">
        <x:f>IFERROR(AC90/AC89-1,"")</x:f>
        <x:v>0.0012406282660322177</x:v>
      </x:c>
      <x:c r="AF90" s="153" t="n">
        <x:v>11.86</x:v>
      </x:c>
      <x:c r="AG90" s="155" t="n">
        <x:v>45433</x:v>
      </x:c>
      <x:c r="AH90" s="153" t="n">
        <x:f>IFERROR(AF90-AF89,"")</x:f>
        <x:v>-0.2900000000000009</x:v>
      </x:c>
      <x:c r="AI90" s="153" t="n">
        <x:v>5.33</x:v>
      </x:c>
      <x:c r="AJ90" s="155" t="n">
        <x:v>45429</x:v>
      </x:c>
      <x:c r="AK90" s="159" t="n">
        <x:v>130435</x:v>
      </x:c>
      <x:c r="AL90" s="154" t="n">
        <x:v>0.2494205969190289</x:v>
      </x:c>
      <x:c r="AM90" s="159" t="n">
        <x:v>-29559</x:v>
      </x:c>
      <x:c r="AN90" s="155" t="n">
        <x:v>45429</x:v>
      </x:c>
      <x:c r="AO90" s="159" t="n">
        <x:v>39696</x:v>
      </x:c>
      <x:c r="AP90" s="154" t="n">
        <x:v>0.2316377916917098</x:v>
      </x:c>
      <x:c r="AQ90" s="159" t="n">
        <x:v>-43900</x:v>
      </x:c>
      <x:c r="AR90" s="147" t="str">
        <x:v>美国市场指标与CFTC数据均使用严格早于上金所交易日的最后已发布值</x:v>
      </x:c>
    </x:row>
    <x:row r="91">
      <x:c r="A91" s="155" t="n">
        <x:v>45435</x:v>
      </x:c>
      <x:c r="B91" s="153" t="n">
        <x:v>570</x:v>
      </x:c>
      <x:c r="C91" s="153" t="n">
        <x:v>570</x:v>
      </x:c>
      <x:c r="D91" s="153" t="n">
        <x:v>554</x:v>
      </x:c>
      <x:c r="E91" s="153" t="n">
        <x:v>556.72</x:v>
      </x:c>
      <x:c r="F91" s="154" t="n">
        <x:f>IFERROR(E91/E90-1,"")</x:f>
        <x:v>-0.020893422441083387</x:v>
      </x:c>
      <x:c r="G91" s="154" t="n">
        <x:f>IFERROR((C91-D91)/E90,"")</x:f>
        <x:v>0.028139289482940553</x:v>
      </x:c>
      <x:c r="H91" s="153" t="n">
        <x:v>557.02</x:v>
      </x:c>
      <x:c r="I91" s="158" t="n">
        <x:v>10204.94</x:v>
      </x:c>
      <x:c r="J91" s="158" t="n">
        <x:v>5684435692</x:v>
      </x:c>
      <x:c r="K91" s="158"/>
      <x:c r="L91" s="153" t="n">
        <x:v>8245</x:v>
      </x:c>
      <x:c r="M91" s="153" t="n">
        <x:v>8313</x:v>
      </x:c>
      <x:c r="N91" s="153" t="n">
        <x:v>7852</x:v>
      </x:c>
      <x:c r="O91" s="153" t="n">
        <x:v>7945</x:v>
      </x:c>
      <x:c r="P91" s="154" t="n">
        <x:f>IFERROR(O91/O90-1,"")</x:f>
        <x:v>-0.04426801395404789</x:v>
      </x:c>
      <x:c r="Q91" s="154" t="n">
        <x:f>IFERROR((M91-N91)/O90,"")</x:f>
        <x:v>0.055455310958739325</x:v>
      </x:c>
      <x:c r="R91" s="153" t="n">
        <x:v>8015</x:v>
      </x:c>
      <x:c r="S91" s="158" t="n">
        <x:v>670558</x:v>
      </x:c>
      <x:c r="T91" s="158" t="n">
        <x:v>5375039192</x:v>
      </x:c>
      <x:c r="U91" s="158" t="n">
        <x:v>3738298</x:v>
      </x:c>
      <x:c r="V91" s="153" t="n">
        <x:f>IFERROR(E91*1000/O91,"")</x:f>
        <x:v>70.07174323473883</x:v>
      </x:c>
      <x:c r="W91" s="153" t="n">
        <x:v>4.43</x:v>
      </x:c>
      <x:c r="X91" s="155" t="n">
        <x:v>45434</x:v>
      </x:c>
      <x:c r="Y91" s="153" t="n">
        <x:v>2.1</x:v>
      </x:c>
      <x:c r="Z91" s="155" t="n">
        <x:v>45434</x:v>
      </x:c>
      <x:c r="AA91" s="153" t="n">
        <x:f>IFERROR(Y91-Y90,"")</x:f>
        <x:v>0.010000000000000231</x:v>
      </x:c>
      <x:c r="AB91" s="153" t="n">
        <x:v>2.33</x:v>
      </x:c>
      <x:c r="AC91" s="153" t="n">
        <x:v>121.5462</x:v>
      </x:c>
      <x:c r="AD91" s="155" t="n">
        <x:v>45434</x:v>
      </x:c>
      <x:c r="AE91" s="154" t="n">
        <x:f>IFERROR(AC91/AC90-1,"")</x:f>
        <x:v>0.001375028526280797</x:v>
      </x:c>
      <x:c r="AF91" s="153" t="n">
        <x:v>12.29</x:v>
      </x:c>
      <x:c r="AG91" s="155" t="n">
        <x:v>45434</x:v>
      </x:c>
      <x:c r="AH91" s="153" t="n">
        <x:f>IFERROR(AF91-AF90,"")</x:f>
        <x:v>0.4299999999999997</x:v>
      </x:c>
      <x:c r="AI91" s="153" t="n">
        <x:v>5.33</x:v>
      </x:c>
      <x:c r="AJ91" s="155" t="n">
        <x:v>45429</x:v>
      </x:c>
      <x:c r="AK91" s="159" t="n">
        <x:v>130435</x:v>
      </x:c>
      <x:c r="AL91" s="154" t="n">
        <x:v>0.2494205969190289</x:v>
      </x:c>
      <x:c r="AM91" s="159" t="n">
        <x:v>-29559</x:v>
      </x:c>
      <x:c r="AN91" s="155" t="n">
        <x:v>45429</x:v>
      </x:c>
      <x:c r="AO91" s="159" t="n">
        <x:v>39696</x:v>
      </x:c>
      <x:c r="AP91" s="154" t="n">
        <x:v>0.2316377916917098</x:v>
      </x:c>
      <x:c r="AQ91" s="159" t="n">
        <x:v>-43900</x:v>
      </x:c>
      <x:c r="AR91" s="147" t="str">
        <x:v>美国市场指标与CFTC数据均使用严格早于上金所交易日的最后已发布值</x:v>
      </x:c>
    </x:row>
    <x:row r="92">
      <x:c r="A92" s="155" t="n">
        <x:v>45436</x:v>
      </x:c>
      <x:c r="B92" s="153" t="n">
        <x:v>556.54</x:v>
      </x:c>
      <x:c r="C92" s="153" t="n">
        <x:v>556.54</x:v>
      </x:c>
      <x:c r="D92" s="153" t="n">
        <x:v>547.52</x:v>
      </x:c>
      <x:c r="E92" s="153" t="n">
        <x:v>551.43</x:v>
      </x:c>
      <x:c r="F92" s="154" t="n">
        <x:f>IFERROR(E92/E91-1,"")</x:f>
        <x:v>-0.009502083632705993</x:v>
      </x:c>
      <x:c r="G92" s="154" t="n">
        <x:f>IFERROR((C92-D92)/E91,"")</x:f>
        <x:v>0.016202040523063625</x:v>
      </x:c>
      <x:c r="H92" s="153" t="n">
        <x:v>549.78</x:v>
      </x:c>
      <x:c r="I92" s="158" t="n">
        <x:v>11745.12</x:v>
      </x:c>
      <x:c r="J92" s="158" t="n">
        <x:v>6457244745.2</x:v>
      </x:c>
      <x:c r="K92" s="158"/>
      <x:c r="L92" s="153" t="n">
        <x:v>7967</x:v>
      </x:c>
      <x:c r="M92" s="153" t="n">
        <x:v>8057</x:v>
      </x:c>
      <x:c r="N92" s="153" t="n">
        <x:v>7828</x:v>
      </x:c>
      <x:c r="O92" s="153" t="n">
        <x:v>7995</x:v>
      </x:c>
      <x:c r="P92" s="154" t="n">
        <x:f>IFERROR(O92/O91-1,"")</x:f>
        <x:v>0.006293266205160464</x:v>
      </x:c>
      <x:c r="Q92" s="154" t="n">
        <x:f>IFERROR((M92-N92)/O91,"")</x:f>
        <x:v>0.02882315921963499</x:v>
      </x:c>
      <x:c r="R92" s="153" t="n">
        <x:v>7957</x:v>
      </x:c>
      <x:c r="S92" s="158" t="n">
        <x:v>621170</x:v>
      </x:c>
      <x:c r="T92" s="158" t="n">
        <x:v>4942994862</x:v>
      </x:c>
      <x:c r="U92" s="158" t="n">
        <x:v>3771304</x:v>
      </x:c>
      <x:c r="V92" s="153" t="n">
        <x:f>IFERROR(E92*1000/O92,"")</x:f>
        <x:v>68.9718574108818</x:v>
      </x:c>
      <x:c r="W92" s="153" t="n">
        <x:v>4.47</x:v>
      </x:c>
      <x:c r="X92" s="155" t="n">
        <x:v>45435</x:v>
      </x:c>
      <x:c r="Y92" s="153" t="n">
        <x:v>2.17</x:v>
      </x:c>
      <x:c r="Z92" s="155" t="n">
        <x:v>45435</x:v>
      </x:c>
      <x:c r="AA92" s="153" t="n">
        <x:f>IFERROR(Y92-Y91,"")</x:f>
        <x:v>0.06999999999999984</x:v>
      </x:c>
      <x:c r="AB92" s="153" t="n">
        <x:v>2.3</x:v>
      </x:c>
      <x:c r="AC92" s="153" t="n">
        <x:v>121.7477</x:v>
      </x:c>
      <x:c r="AD92" s="155" t="n">
        <x:v>45435</x:v>
      </x:c>
      <x:c r="AE92" s="154" t="n">
        <x:f>IFERROR(AC92/AC91-1,"")</x:f>
        <x:v>0.001657805838438442</x:v>
      </x:c>
      <x:c r="AF92" s="153" t="n">
        <x:v>12.77</x:v>
      </x:c>
      <x:c r="AG92" s="155" t="n">
        <x:v>45435</x:v>
      </x:c>
      <x:c r="AH92" s="153" t="n">
        <x:f>IFERROR(AF92-AF91,"")</x:f>
        <x:v>0.4800000000000004</x:v>
      </x:c>
      <x:c r="AI92" s="153" t="n">
        <x:v>5.33</x:v>
      </x:c>
      <x:c r="AJ92" s="155" t="n">
        <x:v>45429</x:v>
      </x:c>
      <x:c r="AK92" s="159" t="n">
        <x:v>130435</x:v>
      </x:c>
      <x:c r="AL92" s="154" t="n">
        <x:v>0.2494205969190289</x:v>
      </x:c>
      <x:c r="AM92" s="159" t="n">
        <x:v>-29559</x:v>
      </x:c>
      <x:c r="AN92" s="155" t="n">
        <x:v>45429</x:v>
      </x:c>
      <x:c r="AO92" s="159" t="n">
        <x:v>39696</x:v>
      </x:c>
      <x:c r="AP92" s="154" t="n">
        <x:v>0.2316377916917098</x:v>
      </x:c>
      <x:c r="AQ92" s="159" t="n">
        <x:v>-43900</x:v>
      </x:c>
      <x:c r="AR92" s="147" t="str">
        <x:v>美国市场指标与CFTC数据均使用严格早于上金所交易日的最后已发布值</x:v>
      </x:c>
    </x:row>
    <x:row r="93">
      <x:c r="A93" s="155" t="n">
        <x:v>45439</x:v>
      </x:c>
      <x:c r="B93" s="153" t="n">
        <x:v>551</x:v>
      </x:c>
      <x:c r="C93" s="153" t="n">
        <x:v>554.98</x:v>
      </x:c>
      <x:c r="D93" s="153" t="n">
        <x:v>550.83</x:v>
      </x:c>
      <x:c r="E93" s="153" t="n">
        <x:v>551.6</x:v>
      </x:c>
      <x:c r="F93" s="154" t="n">
        <x:f>IFERROR(E93/E92-1,"")</x:f>
        <x:v>0.00030828935676341374</x:v>
      </x:c>
      <x:c r="G93" s="154" t="n">
        <x:f>IFERROR((C93-D93)/E92,"")</x:f>
        <x:v>0.007525887238634056</x:v>
      </x:c>
      <x:c r="H93" s="153" t="n">
        <x:v>552.7</x:v>
      </x:c>
      <x:c r="I93" s="158" t="n">
        <x:v>10694.58</x:v>
      </x:c>
      <x:c r="J93" s="158" t="n">
        <x:v>5910991530.4</x:v>
      </x:c>
      <x:c r="K93" s="158"/>
      <x:c r="L93" s="153" t="n">
        <x:v>8001</x:v>
      </x:c>
      <x:c r="M93" s="153" t="n">
        <x:v>8136</x:v>
      </x:c>
      <x:c r="N93" s="153" t="n">
        <x:v>7915</x:v>
      </x:c>
      <x:c r="O93" s="153" t="n">
        <x:v>8077</x:v>
      </x:c>
      <x:c r="P93" s="154" t="n">
        <x:f>IFERROR(O93/O92-1,"")</x:f>
        <x:v>0.01025641025641022</x:v>
      </x:c>
      <x:c r="Q93" s="154" t="n">
        <x:f>IFERROR((M93-N93)/O92,"")</x:f>
        <x:v>0.027642276422764227</x:v>
      </x:c>
      <x:c r="R93" s="153" t="n">
        <x:v>8039</x:v>
      </x:c>
      <x:c r="S93" s="158" t="n">
        <x:v>413020</x:v>
      </x:c>
      <x:c r="T93" s="158" t="n">
        <x:v>3320318728</x:v>
      </x:c>
      <x:c r="U93" s="158" t="n">
        <x:v>3858144</x:v>
      </x:c>
      <x:c r="V93" s="153" t="n">
        <x:f>IFERROR(E93*1000/O93,"")</x:f>
        <x:v>68.29268292682927</x:v>
      </x:c>
      <x:c r="W93" s="153" t="n">
        <x:v>4.46</x:v>
      </x:c>
      <x:c r="X93" s="155" t="n">
        <x:v>45436</x:v>
      </x:c>
      <x:c r="Y93" s="153" t="n">
        <x:v>2.14</x:v>
      </x:c>
      <x:c r="Z93" s="155" t="n">
        <x:v>45436</x:v>
      </x:c>
      <x:c r="AA93" s="153" t="n">
        <x:f>IFERROR(Y93-Y92,"")</x:f>
        <x:v>-0.029999999999999805</x:v>
      </x:c>
      <x:c r="AB93" s="153" t="n">
        <x:v>2.32</x:v>
      </x:c>
      <x:c r="AC93" s="153" t="n">
        <x:v>121.6172</x:v>
      </x:c>
      <x:c r="AD93" s="155" t="n">
        <x:v>45436</x:v>
      </x:c>
      <x:c r="AE93" s="154" t="n">
        <x:f>IFERROR(AC93/AC92-1,"")</x:f>
        <x:v>-0.001071888832396839</x:v>
      </x:c>
      <x:c r="AF93" s="153" t="n">
        <x:v>11.93</x:v>
      </x:c>
      <x:c r="AG93" s="155" t="n">
        <x:v>45436</x:v>
      </x:c>
      <x:c r="AH93" s="153" t="n">
        <x:f>IFERROR(AF93-AF92,"")</x:f>
        <x:v>-0.8399999999999999</x:v>
      </x:c>
      <x:c r="AI93" s="153" t="n">
        <x:v>5.33</x:v>
      </x:c>
      <x:c r="AJ93" s="155" t="n">
        <x:v>45436</x:v>
      </x:c>
      <x:c r="AK93" s="159" t="n">
        <x:v>148523</x:v>
      </x:c>
      <x:c r="AL93" s="154" t="n">
        <x:v>0.27991993833291556</x:v>
      </x:c>
      <x:c r="AM93" s="159" t="n">
        <x:v>-36970</x:v>
      </x:c>
      <x:c r="AN93" s="155" t="n">
        <x:v>45436</x:v>
      </x:c>
      <x:c r="AO93" s="159" t="n">
        <x:v>36170</x:v>
      </x:c>
      <x:c r="AP93" s="154" t="n">
        <x:v>0.19347936558880954</x:v>
      </x:c>
      <x:c r="AQ93" s="159" t="n">
        <x:v>-42699</x:v>
      </x:c>
      <x:c r="AR93" s="147" t="str">
        <x:v>美国市场指标与CFTC数据均使用严格早于上金所交易日的最后已发布值</x:v>
      </x:c>
    </x:row>
    <x:row r="94">
      <x:c r="A94" s="155" t="n">
        <x:v>45440</x:v>
      </x:c>
      <x:c r="B94" s="153" t="n">
        <x:v>553</x:v>
      </x:c>
      <x:c r="C94" s="153" t="n">
        <x:v>556.3</x:v>
      </x:c>
      <x:c r="D94" s="153" t="n">
        <x:v>552.5</x:v>
      </x:c>
      <x:c r="E94" s="153" t="n">
        <x:v>552.7</x:v>
      </x:c>
      <x:c r="F94" s="154" t="n">
        <x:f>IFERROR(E94/E93-1,"")</x:f>
        <x:v>0.001994198694706295</x:v>
      </x:c>
      <x:c r="G94" s="154" t="n">
        <x:f>IFERROR((C94-D94)/E93,"")</x:f>
        <x:v>0.006889050036258075</x:v>
      </x:c>
      <x:c r="H94" s="153" t="n">
        <x:v>554.85</x:v>
      </x:c>
      <x:c r="I94" s="158" t="n">
        <x:v>8898.5</x:v>
      </x:c>
      <x:c r="J94" s="158" t="n">
        <x:v>4937408182.8</x:v>
      </x:c>
      <x:c r="K94" s="158"/>
      <x:c r="L94" s="153" t="n">
        <x:v>8090</x:v>
      </x:c>
      <x:c r="M94" s="153" t="n">
        <x:v>8420</x:v>
      </x:c>
      <x:c r="N94" s="153" t="n">
        <x:v>8082</x:v>
      </x:c>
      <x:c r="O94" s="153" t="n">
        <x:v>8281</x:v>
      </x:c>
      <x:c r="P94" s="154" t="n">
        <x:f>IFERROR(O94/O93-1,"")</x:f>
        <x:v>0.025256902315216045</x:v>
      </x:c>
      <x:c r="Q94" s="154" t="n">
        <x:f>IFERROR((M94-N94)/O93,"")</x:f>
        <x:v>0.04184722050266188</x:v>
      </x:c>
      <x:c r="R94" s="153" t="n">
        <x:v>8295</x:v>
      </x:c>
      <x:c r="S94" s="158" t="n">
        <x:v>951440</x:v>
      </x:c>
      <x:c r="T94" s="158" t="n">
        <x:v>7892718304</x:v>
      </x:c>
      <x:c r="U94" s="158" t="n">
        <x:v>3787042</x:v>
      </x:c>
      <x:c r="V94" s="153" t="n">
        <x:f>IFERROR(E94*1000/O94,"")</x:f>
        <x:v>66.74314696292718</x:v>
      </x:c>
      <x:c r="W94" s="153" t="n">
        <x:v>4.46</x:v>
      </x:c>
      <x:c r="X94" s="155" t="n">
        <x:v>45436</x:v>
      </x:c>
      <x:c r="Y94" s="153" t="n">
        <x:v>2.14</x:v>
      </x:c>
      <x:c r="Z94" s="155" t="n">
        <x:v>45436</x:v>
      </x:c>
      <x:c r="AA94" s="153" t="n">
        <x:f>IFERROR(Y94-Y93,"")</x:f>
        <x:v>0</x:v>
      </x:c>
      <x:c r="AB94" s="153" t="n">
        <x:v>2.32</x:v>
      </x:c>
      <x:c r="AC94" s="153" t="n">
        <x:v>121.6172</x:v>
      </x:c>
      <x:c r="AD94" s="155" t="n">
        <x:v>45436</x:v>
      </x:c>
      <x:c r="AE94" s="154" t="n">
        <x:f>IFERROR(AC94/AC93-1,"")</x:f>
        <x:v>0</x:v>
      </x:c>
      <x:c r="AF94" s="153" t="n">
        <x:v>12.36</x:v>
      </x:c>
      <x:c r="AG94" s="155" t="n">
        <x:v>45439</x:v>
      </x:c>
      <x:c r="AH94" s="153" t="n">
        <x:f>IFERROR(AF94-AF93,"")</x:f>
        <x:v>0.4299999999999997</x:v>
      </x:c>
      <x:c r="AI94" s="153" t="n">
        <x:v>5.33</x:v>
      </x:c>
      <x:c r="AJ94" s="155" t="n">
        <x:v>45436</x:v>
      </x:c>
      <x:c r="AK94" s="159" t="n">
        <x:v>148523</x:v>
      </x:c>
      <x:c r="AL94" s="154" t="n">
        <x:v>0.27991993833291556</x:v>
      </x:c>
      <x:c r="AM94" s="159" t="n">
        <x:v>-36970</x:v>
      </x:c>
      <x:c r="AN94" s="155" t="n">
        <x:v>45436</x:v>
      </x:c>
      <x:c r="AO94" s="159" t="n">
        <x:v>36170</x:v>
      </x:c>
      <x:c r="AP94" s="154" t="n">
        <x:v>0.19347936558880954</x:v>
      </x:c>
      <x:c r="AQ94" s="159" t="n">
        <x:v>-42699</x:v>
      </x:c>
      <x:c r="AR94" s="147" t="str">
        <x:v>美国市场指标与CFTC数据均使用严格早于上金所交易日的最后已发布值</x:v>
      </x:c>
    </x:row>
    <x:row r="95">
      <x:c r="A95" s="155" t="n">
        <x:v>45441</x:v>
      </x:c>
      <x:c r="B95" s="153" t="n">
        <x:v>556</x:v>
      </x:c>
      <x:c r="C95" s="153" t="n">
        <x:v>558</x:v>
      </x:c>
      <x:c r="D95" s="153" t="n">
        <x:v>554.9</x:v>
      </x:c>
      <x:c r="E95" s="153" t="n">
        <x:v>555.76</x:v>
      </x:c>
      <x:c r="F95" s="154" t="n">
        <x:f>IFERROR(E95/E94-1,"")</x:f>
        <x:v>0.005536457390989513</x:v>
      </x:c>
      <x:c r="G95" s="154" t="n">
        <x:f>IFERROR((C95-D95)/E94,"")</x:f>
        <x:v>0.005608829383028808</x:v>
      </x:c>
      <x:c r="H95" s="153" t="n">
        <x:v>556.24</x:v>
      </x:c>
      <x:c r="I95" s="158" t="n">
        <x:v>8848.48</x:v>
      </x:c>
      <x:c r="J95" s="158" t="n">
        <x:v>4921962521.2</x:v>
      </x:c>
      <x:c r="K95" s="158"/>
      <x:c r="L95" s="153" t="n">
        <x:v>8303</x:v>
      </x:c>
      <x:c r="M95" s="153" t="n">
        <x:v>8515</x:v>
      </x:c>
      <x:c r="N95" s="153" t="n">
        <x:v>8270</x:v>
      </x:c>
      <x:c r="O95" s="153" t="n">
        <x:v>8473</x:v>
      </x:c>
      <x:c r="P95" s="154" t="n">
        <x:f>IFERROR(O95/O94-1,"")</x:f>
        <x:v>0.023185605603188053</x:v>
      </x:c>
      <x:c r="Q95" s="154" t="n">
        <x:f>IFERROR((M95-N95)/O94,"")</x:f>
        <x:v>0.029585798816568046</x:v>
      </x:c>
      <x:c r="R95" s="153" t="n">
        <x:v>8414</x:v>
      </x:c>
      <x:c r="S95" s="158" t="n">
        <x:v>669256</x:v>
      </x:c>
      <x:c r="T95" s="158" t="n">
        <x:v>5631619820</x:v>
      </x:c>
      <x:c r="U95" s="158" t="n">
        <x:v>3800576</x:v>
      </x:c>
      <x:c r="V95" s="153" t="n">
        <x:f>IFERROR(E95*1000/O95,"")</x:f>
        <x:v>65.59188008969669</x:v>
      </x:c>
      <x:c r="W95" s="153" t="n">
        <x:v>4.54</x:v>
      </x:c>
      <x:c r="X95" s="155" t="n">
        <x:v>45440</x:v>
      </x:c>
      <x:c r="Y95" s="153" t="n">
        <x:v>2.2</x:v>
      </x:c>
      <x:c r="Z95" s="155" t="n">
        <x:v>45440</x:v>
      </x:c>
      <x:c r="AA95" s="153" t="n">
        <x:f>IFERROR(Y95-Y94,"")</x:f>
        <x:v>0.06000000000000005</x:v>
      </x:c>
      <x:c r="AB95" s="153" t="n">
        <x:v>2.34</x:v>
      </x:c>
      <x:c r="AC95" s="153" t="n">
        <x:v>121.43</x:v>
      </x:c>
      <x:c r="AD95" s="155" t="n">
        <x:v>45440</x:v>
      </x:c>
      <x:c r="AE95" s="154" t="n">
        <x:f>IFERROR(AC95/AC94-1,"")</x:f>
        <x:v>-0.0015392559605055256</x:v>
      </x:c>
      <x:c r="AF95" s="153" t="n">
        <x:v>12.92</x:v>
      </x:c>
      <x:c r="AG95" s="155" t="n">
        <x:v>45440</x:v>
      </x:c>
      <x:c r="AH95" s="153" t="n">
        <x:f>IFERROR(AF95-AF94,"")</x:f>
        <x:v>0.5600000000000005</x:v>
      </x:c>
      <x:c r="AI95" s="153" t="n">
        <x:v>5.33</x:v>
      </x:c>
      <x:c r="AJ95" s="155" t="n">
        <x:v>45436</x:v>
      </x:c>
      <x:c r="AK95" s="159" t="n">
        <x:v>148523</x:v>
      </x:c>
      <x:c r="AL95" s="154" t="n">
        <x:v>0.27991993833291556</x:v>
      </x:c>
      <x:c r="AM95" s="159" t="n">
        <x:v>-36970</x:v>
      </x:c>
      <x:c r="AN95" s="155" t="n">
        <x:v>45436</x:v>
      </x:c>
      <x:c r="AO95" s="159" t="n">
        <x:v>36170</x:v>
      </x:c>
      <x:c r="AP95" s="154" t="n">
        <x:v>0.19347936558880954</x:v>
      </x:c>
      <x:c r="AQ95" s="159" t="n">
        <x:v>-42699</x:v>
      </x:c>
      <x:c r="AR95" s="147" t="str">
        <x:v>美国市场指标与CFTC数据均使用严格早于上金所交易日的最后已发布值</x:v>
      </x:c>
    </x:row>
    <x:row r="96">
      <x:c r="A96" s="155" t="n">
        <x:v>45442</x:v>
      </x:c>
      <x:c r="B96" s="153" t="n">
        <x:v>555</x:v>
      </x:c>
      <x:c r="C96" s="153" t="n">
        <x:v>555</x:v>
      </x:c>
      <x:c r="D96" s="153" t="n">
        <x:v>548.5</x:v>
      </x:c>
      <x:c r="E96" s="153" t="n">
        <x:v>551.72</x:v>
      </x:c>
      <x:c r="F96" s="154" t="n">
        <x:f>IFERROR(E96/E95-1,"")</x:f>
        <x:v>-0.007269324888441009</x:v>
      </x:c>
      <x:c r="G96" s="154" t="n">
        <x:f>IFERROR((C96-D96)/E95,"")</x:f>
        <x:v>0.011695695983877933</x:v>
      </x:c>
      <x:c r="H96" s="153" t="n">
        <x:v>550.97</x:v>
      </x:c>
      <x:c r="I96" s="158" t="n">
        <x:v>8561.86</x:v>
      </x:c>
      <x:c r="J96" s="158" t="n">
        <x:v>4717360759.4</x:v>
      </x:c>
      <x:c r="K96" s="158"/>
      <x:c r="L96" s="153" t="n">
        <x:v>8433</x:v>
      </x:c>
      <x:c r="M96" s="153" t="n">
        <x:v>8489</x:v>
      </x:c>
      <x:c r="N96" s="153" t="n">
        <x:v>8168</x:v>
      </x:c>
      <x:c r="O96" s="153" t="n">
        <x:v>8282</x:v>
      </x:c>
      <x:c r="P96" s="154" t="n">
        <x:f>IFERROR(O96/O95-1,"")</x:f>
        <x:v>-0.022542192847869735</x:v>
      </x:c>
      <x:c r="Q96" s="154" t="n">
        <x:f>IFERROR((M96-N96)/O95,"")</x:f>
        <x:v>0.03788504661867107</x:v>
      </x:c>
      <x:c r="R96" s="153" t="n">
        <x:v>8300</x:v>
      </x:c>
      <x:c r="S96" s="158" t="n">
        <x:v>599484</x:v>
      </x:c>
      <x:c r="T96" s="158" t="n">
        <x:v>4976029254</x:v>
      </x:c>
      <x:c r="U96" s="158" t="n">
        <x:v>3720426</x:v>
      </x:c>
      <x:c r="V96" s="153" t="n">
        <x:f>IFERROR(E96*1000/O96,"")</x:f>
        <x:v>66.6167592368993</x:v>
      </x:c>
      <x:c r="W96" s="153" t="n">
        <x:v>4.61</x:v>
      </x:c>
      <x:c r="X96" s="155" t="n">
        <x:v>45441</x:v>
      </x:c>
      <x:c r="Y96" s="153" t="n">
        <x:v>2.25</x:v>
      </x:c>
      <x:c r="Z96" s="155" t="n">
        <x:v>45441</x:v>
      </x:c>
      <x:c r="AA96" s="153" t="n">
        <x:f>IFERROR(Y96-Y95,"")</x:f>
        <x:v>0.04999999999999982</x:v>
      </x:c>
      <x:c r="AB96" s="153" t="n">
        <x:v>2.36</x:v>
      </x:c>
      <x:c r="AC96" s="153" t="n">
        <x:v>122.1641</x:v>
      </x:c>
      <x:c r="AD96" s="155" t="n">
        <x:v>45441</x:v>
      </x:c>
      <x:c r="AE96" s="154" t="n">
        <x:f>IFERROR(AC96/AC95-1,"")</x:f>
        <x:v>0.006045458288725936</x:v>
      </x:c>
      <x:c r="AF96" s="153" t="n">
        <x:v>14.28</x:v>
      </x:c>
      <x:c r="AG96" s="155" t="n">
        <x:v>45441</x:v>
      </x:c>
      <x:c r="AH96" s="153" t="n">
        <x:f>IFERROR(AF96-AF95,"")</x:f>
        <x:v>1.3599999999999994</x:v>
      </x:c>
      <x:c r="AI96" s="153" t="n">
        <x:v>5.33</x:v>
      </x:c>
      <x:c r="AJ96" s="155" t="n">
        <x:v>45436</x:v>
      </x:c>
      <x:c r="AK96" s="159" t="n">
        <x:v>148523</x:v>
      </x:c>
      <x:c r="AL96" s="154" t="n">
        <x:v>0.27991993833291556</x:v>
      </x:c>
      <x:c r="AM96" s="159" t="n">
        <x:v>-36970</x:v>
      </x:c>
      <x:c r="AN96" s="155" t="n">
        <x:v>45436</x:v>
      </x:c>
      <x:c r="AO96" s="159" t="n">
        <x:v>36170</x:v>
      </x:c>
      <x:c r="AP96" s="154" t="n">
        <x:v>0.19347936558880954</x:v>
      </x:c>
      <x:c r="AQ96" s="159" t="n">
        <x:v>-42699</x:v>
      </x:c>
      <x:c r="AR96" s="147" t="str">
        <x:v>美国市场指标与CFTC数据均使用严格早于上金所交易日的最后已发布值</x:v>
      </x:c>
    </x:row>
    <x:row r="97">
      <x:c r="A97" s="155" t="n">
        <x:v>45443</x:v>
      </x:c>
      <x:c r="B97" s="153" t="n">
        <x:v>551.5</x:v>
      </x:c>
      <x:c r="C97" s="153" t="n">
        <x:v>558.3</x:v>
      </x:c>
      <x:c r="D97" s="153" t="n">
        <x:v>551.5</x:v>
      </x:c>
      <x:c r="E97" s="153" t="n">
        <x:v>553.6</x:v>
      </x:c>
      <x:c r="F97" s="154" t="n">
        <x:f>IFERROR(E97/E96-1,"")</x:f>
        <x:v>0.0034075255564416373</x:v>
      </x:c>
      <x:c r="G97" s="154" t="n">
        <x:f>IFERROR((C97-D97)/E96,"")</x:f>
        <x:v>0.012325092438193203</x:v>
      </x:c>
      <x:c r="H97" s="153" t="n">
        <x:v>552.99</x:v>
      </x:c>
      <x:c r="I97" s="158" t="n">
        <x:v>7702.46</x:v>
      </x:c>
      <x:c r="J97" s="158" t="n">
        <x:v>4259430313</x:v>
      </x:c>
      <x:c r="K97" s="158"/>
      <x:c r="L97" s="153" t="n">
        <x:v>8225</x:v>
      </x:c>
      <x:c r="M97" s="153" t="n">
        <x:v>8358</x:v>
      </x:c>
      <x:c r="N97" s="153" t="n">
        <x:v>8095</x:v>
      </x:c>
      <x:c r="O97" s="153" t="n">
        <x:v>8212</x:v>
      </x:c>
      <x:c r="P97" s="154" t="n">
        <x:f>IFERROR(O97/O96-1,"")</x:f>
        <x:v>-0.008452064718666996</x:v>
      </x:c>
      <x:c r="Q97" s="154" t="n">
        <x:f>IFERROR((M97-N97)/O96,"")</x:f>
        <x:v>0.03175561458584883</x:v>
      </x:c>
      <x:c r="R97" s="153" t="n">
        <x:v>8211</x:v>
      </x:c>
      <x:c r="S97" s="158" t="n">
        <x:v>562684</x:v>
      </x:c>
      <x:c r="T97" s="158" t="n">
        <x:v>4620745270</x:v>
      </x:c>
      <x:c r="U97" s="158" t="n">
        <x:v>3757120</x:v>
      </x:c>
      <x:c r="V97" s="153" t="n">
        <x:f>IFERROR(E97*1000/O97,"")</x:f>
        <x:v>67.4135411592791</x:v>
      </x:c>
      <x:c r="W97" s="153" t="n">
        <x:v>4.55</x:v>
      </x:c>
      <x:c r="X97" s="155" t="n">
        <x:v>45442</x:v>
      </x:c>
      <x:c r="Y97" s="153" t="n">
        <x:v>2.19</x:v>
      </x:c>
      <x:c r="Z97" s="155" t="n">
        <x:v>45442</x:v>
      </x:c>
      <x:c r="AA97" s="153" t="n">
        <x:f>IFERROR(Y97-Y96,"")</x:f>
        <x:v>-0.06000000000000005</x:v>
      </x:c>
      <x:c r="AB97" s="153" t="n">
        <x:v>2.36</x:v>
      </x:c>
      <x:c r="AC97" s="153" t="n">
        <x:v>121.9601</x:v>
      </x:c>
      <x:c r="AD97" s="155" t="n">
        <x:v>45442</x:v>
      </x:c>
      <x:c r="AE97" s="154" t="n">
        <x:f>IFERROR(AC97/AC96-1,"")</x:f>
        <x:v>-0.0016698850153196165</x:v>
      </x:c>
      <x:c r="AF97" s="153" t="n">
        <x:v>14.47</x:v>
      </x:c>
      <x:c r="AG97" s="155" t="n">
        <x:v>45442</x:v>
      </x:c>
      <x:c r="AH97" s="153" t="n">
        <x:f>IFERROR(AF97-AF96,"")</x:f>
        <x:v>0.19000000000000128</x:v>
      </x:c>
      <x:c r="AI97" s="153" t="n">
        <x:v>5.33</x:v>
      </x:c>
      <x:c r="AJ97" s="155" t="n">
        <x:v>45436</x:v>
      </x:c>
      <x:c r="AK97" s="159" t="n">
        <x:v>148523</x:v>
      </x:c>
      <x:c r="AL97" s="154" t="n">
        <x:v>0.27991993833291556</x:v>
      </x:c>
      <x:c r="AM97" s="159" t="n">
        <x:v>-36970</x:v>
      </x:c>
      <x:c r="AN97" s="155" t="n">
        <x:v>45436</x:v>
      </x:c>
      <x:c r="AO97" s="159" t="n">
        <x:v>36170</x:v>
      </x:c>
      <x:c r="AP97" s="154" t="n">
        <x:v>0.19347936558880954</x:v>
      </x:c>
      <x:c r="AQ97" s="159" t="n">
        <x:v>-42699</x:v>
      </x:c>
      <x:c r="AR97" s="147" t="str">
        <x:v>美国市场指标与CFTC数据均使用严格早于上金所交易日的最后已发布值</x:v>
      </x:c>
    </x:row>
    <x:row r="98">
      <x:c r="A98" s="155" t="n">
        <x:v>45446</x:v>
      </x:c>
      <x:c r="B98" s="153" t="n">
        <x:v>553.5</x:v>
      </x:c>
      <x:c r="C98" s="153" t="n">
        <x:v>556.5</x:v>
      </x:c>
      <x:c r="D98" s="153" t="n">
        <x:v>546.38</x:v>
      </x:c>
      <x:c r="E98" s="153" t="n">
        <x:v>549.19</x:v>
      </x:c>
      <x:c r="F98" s="154" t="n">
        <x:f>IFERROR(E98/E97-1,"")</x:f>
        <x:v>-0.00796604046242766</x:v>
      </x:c>
      <x:c r="G98" s="154" t="n">
        <x:f>IFERROR((C98-D98)/E97,"")</x:f>
        <x:v>0.018280346820809257</x:v>
      </x:c>
      <x:c r="H98" s="153" t="n">
        <x:v>549.1</x:v>
      </x:c>
      <x:c r="I98" s="158" t="n">
        <x:v>10866.54</x:v>
      </x:c>
      <x:c r="J98" s="158" t="n">
        <x:v>5966853077.2</x:v>
      </x:c>
      <x:c r="K98" s="158"/>
      <x:c r="L98" s="153" t="n">
        <x:v>8247</x:v>
      </x:c>
      <x:c r="M98" s="153" t="n">
        <x:v>8366</x:v>
      </x:c>
      <x:c r="N98" s="153" t="n">
        <x:v>7811</x:v>
      </x:c>
      <x:c r="O98" s="153" t="n">
        <x:v>7951</x:v>
      </x:c>
      <x:c r="P98" s="154" t="n">
        <x:f>IFERROR(O98/O97-1,"")</x:f>
        <x:v>-0.03178275694106181</x:v>
      </x:c>
      <x:c r="Q98" s="154" t="n">
        <x:f>IFERROR((M98-N98)/O97,"")</x:f>
        <x:v>0.0675840233804189</x:v>
      </x:c>
      <x:c r="R98" s="153" t="n">
        <x:v>8027</x:v>
      </x:c>
      <x:c r="S98" s="158" t="n">
        <x:v>591928</x:v>
      </x:c>
      <x:c r="T98" s="158" t="n">
        <x:v>4751709600</x:v>
      </x:c>
      <x:c r="U98" s="158" t="n">
        <x:v>3713030</x:v>
      </x:c>
      <x:c r="V98" s="153" t="n">
        <x:f>IFERROR(E98*1000/O98,"")</x:f>
        <x:v>69.07181486605458</x:v>
      </x:c>
      <x:c r="W98" s="153" t="n">
        <x:v>4.51</x:v>
      </x:c>
      <x:c r="X98" s="155" t="n">
        <x:v>45443</x:v>
      </x:c>
      <x:c r="Y98" s="153" t="n">
        <x:v>2.16</x:v>
      </x:c>
      <x:c r="Z98" s="155" t="n">
        <x:v>45443</x:v>
      </x:c>
      <x:c r="AA98" s="153" t="n">
        <x:f>IFERROR(Y98-Y97,"")</x:f>
        <x:v>-0.029999999999999805</x:v>
      </x:c>
      <x:c r="AB98" s="153" t="n">
        <x:v>2.35</x:v>
      </x:c>
      <x:c r="AC98" s="153" t="n">
        <x:v>122.098</x:v>
      </x:c>
      <x:c r="AD98" s="155" t="n">
        <x:v>45443</x:v>
      </x:c>
      <x:c r="AE98" s="154" t="n">
        <x:f>IFERROR(AC98/AC97-1,"")</x:f>
        <x:v>0.001130697662596214</x:v>
      </x:c>
      <x:c r="AF98" s="153" t="n">
        <x:v>12.92</x:v>
      </x:c>
      <x:c r="AG98" s="155" t="n">
        <x:v>45443</x:v>
      </x:c>
      <x:c r="AH98" s="153" t="n">
        <x:f>IFERROR(AF98-AF97,"")</x:f>
        <x:v>-1.5500000000000007</x:v>
      </x:c>
      <x:c r="AI98" s="153" t="n">
        <x:v>5.33</x:v>
      </x:c>
      <x:c r="AJ98" s="155" t="n">
        <x:v>45443</x:v>
      </x:c>
      <x:c r="AK98" s="159" t="n">
        <x:v>148828</x:v>
      </x:c>
      <x:c r="AL98" s="154" t="n">
        <x:v>0.3065900335784768</x:v>
      </x:c>
      <x:c r="AM98" s="159" t="n">
        <x:v>-40644</x:v>
      </x:c>
      <x:c r="AN98" s="155" t="n">
        <x:v>45443</x:v>
      </x:c>
      <x:c r="AO98" s="159" t="n">
        <x:v>37755</x:v>
      </x:c>
      <x:c r="AP98" s="154" t="n">
        <x:v>0.20425110632634733</x:v>
      </x:c>
      <x:c r="AQ98" s="159" t="n">
        <x:v>-43243</x:v>
      </x:c>
      <x:c r="AR98" s="147" t="str">
        <x:v>美国市场指标与CFTC数据均使用严格早于上金所交易日的最后已发布值</x:v>
      </x:c>
    </x:row>
    <x:row r="99">
      <x:c r="A99" s="155" t="n">
        <x:v>45447</x:v>
      </x:c>
      <x:c r="B99" s="153" t="n">
        <x:v>550</x:v>
      </x:c>
      <x:c r="C99" s="153" t="n">
        <x:v>554.8</x:v>
      </x:c>
      <x:c r="D99" s="153" t="n">
        <x:v>550</x:v>
      </x:c>
      <x:c r="E99" s="153" t="n">
        <x:v>553.49</x:v>
      </x:c>
      <x:c r="F99" s="154" t="n">
        <x:f>IFERROR(E99/E98-1,"")</x:f>
        <x:v>0.007829712849833248</x:v>
      </x:c>
      <x:c r="G99" s="154" t="n">
        <x:f>IFERROR((C99-D99)/E98,"")</x:f>
        <x:v>0.00874014457655812</x:v>
      </x:c>
      <x:c r="H99" s="153" t="n">
        <x:v>553.84</x:v>
      </x:c>
      <x:c r="I99" s="158" t="n">
        <x:v>9205.42</x:v>
      </x:c>
      <x:c r="J99" s="158" t="n">
        <x:v>5098370593.8</x:v>
      </x:c>
      <x:c r="K99" s="158"/>
      <x:c r="L99" s="153" t="n">
        <x:v>8000</x:v>
      </x:c>
      <x:c r="M99" s="153" t="n">
        <x:v>8098</x:v>
      </x:c>
      <x:c r="N99" s="153" t="n">
        <x:v>7921</x:v>
      </x:c>
      <x:c r="O99" s="153" t="n">
        <x:v>8045</x:v>
      </x:c>
      <x:c r="P99" s="154" t="n">
        <x:f>IFERROR(O99/O98-1,"")</x:f>
        <x:v>0.011822412275185545</x:v>
      </x:c>
      <x:c r="Q99" s="154" t="n">
        <x:f>IFERROR((M99-N99)/O98,"")</x:f>
        <x:v>0.02226135077348761</x:v>
      </x:c>
      <x:c r="R99" s="153" t="n">
        <x:v>8030</x:v>
      </x:c>
      <x:c r="S99" s="158" t="n">
        <x:v>534312</x:v>
      </x:c>
      <x:c r="T99" s="158" t="n">
        <x:v>4290795948</x:v>
      </x:c>
      <x:c r="U99" s="158" t="n">
        <x:v>3795426</x:v>
      </x:c>
      <x:c r="V99" s="153" t="n">
        <x:f>IFERROR(E99*1000/O99,"")</x:f>
        <x:v>68.79925419515227</x:v>
      </x:c>
      <x:c r="W99" s="153" t="n">
        <x:v>4.41</x:v>
      </x:c>
      <x:c r="X99" s="155" t="n">
        <x:v>45446</x:v>
      </x:c>
      <x:c r="Y99" s="153" t="n">
        <x:v>2.08</x:v>
      </x:c>
      <x:c r="Z99" s="155" t="n">
        <x:v>45446</x:v>
      </x:c>
      <x:c r="AA99" s="153" t="n">
        <x:f>IFERROR(Y99-Y98,"")</x:f>
        <x:v>-0.08000000000000007</x:v>
      </x:c>
      <x:c r="AB99" s="153" t="n">
        <x:v>2.33</x:v>
      </x:c>
      <x:c r="AC99" s="153" t="n">
        <x:v>122.3509</x:v>
      </x:c>
      <x:c r="AD99" s="155" t="n">
        <x:v>45446</x:v>
      </x:c>
      <x:c r="AE99" s="154" t="n">
        <x:f>IFERROR(AC99/AC98-1,"")</x:f>
        <x:v>0.0020712869989680804</x:v>
      </x:c>
      <x:c r="AF99" s="153" t="n">
        <x:v>13.11</x:v>
      </x:c>
      <x:c r="AG99" s="155" t="n">
        <x:v>45446</x:v>
      </x:c>
      <x:c r="AH99" s="153" t="n">
        <x:f>IFERROR(AF99-AF98,"")</x:f>
        <x:v>0.1899999999999995</x:v>
      </x:c>
      <x:c r="AI99" s="153" t="n">
        <x:v>5.33</x:v>
      </x:c>
      <x:c r="AJ99" s="155" t="n">
        <x:v>45443</x:v>
      </x:c>
      <x:c r="AK99" s="159" t="n">
        <x:v>148828</x:v>
      </x:c>
      <x:c r="AL99" s="154" t="n">
        <x:v>0.3065900335784768</x:v>
      </x:c>
      <x:c r="AM99" s="159" t="n">
        <x:v>-40644</x:v>
      </x:c>
      <x:c r="AN99" s="155" t="n">
        <x:v>45443</x:v>
      </x:c>
      <x:c r="AO99" s="159" t="n">
        <x:v>37755</x:v>
      </x:c>
      <x:c r="AP99" s="154" t="n">
        <x:v>0.20425110632634733</x:v>
      </x:c>
      <x:c r="AQ99" s="159" t="n">
        <x:v>-43243</x:v>
      </x:c>
      <x:c r="AR99" s="147" t="str">
        <x:v>美国市场指标与CFTC数据均使用严格早于上金所交易日的最后已发布值</x:v>
      </x:c>
    </x:row>
    <x:row r="100">
      <x:c r="A100" s="155" t="n">
        <x:v>45448</x:v>
      </x:c>
      <x:c r="B100" s="153" t="n">
        <x:v>548.5</x:v>
      </x:c>
      <x:c r="C100" s="153" t="n">
        <x:v>553</x:v>
      </x:c>
      <x:c r="D100" s="153" t="n">
        <x:v>547.31</x:v>
      </x:c>
      <x:c r="E100" s="153" t="n">
        <x:v>550.25</x:v>
      </x:c>
      <x:c r="F100" s="154" t="n">
        <x:f>IFERROR(E100/E99-1,"")</x:f>
        <x:v>-0.005853764295651209</x:v>
      </x:c>
      <x:c r="G100" s="154" t="n">
        <x:f>IFERROR((C100-D100)/E99,"")</x:f>
        <x:v>0.010280221864893774</x:v>
      </x:c>
      <x:c r="H100" s="153" t="n">
        <x:v>550.89</x:v>
      </x:c>
      <x:c r="I100" s="158" t="n">
        <x:v>6831.02</x:v>
      </x:c>
      <x:c r="J100" s="158" t="n">
        <x:v>3763147977.6</x:v>
      </x:c>
      <x:c r="K100" s="158"/>
      <x:c r="L100" s="153" t="n">
        <x:v>7870</x:v>
      </x:c>
      <x:c r="M100" s="153" t="n">
        <x:v>7903</x:v>
      </x:c>
      <x:c r="N100" s="153" t="n">
        <x:v>7715</x:v>
      </x:c>
      <x:c r="O100" s="153" t="n">
        <x:v>7742</x:v>
      </x:c>
      <x:c r="P100" s="154" t="n">
        <x:f>IFERROR(O100/O99-1,"")</x:f>
        <x:v>-0.03766314481044131</x:v>
      </x:c>
      <x:c r="Q100" s="154" t="n">
        <x:f>IFERROR((M100-N100)/O99,"")</x:f>
        <x:v>0.02336855189558732</x:v>
      </x:c>
      <x:c r="R100" s="153" t="n">
        <x:v>7788</x:v>
      </x:c>
      <x:c r="S100" s="158" t="n">
        <x:v>809656</x:v>
      </x:c>
      <x:c r="T100" s="158" t="n">
        <x:v>6305914356</x:v>
      </x:c>
      <x:c r="U100" s="158" t="n">
        <x:v>3801560</x:v>
      </x:c>
      <x:c r="V100" s="153" t="n">
        <x:f>IFERROR(E100*1000/O100,"")</x:f>
        <x:v>71.07336605528288</x:v>
      </x:c>
      <x:c r="W100" s="153" t="n">
        <x:v>4.33</x:v>
      </x:c>
      <x:c r="X100" s="155" t="n">
        <x:v>45447</x:v>
      </x:c>
      <x:c r="Y100" s="153" t="n">
        <x:v>2.02</x:v>
      </x:c>
      <x:c r="Z100" s="155" t="n">
        <x:v>45447</x:v>
      </x:c>
      <x:c r="AA100" s="153" t="n">
        <x:f>IFERROR(Y100-Y99,"")</x:f>
        <x:v>-0.06000000000000005</x:v>
      </x:c>
      <x:c r="AB100" s="153" t="n">
        <x:v>2.31</x:v>
      </x:c>
      <x:c r="AC100" s="153" t="n">
        <x:v>122.7256</x:v>
      </x:c>
      <x:c r="AD100" s="155" t="n">
        <x:v>45447</x:v>
      </x:c>
      <x:c r="AE100" s="154" t="n">
        <x:f>IFERROR(AC100/AC99-1,"")</x:f>
        <x:v>0.003062503013872453</x:v>
      </x:c>
      <x:c r="AF100" s="153" t="n">
        <x:v>13.16</x:v>
      </x:c>
      <x:c r="AG100" s="155" t="n">
        <x:v>45447</x:v>
      </x:c>
      <x:c r="AH100" s="153" t="n">
        <x:f>IFERROR(AF100-AF99,"")</x:f>
        <x:v>0.05000000000000071</x:v>
      </x:c>
      <x:c r="AI100" s="153" t="n">
        <x:v>5.33</x:v>
      </x:c>
      <x:c r="AJ100" s="155" t="n">
        <x:v>45443</x:v>
      </x:c>
      <x:c r="AK100" s="159" t="n">
        <x:v>148828</x:v>
      </x:c>
      <x:c r="AL100" s="154" t="n">
        <x:v>0.3065900335784768</x:v>
      </x:c>
      <x:c r="AM100" s="159" t="n">
        <x:v>-40644</x:v>
      </x:c>
      <x:c r="AN100" s="155" t="n">
        <x:v>45443</x:v>
      </x:c>
      <x:c r="AO100" s="159" t="n">
        <x:v>37755</x:v>
      </x:c>
      <x:c r="AP100" s="154" t="n">
        <x:v>0.20425110632634733</x:v>
      </x:c>
      <x:c r="AQ100" s="159" t="n">
        <x:v>-43243</x:v>
      </x:c>
      <x:c r="AR100" s="147" t="str">
        <x:v>美国市场指标与CFTC数据均使用严格早于上金所交易日的最后已发布值</x:v>
      </x:c>
    </x:row>
    <x:row r="101">
      <x:c r="A101" s="155" t="n">
        <x:v>45449</x:v>
      </x:c>
      <x:c r="B101" s="153" t="n">
        <x:v>550.8</x:v>
      </x:c>
      <x:c r="C101" s="153" t="n">
        <x:v>561</x:v>
      </x:c>
      <x:c r="D101" s="153" t="n">
        <x:v>550.8</x:v>
      </x:c>
      <x:c r="E101" s="153" t="n">
        <x:v>559.36</x:v>
      </x:c>
      <x:c r="F101" s="154" t="n">
        <x:f>IFERROR(E101/E100-1,"")</x:f>
        <x:v>0.01655611085870068</x:v>
      </x:c>
      <x:c r="G101" s="154" t="n">
        <x:f>IFERROR((C101-D101)/E100,"")</x:f>
        <x:v>0.018537028623353102</x:v>
      </x:c>
      <x:c r="H101" s="153" t="n">
        <x:v>558.75</x:v>
      </x:c>
      <x:c r="I101" s="158" t="n">
        <x:v>9267.28</x:v>
      </x:c>
      <x:c r="J101" s="158" t="n">
        <x:v>5178151458</x:v>
      </x:c>
      <x:c r="K101" s="158"/>
      <x:c r="L101" s="153" t="n">
        <x:v>7765</x:v>
      </x:c>
      <x:c r="M101" s="153" t="n">
        <x:v>8060</x:v>
      </x:c>
      <x:c r="N101" s="153" t="n">
        <x:v>7743</x:v>
      </x:c>
      <x:c r="O101" s="153" t="n">
        <x:v>8005</x:v>
      </x:c>
      <x:c r="P101" s="154" t="n">
        <x:f>IFERROR(O101/O100-1,"")</x:f>
        <x:v>0.03397055024541462</x:v>
      </x:c>
      <x:c r="Q101" s="154" t="n">
        <x:f>IFERROR((M101-N101)/O100,"")</x:f>
        <x:v>0.04094549212089899</x:v>
      </x:c>
      <x:c r="R101" s="153" t="n">
        <x:v>7956</x:v>
      </x:c>
      <x:c r="S101" s="158" t="n">
        <x:v>620688</x:v>
      </x:c>
      <x:c r="T101" s="158" t="n">
        <x:v>4938415470</x:v>
      </x:c>
      <x:c r="U101" s="158" t="n">
        <x:v>3900744</x:v>
      </x:c>
      <x:c r="V101" s="153" t="n">
        <x:f>IFERROR(E101*1000/O101,"")</x:f>
        <x:v>69.87632729544035</x:v>
      </x:c>
      <x:c r="W101" s="153" t="n">
        <x:v>4.29</x:v>
      </x:c>
      <x:c r="X101" s="155" t="n">
        <x:v>45448</x:v>
      </x:c>
      <x:c r="Y101" s="153" t="n">
        <x:v>1.99</x:v>
      </x:c>
      <x:c r="Z101" s="155" t="n">
        <x:v>45448</x:v>
      </x:c>
      <x:c r="AA101" s="153" t="n">
        <x:f>IFERROR(Y101-Y100,"")</x:f>
        <x:v>-0.030000000000000027</x:v>
      </x:c>
      <x:c r="AB101" s="153" t="n">
        <x:v>2.3</x:v>
      </x:c>
      <x:c r="AC101" s="153" t="n">
        <x:v>122.5339</x:v>
      </x:c>
      <x:c r="AD101" s="155" t="n">
        <x:v>45448</x:v>
      </x:c>
      <x:c r="AE101" s="154" t="n">
        <x:f>IFERROR(AC101/AC100-1,"")</x:f>
        <x:v>-0.0015620212897716756</x:v>
      </x:c>
      <x:c r="AF101" s="153" t="n">
        <x:v>12.63</x:v>
      </x:c>
      <x:c r="AG101" s="155" t="n">
        <x:v>45448</x:v>
      </x:c>
      <x:c r="AH101" s="153" t="n">
        <x:f>IFERROR(AF101-AF100,"")</x:f>
        <x:v>-0.5299999999999994</x:v>
      </x:c>
      <x:c r="AI101" s="153" t="n">
        <x:v>5.33</x:v>
      </x:c>
      <x:c r="AJ101" s="155" t="n">
        <x:v>45443</x:v>
      </x:c>
      <x:c r="AK101" s="159" t="n">
        <x:v>148828</x:v>
      </x:c>
      <x:c r="AL101" s="154" t="n">
        <x:v>0.3065900335784768</x:v>
      </x:c>
      <x:c r="AM101" s="159" t="n">
        <x:v>-40644</x:v>
      </x:c>
      <x:c r="AN101" s="155" t="n">
        <x:v>45443</x:v>
      </x:c>
      <x:c r="AO101" s="159" t="n">
        <x:v>37755</x:v>
      </x:c>
      <x:c r="AP101" s="154" t="n">
        <x:v>0.20425110632634733</x:v>
      </x:c>
      <x:c r="AQ101" s="159" t="n">
        <x:v>-43243</x:v>
      </x:c>
      <x:c r="AR101" s="147" t="str">
        <x:v>美国市场指标与CFTC数据均使用严格早于上金所交易日的最后已发布值</x:v>
      </x:c>
    </x:row>
    <x:row r="102">
      <x:c r="A102" s="155" t="n">
        <x:v>45450</x:v>
      </x:c>
      <x:c r="B102" s="153" t="n">
        <x:v>556</x:v>
      </x:c>
      <x:c r="C102" s="153" t="n">
        <x:v>562</x:v>
      </x:c>
      <x:c r="D102" s="153" t="n">
        <x:v>556</x:v>
      </x:c>
      <x:c r="E102" s="153" t="n">
        <x:v>559.9</x:v>
      </x:c>
      <x:c r="F102" s="154" t="n">
        <x:f>IFERROR(E102/E101-1,"")</x:f>
        <x:v>0.00096538901601817</x:v>
      </x:c>
      <x:c r="G102" s="154" t="n">
        <x:f>IFERROR((C102-D102)/E101,"")</x:f>
        <x:v>0.01072654462242563</x:v>
      </x:c>
      <x:c r="H102" s="153" t="n">
        <x:v>559.82</x:v>
      </x:c>
      <x:c r="I102" s="158" t="n">
        <x:v>7573.66</x:v>
      </x:c>
      <x:c r="J102" s="158" t="n">
        <x:v>4239949275.8</x:v>
      </x:c>
      <x:c r="K102" s="158"/>
      <x:c r="L102" s="153" t="n">
        <x:v>7991</x:v>
      </x:c>
      <x:c r="M102" s="153" t="n">
        <x:v>8292</x:v>
      </x:c>
      <x:c r="N102" s="153" t="n">
        <x:v>7938</x:v>
      </x:c>
      <x:c r="O102" s="153" t="n">
        <x:v>8195</x:v>
      </x:c>
      <x:c r="P102" s="154" t="n">
        <x:f>IFERROR(O102/O101-1,"")</x:f>
        <x:v>0.023735165521548973</x:v>
      </x:c>
      <x:c r="Q102" s="154" t="n">
        <x:f>IFERROR((M102-N102)/O101,"")</x:f>
        <x:v>0.04422236102435977</x:v>
      </x:c>
      <x:c r="R102" s="153" t="n">
        <x:v>8151</x:v>
      </x:c>
      <x:c r="S102" s="158" t="n">
        <x:v>646082</x:v>
      </x:c>
      <x:c r="T102" s="158" t="n">
        <x:v>5266689720</x:v>
      </x:c>
      <x:c r="U102" s="158" t="n">
        <x:v>3918088</x:v>
      </x:c>
      <x:c r="V102" s="153" t="n">
        <x:f>IFERROR(E102*1000/O102,"")</x:f>
        <x:v>68.32214765100672</x:v>
      </x:c>
      <x:c r="W102" s="153" t="n">
        <x:v>4.28</x:v>
      </x:c>
      <x:c r="X102" s="155" t="n">
        <x:v>45449</x:v>
      </x:c>
      <x:c r="Y102" s="153" t="n">
        <x:v>2</x:v>
      </x:c>
      <x:c r="Z102" s="155" t="n">
        <x:v>45449</x:v>
      </x:c>
      <x:c r="AA102" s="153" t="n">
        <x:f>IFERROR(Y102-Y101,"")</x:f>
        <x:v>0.010000000000000009</x:v>
      </x:c>
      <x:c r="AB102" s="153" t="n">
        <x:v>2.28</x:v>
      </x:c>
      <x:c r="AC102" s="153" t="n">
        <x:v>122.3713</x:v>
      </x:c>
      <x:c r="AD102" s="155" t="n">
        <x:v>45449</x:v>
      </x:c>
      <x:c r="AE102" s="154" t="n">
        <x:f>IFERROR(AC102/AC101-1,"")</x:f>
        <x:v>-0.0013269797174495501</x:v>
      </x:c>
      <x:c r="AF102" s="153" t="n">
        <x:v>12.58</x:v>
      </x:c>
      <x:c r="AG102" s="155" t="n">
        <x:v>45449</x:v>
      </x:c>
      <x:c r="AH102" s="153" t="n">
        <x:f>IFERROR(AF102-AF101,"")</x:f>
        <x:v>-0.05000000000000071</x:v>
      </x:c>
      <x:c r="AI102" s="153" t="n">
        <x:v>5.33</x:v>
      </x:c>
      <x:c r="AJ102" s="155" t="n">
        <x:v>45443</x:v>
      </x:c>
      <x:c r="AK102" s="159" t="n">
        <x:v>148828</x:v>
      </x:c>
      <x:c r="AL102" s="154" t="n">
        <x:v>0.3065900335784768</x:v>
      </x:c>
      <x:c r="AM102" s="159" t="n">
        <x:v>-40644</x:v>
      </x:c>
      <x:c r="AN102" s="155" t="n">
        <x:v>45443</x:v>
      </x:c>
      <x:c r="AO102" s="159" t="n">
        <x:v>37755</x:v>
      </x:c>
      <x:c r="AP102" s="154" t="n">
        <x:v>0.20425110632634733</x:v>
      </x:c>
      <x:c r="AQ102" s="159" t="n">
        <x:v>-43243</x:v>
      </x:c>
      <x:c r="AR102" s="147" t="str">
        <x:v>美国市场指标与CFTC数据均使用严格早于上金所交易日的最后已发布值</x:v>
      </x:c>
    </x:row>
    <x:row r="103">
      <x:c r="A103" s="155" t="n">
        <x:v>45454</x:v>
      </x:c>
      <x:c r="B103" s="153" t="n">
        <x:v>545</x:v>
      </x:c>
      <x:c r="C103" s="153" t="n">
        <x:v>548</x:v>
      </x:c>
      <x:c r="D103" s="153" t="n">
        <x:v>541.88</x:v>
      </x:c>
      <x:c r="E103" s="153" t="n">
        <x:v>543.95</x:v>
      </x:c>
      <x:c r="F103" s="154" t="n">
        <x:f>IFERROR(E103/E102-1,"")</x:f>
        <x:v>-0.028487229862475316</x:v>
      </x:c>
      <x:c r="G103" s="154" t="n">
        <x:f>IFERROR((C103-D103)/E102,"")</x:f>
        <x:v>0.010930523307733532</x:v>
      </x:c>
      <x:c r="H103" s="153" t="n">
        <x:v>543.27</x:v>
      </x:c>
      <x:c r="I103" s="158" t="n">
        <x:v>10719.54</x:v>
      </x:c>
      <x:c r="J103" s="158" t="n">
        <x:v>5823696726</x:v>
      </x:c>
      <x:c r="K103" s="158"/>
      <x:c r="L103" s="153" t="n">
        <x:v>7850</x:v>
      </x:c>
      <x:c r="M103" s="153" t="n">
        <x:v>7850</x:v>
      </x:c>
      <x:c r="N103" s="153" t="n">
        <x:v>7622</x:v>
      </x:c>
      <x:c r="O103" s="153" t="n">
        <x:v>7679</x:v>
      </x:c>
      <x:c r="P103" s="154" t="n">
        <x:f>IFERROR(O103/O102-1,"")</x:f>
        <x:v>-0.0629652226967663</x:v>
      </x:c>
      <x:c r="Q103" s="154" t="n">
        <x:f>IFERROR((M103-N103)/O102,"")</x:f>
        <x:v>0.027821842586943257</x:v>
      </x:c>
      <x:c r="R103" s="153" t="n">
        <x:v>7689</x:v>
      </x:c>
      <x:c r="S103" s="158" t="n">
        <x:v>756742</x:v>
      </x:c>
      <x:c r="T103" s="158" t="n">
        <x:v>5818648852</x:v>
      </x:c>
      <x:c r="U103" s="158" t="n">
        <x:v>3904502</x:v>
      </x:c>
      <x:c r="V103" s="153" t="n">
        <x:f>IFERROR(E103*1000/O103,"")</x:f>
        <x:v>70.83604636020316</x:v>
      </x:c>
      <x:c r="W103" s="153" t="n">
        <x:v>4.47</x:v>
      </x:c>
      <x:c r="X103" s="155" t="n">
        <x:v>45453</x:v>
      </x:c>
      <x:c r="Y103" s="153" t="n">
        <x:v>2.16</x:v>
      </x:c>
      <x:c r="Z103" s="155" t="n">
        <x:v>45453</x:v>
      </x:c>
      <x:c r="AA103" s="153" t="n">
        <x:f>IFERROR(Y103-Y102,"")</x:f>
        <x:v>0.16000000000000014</x:v>
      </x:c>
      <x:c r="AB103" s="153" t="n">
        <x:v>2.31</x:v>
      </x:c>
      <x:c r="AC103" s="153" t="n">
        <x:v>123.9125</x:v>
      </x:c>
      <x:c r="AD103" s="155" t="n">
        <x:v>45453</x:v>
      </x:c>
      <x:c r="AE103" s="154" t="n">
        <x:f>IFERROR(AC103/AC102-1,"")</x:f>
        <x:v>0.01259445637988632</x:v>
      </x:c>
      <x:c r="AF103" s="153" t="n">
        <x:v>12.74</x:v>
      </x:c>
      <x:c r="AG103" s="155" t="n">
        <x:v>45453</x:v>
      </x:c>
      <x:c r="AH103" s="153" t="n">
        <x:f>IFERROR(AF103-AF102,"")</x:f>
        <x:v>0.16000000000000014</x:v>
      </x:c>
      <x:c r="AI103" s="153" t="n">
        <x:v>5.33</x:v>
      </x:c>
      <x:c r="AJ103" s="155" t="n">
        <x:v>45450</x:v>
      </x:c>
      <x:c r="AK103" s="159" t="n">
        <x:v>152299</x:v>
      </x:c>
      <x:c r="AL103" s="154" t="n">
        <x:v>0.3403420873855835</x:v>
      </x:c>
      <x:c r="AM103" s="159" t="n">
        <x:v>-39886</x:v>
      </x:c>
      <x:c r="AN103" s="155" t="n">
        <x:v>45450</x:v>
      </x:c>
      <x:c r="AO103" s="159" t="n">
        <x:v>34331</x:v>
      </x:c>
      <x:c r="AP103" s="154" t="n">
        <x:v>0.1908826047794322</x:v>
      </x:c>
      <x:c r="AQ103" s="159" t="n">
        <x:v>-42845</x:v>
      </x:c>
      <x:c r="AR103" s="147" t="str">
        <x:v>美国市场指标与CFTC数据均使用严格早于上金所交易日的最后已发布值</x:v>
      </x:c>
    </x:row>
    <x:row r="104">
      <x:c r="A104" s="155" t="n">
        <x:v>45455</x:v>
      </x:c>
      <x:c r="B104" s="153" t="n">
        <x:v>544</x:v>
      </x:c>
      <x:c r="C104" s="153" t="n">
        <x:v>546.5</x:v>
      </x:c>
      <x:c r="D104" s="153" t="n">
        <x:v>544</x:v>
      </x:c>
      <x:c r="E104" s="153" t="n">
        <x:v>545.97</x:v>
      </x:c>
      <x:c r="F104" s="154" t="n">
        <x:f>IFERROR(E104/E103-1,"")</x:f>
        <x:v>0.003713576615497649</x:v>
      </x:c>
      <x:c r="G104" s="154" t="n">
        <x:f>IFERROR((C104-D104)/E103,"")</x:f>
        <x:v>0.004596010662744737</x:v>
      </x:c>
      <x:c r="H104" s="153" t="n">
        <x:v>545.65</x:v>
      </x:c>
      <x:c r="I104" s="158" t="n">
        <x:v>10242.14</x:v>
      </x:c>
      <x:c r="J104" s="158" t="n">
        <x:v>5588654335</x:v>
      </x:c>
      <x:c r="K104" s="158"/>
      <x:c r="L104" s="153" t="n">
        <x:v>7688</x:v>
      </x:c>
      <x:c r="M104" s="153" t="n">
        <x:v>7766</x:v>
      </x:c>
      <x:c r="N104" s="153" t="n">
        <x:v>7653</x:v>
      </x:c>
      <x:c r="O104" s="153" t="n">
        <x:v>7755</x:v>
      </x:c>
      <x:c r="P104" s="154" t="n">
        <x:f>IFERROR(O104/O103-1,"")</x:f>
        <x:v>0.009897122021096605</x:v>
      </x:c>
      <x:c r="Q104" s="154" t="n">
        <x:f>IFERROR((M104-N104)/O103,"")</x:f>
        <x:v>0.014715457741893475</x:v>
      </x:c>
      <x:c r="R104" s="153" t="n">
        <x:v>7732</x:v>
      </x:c>
      <x:c r="S104" s="158" t="n">
        <x:v>516666</x:v>
      </x:c>
      <x:c r="T104" s="158" t="n">
        <x:v>3995349402</x:v>
      </x:c>
      <x:c r="U104" s="158" t="n">
        <x:v>3970726</x:v>
      </x:c>
      <x:c r="V104" s="153" t="n">
        <x:f>IFERROR(E104*1000/O104,"")</x:f>
        <x:v>70.40232108317214</x:v>
      </x:c>
      <x:c r="W104" s="153" t="n">
        <x:v>4.39</x:v>
      </x:c>
      <x:c r="X104" s="155" t="n">
        <x:v>45454</x:v>
      </x:c>
      <x:c r="Y104" s="153" t="n">
        <x:v>2.12</x:v>
      </x:c>
      <x:c r="Z104" s="155" t="n">
        <x:v>45454</x:v>
      </x:c>
      <x:c r="AA104" s="153" t="n">
        <x:f>IFERROR(Y104-Y103,"")</x:f>
        <x:v>-0.040000000000000036</x:v>
      </x:c>
      <x:c r="AB104" s="153" t="n">
        <x:v>2.27</x:v>
      </x:c>
      <x:c r="AC104" s="153" t="n">
        <x:v>124.0349</x:v>
      </x:c>
      <x:c r="AD104" s="155" t="n">
        <x:v>45454</x:v>
      </x:c>
      <x:c r="AE104" s="154" t="n">
        <x:f>IFERROR(AC104/AC103-1,"")</x:f>
        <x:v>0.0009877938061131353</x:v>
      </x:c>
      <x:c r="AF104" s="153" t="n">
        <x:v>12.85</x:v>
      </x:c>
      <x:c r="AG104" s="155" t="n">
        <x:v>45454</x:v>
      </x:c>
      <x:c r="AH104" s="153" t="n">
        <x:f>IFERROR(AF104-AF103,"")</x:f>
        <x:v>0.10999999999999943</x:v>
      </x:c>
      <x:c r="AI104" s="153" t="n">
        <x:v>5.33</x:v>
      </x:c>
      <x:c r="AJ104" s="155" t="n">
        <x:v>45450</x:v>
      </x:c>
      <x:c r="AK104" s="159" t="n">
        <x:v>152299</x:v>
      </x:c>
      <x:c r="AL104" s="154" t="n">
        <x:v>0.3403420873855835</x:v>
      </x:c>
      <x:c r="AM104" s="159" t="n">
        <x:v>-39886</x:v>
      </x:c>
      <x:c r="AN104" s="155" t="n">
        <x:v>45450</x:v>
      </x:c>
      <x:c r="AO104" s="159" t="n">
        <x:v>34331</x:v>
      </x:c>
      <x:c r="AP104" s="154" t="n">
        <x:v>0.1908826047794322</x:v>
      </x:c>
      <x:c r="AQ104" s="159" t="n">
        <x:v>-42845</x:v>
      </x:c>
      <x:c r="AR104" s="147" t="str">
        <x:v>美国市场指标与CFTC数据均使用严格早于上金所交易日的最后已发布值</x:v>
      </x:c>
    </x:row>
    <x:row r="105">
      <x:c r="A105" s="155" t="n">
        <x:v>45456</x:v>
      </x:c>
      <x:c r="B105" s="153" t="n">
        <x:v>550.5</x:v>
      </x:c>
      <x:c r="C105" s="153" t="n">
        <x:v>550.5</x:v>
      </x:c>
      <x:c r="D105" s="153" t="n">
        <x:v>544</x:v>
      </x:c>
      <x:c r="E105" s="153" t="n">
        <x:v>546.26</x:v>
      </x:c>
      <x:c r="F105" s="154" t="n">
        <x:f>IFERROR(E105/E104-1,"")</x:f>
        <x:v>0.0005311647160100019</x:v>
      </x:c>
      <x:c r="G105" s="154" t="n">
        <x:f>IFERROR((C105-D105)/E104,"")</x:f>
        <x:v>0.011905416048500832</x:v>
      </x:c>
      <x:c r="H105" s="153" t="n">
        <x:v>545.35</x:v>
      </x:c>
      <x:c r="I105" s="158" t="n">
        <x:v>11030.22</x:v>
      </x:c>
      <x:c r="J105" s="158" t="n">
        <x:v>6015385586.2</x:v>
      </x:c>
      <x:c r="K105" s="158"/>
      <x:c r="L105" s="153" t="n">
        <x:v>7751</x:v>
      </x:c>
      <x:c r="M105" s="153" t="n">
        <x:v>7950</x:v>
      </x:c>
      <x:c r="N105" s="153" t="n">
        <x:v>7556</x:v>
      </x:c>
      <x:c r="O105" s="153" t="n">
        <x:v>7717</x:v>
      </x:c>
      <x:c r="P105" s="154" t="n">
        <x:f>IFERROR(O105/O104-1,"")</x:f>
        <x:v>-0.004900064474532506</x:v>
      </x:c>
      <x:c r="Q105" s="154" t="n">
        <x:f>IFERROR((M105-N105)/O104,"")</x:f>
        <x:v>0.050805931656995484</x:v>
      </x:c>
      <x:c r="R105" s="153" t="n">
        <x:v>7703</x:v>
      </x:c>
      <x:c r="S105" s="158" t="n">
        <x:v>765012</x:v>
      </x:c>
      <x:c r="T105" s="158" t="n">
        <x:v>5893228090</x:v>
      </x:c>
      <x:c r="U105" s="158" t="n">
        <x:v>4003652</x:v>
      </x:c>
      <x:c r="V105" s="153" t="n">
        <x:f>IFERROR(E105*1000/O105,"")</x:f>
        <x:v>70.78657509394843</x:v>
      </x:c>
      <x:c r="W105" s="153" t="n">
        <x:v>4.31</x:v>
      </x:c>
      <x:c r="X105" s="155" t="n">
        <x:v>45455</x:v>
      </x:c>
      <x:c r="Y105" s="153" t="n">
        <x:v>2.09</x:v>
      </x:c>
      <x:c r="Z105" s="155" t="n">
        <x:v>45455</x:v>
      </x:c>
      <x:c r="AA105" s="153" t="n">
        <x:f>IFERROR(Y105-Y104,"")</x:f>
        <x:v>-0.03000000000000025</x:v>
      </x:c>
      <x:c r="AB105" s="153" t="n">
        <x:v>2.22</x:v>
      </x:c>
      <x:c r="AC105" s="153" t="n">
        <x:v>123.8295</x:v>
      </x:c>
      <x:c r="AD105" s="155" t="n">
        <x:v>45455</x:v>
      </x:c>
      <x:c r="AE105" s="154" t="n">
        <x:f>IFERROR(AC105/AC104-1,"")</x:f>
        <x:v>-0.0016559855331039763</x:v>
      </x:c>
      <x:c r="AF105" s="153" t="n">
        <x:v>12.04</x:v>
      </x:c>
      <x:c r="AG105" s="155" t="n">
        <x:v>45455</x:v>
      </x:c>
      <x:c r="AH105" s="153" t="n">
        <x:f>IFERROR(AF105-AF104,"")</x:f>
        <x:v>-0.8100000000000005</x:v>
      </x:c>
      <x:c r="AI105" s="153" t="n">
        <x:v>5.33</x:v>
      </x:c>
      <x:c r="AJ105" s="155" t="n">
        <x:v>45450</x:v>
      </x:c>
      <x:c r="AK105" s="159" t="n">
        <x:v>152299</x:v>
      </x:c>
      <x:c r="AL105" s="154" t="n">
        <x:v>0.3403420873855835</x:v>
      </x:c>
      <x:c r="AM105" s="159" t="n">
        <x:v>-39886</x:v>
      </x:c>
      <x:c r="AN105" s="155" t="n">
        <x:v>45450</x:v>
      </x:c>
      <x:c r="AO105" s="159" t="n">
        <x:v>34331</x:v>
      </x:c>
      <x:c r="AP105" s="154" t="n">
        <x:v>0.1908826047794322</x:v>
      </x:c>
      <x:c r="AQ105" s="159" t="n">
        <x:v>-42845</x:v>
      </x:c>
      <x:c r="AR105" s="147" t="str">
        <x:v>美国市场指标与CFTC数据均使用严格早于上金所交易日的最后已发布值</x:v>
      </x:c>
    </x:row>
    <x:row r="106">
      <x:c r="A106" s="155" t="n">
        <x:v>45457</x:v>
      </x:c>
      <x:c r="B106" s="153" t="n">
        <x:v>544.5</x:v>
      </x:c>
      <x:c r="C106" s="153" t="n">
        <x:v>547</x:v>
      </x:c>
      <x:c r="D106" s="153" t="n">
        <x:v>542</x:v>
      </x:c>
      <x:c r="E106" s="153" t="n">
        <x:v>546.24</x:v>
      </x:c>
      <x:c r="F106" s="154" t="n">
        <x:f>IFERROR(E106/E105-1,"")</x:f>
        <x:v>-0.000036612602057561894</x:v>
      </x:c>
      <x:c r="G106" s="154" t="n">
        <x:f>IFERROR((C106-D106)/E105,"")</x:f>
        <x:v>0.00915315051440706</x:v>
      </x:c>
      <x:c r="H106" s="153" t="n">
        <x:v>545.09</x:v>
      </x:c>
      <x:c r="I106" s="158" t="n">
        <x:v>6988.52</x:v>
      </x:c>
      <x:c r="J106" s="158" t="n">
        <x:v>3809382324</x:v>
      </x:c>
      <x:c r="K106" s="158"/>
      <x:c r="L106" s="153" t="n">
        <x:v>7668</x:v>
      </x:c>
      <x:c r="M106" s="153" t="n">
        <x:v>7741</x:v>
      </x:c>
      <x:c r="N106" s="153" t="n">
        <x:v>7536</x:v>
      </x:c>
      <x:c r="O106" s="153" t="n">
        <x:v>7648</x:v>
      </x:c>
      <x:c r="P106" s="154" t="n">
        <x:f>IFERROR(O106/O105-1,"")</x:f>
        <x:v>-0.008941298432033173</x:v>
      </x:c>
      <x:c r="Q106" s="154" t="n">
        <x:f>IFERROR((M106-N106)/O105,"")</x:f>
        <x:v>0.026564727225605805</x:v>
      </x:c>
      <x:c r="R106" s="153" t="n">
        <x:v>7644</x:v>
      </x:c>
      <x:c r="S106" s="158" t="n">
        <x:v>524904</x:v>
      </x:c>
      <x:c r="T106" s="158" t="n">
        <x:v>4012490828</x:v>
      </x:c>
      <x:c r="U106" s="158" t="n">
        <x:v>3944748</x:v>
      </x:c>
      <x:c r="V106" s="153" t="n">
        <x:f>IFERROR(E106*1000/O106,"")</x:f>
        <x:v>71.42259414225941</x:v>
      </x:c>
      <x:c r="W106" s="153" t="n">
        <x:v>4.24</x:v>
      </x:c>
      <x:c r="X106" s="155" t="n">
        <x:v>45456</x:v>
      </x:c>
      <x:c r="Y106" s="153" t="n">
        <x:v>2.03</x:v>
      </x:c>
      <x:c r="Z106" s="155" t="n">
        <x:v>45456</x:v>
      </x:c>
      <x:c r="AA106" s="153" t="n">
        <x:f>IFERROR(Y106-Y105,"")</x:f>
        <x:v>-0.06000000000000005</x:v>
      </x:c>
      <x:c r="AB106" s="153" t="n">
        <x:v>2.21</x:v>
      </x:c>
      <x:c r="AC106" s="153" t="n">
        <x:v>124.0235</x:v>
      </x:c>
      <x:c r="AD106" s="155" t="n">
        <x:v>45456</x:v>
      </x:c>
      <x:c r="AE106" s="154" t="n">
        <x:f>IFERROR(AC106/AC105-1,"")</x:f>
        <x:v>0.0015666703006957938</x:v>
      </x:c>
      <x:c r="AF106" s="153" t="n">
        <x:v>11.94</x:v>
      </x:c>
      <x:c r="AG106" s="155" t="n">
        <x:v>45456</x:v>
      </x:c>
      <x:c r="AH106" s="153" t="n">
        <x:f>IFERROR(AF106-AF105,"")</x:f>
        <x:v>-0.09999999999999964</x:v>
      </x:c>
      <x:c r="AI106" s="153" t="n">
        <x:v>5.33</x:v>
      </x:c>
      <x:c r="AJ106" s="155" t="n">
        <x:v>45450</x:v>
      </x:c>
      <x:c r="AK106" s="159" t="n">
        <x:v>152299</x:v>
      </x:c>
      <x:c r="AL106" s="154" t="n">
        <x:v>0.3403420873855835</x:v>
      </x:c>
      <x:c r="AM106" s="159" t="n">
        <x:v>-39886</x:v>
      </x:c>
      <x:c r="AN106" s="155" t="n">
        <x:v>45450</x:v>
      </x:c>
      <x:c r="AO106" s="159" t="n">
        <x:v>34331</x:v>
      </x:c>
      <x:c r="AP106" s="154" t="n">
        <x:v>0.1908826047794322</x:v>
      </x:c>
      <x:c r="AQ106" s="159" t="n">
        <x:v>-42845</x:v>
      </x:c>
      <x:c r="AR106" s="147" t="str">
        <x:v>美国市场指标与CFTC数据均使用严格早于上金所交易日的最后已发布值</x:v>
      </x:c>
    </x:row>
    <x:row r="107">
      <x:c r="A107" s="155" t="n">
        <x:v>45460</x:v>
      </x:c>
      <x:c r="B107" s="153" t="n">
        <x:v>550</x:v>
      </x:c>
      <x:c r="C107" s="153" t="n">
        <x:v>552</x:v>
      </x:c>
      <x:c r="D107" s="153" t="n">
        <x:v>546.2</x:v>
      </x:c>
      <x:c r="E107" s="153" t="n">
        <x:v>547.33</x:v>
      </x:c>
      <x:c r="F107" s="154" t="n">
        <x:f>IFERROR(E107/E106-1,"")</x:f>
        <x:v>0.001995459871118932</x:v>
      </x:c>
      <x:c r="G107" s="154" t="n">
        <x:f>IFERROR((C107-D107)/E106,"")</x:f>
        <x:v>0.010618043350907942</x:v>
      </x:c>
      <x:c r="H107" s="153" t="n">
        <x:v>547.94</x:v>
      </x:c>
      <x:c r="I107" s="158" t="n">
        <x:v>8005.28</x:v>
      </x:c>
      <x:c r="J107" s="158" t="n">
        <x:v>4386428688.2</x:v>
      </x:c>
      <x:c r="K107" s="158"/>
      <x:c r="L107" s="153" t="n">
        <x:v>7700</x:v>
      </x:c>
      <x:c r="M107" s="153" t="n">
        <x:v>7767</x:v>
      </x:c>
      <x:c r="N107" s="153" t="n">
        <x:v>7630</x:v>
      </x:c>
      <x:c r="O107" s="153" t="n">
        <x:v>7653</x:v>
      </x:c>
      <x:c r="P107" s="154" t="n">
        <x:f>IFERROR(O107/O106-1,"")</x:f>
        <x:v>0.0006537656903766731</x:v>
      </x:c>
      <x:c r="Q107" s="154" t="n">
        <x:f>IFERROR((M107-N107)/O106,"")</x:f>
        <x:v>0.01791317991631799</x:v>
      </x:c>
      <x:c r="R107" s="153" t="n">
        <x:v>7686</x:v>
      </x:c>
      <x:c r="S107" s="158" t="n">
        <x:v>540986</x:v>
      </x:c>
      <x:c r="T107" s="158" t="n">
        <x:v>4158281092</x:v>
      </x:c>
      <x:c r="U107" s="158" t="n">
        <x:v>3949788</x:v>
      </x:c>
      <x:c r="V107" s="153" t="n">
        <x:f>IFERROR(E107*1000/O107,"")</x:f>
        <x:v>71.51835881353718</x:v>
      </x:c>
      <x:c r="W107" s="153" t="n">
        <x:v>4.2</x:v>
      </x:c>
      <x:c r="X107" s="155" t="n">
        <x:v>45457</x:v>
      </x:c>
      <x:c r="Y107" s="153" t="n">
        <x:v>2.03</x:v>
      </x:c>
      <x:c r="Z107" s="155" t="n">
        <x:v>45457</x:v>
      </x:c>
      <x:c r="AA107" s="153" t="n">
        <x:f>IFERROR(Y107-Y106,"")</x:f>
        <x:v>0</x:v>
      </x:c>
      <x:c r="AB107" s="153" t="n">
        <x:v>2.17</x:v>
      </x:c>
      <x:c r="AC107" s="153" t="n">
        <x:v>124.1694</x:v>
      </x:c>
      <x:c r="AD107" s="155" t="n">
        <x:v>45457</x:v>
      </x:c>
      <x:c r="AE107" s="154" t="n">
        <x:f>IFERROR(AC107/AC106-1,"")</x:f>
        <x:v>0.0011763899583545623</x:v>
      </x:c>
      <x:c r="AF107" s="153" t="n">
        <x:v>12.66</x:v>
      </x:c>
      <x:c r="AG107" s="155" t="n">
        <x:v>45457</x:v>
      </x:c>
      <x:c r="AH107" s="153" t="n">
        <x:f>IFERROR(AF107-AF106,"")</x:f>
        <x:v>0.7200000000000006</x:v>
      </x:c>
      <x:c r="AI107" s="153" t="n">
        <x:v>5.33</x:v>
      </x:c>
      <x:c r="AJ107" s="155" t="n">
        <x:v>45457</x:v>
      </x:c>
      <x:c r="AK107" s="159" t="n">
        <x:v>152965</x:v>
      </x:c>
      <x:c r="AL107" s="154" t="n">
        <x:v>0.35014890456144687</x:v>
      </x:c>
      <x:c r="AM107" s="159" t="n">
        <x:v>-40807</x:v>
      </x:c>
      <x:c r="AN107" s="155" t="n">
        <x:v>45457</x:v>
      </x:c>
      <x:c r="AO107" s="159" t="n">
        <x:v>28060</x:v>
      </x:c>
      <x:c r="AP107" s="154" t="n">
        <x:v>0.15939921379717786</x:v>
      </x:c>
      <x:c r="AQ107" s="159" t="n">
        <x:v>-40840</x:v>
      </x:c>
      <x:c r="AR107" s="147" t="str">
        <x:v>美国市场指标与CFTC数据均使用严格早于上金所交易日的最后已发布值</x:v>
      </x:c>
    </x:row>
    <x:row r="108">
      <x:c r="A108" s="155" t="n">
        <x:v>45461</x:v>
      </x:c>
      <x:c r="B108" s="153" t="n">
        <x:v>546</x:v>
      </x:c>
      <x:c r="C108" s="153" t="n">
        <x:v>548.88</x:v>
      </x:c>
      <x:c r="D108" s="153" t="n">
        <x:v>546</x:v>
      </x:c>
      <x:c r="E108" s="153" t="n">
        <x:v>547.64</x:v>
      </x:c>
      <x:c r="F108" s="154" t="n">
        <x:f>IFERROR(E108/E107-1,"")</x:f>
        <x:v>0.0005663859097801982</x:v>
      </x:c>
      <x:c r="G108" s="154" t="n">
        <x:f>IFERROR((C108-D108)/E107,"")</x:f>
        <x:v>0.005261907806990289</x:v>
      </x:c>
      <x:c r="H108" s="153" t="n">
        <x:v>548.15</x:v>
      </x:c>
      <x:c r="I108" s="158" t="n">
        <x:v>5985.38</x:v>
      </x:c>
      <x:c r="J108" s="158" t="n">
        <x:v>3280919093.6</x:v>
      </x:c>
      <x:c r="K108" s="158"/>
      <x:c r="L108" s="153" t="n">
        <x:v>7668</x:v>
      </x:c>
      <x:c r="M108" s="153" t="n">
        <x:v>7790</x:v>
      </x:c>
      <x:c r="N108" s="153" t="n">
        <x:v>7653</x:v>
      </x:c>
      <x:c r="O108" s="153" t="n">
        <x:v>7712</x:v>
      </x:c>
      <x:c r="P108" s="154" t="n">
        <x:f>IFERROR(O108/O107-1,"")</x:f>
        <x:v>0.007709395008493436</x:v>
      </x:c>
      <x:c r="Q108" s="154" t="n">
        <x:f>IFERROR((M108-N108)/O107,"")</x:f>
        <x:v>0.017901476545145695</x:v>
      </x:c>
      <x:c r="R108" s="153" t="n">
        <x:v>7738</x:v>
      </x:c>
      <x:c r="S108" s="158" t="n">
        <x:v>513744</x:v>
      </x:c>
      <x:c r="T108" s="158" t="n">
        <x:v>3975767168</x:v>
      </x:c>
      <x:c r="U108" s="158" t="n">
        <x:v>3765868</x:v>
      </x:c>
      <x:c r="V108" s="153" t="n">
        <x:f>IFERROR(E108*1000/O108,"")</x:f>
        <x:v>71.01141078838174</x:v>
      </x:c>
      <x:c r="W108" s="153" t="n">
        <x:v>4.28</x:v>
      </x:c>
      <x:c r="X108" s="155" t="n">
        <x:v>45460</x:v>
      </x:c>
      <x:c r="Y108" s="153" t="n">
        <x:v>2.06</x:v>
      </x:c>
      <x:c r="Z108" s="155" t="n">
        <x:v>45460</x:v>
      </x:c>
      <x:c r="AA108" s="153" t="n">
        <x:f>IFERROR(Y108-Y107,"")</x:f>
        <x:v>0.03000000000000025</x:v>
      </x:c>
      <x:c r="AB108" s="153" t="n">
        <x:v>2.22</x:v>
      </x:c>
      <x:c r="AC108" s="153" t="n">
        <x:v>124.239</x:v>
      </x:c>
      <x:c r="AD108" s="155" t="n">
        <x:v>45460</x:v>
      </x:c>
      <x:c r="AE108" s="154" t="n">
        <x:f>IFERROR(AC108/AC107-1,"")</x:f>
        <x:v>0.000560524573687271</x:v>
      </x:c>
      <x:c r="AF108" s="153" t="n">
        <x:v>12.75</x:v>
      </x:c>
      <x:c r="AG108" s="155" t="n">
        <x:v>45460</x:v>
      </x:c>
      <x:c r="AH108" s="153" t="n">
        <x:f>IFERROR(AF108-AF107,"")</x:f>
        <x:v>0.08999999999999986</x:v>
      </x:c>
      <x:c r="AI108" s="153" t="n">
        <x:v>5.33</x:v>
      </x:c>
      <x:c r="AJ108" s="155" t="n">
        <x:v>45457</x:v>
      </x:c>
      <x:c r="AK108" s="159" t="n">
        <x:v>152965</x:v>
      </x:c>
      <x:c r="AL108" s="154" t="n">
        <x:v>0.35014890456144687</x:v>
      </x:c>
      <x:c r="AM108" s="159" t="n">
        <x:v>-40807</x:v>
      </x:c>
      <x:c r="AN108" s="155" t="n">
        <x:v>45457</x:v>
      </x:c>
      <x:c r="AO108" s="159" t="n">
        <x:v>28060</x:v>
      </x:c>
      <x:c r="AP108" s="154" t="n">
        <x:v>0.15939921379717786</x:v>
      </x:c>
      <x:c r="AQ108" s="159" t="n">
        <x:v>-40840</x:v>
      </x:c>
      <x:c r="AR108" s="147" t="str">
        <x:v>美国市场指标与CFTC数据均使用严格早于上金所交易日的最后已发布值</x:v>
      </x:c>
    </x:row>
    <x:row r="109">
      <x:c r="A109" s="155" t="n">
        <x:v>45462</x:v>
      </x:c>
      <x:c r="B109" s="153" t="n">
        <x:v>547.2</x:v>
      </x:c>
      <x:c r="C109" s="153" t="n">
        <x:v>554</x:v>
      </x:c>
      <x:c r="D109" s="153" t="n">
        <x:v>546</x:v>
      </x:c>
      <x:c r="E109" s="153" t="n">
        <x:v>550.06</x:v>
      </x:c>
      <x:c r="F109" s="154" t="n">
        <x:f>IFERROR(E109/E108-1,"")</x:f>
        <x:v>0.004418961361478235</x:v>
      </x:c>
      <x:c r="G109" s="154" t="n">
        <x:f>IFERROR((C109-D109)/E108,"")</x:f>
        <x:v>0.014608136732159813</x:v>
      </x:c>
      <x:c r="H109" s="153" t="n">
        <x:v>549.59</x:v>
      </x:c>
      <x:c r="I109" s="158" t="n">
        <x:v>8695.96</x:v>
      </x:c>
      <x:c r="J109" s="158" t="n">
        <x:v>4779256109.2</x:v>
      </x:c>
      <x:c r="K109" s="158"/>
      <x:c r="L109" s="153" t="n">
        <x:v>7695</x:v>
      </x:c>
      <x:c r="M109" s="153" t="n">
        <x:v>7780</x:v>
      </x:c>
      <x:c r="N109" s="153" t="n">
        <x:v>7631</x:v>
      </x:c>
      <x:c r="O109" s="153" t="n">
        <x:v>7745</x:v>
      </x:c>
      <x:c r="P109" s="154" t="n">
        <x:f>IFERROR(O109/O108-1,"")</x:f>
        <x:v>0.004279045643153623</x:v>
      </x:c>
      <x:c r="Q109" s="154" t="n">
        <x:f>IFERROR((M109-N109)/O108,"")</x:f>
        <x:v>0.019320539419087138</x:v>
      </x:c>
      <x:c r="R109" s="153" t="n">
        <x:v>7731</x:v>
      </x:c>
      <x:c r="S109" s="158" t="n">
        <x:v>590588</x:v>
      </x:c>
      <x:c r="T109" s="158" t="n">
        <x:v>4566158208</x:v>
      </x:c>
      <x:c r="U109" s="158" t="n">
        <x:v>3707000</x:v>
      </x:c>
      <x:c r="V109" s="153" t="n">
        <x:f>IFERROR(E109*1000/O109,"")</x:f>
        <x:v>71.0213040671401</x:v>
      </x:c>
      <x:c r="W109" s="153" t="n">
        <x:v>4.22</x:v>
      </x:c>
      <x:c r="X109" s="155" t="n">
        <x:v>45461</x:v>
      </x:c>
      <x:c r="Y109" s="153" t="n">
        <x:v>2.01</x:v>
      </x:c>
      <x:c r="Z109" s="155" t="n">
        <x:v>45461</x:v>
      </x:c>
      <x:c r="AA109" s="153" t="n">
        <x:f>IFERROR(Y109-Y108,"")</x:f>
        <x:v>-0.050000000000000266</x:v>
      </x:c>
      <x:c r="AB109" s="153" t="n">
        <x:v>2.21</x:v>
      </x:c>
      <x:c r="AC109" s="153" t="n">
        <x:v>123.9776</x:v>
      </x:c>
      <x:c r="AD109" s="155" t="n">
        <x:v>45461</x:v>
      </x:c>
      <x:c r="AE109" s="154" t="n">
        <x:f>IFERROR(AC109/AC108-1,"")</x:f>
        <x:v>-0.0021040092080587547</x:v>
      </x:c>
      <x:c r="AF109" s="153" t="n">
        <x:v>12.3</x:v>
      </x:c>
      <x:c r="AG109" s="155" t="n">
        <x:v>45461</x:v>
      </x:c>
      <x:c r="AH109" s="153" t="n">
        <x:f>IFERROR(AF109-AF108,"")</x:f>
        <x:v>-0.4499999999999993</x:v>
      </x:c>
      <x:c r="AI109" s="153" t="n">
        <x:v>5.33</x:v>
      </x:c>
      <x:c r="AJ109" s="155" t="n">
        <x:v>45457</x:v>
      </x:c>
      <x:c r="AK109" s="159" t="n">
        <x:v>152965</x:v>
      </x:c>
      <x:c r="AL109" s="154" t="n">
        <x:v>0.35014890456144687</x:v>
      </x:c>
      <x:c r="AM109" s="159" t="n">
        <x:v>-40807</x:v>
      </x:c>
      <x:c r="AN109" s="155" t="n">
        <x:v>45457</x:v>
      </x:c>
      <x:c r="AO109" s="159" t="n">
        <x:v>28060</x:v>
      </x:c>
      <x:c r="AP109" s="154" t="n">
        <x:v>0.15939921379717786</x:v>
      </x:c>
      <x:c r="AQ109" s="159" t="n">
        <x:v>-40840</x:v>
      </x:c>
      <x:c r="AR109" s="147" t="str">
        <x:v>美国市场指标与CFTC数据均使用严格早于上金所交易日的最后已发布值</x:v>
      </x:c>
    </x:row>
    <x:row r="110">
      <x:c r="A110" s="155" t="n">
        <x:v>45463</x:v>
      </x:c>
      <x:c r="B110" s="153" t="n">
        <x:v>550</x:v>
      </x:c>
      <x:c r="C110" s="153" t="n">
        <x:v>554.58</x:v>
      </x:c>
      <x:c r="D110" s="153" t="n">
        <x:v>549</x:v>
      </x:c>
      <x:c r="E110" s="153" t="n">
        <x:v>554.35</x:v>
      </x:c>
      <x:c r="F110" s="154" t="n">
        <x:f>IFERROR(E110/E109-1,"")</x:f>
        <x:v>0.0077991491837254845</x:v>
      </x:c>
      <x:c r="G110" s="154" t="n">
        <x:f>IFERROR((C110-D110)/E109,"")</x:f>
        <x:v>0.01014434788932124</x:v>
      </x:c>
      <x:c r="H110" s="153" t="n">
        <x:v>552.8</x:v>
      </x:c>
      <x:c r="I110" s="158" t="n">
        <x:v>7662.62</x:v>
      </x:c>
      <x:c r="J110" s="158" t="n">
        <x:v>4235904614.8</x:v>
      </x:c>
      <x:c r="K110" s="158"/>
      <x:c r="L110" s="153" t="n">
        <x:v>7743</x:v>
      </x:c>
      <x:c r="M110" s="153" t="n">
        <x:v>8020</x:v>
      </x:c>
      <x:c r="N110" s="153" t="n">
        <x:v>7735</x:v>
      </x:c>
      <x:c r="O110" s="153" t="n">
        <x:v>8001</x:v>
      </x:c>
      <x:c r="P110" s="154" t="n">
        <x:f>IFERROR(O110/O109-1,"")</x:f>
        <x:v>0.03305358295674621</x:v>
      </x:c>
      <x:c r="Q110" s="154" t="n">
        <x:f>IFERROR((M110-N110)/O109,"")</x:f>
        <x:v>0.036797934151065206</x:v>
      </x:c>
      <x:c r="R110" s="153" t="n">
        <x:v>7908</x:v>
      </x:c>
      <x:c r="S110" s="158" t="n">
        <x:v>745818</x:v>
      </x:c>
      <x:c r="T110" s="158" t="n">
        <x:v>5898496862</x:v>
      </x:c>
      <x:c r="U110" s="158" t="n">
        <x:v>3837928</x:v>
      </x:c>
      <x:c r="V110" s="153" t="n">
        <x:f>IFERROR(E110*1000/O110,"")</x:f>
        <x:v>69.28508936382953</x:v>
      </x:c>
      <x:c r="W110" s="153" t="n">
        <x:v>4.22</x:v>
      </x:c>
      <x:c r="X110" s="155" t="n">
        <x:v>45461</x:v>
      </x:c>
      <x:c r="Y110" s="153" t="n">
        <x:v>2.01</x:v>
      </x:c>
      <x:c r="Z110" s="155" t="n">
        <x:v>45461</x:v>
      </x:c>
      <x:c r="AA110" s="153" t="n">
        <x:f>IFERROR(Y110-Y109,"")</x:f>
        <x:v>0</x:v>
      </x:c>
      <x:c r="AB110" s="153" t="n">
        <x:v>2.21</x:v>
      </x:c>
      <x:c r="AC110" s="153" t="n">
        <x:v>123.9776</x:v>
      </x:c>
      <x:c r="AD110" s="155" t="n">
        <x:v>45461</x:v>
      </x:c>
      <x:c r="AE110" s="154" t="n">
        <x:f>IFERROR(AC110/AC109-1,"")</x:f>
        <x:v>0</x:v>
      </x:c>
      <x:c r="AF110" s="153" t="n">
        <x:v>12.48</x:v>
      </x:c>
      <x:c r="AG110" s="155" t="n">
        <x:v>45462</x:v>
      </x:c>
      <x:c r="AH110" s="153" t="n">
        <x:f>IFERROR(AF110-AF109,"")</x:f>
        <x:v>0.17999999999999972</x:v>
      </x:c>
      <x:c r="AI110" s="153" t="n">
        <x:v>5.33</x:v>
      </x:c>
      <x:c r="AJ110" s="155" t="n">
        <x:v>45457</x:v>
      </x:c>
      <x:c r="AK110" s="159" t="n">
        <x:v>152965</x:v>
      </x:c>
      <x:c r="AL110" s="154" t="n">
        <x:v>0.35014890456144687</x:v>
      </x:c>
      <x:c r="AM110" s="159" t="n">
        <x:v>-40807</x:v>
      </x:c>
      <x:c r="AN110" s="155" t="n">
        <x:v>45457</x:v>
      </x:c>
      <x:c r="AO110" s="159" t="n">
        <x:v>28060</x:v>
      </x:c>
      <x:c r="AP110" s="154" t="n">
        <x:v>0.15939921379717786</x:v>
      </x:c>
      <x:c r="AQ110" s="159" t="n">
        <x:v>-40840</x:v>
      </x:c>
      <x:c r="AR110" s="147" t="str">
        <x:v>美国市场指标与CFTC数据均使用严格早于上金所交易日的最后已发布值</x:v>
      </x:c>
    </x:row>
    <x:row r="111">
      <x:c r="A111" s="155" t="n">
        <x:v>45464</x:v>
      </x:c>
      <x:c r="B111" s="153" t="n">
        <x:v>552</x:v>
      </x:c>
      <x:c r="C111" s="153" t="n">
        <x:v>558.8</x:v>
      </x:c>
      <x:c r="D111" s="153" t="n">
        <x:v>552</x:v>
      </x:c>
      <x:c r="E111" s="153" t="n">
        <x:v>556.25</x:v>
      </x:c>
      <x:c r="F111" s="154" t="n">
        <x:f>IFERROR(E111/E110-1,"")</x:f>
        <x:v>0.0034274375394605094</x:v>
      </x:c>
      <x:c r="G111" s="154" t="n">
        <x:f>IFERROR((C111-D111)/E110,"")</x:f>
        <x:v>0.012266618562280066</x:v>
      </x:c>
      <x:c r="H111" s="153" t="n">
        <x:v>557.58</x:v>
      </x:c>
      <x:c r="I111" s="158" t="n">
        <x:v>7637.26</x:v>
      </x:c>
      <x:c r="J111" s="158" t="n">
        <x:v>4258393439.6</x:v>
      </x:c>
      <x:c r="K111" s="158"/>
      <x:c r="L111" s="153" t="n">
        <x:v>7990</x:v>
      </x:c>
      <x:c r="M111" s="153" t="n">
        <x:v>8141</x:v>
      </x:c>
      <x:c r="N111" s="153" t="n">
        <x:v>7935</x:v>
      </x:c>
      <x:c r="O111" s="153" t="n">
        <x:v>7980</x:v>
      </x:c>
      <x:c r="P111" s="154" t="n">
        <x:f>IFERROR(O111/O110-1,"")</x:f>
        <x:v>-0.002624671916010457</x:v>
      </x:c>
      <x:c r="Q111" s="154" t="n">
        <x:f>IFERROR((M111-N111)/O110,"")</x:f>
        <x:v>0.025746781652293462</x:v>
      </x:c>
      <x:c r="R111" s="153" t="n">
        <x:v>8036</x:v>
      </x:c>
      <x:c r="S111" s="158" t="n">
        <x:v>733930</x:v>
      </x:c>
      <x:c r="T111" s="158" t="n">
        <x:v>5898476664</x:v>
      </x:c>
      <x:c r="U111" s="158" t="n">
        <x:v>3809084</x:v>
      </x:c>
      <x:c r="V111" s="153" t="n">
        <x:f>IFERROR(E111*1000/O111,"")</x:f>
        <x:v>69.70551378446115</x:v>
      </x:c>
      <x:c r="W111" s="153" t="n">
        <x:v>4.25</x:v>
      </x:c>
      <x:c r="X111" s="155" t="n">
        <x:v>45463</x:v>
      </x:c>
      <x:c r="Y111" s="153" t="n">
        <x:v>2</x:v>
      </x:c>
      <x:c r="Z111" s="155" t="n">
        <x:v>45463</x:v>
      </x:c>
      <x:c r="AA111" s="153" t="n">
        <x:f>IFERROR(Y111-Y110,"")</x:f>
        <x:v>-0.009999999999999787</x:v>
      </x:c>
      <x:c r="AB111" s="153" t="n">
        <x:v>2.25</x:v>
      </x:c>
      <x:c r="AC111" s="153" t="n">
        <x:v>124.192</x:v>
      </x:c>
      <x:c r="AD111" s="155" t="n">
        <x:v>45463</x:v>
      </x:c>
      <x:c r="AE111" s="154" t="n">
        <x:f>IFERROR(AC111/AC110-1,"")</x:f>
        <x:v>0.0017293446558088732</x:v>
      </x:c>
      <x:c r="AF111" s="153" t="n">
        <x:v>13.28</x:v>
      </x:c>
      <x:c r="AG111" s="155" t="n">
        <x:v>45463</x:v>
      </x:c>
      <x:c r="AH111" s="153" t="n">
        <x:f>IFERROR(AF111-AF110,"")</x:f>
        <x:v>0.7999999999999989</x:v>
      </x:c>
      <x:c r="AI111" s="153" t="n">
        <x:v>5.33</x:v>
      </x:c>
      <x:c r="AJ111" s="155" t="n">
        <x:v>45457</x:v>
      </x:c>
      <x:c r="AK111" s="159" t="n">
        <x:v>152965</x:v>
      </x:c>
      <x:c r="AL111" s="154" t="n">
        <x:v>0.35014890456144687</x:v>
      </x:c>
      <x:c r="AM111" s="159" t="n">
        <x:v>-40807</x:v>
      </x:c>
      <x:c r="AN111" s="155" t="n">
        <x:v>45457</x:v>
      </x:c>
      <x:c r="AO111" s="159" t="n">
        <x:v>28060</x:v>
      </x:c>
      <x:c r="AP111" s="154" t="n">
        <x:v>0.15939921379717786</x:v>
      </x:c>
      <x:c r="AQ111" s="159" t="n">
        <x:v>-40840</x:v>
      </x:c>
      <x:c r="AR111" s="147" t="str">
        <x:v>美国市场指标与CFTC数据均使用严格早于上金所交易日的最后已发布值</x:v>
      </x:c>
    </x:row>
    <x:row r="112">
      <x:c r="A112" s="155" t="n">
        <x:v>45467</x:v>
      </x:c>
      <x:c r="B112" s="153" t="n">
        <x:v>558</x:v>
      </x:c>
      <x:c r="C112" s="153" t="n">
        <x:v>559</x:v>
      </x:c>
      <x:c r="D112" s="153" t="n">
        <x:v>548</x:v>
      </x:c>
      <x:c r="E112" s="153" t="n">
        <x:v>549.98</x:v>
      </x:c>
      <x:c r="F112" s="154" t="n">
        <x:f>IFERROR(E112/E111-1,"")</x:f>
        <x:v>-0.011271910112359507</x:v>
      </x:c>
      <x:c r="G112" s="154" t="n">
        <x:f>IFERROR((C112-D112)/E111,"")</x:f>
        <x:v>0.019775280898876403</x:v>
      </x:c>
      <x:c r="H112" s="153" t="n">
        <x:v>549.06</x:v>
      </x:c>
      <x:c r="I112" s="158" t="n">
        <x:v>9385.98</x:v>
      </x:c>
      <x:c r="J112" s="158" t="n">
        <x:v>5153528987.2</x:v>
      </x:c>
      <x:c r="K112" s="158"/>
      <x:c r="L112" s="153" t="n">
        <x:v>8031</x:v>
      </x:c>
      <x:c r="M112" s="153" t="n">
        <x:v>8039</x:v>
      </x:c>
      <x:c r="N112" s="153" t="n">
        <x:v>7754</x:v>
      </x:c>
      <x:c r="O112" s="153" t="n">
        <x:v>7817</x:v>
      </x:c>
      <x:c r="P112" s="154" t="n">
        <x:f>IFERROR(O112/O111-1,"")</x:f>
        <x:v>-0.020426065162907237</x:v>
      </x:c>
      <x:c r="Q112" s="154" t="n">
        <x:f>IFERROR((M112-N112)/O111,"")</x:f>
        <x:v>0.03571428571428571</x:v>
      </x:c>
      <x:c r="R112" s="153" t="n">
        <x:v>7835</x:v>
      </x:c>
      <x:c r="S112" s="158" t="n">
        <x:v>546538</x:v>
      </x:c>
      <x:c r="T112" s="158" t="n">
        <x:v>4282435184</x:v>
      </x:c>
      <x:c r="U112" s="158" t="n">
        <x:v>3706414</x:v>
      </x:c>
      <x:c r="V112" s="153" t="n">
        <x:f>IFERROR(E112*1000/O112,"")</x:f>
        <x:v>70.35691441729564</x:v>
      </x:c>
      <x:c r="W112" s="153" t="n">
        <x:v>4.25</x:v>
      </x:c>
      <x:c r="X112" s="155" t="n">
        <x:v>45464</x:v>
      </x:c>
      <x:c r="Y112" s="153" t="n">
        <x:v>2.02</x:v>
      </x:c>
      <x:c r="Z112" s="155" t="n">
        <x:v>45464</x:v>
      </x:c>
      <x:c r="AA112" s="153" t="n">
        <x:f>IFERROR(Y112-Y111,"")</x:f>
        <x:v>0.020000000000000018</x:v>
      </x:c>
      <x:c r="AB112" s="153" t="n">
        <x:v>2.23</x:v>
      </x:c>
      <x:c r="AC112" s="153" t="n">
        <x:v>124.1086</x:v>
      </x:c>
      <x:c r="AD112" s="155" t="n">
        <x:v>45464</x:v>
      </x:c>
      <x:c r="AE112" s="154" t="n">
        <x:f>IFERROR(AC112/AC111-1,"")</x:f>
        <x:v>-0.0006715408399896594</x:v>
      </x:c>
      <x:c r="AF112" s="153" t="n">
        <x:v>13.2</x:v>
      </x:c>
      <x:c r="AG112" s="155" t="n">
        <x:v>45464</x:v>
      </x:c>
      <x:c r="AH112" s="153" t="n">
        <x:f>IFERROR(AF112-AF111,"")</x:f>
        <x:v>-0.08000000000000007</x:v>
      </x:c>
      <x:c r="AI112" s="153" t="n">
        <x:v>5.33</x:v>
      </x:c>
      <x:c r="AJ112" s="155" t="n">
        <x:v>45464</x:v>
      </x:c>
      <x:c r="AK112" s="159" t="n">
        <x:v>160621</x:v>
      </x:c>
      <x:c r="AL112" s="154" t="n">
        <x:v>0.3614781307317512</x:v>
      </x:c>
      <x:c r="AM112" s="159" t="n">
        <x:v>-42558</x:v>
      </x:c>
      <x:c r="AN112" s="155" t="n">
        <x:v>45464</x:v>
      </x:c>
      <x:c r="AO112" s="159" t="n">
        <x:v>31049</x:v>
      </x:c>
      <x:c r="AP112" s="154" t="n">
        <x:v>0.17581042439342034</x:v>
      </x:c>
      <x:c r="AQ112" s="159" t="n">
        <x:v>-40254</x:v>
      </x:c>
      <x:c r="AR112" s="147" t="str">
        <x:v>美国市场指标与CFTC数据均使用严格早于上金所交易日的最后已发布值</x:v>
      </x:c>
    </x:row>
    <x:row r="113">
      <x:c r="A113" s="155" t="n">
        <x:v>45468</x:v>
      </x:c>
      <x:c r="B113" s="153" t="n">
        <x:v>549</x:v>
      </x:c>
      <x:c r="C113" s="153" t="n">
        <x:v>550.5</x:v>
      </x:c>
      <x:c r="D113" s="153" t="n">
        <x:v>548.5</x:v>
      </x:c>
      <x:c r="E113" s="153" t="n">
        <x:v>549.75</x:v>
      </x:c>
      <x:c r="F113" s="154" t="n">
        <x:f>IFERROR(E113/E112-1,"")</x:f>
        <x:v>-0.0004181970253464007</x:v>
      </x:c>
      <x:c r="G113" s="154" t="n">
        <x:f>IFERROR((C113-D113)/E112,"")</x:f>
        <x:v>0.0036364958725771846</x:v>
      </x:c>
      <x:c r="H113" s="153" t="n">
        <x:v>549.27</x:v>
      </x:c>
      <x:c r="I113" s="158" t="n">
        <x:v>8178.48</x:v>
      </x:c>
      <x:c r="J113" s="158" t="n">
        <x:v>4492240025.4</x:v>
      </x:c>
      <x:c r="K113" s="158"/>
      <x:c r="L113" s="153" t="n">
        <x:v>7819</x:v>
      </x:c>
      <x:c r="M113" s="153" t="n">
        <x:v>7849</x:v>
      </x:c>
      <x:c r="N113" s="153" t="n">
        <x:v>7737</x:v>
      </x:c>
      <x:c r="O113" s="153" t="n">
        <x:v>7811</x:v>
      </x:c>
      <x:c r="P113" s="154" t="n">
        <x:f>IFERROR(O113/O112-1,"")</x:f>
        <x:v>-0.0007675578866572774</x:v>
      </x:c>
      <x:c r="Q113" s="154" t="n">
        <x:f>IFERROR((M113-N113)/O112,"")</x:f>
        <x:v>0.014327747217602662</x:v>
      </x:c>
      <x:c r="R113" s="153" t="n">
        <x:v>7784</x:v>
      </x:c>
      <x:c r="S113" s="158" t="n">
        <x:v>628098</x:v>
      </x:c>
      <x:c r="T113" s="158" t="n">
        <x:v>4889597602</x:v>
      </x:c>
      <x:c r="U113" s="158" t="n">
        <x:v>3637814</x:v>
      </x:c>
      <x:c r="V113" s="153" t="n">
        <x:f>IFERROR(E113*1000/O113,"")</x:f>
        <x:v>70.3815132505441</x:v>
      </x:c>
      <x:c r="W113" s="153" t="n">
        <x:v>4.25</x:v>
      </x:c>
      <x:c r="X113" s="155" t="n">
        <x:v>45467</x:v>
      </x:c>
      <x:c r="Y113" s="153" t="n">
        <x:v>2.03</x:v>
      </x:c>
      <x:c r="Z113" s="155" t="n">
        <x:v>45467</x:v>
      </x:c>
      <x:c r="AA113" s="153" t="n">
        <x:f>IFERROR(Y113-Y112,"")</x:f>
        <x:v>0.009999999999999787</x:v>
      </x:c>
      <x:c r="AB113" s="153" t="n">
        <x:v>2.22</x:v>
      </x:c>
      <x:c r="AC113" s="153" t="n">
        <x:v>123.7125</x:v>
      </x:c>
      <x:c r="AD113" s="155" t="n">
        <x:v>45467</x:v>
      </x:c>
      <x:c r="AE113" s="154" t="n">
        <x:f>IFERROR(AC113/AC112-1,"")</x:f>
        <x:v>-0.003191559650177256</x:v>
      </x:c>
      <x:c r="AF113" s="153" t="n">
        <x:v>13.33</x:v>
      </x:c>
      <x:c r="AG113" s="155" t="n">
        <x:v>45467</x:v>
      </x:c>
      <x:c r="AH113" s="153" t="n">
        <x:f>IFERROR(AF113-AF112,"")</x:f>
        <x:v>0.13000000000000078</x:v>
      </x:c>
      <x:c r="AI113" s="153" t="n">
        <x:v>5.33</x:v>
      </x:c>
      <x:c r="AJ113" s="155" t="n">
        <x:v>45464</x:v>
      </x:c>
      <x:c r="AK113" s="159" t="n">
        <x:v>160621</x:v>
      </x:c>
      <x:c r="AL113" s="154" t="n">
        <x:v>0.3614781307317512</x:v>
      </x:c>
      <x:c r="AM113" s="159" t="n">
        <x:v>-42558</x:v>
      </x:c>
      <x:c r="AN113" s="155" t="n">
        <x:v>45464</x:v>
      </x:c>
      <x:c r="AO113" s="159" t="n">
        <x:v>31049</x:v>
      </x:c>
      <x:c r="AP113" s="154" t="n">
        <x:v>0.17581042439342034</x:v>
      </x:c>
      <x:c r="AQ113" s="159" t="n">
        <x:v>-40254</x:v>
      </x:c>
      <x:c r="AR113" s="147" t="str">
        <x:v>美国市场指标与CFTC数据均使用严格早于上金所交易日的最后已发布值</x:v>
      </x:c>
    </x:row>
    <x:row r="114">
      <x:c r="A114" s="155" t="n">
        <x:v>45469</x:v>
      </x:c>
      <x:c r="B114" s="153" t="n">
        <x:v>550.1</x:v>
      </x:c>
      <x:c r="C114" s="153" t="n">
        <x:v>551</x:v>
      </x:c>
      <x:c r="D114" s="153" t="n">
        <x:v>544.74</x:v>
      </x:c>
      <x:c r="E114" s="153" t="n">
        <x:v>546.18</x:v>
      </x:c>
      <x:c r="F114" s="154" t="n">
        <x:f>IFERROR(E114/E113-1,"")</x:f>
        <x:v>-0.006493860845839139</x:v>
      </x:c>
      <x:c r="G114" s="154" t="n">
        <x:f>IFERROR((C114-D114)/E113,"")</x:f>
        <x:v>0.011386994088221903</x:v>
      </x:c>
      <x:c r="H114" s="153" t="n">
        <x:v>546.37</x:v>
      </x:c>
      <x:c r="I114" s="158" t="n">
        <x:v>9190.5</x:v>
      </x:c>
      <x:c r="J114" s="158" t="n">
        <x:v>5021500700.4</x:v>
      </x:c>
      <x:c r="K114" s="158"/>
      <x:c r="L114" s="153" t="n">
        <x:v>7800</x:v>
      </x:c>
      <x:c r="M114" s="153" t="n">
        <x:v>7822</x:v>
      </x:c>
      <x:c r="N114" s="153" t="n">
        <x:v>7580</x:v>
      </x:c>
      <x:c r="O114" s="153" t="n">
        <x:v>7640</x:v>
      </x:c>
      <x:c r="P114" s="154" t="n">
        <x:f>IFERROR(O114/O113-1,"")</x:f>
        <x:v>-0.021892203303034208</x:v>
      </x:c>
      <x:c r="Q114" s="154" t="n">
        <x:f>IFERROR((M114-N114)/O113,"")</x:f>
        <x:v>0.03098194853411855</x:v>
      </x:c>
      <x:c r="R114" s="153" t="n">
        <x:v>7652</x:v>
      </x:c>
      <x:c r="S114" s="158" t="n">
        <x:v>798622</x:v>
      </x:c>
      <x:c r="T114" s="158" t="n">
        <x:v>6111720804</x:v>
      </x:c>
      <x:c r="U114" s="158" t="n">
        <x:v>3698214</x:v>
      </x:c>
      <x:c r="V114" s="153" t="n">
        <x:f>IFERROR(E114*1000/O114,"")</x:f>
        <x:v>71.48952879581152</x:v>
      </x:c>
      <x:c r="W114" s="153" t="n">
        <x:v>4.23</x:v>
      </x:c>
      <x:c r="X114" s="155" t="n">
        <x:v>45468</x:v>
      </x:c>
      <x:c r="Y114" s="153" t="n">
        <x:v>2.01</x:v>
      </x:c>
      <x:c r="Z114" s="155" t="n">
        <x:v>45468</x:v>
      </x:c>
      <x:c r="AA114" s="153" t="n">
        <x:f>IFERROR(Y114-Y113,"")</x:f>
        <x:v>-0.020000000000000018</x:v>
      </x:c>
      <x:c r="AB114" s="153" t="n">
        <x:v>2.22</x:v>
      </x:c>
      <x:c r="AC114" s="153" t="n">
        <x:v>123.9417</x:v>
      </x:c>
      <x:c r="AD114" s="155" t="n">
        <x:v>45468</x:v>
      </x:c>
      <x:c r="AE114" s="154" t="n">
        <x:f>IFERROR(AC114/AC113-1,"")</x:f>
        <x:v>0.0018526826311002775</x:v>
      </x:c>
      <x:c r="AF114" s="153" t="n">
        <x:v>12.84</x:v>
      </x:c>
      <x:c r="AG114" s="155" t="n">
        <x:v>45468</x:v>
      </x:c>
      <x:c r="AH114" s="153" t="n">
        <x:f>IFERROR(AF114-AF113,"")</x:f>
        <x:v>-0.4900000000000002</x:v>
      </x:c>
      <x:c r="AI114" s="153" t="n">
        <x:v>5.33</x:v>
      </x:c>
      <x:c r="AJ114" s="155" t="n">
        <x:v>45464</x:v>
      </x:c>
      <x:c r="AK114" s="159" t="n">
        <x:v>160621</x:v>
      </x:c>
      <x:c r="AL114" s="154" t="n">
        <x:v>0.3614781307317512</x:v>
      </x:c>
      <x:c r="AM114" s="159" t="n">
        <x:v>-42558</x:v>
      </x:c>
      <x:c r="AN114" s="155" t="n">
        <x:v>45464</x:v>
      </x:c>
      <x:c r="AO114" s="159" t="n">
        <x:v>31049</x:v>
      </x:c>
      <x:c r="AP114" s="154" t="n">
        <x:v>0.17581042439342034</x:v>
      </x:c>
      <x:c r="AQ114" s="159" t="n">
        <x:v>-40254</x:v>
      </x:c>
      <x:c r="AR114" s="147" t="str">
        <x:v>美国市场指标与CFTC数据均使用严格早于上金所交易日的最后已发布值</x:v>
      </x:c>
    </x:row>
    <x:row r="115">
      <x:c r="A115" s="155" t="n">
        <x:v>45470</x:v>
      </x:c>
      <x:c r="B115" s="153" t="n">
        <x:v>546.9</x:v>
      </x:c>
      <x:c r="C115" s="153" t="n">
        <x:v>546.9</x:v>
      </x:c>
      <x:c r="D115" s="153" t="n">
        <x:v>542.3</x:v>
      </x:c>
      <x:c r="E115" s="153" t="n">
        <x:v>543.88</x:v>
      </x:c>
      <x:c r="F115" s="154" t="n">
        <x:f>IFERROR(E115/E114-1,"")</x:f>
        <x:v>-0.004211065948954484</x:v>
      </x:c>
      <x:c r="G115" s="154" t="n">
        <x:f>IFERROR((C115-D115)/E114,"")</x:f>
        <x:v>0.008422131897909156</x:v>
      </x:c>
      <x:c r="H115" s="153" t="n">
        <x:v>542.98</x:v>
      </x:c>
      <x:c r="I115" s="158" t="n">
        <x:v>11213.84</x:v>
      </x:c>
      <x:c r="J115" s="158" t="n">
        <x:v>6088902512</x:v>
      </x:c>
      <x:c r="K115" s="158"/>
      <x:c r="L115" s="153" t="n">
        <x:v>7647</x:v>
      </x:c>
      <x:c r="M115" s="153" t="n">
        <x:v>7670</x:v>
      </x:c>
      <x:c r="N115" s="153" t="n">
        <x:v>7557</x:v>
      </x:c>
      <x:c r="O115" s="153" t="n">
        <x:v>7612</x:v>
      </x:c>
      <x:c r="P115" s="154" t="n">
        <x:f>IFERROR(O115/O114-1,"")</x:f>
        <x:v>-0.00366492146596864</x:v>
      </x:c>
      <x:c r="Q115" s="154" t="n">
        <x:f>IFERROR((M115-N115)/O114,"")</x:f>
        <x:v>0.014790575916230366</x:v>
      </x:c>
      <x:c r="R115" s="153" t="n">
        <x:v>7607</x:v>
      </x:c>
      <x:c r="S115" s="158" t="n">
        <x:v>312802</x:v>
      </x:c>
      <x:c r="T115" s="158" t="n">
        <x:v>2379649554</x:v>
      </x:c>
      <x:c r="U115" s="158" t="n">
        <x:v>3699528</x:v>
      </x:c>
      <x:c r="V115" s="153" t="n">
        <x:f>IFERROR(E115*1000/O115,"")</x:f>
        <x:v>71.4503415659485</x:v>
      </x:c>
      <x:c r="W115" s="153" t="n">
        <x:v>4.32</x:v>
      </x:c>
      <x:c r="X115" s="155" t="n">
        <x:v>45469</x:v>
      </x:c>
      <x:c r="Y115" s="153" t="n">
        <x:v>2.06</x:v>
      </x:c>
      <x:c r="Z115" s="155" t="n">
        <x:v>45469</x:v>
      </x:c>
      <x:c r="AA115" s="153" t="n">
        <x:f>IFERROR(Y115-Y114,"")</x:f>
        <x:v>0.050000000000000266</x:v>
      </x:c>
      <x:c r="AB115" s="153" t="n">
        <x:v>2.26</x:v>
      </x:c>
      <x:c r="AC115" s="153" t="n">
        <x:v>124.26</x:v>
      </x:c>
      <x:c r="AD115" s="155" t="n">
        <x:v>45469</x:v>
      </x:c>
      <x:c r="AE115" s="154" t="n">
        <x:f>IFERROR(AC115/AC114-1,"")</x:f>
        <x:v>0.0025681429252624177</x:v>
      </x:c>
      <x:c r="AF115" s="153" t="n">
        <x:v>12.55</x:v>
      </x:c>
      <x:c r="AG115" s="155" t="n">
        <x:v>45469</x:v>
      </x:c>
      <x:c r="AH115" s="153" t="n">
        <x:f>IFERROR(AF115-AF114,"")</x:f>
        <x:v>-0.28999999999999915</x:v>
      </x:c>
      <x:c r="AI115" s="153" t="n">
        <x:v>5.33</x:v>
      </x:c>
      <x:c r="AJ115" s="155" t="n">
        <x:v>45464</x:v>
      </x:c>
      <x:c r="AK115" s="159" t="n">
        <x:v>160621</x:v>
      </x:c>
      <x:c r="AL115" s="154" t="n">
        <x:v>0.3614781307317512</x:v>
      </x:c>
      <x:c r="AM115" s="159" t="n">
        <x:v>-42558</x:v>
      </x:c>
      <x:c r="AN115" s="155" t="n">
        <x:v>45464</x:v>
      </x:c>
      <x:c r="AO115" s="159" t="n">
        <x:v>31049</x:v>
      </x:c>
      <x:c r="AP115" s="154" t="n">
        <x:v>0.17581042439342034</x:v>
      </x:c>
      <x:c r="AQ115" s="159" t="n">
        <x:v>-40254</x:v>
      </x:c>
      <x:c r="AR115" s="147" t="str">
        <x:v>美国市场指标与CFTC数据均使用严格早于上金所交易日的最后已发布值</x:v>
      </x:c>
    </x:row>
    <x:row r="116">
      <x:c r="A116" s="155" t="n">
        <x:v>45471</x:v>
      </x:c>
      <x:c r="B116" s="153" t="n">
        <x:v>547.5</x:v>
      </x:c>
      <x:c r="C116" s="153" t="n">
        <x:v>550.1</x:v>
      </x:c>
      <x:c r="D116" s="153" t="n">
        <x:v>547.31</x:v>
      </x:c>
      <x:c r="E116" s="153" t="n">
        <x:v>549.88</x:v>
      </x:c>
      <x:c r="F116" s="154" t="n">
        <x:f>IFERROR(E116/E115-1,"")</x:f>
        <x:v>0.011031845259983797</x:v>
      </x:c>
      <x:c r="G116" s="154" t="n">
        <x:f>IFERROR((C116-D116)/E115,"")</x:f>
        <x:v>0.005129808045892618</x:v>
      </x:c>
      <x:c r="H116" s="153" t="n">
        <x:v>548.62</x:v>
      </x:c>
      <x:c r="I116" s="158" t="n">
        <x:v>6558.34</x:v>
      </x:c>
      <x:c r="J116" s="158" t="n">
        <x:v>3598094060.4</x:v>
      </x:c>
      <x:c r="K116" s="158"/>
      <x:c r="L116" s="153" t="n">
        <x:v>7650</x:v>
      </x:c>
      <x:c r="M116" s="153" t="n">
        <x:v>7760</x:v>
      </x:c>
      <x:c r="N116" s="153" t="n">
        <x:v>7615</x:v>
      </x:c>
      <x:c r="O116" s="153" t="n">
        <x:v>7731</x:v>
      </x:c>
      <x:c r="P116" s="154" t="n">
        <x:f>IFERROR(O116/O115-1,"")</x:f>
        <x:v>0.01563321071991597</x:v>
      </x:c>
      <x:c r="Q116" s="154" t="n">
        <x:f>IFERROR((M116-N116)/O115,"")</x:f>
        <x:v>0.019048870204939568</x:v>
      </x:c>
      <x:c r="R116" s="153" t="n">
        <x:v>7688</x:v>
      </x:c>
      <x:c r="S116" s="158" t="n">
        <x:v>769668</x:v>
      </x:c>
      <x:c r="T116" s="158" t="n">
        <x:v>5917533238</x:v>
      </x:c>
      <x:c r="U116" s="158" t="n">
        <x:v>3894040</x:v>
      </x:c>
      <x:c r="V116" s="153" t="n">
        <x:f>IFERROR(E116*1000/O116,"")</x:f>
        <x:v>71.12663303582977</x:v>
      </x:c>
      <x:c r="W116" s="153" t="n">
        <x:v>4.29</x:v>
      </x:c>
      <x:c r="X116" s="155" t="n">
        <x:v>45470</x:v>
      </x:c>
      <x:c r="Y116" s="153" t="n">
        <x:v>2.03</x:v>
      </x:c>
      <x:c r="Z116" s="155" t="n">
        <x:v>45470</x:v>
      </x:c>
      <x:c r="AA116" s="153" t="n">
        <x:f>IFERROR(Y116-Y115,"")</x:f>
        <x:v>-0.03000000000000025</x:v>
      </x:c>
      <x:c r="AB116" s="153" t="n">
        <x:v>2.26</x:v>
      </x:c>
      <x:c r="AC116" s="153" t="n">
        <x:v>124.3379</x:v>
      </x:c>
      <x:c r="AD116" s="155" t="n">
        <x:v>45470</x:v>
      </x:c>
      <x:c r="AE116" s="154" t="n">
        <x:f>IFERROR(AC116/AC115-1,"")</x:f>
        <x:v>0.0006269113149846017</x:v>
      </x:c>
      <x:c r="AF116" s="153" t="n">
        <x:v>12.24</x:v>
      </x:c>
      <x:c r="AG116" s="155" t="n">
        <x:v>45470</x:v>
      </x:c>
      <x:c r="AH116" s="153" t="n">
        <x:f>IFERROR(AF116-AF115,"")</x:f>
        <x:v>-0.3100000000000005</x:v>
      </x:c>
      <x:c r="AI116" s="153" t="n">
        <x:v>5.33</x:v>
      </x:c>
      <x:c r="AJ116" s="155" t="n">
        <x:v>45464</x:v>
      </x:c>
      <x:c r="AK116" s="159" t="n">
        <x:v>160621</x:v>
      </x:c>
      <x:c r="AL116" s="154" t="n">
        <x:v>0.3614781307317512</x:v>
      </x:c>
      <x:c r="AM116" s="159" t="n">
        <x:v>-42558</x:v>
      </x:c>
      <x:c r="AN116" s="155" t="n">
        <x:v>45464</x:v>
      </x:c>
      <x:c r="AO116" s="159" t="n">
        <x:v>31049</x:v>
      </x:c>
      <x:c r="AP116" s="154" t="n">
        <x:v>0.17581042439342034</x:v>
      </x:c>
      <x:c r="AQ116" s="159" t="n">
        <x:v>-40254</x:v>
      </x:c>
      <x:c r="AR116" s="147" t="str">
        <x:v>美国市场指标与CFTC数据均使用严格早于上金所交易日的最后已发布值</x:v>
      </x:c>
    </x:row>
    <x:row r="117">
      <x:c r="A117" s="155" t="n">
        <x:v>45477</x:v>
      </x:c>
      <x:c r="B117" s="153" t="n">
        <x:v>554.5</x:v>
      </x:c>
      <x:c r="C117" s="153" t="n">
        <x:v>558</x:v>
      </x:c>
      <x:c r="D117" s="153" t="n">
        <x:v>554.5</x:v>
      </x:c>
      <x:c r="E117" s="153" t="n">
        <x:v>556.45</x:v>
      </x:c>
      <x:c r="F117" s="154" t="n">
        <x:f>IFERROR(E117/E116-1,"")</x:f>
        <x:v>0.01194806139521365</x:v>
      </x:c>
      <x:c r="G117" s="154" t="n">
        <x:f>IFERROR((C117-D117)/E116,"")</x:f>
        <x:v>0.006365025096384666</x:v>
      </x:c>
      <x:c r="H117" s="153" t="n">
        <x:v>556.86</x:v>
      </x:c>
      <x:c r="I117" s="158" t="n">
        <x:v>6484</x:v>
      </x:c>
      <x:c r="J117" s="158" t="n">
        <x:v>3610716984</x:v>
      </x:c>
      <x:c r="K117" s="158"/>
      <x:c r="L117" s="153" t="n">
        <x:v>7995</x:v>
      </x:c>
      <x:c r="M117" s="153" t="n">
        <x:v>8086</x:v>
      </x:c>
      <x:c r="N117" s="153" t="n">
        <x:v>7950</x:v>
      </x:c>
      <x:c r="O117" s="153" t="n">
        <x:v>7990</x:v>
      </x:c>
      <x:c r="P117" s="154" t="n">
        <x:f>IFERROR(O117/O116-1,"")</x:f>
        <x:v>0.03350148751778548</x:v>
      </x:c>
      <x:c r="Q117" s="154" t="n">
        <x:f>IFERROR((M117-N117)/O116,"")</x:f>
        <x:v>0.017591514681153796</x:v>
      </x:c>
      <x:c r="R117" s="153" t="n">
        <x:v>8016</x:v>
      </x:c>
      <x:c r="S117" s="158" t="n">
        <x:v>887686</x:v>
      </x:c>
      <x:c r="T117" s="158" t="n">
        <x:v>7116265382</x:v>
      </x:c>
      <x:c r="U117" s="158" t="n">
        <x:v>4131144</x:v>
      </x:c>
      <x:c r="V117" s="153" t="n">
        <x:f>IFERROR(E117*1000/O117,"")</x:f>
        <x:v>69.6433041301627</x:v>
      </x:c>
      <x:c r="W117" s="153" t="n">
        <x:v>4.36</x:v>
      </x:c>
      <x:c r="X117" s="155" t="n">
        <x:v>45476</x:v>
      </x:c>
      <x:c r="Y117" s="153" t="n">
        <x:v>2.09</x:v>
      </x:c>
      <x:c r="Z117" s="155" t="n">
        <x:v>45476</x:v>
      </x:c>
      <x:c r="AA117" s="153" t="n">
        <x:f>IFERROR(Y117-Y116,"")</x:f>
        <x:v>0.06000000000000005</x:v>
      </x:c>
      <x:c r="AB117" s="153" t="n">
        <x:v>2.27</x:v>
      </x:c>
      <x:c r="AC117" s="153" t="n">
        <x:v>123.7768</x:v>
      </x:c>
      <x:c r="AD117" s="155" t="n">
        <x:v>45476</x:v>
      </x:c>
      <x:c r="AE117" s="154" t="n">
        <x:f>IFERROR(AC117/AC116-1,"")</x:f>
        <x:v>-0.004512702884639452</x:v>
      </x:c>
      <x:c r="AF117" s="153" t="n">
        <x:v>12.09</x:v>
      </x:c>
      <x:c r="AG117" s="155" t="n">
        <x:v>45476</x:v>
      </x:c>
      <x:c r="AH117" s="153" t="n">
        <x:f>IFERROR(AF117-AF116,"")</x:f>
        <x:v>-0.15000000000000036</x:v>
      </x:c>
      <x:c r="AI117" s="153" t="n">
        <x:v>5.33</x:v>
      </x:c>
      <x:c r="AJ117" s="155" t="n">
        <x:v>45471</x:v>
      </x:c>
      <x:c r="AK117" s="159" t="n">
        <x:v>158202</x:v>
      </x:c>
      <x:c r="AL117" s="154" t="n">
        <x:v>0.3498573608438931</x:v>
      </x:c>
      <x:c r="AM117" s="159" t="n">
        <x:v>-42603</x:v>
      </x:c>
      <x:c r="AN117" s="155" t="n">
        <x:v>45471</x:v>
      </x:c>
      <x:c r="AO117" s="159" t="n">
        <x:v>32346</x:v>
      </x:c>
      <x:c r="AP117" s="154" t="n">
        <x:v>0.1943052802306722</x:v>
      </x:c>
      <x:c r="AQ117" s="159" t="n">
        <x:v>-39352</x:v>
      </x:c>
      <x:c r="AR117" s="147" t="str">
        <x:v>美国市场指标与CFTC数据均使用严格早于上金所交易日的最后已发布值</x:v>
      </x:c>
    </x:row>
    <x:row r="118">
      <x:c r="A118" s="155" t="n">
        <x:v>45478</x:v>
      </x:c>
      <x:c r="B118" s="153" t="n">
        <x:v>557.5</x:v>
      </x:c>
      <x:c r="C118" s="153" t="n">
        <x:v>558.09</x:v>
      </x:c>
      <x:c r="D118" s="153" t="n">
        <x:v>555.6</x:v>
      </x:c>
      <x:c r="E118" s="153" t="n">
        <x:v>557.96</x:v>
      </x:c>
      <x:c r="F118" s="154" t="n">
        <x:f>IFERROR(E118/E117-1,"")</x:f>
        <x:v>0.0027136310540030184</x:v>
      </x:c>
      <x:c r="G118" s="154" t="n">
        <x:f>IFERROR((C118-D118)/E117,"")</x:f>
        <x:v>0.004474795579117637</x:v>
      </x:c>
      <x:c r="H118" s="153" t="n">
        <x:v>557.27</x:v>
      </x:c>
      <x:c r="I118" s="158" t="n">
        <x:v>8835.26</x:v>
      </x:c>
      <x:c r="J118" s="158" t="n">
        <x:v>4923661746.4</x:v>
      </x:c>
      <x:c r="K118" s="158"/>
      <x:c r="L118" s="153" t="n">
        <x:v>7998</x:v>
      </x:c>
      <x:c r="M118" s="153" t="n">
        <x:v>8088</x:v>
      </x:c>
      <x:c r="N118" s="153" t="n">
        <x:v>7973</x:v>
      </x:c>
      <x:c r="O118" s="153" t="n">
        <x:v>8038</x:v>
      </x:c>
      <x:c r="P118" s="154" t="n">
        <x:f>IFERROR(O118/O117-1,"")</x:f>
        <x:v>0.006007509386733334</x:v>
      </x:c>
      <x:c r="Q118" s="154" t="n">
        <x:f>IFERROR((M118-N118)/O117,"")</x:f>
        <x:v>0.014392991239048811</x:v>
      </x:c>
      <x:c r="R118" s="153" t="n">
        <x:v>8045</x:v>
      </x:c>
      <x:c r="S118" s="158" t="n">
        <x:v>473086</x:v>
      </x:c>
      <x:c r="T118" s="158" t="n">
        <x:v>3805998504</x:v>
      </x:c>
      <x:c r="U118" s="158" t="n">
        <x:v>4198356</x:v>
      </x:c>
      <x:c r="V118" s="153" t="n">
        <x:f>IFERROR(E118*1000/O118,"")</x:f>
        <x:v>69.41527743219706</x:v>
      </x:c>
      <x:c r="W118" s="153" t="n">
        <x:v>4.36</x:v>
      </x:c>
      <x:c r="X118" s="155" t="n">
        <x:v>45476</x:v>
      </x:c>
      <x:c r="Y118" s="153" t="n">
        <x:v>2.09</x:v>
      </x:c>
      <x:c r="Z118" s="155" t="n">
        <x:v>45476</x:v>
      </x:c>
      <x:c r="AA118" s="153" t="n">
        <x:f>IFERROR(Y118-Y117,"")</x:f>
        <x:v>0</x:v>
      </x:c>
      <x:c r="AB118" s="153" t="n">
        <x:v>2.27</x:v>
      </x:c>
      <x:c r="AC118" s="153" t="n">
        <x:v>123.7768</x:v>
      </x:c>
      <x:c r="AD118" s="155" t="n">
        <x:v>45476</x:v>
      </x:c>
      <x:c r="AE118" s="154" t="n">
        <x:f>IFERROR(AC118/AC117-1,"")</x:f>
        <x:v>0</x:v>
      </x:c>
      <x:c r="AF118" s="153" t="n">
        <x:v>12.26</x:v>
      </x:c>
      <x:c r="AG118" s="155" t="n">
        <x:v>45477</x:v>
      </x:c>
      <x:c r="AH118" s="153" t="n">
        <x:f>IFERROR(AF118-AF117,"")</x:f>
        <x:v>0.16999999999999993</x:v>
      </x:c>
      <x:c r="AI118" s="153" t="n">
        <x:v>5.33</x:v>
      </x:c>
      <x:c r="AJ118" s="155" t="n">
        <x:v>45471</x:v>
      </x:c>
      <x:c r="AK118" s="159" t="n">
        <x:v>158202</x:v>
      </x:c>
      <x:c r="AL118" s="154" t="n">
        <x:v>0.3498573608438931</x:v>
      </x:c>
      <x:c r="AM118" s="159" t="n">
        <x:v>-42603</x:v>
      </x:c>
      <x:c r="AN118" s="155" t="n">
        <x:v>45471</x:v>
      </x:c>
      <x:c r="AO118" s="159" t="n">
        <x:v>32346</x:v>
      </x:c>
      <x:c r="AP118" s="154" t="n">
        <x:v>0.1943052802306722</x:v>
      </x:c>
      <x:c r="AQ118" s="159" t="n">
        <x:v>-39352</x:v>
      </x:c>
      <x:c r="AR118" s="147" t="str">
        <x:v>美国市场指标与CFTC数据均使用严格早于上金所交易日的最后已发布值</x:v>
      </x:c>
    </x:row>
    <x:row r="119">
      <x:c r="A119" s="155" t="n">
        <x:v>45481</x:v>
      </x:c>
      <x:c r="B119" s="153" t="n">
        <x:v>556.01</x:v>
      </x:c>
      <x:c r="C119" s="153" t="n">
        <x:v>563.5</x:v>
      </x:c>
      <x:c r="D119" s="153" t="n">
        <x:v>556.01</x:v>
      </x:c>
      <x:c r="E119" s="153" t="n">
        <x:v>559.22</x:v>
      </x:c>
      <x:c r="F119" s="154" t="n">
        <x:f>IFERROR(E119/E118-1,"")</x:f>
        <x:v>0.00225822639615747</x:v>
      </x:c>
      <x:c r="G119" s="154" t="n">
        <x:f>IFERROR((C119-D119)/E118,"")</x:f>
        <x:v>0.013423901354935854</x:v>
      </x:c>
      <x:c r="H119" s="153" t="n">
        <x:v>561.19</x:v>
      </x:c>
      <x:c r="I119" s="158" t="n">
        <x:v>10110.92</x:v>
      </x:c>
      <x:c r="J119" s="158" t="n">
        <x:v>5674191615.2</x:v>
      </x:c>
      <x:c r="K119" s="158"/>
      <x:c r="L119" s="153" t="n">
        <x:v>8049</x:v>
      </x:c>
      <x:c r="M119" s="153" t="n">
        <x:v>8280</x:v>
      </x:c>
      <x:c r="N119" s="153" t="n">
        <x:v>7981</x:v>
      </x:c>
      <x:c r="O119" s="153" t="n">
        <x:v>8126</x:v>
      </x:c>
      <x:c r="P119" s="154" t="n">
        <x:f>IFERROR(O119/O118-1,"")</x:f>
        <x:v>0.010947997014182587</x:v>
      </x:c>
      <x:c r="Q119" s="154" t="n">
        <x:f>IFERROR((M119-N119)/O118,"")</x:f>
        <x:v>0.037198308036825084</x:v>
      </x:c>
      <x:c r="R119" s="153" t="n">
        <x:v>8148</x:v>
      </x:c>
      <x:c r="S119" s="158" t="n">
        <x:v>985882</x:v>
      </x:c>
      <x:c r="T119" s="158" t="n">
        <x:v>8032985508</x:v>
      </x:c>
      <x:c r="U119" s="158" t="n">
        <x:v>4339316</x:v>
      </x:c>
      <x:c r="V119" s="153" t="n">
        <x:f>IFERROR(E119*1000/O119,"")</x:f>
        <x:v>68.81860694068422</x:v>
      </x:c>
      <x:c r="W119" s="153" t="n">
        <x:v>4.28</x:v>
      </x:c>
      <x:c r="X119" s="155" t="n">
        <x:v>45478</x:v>
      </x:c>
      <x:c r="Y119" s="153" t="n">
        <x:v>2</x:v>
      </x:c>
      <x:c r="Z119" s="155" t="n">
        <x:v>45478</x:v>
      </x:c>
      <x:c r="AA119" s="153" t="n">
        <x:f>IFERROR(Y119-Y118,"")</x:f>
        <x:v>-0.08999999999999986</x:v>
      </x:c>
      <x:c r="AB119" s="153" t="n">
        <x:v>2.28</x:v>
      </x:c>
      <x:c r="AC119" s="153" t="n">
        <x:v>123.4762</x:v>
      </x:c>
      <x:c r="AD119" s="155" t="n">
        <x:v>45478</x:v>
      </x:c>
      <x:c r="AE119" s="154" t="n">
        <x:f>IFERROR(AC119/AC118-1,"")</x:f>
        <x:v>-0.00242856496532462</x:v>
      </x:c>
      <x:c r="AF119" s="153" t="n">
        <x:v>12.48</x:v>
      </x:c>
      <x:c r="AG119" s="155" t="n">
        <x:v>45478</x:v>
      </x:c>
      <x:c r="AH119" s="153" t="n">
        <x:f>IFERROR(AF119-AF118,"")</x:f>
        <x:v>0.22000000000000064</x:v>
      </x:c>
      <x:c r="AI119" s="153" t="n">
        <x:v>5.33</x:v>
      </x:c>
      <x:c r="AJ119" s="155" t="n">
        <x:v>45478</x:v>
      </x:c>
      <x:c r="AK119" s="159" t="n">
        <x:v>150815</x:v>
      </x:c>
      <x:c r="AL119" s="154" t="n">
        <x:v>0.33165834671123523</x:v>
      </x:c>
      <x:c r="AM119" s="159" t="n">
        <x:v>-44745</x:v>
      </x:c>
      <x:c r="AN119" s="155" t="n">
        <x:v>45478</x:v>
      </x:c>
      <x:c r="AO119" s="159" t="n">
        <x:v>31557</x:v>
      </x:c>
      <x:c r="AP119" s="154" t="n">
        <x:v>0.20395672293891057</x:v>
      </x:c>
      <x:c r="AQ119" s="159" t="n">
        <x:v>-38655</x:v>
      </x:c>
      <x:c r="AR119" s="147" t="str">
        <x:v>美国市场指标与CFTC数据均使用严格早于上金所交易日的最后已发布值</x:v>
      </x:c>
    </x:row>
    <x:row r="120">
      <x:c r="A120" s="155" t="n">
        <x:v>45482</x:v>
      </x:c>
      <x:c r="B120" s="153" t="n">
        <x:v>559</x:v>
      </x:c>
      <x:c r="C120" s="153" t="n">
        <x:v>559.8</x:v>
      </x:c>
      <x:c r="D120" s="153" t="n">
        <x:v>555.42</x:v>
      </x:c>
      <x:c r="E120" s="153" t="n">
        <x:v>555.9</x:v>
      </x:c>
      <x:c r="F120" s="154" t="n">
        <x:f>IFERROR(E120/E119-1,"")</x:f>
        <x:v>-0.005936840599406357</x:v>
      </x:c>
      <x:c r="G120" s="154" t="n">
        <x:f>IFERROR((C120-D120)/E119,"")</x:f>
        <x:v>0.007832337899216758</x:v>
      </x:c>
      <x:c r="H120" s="153" t="n">
        <x:v>557.09</x:v>
      </x:c>
      <x:c r="I120" s="158" t="n">
        <x:v>6855.24</x:v>
      </x:c>
      <x:c r="J120" s="158" t="n">
        <x:v>3819014252.2</x:v>
      </x:c>
      <x:c r="K120" s="158"/>
      <x:c r="L120" s="153" t="n">
        <x:v>8139</x:v>
      </x:c>
      <x:c r="M120" s="153" t="n">
        <x:v>8175</x:v>
      </x:c>
      <x:c r="N120" s="153" t="n">
        <x:v>8005</x:v>
      </x:c>
      <x:c r="O120" s="153" t="n">
        <x:v>8134</x:v>
      </x:c>
      <x:c r="P120" s="154" t="n">
        <x:f>IFERROR(O120/O119-1,"")</x:f>
        <x:v>0.0009844942160965875</x:v>
      </x:c>
      <x:c r="Q120" s="154" t="n">
        <x:f>IFERROR((M120-N120)/O119,"")</x:f>
        <x:v>0.02092050209205021</x:v>
      </x:c>
      <x:c r="R120" s="153" t="n">
        <x:v>8112</x:v>
      </x:c>
      <x:c r="S120" s="158" t="n">
        <x:v>606344</x:v>
      </x:c>
      <x:c r="T120" s="158" t="n">
        <x:v>4919212966</x:v>
      </x:c>
      <x:c r="U120" s="158" t="n">
        <x:v>4498706</x:v>
      </x:c>
      <x:c r="V120" s="153" t="n">
        <x:f>IFERROR(E120*1000/O120,"")</x:f>
        <x:v>68.34275879026309</x:v>
      </x:c>
      <x:c r="W120" s="153" t="n">
        <x:v>4.28</x:v>
      </x:c>
      <x:c r="X120" s="155" t="n">
        <x:v>45481</x:v>
      </x:c>
      <x:c r="Y120" s="153" t="n">
        <x:v>2.01</x:v>
      </x:c>
      <x:c r="Z120" s="155" t="n">
        <x:v>45481</x:v>
      </x:c>
      <x:c r="AA120" s="153" t="n">
        <x:f>IFERROR(Y120-Y119,"")</x:f>
        <x:v>0.009999999999999787</x:v>
      </x:c>
      <x:c r="AB120" s="153" t="n">
        <x:v>2.27</x:v>
      </x:c>
      <x:c r="AC120" s="153" t="n">
        <x:v>123.3576</x:v>
      </x:c>
      <x:c r="AD120" s="155" t="n">
        <x:v>45481</x:v>
      </x:c>
      <x:c r="AE120" s="154" t="n">
        <x:f>IFERROR(AC120/AC119-1,"")</x:f>
        <x:v>-0.0009605089887767537</x:v>
      </x:c>
      <x:c r="AF120" s="153" t="n">
        <x:v>12.37</x:v>
      </x:c>
      <x:c r="AG120" s="155" t="n">
        <x:v>45481</x:v>
      </x:c>
      <x:c r="AH120" s="153" t="n">
        <x:f>IFERROR(AF120-AF119,"")</x:f>
        <x:v>-0.11000000000000121</x:v>
      </x:c>
      <x:c r="AI120" s="153" t="n">
        <x:v>5.33</x:v>
      </x:c>
      <x:c r="AJ120" s="155" t="n">
        <x:v>45478</x:v>
      </x:c>
      <x:c r="AK120" s="159" t="n">
        <x:v>150815</x:v>
      </x:c>
      <x:c r="AL120" s="154" t="n">
        <x:v>0.33165834671123523</x:v>
      </x:c>
      <x:c r="AM120" s="159" t="n">
        <x:v>-44745</x:v>
      </x:c>
      <x:c r="AN120" s="155" t="n">
        <x:v>45478</x:v>
      </x:c>
      <x:c r="AO120" s="159" t="n">
        <x:v>31557</x:v>
      </x:c>
      <x:c r="AP120" s="154" t="n">
        <x:v>0.20395672293891057</x:v>
      </x:c>
      <x:c r="AQ120" s="159" t="n">
        <x:v>-38655</x:v>
      </x:c>
      <x:c r="AR120" s="147" t="str">
        <x:v>美国市场指标与CFTC数据均使用严格早于上金所交易日的最后已发布值</x:v>
      </x:c>
    </x:row>
    <x:row r="121">
      <x:c r="A121" s="155" t="n">
        <x:v>45483</x:v>
      </x:c>
      <x:c r="B121" s="153" t="n">
        <x:v>556</x:v>
      </x:c>
      <x:c r="C121" s="153" t="n">
        <x:v>560.88</x:v>
      </x:c>
      <x:c r="D121" s="153" t="n">
        <x:v>554.3</x:v>
      </x:c>
      <x:c r="E121" s="153" t="n">
        <x:v>560.85</x:v>
      </x:c>
      <x:c r="F121" s="154" t="n">
        <x:f>IFERROR(E121/E120-1,"")</x:f>
        <x:v>0.008904479222881845</x:v>
      </x:c>
      <x:c r="G121" s="154" t="n">
        <x:f>IFERROR((C121-D121)/E120,"")</x:f>
        <x:v>0.011836661270012667</x:v>
      </x:c>
      <x:c r="H121" s="153" t="n">
        <x:v>558.47</x:v>
      </x:c>
      <x:c r="I121" s="158" t="n">
        <x:v>9300.34</x:v>
      </x:c>
      <x:c r="J121" s="158" t="n">
        <x:v>5193993758</x:v>
      </x:c>
      <x:c r="K121" s="158"/>
      <x:c r="L121" s="153" t="n">
        <x:v>8145</x:v>
      </x:c>
      <x:c r="M121" s="153" t="n">
        <x:v>8164</x:v>
      </x:c>
      <x:c r="N121" s="153" t="n">
        <x:v>8023</x:v>
      </x:c>
      <x:c r="O121" s="153" t="n">
        <x:v>8117</x:v>
      </x:c>
      <x:c r="P121" s="154" t="n">
        <x:f>IFERROR(O121/O120-1,"")</x:f>
        <x:v>-0.00208999262355547</x:v>
      </x:c>
      <x:c r="Q121" s="154" t="n">
        <x:f>IFERROR((M121-N121)/O120,"")</x:f>
        <x:v>0.017334644701253996</x:v>
      </x:c>
      <x:c r="R121" s="153" t="n">
        <x:v>8106</x:v>
      </x:c>
      <x:c r="S121" s="158" t="n">
        <x:v>423076</x:v>
      </x:c>
      <x:c r="T121" s="158" t="n">
        <x:v>3429614636</x:v>
      </x:c>
      <x:c r="U121" s="158" t="n">
        <x:v>4467864</x:v>
      </x:c>
      <x:c r="V121" s="153" t="n">
        <x:f>IFERROR(E121*1000/O121,"")</x:f>
        <x:v>69.09572502155969</x:v>
      </x:c>
      <x:c r="W121" s="153" t="n">
        <x:v>4.3</x:v>
      </x:c>
      <x:c r="X121" s="155" t="n">
        <x:v>45482</x:v>
      </x:c>
      <x:c r="Y121" s="153" t="n">
        <x:v>2.04</x:v>
      </x:c>
      <x:c r="Z121" s="155" t="n">
        <x:v>45482</x:v>
      </x:c>
      <x:c r="AA121" s="153" t="n">
        <x:f>IFERROR(Y121-Y120,"")</x:f>
        <x:v>0.03000000000000025</x:v>
      </x:c>
      <x:c r="AB121" s="153" t="n">
        <x:v>2.26</x:v>
      </x:c>
      <x:c r="AC121" s="153" t="n">
        <x:v>123.4071</x:v>
      </x:c>
      <x:c r="AD121" s="155" t="n">
        <x:v>45482</x:v>
      </x:c>
      <x:c r="AE121" s="154" t="n">
        <x:f>IFERROR(AC121/AC120-1,"")</x:f>
        <x:v>0.00040127239829557126</x:v>
      </x:c>
      <x:c r="AF121" s="153" t="n">
        <x:v>12.51</x:v>
      </x:c>
      <x:c r="AG121" s="155" t="n">
        <x:v>45482</x:v>
      </x:c>
      <x:c r="AH121" s="153" t="n">
        <x:f>IFERROR(AF121-AF120,"")</x:f>
        <x:v>0.14000000000000057</x:v>
      </x:c>
      <x:c r="AI121" s="153" t="n">
        <x:v>5.33</x:v>
      </x:c>
      <x:c r="AJ121" s="155" t="n">
        <x:v>45478</x:v>
      </x:c>
      <x:c r="AK121" s="159" t="n">
        <x:v>150815</x:v>
      </x:c>
      <x:c r="AL121" s="154" t="n">
        <x:v>0.33165834671123523</x:v>
      </x:c>
      <x:c r="AM121" s="159" t="n">
        <x:v>-44745</x:v>
      </x:c>
      <x:c r="AN121" s="155" t="n">
        <x:v>45478</x:v>
      </x:c>
      <x:c r="AO121" s="159" t="n">
        <x:v>31557</x:v>
      </x:c>
      <x:c r="AP121" s="154" t="n">
        <x:v>0.20395672293891057</x:v>
      </x:c>
      <x:c r="AQ121" s="159" t="n">
        <x:v>-38655</x:v>
      </x:c>
      <x:c r="AR121" s="147" t="str">
        <x:v>美国市场指标与CFTC数据均使用严格早于上金所交易日的最后已发布值</x:v>
      </x:c>
    </x:row>
    <x:row r="122">
      <x:c r="A122" s="155" t="n">
        <x:v>45484</x:v>
      </x:c>
      <x:c r="B122" s="153" t="n">
        <x:v>561.55</x:v>
      </x:c>
      <x:c r="C122" s="153" t="n">
        <x:v>561.9</x:v>
      </x:c>
      <x:c r="D122" s="153" t="n">
        <x:v>559.15</x:v>
      </x:c>
      <x:c r="E122" s="153" t="n">
        <x:v>561.78</x:v>
      </x:c>
      <x:c r="F122" s="154" t="n">
        <x:f>IFERROR(E122/E121-1,"")</x:f>
        <x:v>0.00165819737897821</x:v>
      </x:c>
      <x:c r="G122" s="154" t="n">
        <x:f>IFERROR((C122-D122)/E121,"")</x:f>
        <x:v>0.004903271819559597</x:v>
      </x:c>
      <x:c r="H122" s="153" t="n">
        <x:v>560.77</x:v>
      </x:c>
      <x:c r="I122" s="158" t="n">
        <x:v>7411.16</x:v>
      </x:c>
      <x:c r="J122" s="158" t="n">
        <x:v>4156022428.6</x:v>
      </x:c>
      <x:c r="K122" s="158"/>
      <x:c r="L122" s="153" t="n">
        <x:v>8136</x:v>
      </x:c>
      <x:c r="M122" s="153" t="n">
        <x:v>8188</x:v>
      </x:c>
      <x:c r="N122" s="153" t="n">
        <x:v>8058</x:v>
      </x:c>
      <x:c r="O122" s="153" t="n">
        <x:v>8136</x:v>
      </x:c>
      <x:c r="P122" s="154" t="n">
        <x:f>IFERROR(O122/O121-1,"")</x:f>
        <x:v>0.002340766292965313</x:v>
      </x:c>
      <x:c r="Q122" s="154" t="n">
        <x:f>IFERROR((M122-N122)/O121,"")</x:f>
        <x:v>0.01601576937292103</x:v>
      </x:c>
      <x:c r="R122" s="153" t="n">
        <x:v>8139</x:v>
      </x:c>
      <x:c r="S122" s="158" t="n">
        <x:v>636240</x:v>
      </x:c>
      <x:c r="T122" s="158" t="n">
        <x:v>5178534150</x:v>
      </x:c>
      <x:c r="U122" s="158" t="n">
        <x:v>4614304</x:v>
      </x:c>
      <x:c r="V122" s="153" t="n">
        <x:f>IFERROR(E122*1000/O122,"")</x:f>
        <x:v>69.04867256637168</x:v>
      </x:c>
      <x:c r="W122" s="153" t="n">
        <x:v>4.28</x:v>
      </x:c>
      <x:c r="X122" s="155" t="n">
        <x:v>45483</x:v>
      </x:c>
      <x:c r="Y122" s="153" t="n">
        <x:v>2.01</x:v>
      </x:c>
      <x:c r="Z122" s="155" t="n">
        <x:v>45483</x:v>
      </x:c>
      <x:c r="AA122" s="153" t="n">
        <x:f>IFERROR(Y122-Y121,"")</x:f>
        <x:v>-0.03000000000000025</x:v>
      </x:c>
      <x:c r="AB122" s="153" t="n">
        <x:v>2.27</x:v>
      </x:c>
      <x:c r="AC122" s="153" t="n">
        <x:v>123.1895</x:v>
      </x:c>
      <x:c r="AD122" s="155" t="n">
        <x:v>45483</x:v>
      </x:c>
      <x:c r="AE122" s="154" t="n">
        <x:f>IFERROR(AC122/AC121-1,"")</x:f>
        <x:v>-0.0017632696984209995</x:v>
      </x:c>
      <x:c r="AF122" s="153" t="n">
        <x:v>12.85</x:v>
      </x:c>
      <x:c r="AG122" s="155" t="n">
        <x:v>45483</x:v>
      </x:c>
      <x:c r="AH122" s="153" t="n">
        <x:f>IFERROR(AF122-AF121,"")</x:f>
        <x:v>0.33999999999999986</x:v>
      </x:c>
      <x:c r="AI122" s="153" t="n">
        <x:v>5.33</x:v>
      </x:c>
      <x:c r="AJ122" s="155" t="n">
        <x:v>45478</x:v>
      </x:c>
      <x:c r="AK122" s="159" t="n">
        <x:v>150815</x:v>
      </x:c>
      <x:c r="AL122" s="154" t="n">
        <x:v>0.33165834671123523</x:v>
      </x:c>
      <x:c r="AM122" s="159" t="n">
        <x:v>-44745</x:v>
      </x:c>
      <x:c r="AN122" s="155" t="n">
        <x:v>45478</x:v>
      </x:c>
      <x:c r="AO122" s="159" t="n">
        <x:v>31557</x:v>
      </x:c>
      <x:c r="AP122" s="154" t="n">
        <x:v>0.20395672293891057</x:v>
      </x:c>
      <x:c r="AQ122" s="159" t="n">
        <x:v>-38655</x:v>
      </x:c>
      <x:c r="AR122" s="147" t="str">
        <x:v>美国市场指标与CFTC数据均使用严格早于上金所交易日的最后已发布值</x:v>
      </x:c>
    </x:row>
    <x:row r="123">
      <x:c r="A123" s="155" t="n">
        <x:v>45485</x:v>
      </x:c>
      <x:c r="B123" s="153" t="n">
        <x:v>558.8</x:v>
      </x:c>
      <x:c r="C123" s="153" t="n">
        <x:v>567.49</x:v>
      </x:c>
      <x:c r="D123" s="153" t="n">
        <x:v>558.8</x:v>
      </x:c>
      <x:c r="E123" s="153" t="n">
        <x:v>563.26</x:v>
      </x:c>
      <x:c r="F123" s="154" t="n">
        <x:f>IFERROR(E123/E122-1,"")</x:f>
        <x:v>0.0026344832496707493</x:v>
      </x:c>
      <x:c r="G123" s="154" t="n">
        <x:f>IFERROR((C123-D123)/E122,"")</x:f>
        <x:v>0.015468688810566511</x:v>
      </x:c>
      <x:c r="H123" s="153" t="n">
        <x:v>565.55</x:v>
      </x:c>
      <x:c r="I123" s="158" t="n">
        <x:v>8791.1</x:v>
      </x:c>
      <x:c r="J123" s="158" t="n">
        <x:v>4971830759</x:v>
      </x:c>
      <x:c r="K123" s="158"/>
      <x:c r="L123" s="153" t="n">
        <x:v>8132</x:v>
      </x:c>
      <x:c r="M123" s="153" t="n">
        <x:v>8303</x:v>
      </x:c>
      <x:c r="N123" s="153" t="n">
        <x:v>8042</x:v>
      </x:c>
      <x:c r="O123" s="153" t="n">
        <x:v>8042</x:v>
      </x:c>
      <x:c r="P123" s="154" t="n">
        <x:f>IFERROR(O123/O122-1,"")</x:f>
        <x:v>-0.011553588987217256</x:v>
      </x:c>
      <x:c r="Q123" s="154" t="n">
        <x:f>IFERROR((M123-N123)/O122,"")</x:f>
        <x:v>0.032079646017699116</x:v>
      </x:c>
      <x:c r="R123" s="153" t="n">
        <x:v>8181</x:v>
      </x:c>
      <x:c r="S123" s="158" t="n">
        <x:v>865310</x:v>
      </x:c>
      <x:c r="T123" s="158" t="n">
        <x:v>7079145102</x:v>
      </x:c>
      <x:c r="U123" s="158" t="n">
        <x:v>4652104</x:v>
      </x:c>
      <x:c r="V123" s="153" t="n">
        <x:f>IFERROR(E123*1000/O123,"")</x:f>
        <x:v>70.0397910967421</x:v>
      </x:c>
      <x:c r="W123" s="153" t="n">
        <x:v>4.2</x:v>
      </x:c>
      <x:c r="X123" s="155" t="n">
        <x:v>45484</x:v>
      </x:c>
      <x:c r="Y123" s="153" t="n">
        <x:v>1.95</x:v>
      </x:c>
      <x:c r="Z123" s="155" t="n">
        <x:v>45484</x:v>
      </x:c>
      <x:c r="AA123" s="153" t="n">
        <x:f>IFERROR(Y123-Y122,"")</x:f>
        <x:v>-0.05999999999999983</x:v>
      </x:c>
      <x:c r="AB123" s="153" t="n">
        <x:v>2.25</x:v>
      </x:c>
      <x:c r="AC123" s="153" t="n">
        <x:v>122.769</x:v>
      </x:c>
      <x:c r="AD123" s="155" t="n">
        <x:v>45484</x:v>
      </x:c>
      <x:c r="AE123" s="154" t="n">
        <x:f>IFERROR(AC123/AC122-1,"")</x:f>
        <x:v>-0.00341344026885404</x:v>
      </x:c>
      <x:c r="AF123" s="153" t="n">
        <x:v>12.92</x:v>
      </x:c>
      <x:c r="AG123" s="155" t="n">
        <x:v>45484</x:v>
      </x:c>
      <x:c r="AH123" s="153" t="n">
        <x:f>IFERROR(AF123-AF122,"")</x:f>
        <x:v>0.07000000000000028</x:v>
      </x:c>
      <x:c r="AI123" s="153" t="n">
        <x:v>5.33</x:v>
      </x:c>
      <x:c r="AJ123" s="155" t="n">
        <x:v>45478</x:v>
      </x:c>
      <x:c r="AK123" s="159" t="n">
        <x:v>150815</x:v>
      </x:c>
      <x:c r="AL123" s="154" t="n">
        <x:v>0.33165834671123523</x:v>
      </x:c>
      <x:c r="AM123" s="159" t="n">
        <x:v>-44745</x:v>
      </x:c>
      <x:c r="AN123" s="155" t="n">
        <x:v>45478</x:v>
      </x:c>
      <x:c r="AO123" s="159" t="n">
        <x:v>31557</x:v>
      </x:c>
      <x:c r="AP123" s="154" t="n">
        <x:v>0.20395672293891057</x:v>
      </x:c>
      <x:c r="AQ123" s="159" t="n">
        <x:v>-38655</x:v>
      </x:c>
      <x:c r="AR123" s="147" t="str">
        <x:v>美国市场指标与CFTC数据均使用严格早于上金所交易日的最后已发布值</x:v>
      </x:c>
    </x:row>
    <x:row r="124">
      <x:c r="A124" s="155" t="n">
        <x:v>45488</x:v>
      </x:c>
      <x:c r="B124" s="153" t="n">
        <x:v>564</x:v>
      </x:c>
      <x:c r="C124" s="153" t="n">
        <x:v>566.4</x:v>
      </x:c>
      <x:c r="D124" s="153" t="n">
        <x:v>563.45</x:v>
      </x:c>
      <x:c r="E124" s="153" t="n">
        <x:v>563.66</x:v>
      </x:c>
      <x:c r="F124" s="154" t="n">
        <x:f>IFERROR(E124/E123-1,"")</x:f>
        <x:v>0.0007101516173702027</x:v>
      </x:c>
      <x:c r="G124" s="154" t="n">
        <x:f>IFERROR((C124-D124)/E123,"")</x:f>
        <x:v>0.005237368178105904</x:v>
      </x:c>
      <x:c r="H124" s="153" t="n">
        <x:v>565.31</x:v>
      </x:c>
      <x:c r="I124" s="158" t="n">
        <x:v>9841.94</x:v>
      </x:c>
      <x:c r="J124" s="158" t="n">
        <x:v>5563827608.8</x:v>
      </x:c>
      <x:c r="K124" s="158"/>
      <x:c r="L124" s="153" t="n">
        <x:v>8046</x:v>
      </x:c>
      <x:c r="M124" s="153" t="n">
        <x:v>8138</x:v>
      </x:c>
      <x:c r="N124" s="153" t="n">
        <x:v>7990</x:v>
      </x:c>
      <x:c r="O124" s="153" t="n">
        <x:v>8054</x:v>
      </x:c>
      <x:c r="P124" s="154" t="n">
        <x:f>IFERROR(O124/O123-1,"")</x:f>
        <x:v>0.0014921661278288756</x:v>
      </x:c>
      <x:c r="Q124" s="154" t="n">
        <x:f>IFERROR((M124-N124)/O123,"")</x:f>
        <x:v>0.01840338224322308</x:v>
      </x:c>
      <x:c r="R124" s="153" t="n">
        <x:v>8085</x:v>
      </x:c>
      <x:c r="S124" s="158" t="n">
        <x:v>724190</x:v>
      </x:c>
      <x:c r="T124" s="158" t="n">
        <x:v>5855615844</x:v>
      </x:c>
      <x:c r="U124" s="158" t="n">
        <x:v>4689356</x:v>
      </x:c>
      <x:c r="V124" s="153" t="n">
        <x:f>IFERROR(E124*1000/O124,"")</x:f>
        <x:v>69.98510057114477</x:v>
      </x:c>
      <x:c r="W124" s="153" t="n">
        <x:v>4.18</x:v>
      </x:c>
      <x:c r="X124" s="155" t="n">
        <x:v>45485</x:v>
      </x:c>
      <x:c r="Y124" s="153" t="n">
        <x:v>1.94</x:v>
      </x:c>
      <x:c r="Z124" s="155" t="n">
        <x:v>45485</x:v>
      </x:c>
      <x:c r="AA124" s="153" t="n">
        <x:f>IFERROR(Y124-Y123,"")</x:f>
        <x:v>-0.010000000000000009</x:v>
      </x:c>
      <x:c r="AB124" s="153" t="n">
        <x:v>2.24</x:v>
      </x:c>
      <x:c r="AC124" s="153" t="n">
        <x:v>122.4404</x:v>
      </x:c>
      <x:c r="AD124" s="155" t="n">
        <x:v>45485</x:v>
      </x:c>
      <x:c r="AE124" s="154" t="n">
        <x:f>IFERROR(AC124/AC123-1,"")</x:f>
        <x:v>-0.0026765714471894686</x:v>
      </x:c>
      <x:c r="AF124" s="153" t="n">
        <x:v>12.46</x:v>
      </x:c>
      <x:c r="AG124" s="155" t="n">
        <x:v>45485</x:v>
      </x:c>
      <x:c r="AH124" s="153" t="n">
        <x:f>IFERROR(AF124-AF123,"")</x:f>
        <x:v>-0.4599999999999991</x:v>
      </x:c>
      <x:c r="AI124" s="153" t="n">
        <x:v>5.33</x:v>
      </x:c>
      <x:c r="AJ124" s="155" t="n">
        <x:v>45485</x:v>
      </x:c>
      <x:c r="AK124" s="159" t="n">
        <x:v>157467</x:v>
      </x:c>
      <x:c r="AL124" s="154" t="n">
        <x:v>0.3049771073976805</x:v>
      </x:c>
      <x:c r="AM124" s="159" t="n">
        <x:v>-52391</x:v>
      </x:c>
      <x:c r="AN124" s="155" t="n">
        <x:v>45485</x:v>
      </x:c>
      <x:c r="AO124" s="159" t="n">
        <x:v>37902</x:v>
      </x:c>
      <x:c r="AP124" s="154" t="n">
        <x:v>0.23217862721676008</x:v>
      </x:c>
      <x:c r="AQ124" s="159" t="n">
        <x:v>-41364</x:v>
      </x:c>
      <x:c r="AR124" s="147" t="str">
        <x:v>美国市场指标与CFTC数据均使用严格早于上金所交易日的最后已发布值</x:v>
      </x:c>
    </x:row>
    <x:row r="125">
      <x:c r="A125" s="155" t="n">
        <x:v>45489</x:v>
      </x:c>
      <x:c r="B125" s="153" t="n">
        <x:v>567</x:v>
      </x:c>
      <x:c r="C125" s="153" t="n">
        <x:v>571.3</x:v>
      </x:c>
      <x:c r="D125" s="153" t="n">
        <x:v>566.49</x:v>
      </x:c>
      <x:c r="E125" s="153" t="n">
        <x:v>570.82</x:v>
      </x:c>
      <x:c r="F125" s="154" t="n">
        <x:f>IFERROR(E125/E124-1,"")</x:f>
        <x:v>0.012702693112869534</x:v>
      </x:c>
      <x:c r="G125" s="154" t="n">
        <x:f>IFERROR((C125-D125)/E124,"")</x:f>
        <x:v>0.008533513110740422</x:v>
      </x:c>
      <x:c r="H125" s="153" t="n">
        <x:v>569.77</x:v>
      </x:c>
      <x:c r="I125" s="158" t="n">
        <x:v>9169.84</x:v>
      </x:c>
      <x:c r="J125" s="158" t="n">
        <x:v>5224736072.2</x:v>
      </x:c>
      <x:c r="K125" s="158"/>
      <x:c r="L125" s="153" t="n">
        <x:v>8077</x:v>
      </x:c>
      <x:c r="M125" s="153" t="n">
        <x:v>8125</x:v>
      </x:c>
      <x:c r="N125" s="153" t="n">
        <x:v>8020</x:v>
      </x:c>
      <x:c r="O125" s="153" t="n">
        <x:v>8102</x:v>
      </x:c>
      <x:c r="P125" s="154" t="n">
        <x:f>IFERROR(O125/O124-1,"")</x:f>
        <x:v>0.00595977154209093</x:v>
      </x:c>
      <x:c r="Q125" s="154" t="n">
        <x:f>IFERROR((M125-N125)/O124,"")</x:f>
        <x:v>0.013037000248323815</x:v>
      </x:c>
      <x:c r="R125" s="153" t="n">
        <x:v>8081</x:v>
      </x:c>
      <x:c r="S125" s="158" t="n">
        <x:v>359664</x:v>
      </x:c>
      <x:c r="T125" s="158" t="n">
        <x:v>2906753384</x:v>
      </x:c>
      <x:c r="U125" s="158" t="n">
        <x:v>4776140</x:v>
      </x:c>
      <x:c r="V125" s="153" t="n">
        <x:f>IFERROR(E125*1000/O125,"")</x:f>
        <x:v>70.45420883732412</x:v>
      </x:c>
      <x:c r="W125" s="153" t="n">
        <x:v>4.23</x:v>
      </x:c>
      <x:c r="X125" s="155" t="n">
        <x:v>45488</x:v>
      </x:c>
      <x:c r="Y125" s="153" t="n">
        <x:v>1.96</x:v>
      </x:c>
      <x:c r="Z125" s="155" t="n">
        <x:v>45488</x:v>
      </x:c>
      <x:c r="AA125" s="153" t="n">
        <x:f>IFERROR(Y125-Y124,"")</x:f>
        <x:v>0.020000000000000018</x:v>
      </x:c>
      <x:c r="AB125" s="153" t="n">
        <x:v>2.27</x:v>
      </x:c>
      <x:c r="AC125" s="153" t="n">
        <x:v>122.6347</x:v>
      </x:c>
      <x:c r="AD125" s="155" t="n">
        <x:v>45488</x:v>
      </x:c>
      <x:c r="AE125" s="154" t="n">
        <x:f>IFERROR(AC125/AC124-1,"")</x:f>
        <x:v>0.0015868945217427655</x:v>
      </x:c>
      <x:c r="AF125" s="153" t="n">
        <x:v>13.12</x:v>
      </x:c>
      <x:c r="AG125" s="155" t="n">
        <x:v>45488</x:v>
      </x:c>
      <x:c r="AH125" s="153" t="n">
        <x:f>IFERROR(AF125-AF124,"")</x:f>
        <x:v>0.6599999999999984</x:v>
      </x:c>
      <x:c r="AI125" s="153" t="n">
        <x:v>5.33</x:v>
      </x:c>
      <x:c r="AJ125" s="155" t="n">
        <x:v>45485</x:v>
      </x:c>
      <x:c r="AK125" s="159" t="n">
        <x:v>157467</x:v>
      </x:c>
      <x:c r="AL125" s="154" t="n">
        <x:v>0.3049771073976805</x:v>
      </x:c>
      <x:c r="AM125" s="159" t="n">
        <x:v>-52391</x:v>
      </x:c>
      <x:c r="AN125" s="155" t="n">
        <x:v>45485</x:v>
      </x:c>
      <x:c r="AO125" s="159" t="n">
        <x:v>37902</x:v>
      </x:c>
      <x:c r="AP125" s="154" t="n">
        <x:v>0.23217862721676008</x:v>
      </x:c>
      <x:c r="AQ125" s="159" t="n">
        <x:v>-41364</x:v>
      </x:c>
      <x:c r="AR125" s="147" t="str">
        <x:v>美国市场指标与CFTC数据均使用严格早于上金所交易日的最后已发布值</x:v>
      </x:c>
    </x:row>
    <x:row r="126">
      <x:c r="A126" s="155" t="n">
        <x:v>45490</x:v>
      </x:c>
      <x:c r="B126" s="153" t="n">
        <x:v>571</x:v>
      </x:c>
      <x:c r="C126" s="153" t="n">
        <x:v>581.5</x:v>
      </x:c>
      <x:c r="D126" s="153" t="n">
        <x:v>569.31</x:v>
      </x:c>
      <x:c r="E126" s="153" t="n">
        <x:v>577.37</x:v>
      </x:c>
      <x:c r="F126" s="154" t="n">
        <x:f>IFERROR(E126/E125-1,"")</x:f>
        <x:v>0.011474720577414832</x:v>
      </x:c>
      <x:c r="G126" s="154" t="n">
        <x:f>IFERROR((C126-D126)/E125,"")</x:f>
        <x:v>0.021355243334150963</x:v>
      </x:c>
      <x:c r="H126" s="153" t="n">
        <x:v>578.47</x:v>
      </x:c>
      <x:c r="I126" s="158" t="n">
        <x:v>8784.02</x:v>
      </x:c>
      <x:c r="J126" s="158" t="n">
        <x:v>5081322515.2</x:v>
      </x:c>
      <x:c r="K126" s="158"/>
      <x:c r="L126" s="153" t="n">
        <x:v>8102</x:v>
      </x:c>
      <x:c r="M126" s="153" t="n">
        <x:v>8220</x:v>
      </x:c>
      <x:c r="N126" s="153" t="n">
        <x:v>8038</x:v>
      </x:c>
      <x:c r="O126" s="153" t="n">
        <x:v>8064</x:v>
      </x:c>
      <x:c r="P126" s="154" t="n">
        <x:f>IFERROR(O126/O125-1,"")</x:f>
        <x:v>-0.00469019995062947</x:v>
      </x:c>
      <x:c r="Q126" s="154" t="n">
        <x:f>IFERROR((M126-N126)/O125,"")</x:f>
        <x:v>0.022463589237225377</x:v>
      </x:c>
      <x:c r="R126" s="153" t="n">
        <x:v>8116</x:v>
      </x:c>
      <x:c r="S126" s="158" t="n">
        <x:v>909550</x:v>
      </x:c>
      <x:c r="T126" s="158" t="n">
        <x:v>7382516602</x:v>
      </x:c>
      <x:c r="U126" s="158" t="n">
        <x:v>4838102</x:v>
      </x:c>
      <x:c r="V126" s="153" t="n">
        <x:f>IFERROR(E126*1000/O126,"")</x:f>
        <x:v>71.5984623015873</x:v>
      </x:c>
      <x:c r="W126" s="153" t="n">
        <x:v>4.17</x:v>
      </x:c>
      <x:c r="X126" s="155" t="n">
        <x:v>45489</x:v>
      </x:c>
      <x:c r="Y126" s="153" t="n">
        <x:v>1.91</x:v>
      </x:c>
      <x:c r="Z126" s="155" t="n">
        <x:v>45489</x:v>
      </x:c>
      <x:c r="AA126" s="153" t="n">
        <x:f>IFERROR(Y126-Y125,"")</x:f>
        <x:v>-0.050000000000000044</x:v>
      </x:c>
      <x:c r="AB126" s="153" t="n">
        <x:v>2.26</x:v>
      </x:c>
      <x:c r="AC126" s="153" t="n">
        <x:v>122.7264</x:v>
      </x:c>
      <x:c r="AD126" s="155" t="n">
        <x:v>45489</x:v>
      </x:c>
      <x:c r="AE126" s="154" t="n">
        <x:f>IFERROR(AC126/AC125-1,"")</x:f>
        <x:v>0.0007477492096445992</x:v>
      </x:c>
      <x:c r="AF126" s="153" t="n">
        <x:v>13.19</x:v>
      </x:c>
      <x:c r="AG126" s="155" t="n">
        <x:v>45489</x:v>
      </x:c>
      <x:c r="AH126" s="153" t="n">
        <x:f>IFERROR(AF126-AF125,"")</x:f>
        <x:v>0.07000000000000028</x:v>
      </x:c>
      <x:c r="AI126" s="153" t="n">
        <x:v>5.33</x:v>
      </x:c>
      <x:c r="AJ126" s="155" t="n">
        <x:v>45485</x:v>
      </x:c>
      <x:c r="AK126" s="159" t="n">
        <x:v>157467</x:v>
      </x:c>
      <x:c r="AL126" s="154" t="n">
        <x:v>0.3049771073976805</x:v>
      </x:c>
      <x:c r="AM126" s="159" t="n">
        <x:v>-52391</x:v>
      </x:c>
      <x:c r="AN126" s="155" t="n">
        <x:v>45485</x:v>
      </x:c>
      <x:c r="AO126" s="159" t="n">
        <x:v>37902</x:v>
      </x:c>
      <x:c r="AP126" s="154" t="n">
        <x:v>0.23217862721676008</x:v>
      </x:c>
      <x:c r="AQ126" s="159" t="n">
        <x:v>-41364</x:v>
      </x:c>
      <x:c r="AR126" s="147" t="str">
        <x:v>美国市场指标与CFTC数据均使用严格早于上金所交易日的最后已发布值</x:v>
      </x:c>
    </x:row>
    <x:row r="127">
      <x:c r="A127" s="155" t="n">
        <x:v>45491</x:v>
      </x:c>
      <x:c r="B127" s="153" t="n">
        <x:v>576</x:v>
      </x:c>
      <x:c r="C127" s="153" t="n">
        <x:v>579.22</x:v>
      </x:c>
      <x:c r="D127" s="153" t="n">
        <x:v>572.8</x:v>
      </x:c>
      <x:c r="E127" s="153" t="n">
        <x:v>577.56</x:v>
      </x:c>
      <x:c r="F127" s="154" t="n">
        <x:f>IFERROR(E127/E126-1,"")</x:f>
        <x:v>0.00032907840726048576</x:v>
      </x:c>
      <x:c r="G127" s="154" t="n">
        <x:f>IFERROR((C127-D127)/E126,"")</x:f>
        <x:v>0.011119386182171004</x:v>
      </x:c>
      <x:c r="H127" s="153" t="n">
        <x:v>575.95</x:v>
      </x:c>
      <x:c r="I127" s="158" t="n">
        <x:v>6397.34</x:v>
      </x:c>
      <x:c r="J127" s="158" t="n">
        <x:v>3684562716</x:v>
      </x:c>
      <x:c r="K127" s="158"/>
      <x:c r="L127" s="153" t="n">
        <x:v>8096</x:v>
      </x:c>
      <x:c r="M127" s="153" t="n">
        <x:v>8115</x:v>
      </x:c>
      <x:c r="N127" s="153" t="n">
        <x:v>7870</x:v>
      </x:c>
      <x:c r="O127" s="153" t="n">
        <x:v>7969</x:v>
      </x:c>
      <x:c r="P127" s="154" t="n">
        <x:f>IFERROR(O127/O126-1,"")</x:f>
        <x:v>-0.011780753968253954</x:v>
      </x:c>
      <x:c r="Q127" s="154" t="n">
        <x:f>IFERROR((M127-N127)/O126,"")</x:f>
        <x:v>0.030381944444444444</x:v>
      </x:c>
      <x:c r="R127" s="153" t="n">
        <x:v>7960</x:v>
      </x:c>
      <x:c r="S127" s="158" t="n">
        <x:v>545856</x:v>
      </x:c>
      <x:c r="T127" s="158" t="n">
        <x:v>4345389364</x:v>
      </x:c>
      <x:c r="U127" s="158" t="n">
        <x:v>4815600</x:v>
      </x:c>
      <x:c r="V127" s="153" t="n">
        <x:f>IFERROR(E127*1000/O127,"")</x:f>
        <x:v>72.47584389509349</x:v>
      </x:c>
      <x:c r="W127" s="153" t="n">
        <x:v>4.16</x:v>
      </x:c>
      <x:c r="X127" s="155" t="n">
        <x:v>45490</x:v>
      </x:c>
      <x:c r="Y127" s="153" t="n">
        <x:v>1.9</x:v>
      </x:c>
      <x:c r="Z127" s="155" t="n">
        <x:v>45490</x:v>
      </x:c>
      <x:c r="AA127" s="153" t="n">
        <x:f>IFERROR(Y127-Y126,"")</x:f>
        <x:v>-0.010000000000000009</x:v>
      </x:c>
      <x:c r="AB127" s="153" t="n">
        <x:v>2.26</x:v>
      </x:c>
      <x:c r="AC127" s="153" t="n">
        <x:v>122.518</x:v>
      </x:c>
      <x:c r="AD127" s="155" t="n">
        <x:v>45490</x:v>
      </x:c>
      <x:c r="AE127" s="154" t="n">
        <x:f>IFERROR(AC127/AC126-1,"")</x:f>
        <x:v>-0.001698086149353295</x:v>
      </x:c>
      <x:c r="AF127" s="153" t="n">
        <x:v>14.48</x:v>
      </x:c>
      <x:c r="AG127" s="155" t="n">
        <x:v>45490</x:v>
      </x:c>
      <x:c r="AH127" s="153" t="n">
        <x:f>IFERROR(AF127-AF126,"")</x:f>
        <x:v>1.290000000000001</x:v>
      </x:c>
      <x:c r="AI127" s="153" t="n">
        <x:v>5.33</x:v>
      </x:c>
      <x:c r="AJ127" s="155" t="n">
        <x:v>45485</x:v>
      </x:c>
      <x:c r="AK127" s="159" t="n">
        <x:v>157467</x:v>
      </x:c>
      <x:c r="AL127" s="154" t="n">
        <x:v>0.3049771073976805</x:v>
      </x:c>
      <x:c r="AM127" s="159" t="n">
        <x:v>-52391</x:v>
      </x:c>
      <x:c r="AN127" s="155" t="n">
        <x:v>45485</x:v>
      </x:c>
      <x:c r="AO127" s="159" t="n">
        <x:v>37902</x:v>
      </x:c>
      <x:c r="AP127" s="154" t="n">
        <x:v>0.23217862721676008</x:v>
      </x:c>
      <x:c r="AQ127" s="159" t="n">
        <x:v>-41364</x:v>
      </x:c>
      <x:c r="AR127" s="147" t="str">
        <x:v>美国市场指标与CFTC数据均使用严格早于上金所交易日的最后已发布值</x:v>
      </x:c>
    </x:row>
    <x:row r="128">
      <x:c r="A128" s="155" t="n">
        <x:v>45492</x:v>
      </x:c>
      <x:c r="B128" s="153" t="n">
        <x:v>575.01</x:v>
      </x:c>
      <x:c r="C128" s="153" t="n">
        <x:v>575.6</x:v>
      </x:c>
      <x:c r="D128" s="153" t="n">
        <x:v>560.2</x:v>
      </x:c>
      <x:c r="E128" s="153" t="n">
        <x:v>561.9</x:v>
      </x:c>
      <x:c r="F128" s="154" t="n">
        <x:f>IFERROR(E128/E127-1,"")</x:f>
        <x:v>-0.027114066071057485</x:v>
      </x:c>
      <x:c r="G128" s="154" t="n">
        <x:f>IFERROR((C128-D128)/E127,"")</x:f>
        <x:v>0.026663896391716842</x:v>
      </x:c>
      <x:c r="H128" s="153" t="n">
        <x:v>564.99</x:v>
      </x:c>
      <x:c r="I128" s="158" t="n">
        <x:v>9589.4</x:v>
      </x:c>
      <x:c r="J128" s="158" t="n">
        <x:v>5418004586</x:v>
      </x:c>
      <x:c r="K128" s="158"/>
      <x:c r="L128" s="153" t="n">
        <x:v>7947</x:v>
      </x:c>
      <x:c r="M128" s="153" t="n">
        <x:v>7958</x:v>
      </x:c>
      <x:c r="N128" s="153" t="n">
        <x:v>7640</x:v>
      </x:c>
      <x:c r="O128" s="153" t="n">
        <x:v>7647</x:v>
      </x:c>
      <x:c r="P128" s="154" t="n">
        <x:f>IFERROR(O128/O127-1,"")</x:f>
        <x:v>-0.04040657547998494</x:v>
      </x:c>
      <x:c r="Q128" s="154" t="n">
        <x:f>IFERROR((M128-N128)/O127,"")</x:f>
        <x:v>0.03990463044296649</x:v>
      </x:c>
      <x:c r="R128" s="153" t="n">
        <x:v>7756</x:v>
      </x:c>
      <x:c r="S128" s="158" t="n">
        <x:v>897954</x:v>
      </x:c>
      <x:c r="T128" s="158" t="n">
        <x:v>6965120440</x:v>
      </x:c>
      <x:c r="U128" s="158" t="n">
        <x:v>4793474</x:v>
      </x:c>
      <x:c r="V128" s="153" t="n">
        <x:f>IFERROR(E128*1000/O128,"")</x:f>
        <x:v>73.47979599843076</x:v>
      </x:c>
      <x:c r="W128" s="153" t="n">
        <x:v>4.2</x:v>
      </x:c>
      <x:c r="X128" s="155" t="n">
        <x:v>45491</x:v>
      </x:c>
      <x:c r="Y128" s="153" t="n">
        <x:v>1.89</x:v>
      </x:c>
      <x:c r="Z128" s="155" t="n">
        <x:v>45491</x:v>
      </x:c>
      <x:c r="AA128" s="153" t="n">
        <x:f>IFERROR(Y128-Y127,"")</x:f>
        <x:v>-0.010000000000000009</x:v>
      </x:c>
      <x:c r="AB128" s="153" t="n">
        <x:v>2.31</x:v>
      </x:c>
      <x:c r="AC128" s="153" t="n">
        <x:v>122.7909</x:v>
      </x:c>
      <x:c r="AD128" s="155" t="n">
        <x:v>45491</x:v>
      </x:c>
      <x:c r="AE128" s="154" t="n">
        <x:f>IFERROR(AC128/AC127-1,"")</x:f>
        <x:v>0.0022274278065264053</x:v>
      </x:c>
      <x:c r="AF128" s="153" t="n">
        <x:v>15.93</x:v>
      </x:c>
      <x:c r="AG128" s="155" t="n">
        <x:v>45491</x:v>
      </x:c>
      <x:c r="AH128" s="153" t="n">
        <x:f>IFERROR(AF128-AF127,"")</x:f>
        <x:v>1.4499999999999993</x:v>
      </x:c>
      <x:c r="AI128" s="153" t="n">
        <x:v>5.33</x:v>
      </x:c>
      <x:c r="AJ128" s="155" t="n">
        <x:v>45485</x:v>
      </x:c>
      <x:c r="AK128" s="159" t="n">
        <x:v>157467</x:v>
      </x:c>
      <x:c r="AL128" s="154" t="n">
        <x:v>0.3049771073976805</x:v>
      </x:c>
      <x:c r="AM128" s="159" t="n">
        <x:v>-52391</x:v>
      </x:c>
      <x:c r="AN128" s="155" t="n">
        <x:v>45485</x:v>
      </x:c>
      <x:c r="AO128" s="159" t="n">
        <x:v>37902</x:v>
      </x:c>
      <x:c r="AP128" s="154" t="n">
        <x:v>0.23217862721676008</x:v>
      </x:c>
      <x:c r="AQ128" s="159" t="n">
        <x:v>-41364</x:v>
      </x:c>
      <x:c r="AR128" s="147" t="str">
        <x:v>美国市场指标与CFTC数据均使用严格早于上金所交易日的最后已发布值</x:v>
      </x:c>
    </x:row>
    <x:row r="129">
      <x:c r="A129" s="155" t="n">
        <x:v>45495</x:v>
      </x:c>
      <x:c r="B129" s="153" t="n">
        <x:v>560</x:v>
      </x:c>
      <x:c r="C129" s="153" t="n">
        <x:v>563.7</x:v>
      </x:c>
      <x:c r="D129" s="153" t="n">
        <x:v>556.5</x:v>
      </x:c>
      <x:c r="E129" s="153" t="n">
        <x:v>563.32</x:v>
      </x:c>
      <x:c r="F129" s="154" t="n">
        <x:f>IFERROR(E129/E128-1,"")</x:f>
        <x:v>0.0025271400605091365</x:v>
      </x:c>
      <x:c r="G129" s="154" t="n">
        <x:f>IFERROR((C129-D129)/E128,"")</x:f>
        <x:v>0.012813667912440017</x:v>
      </x:c>
      <x:c r="H129" s="153" t="n">
        <x:v>562.71</x:v>
      </x:c>
      <x:c r="I129" s="158" t="n">
        <x:v>9682.88</x:v>
      </x:c>
      <x:c r="J129" s="158" t="n">
        <x:v>5448744433.2</x:v>
      </x:c>
      <x:c r="K129" s="158"/>
      <x:c r="L129" s="153" t="n">
        <x:v>7620</x:v>
      </x:c>
      <x:c r="M129" s="153" t="n">
        <x:v>7700</x:v>
      </x:c>
      <x:c r="N129" s="153" t="n">
        <x:v>7560</x:v>
      </x:c>
      <x:c r="O129" s="153" t="n">
        <x:v>7605</x:v>
      </x:c>
      <x:c r="P129" s="154" t="n">
        <x:f>IFERROR(O129/O128-1,"")</x:f>
        <x:v>-0.0054923499411534404</x:v>
      </x:c>
      <x:c r="Q129" s="154" t="n">
        <x:f>IFERROR((M129-N129)/O128,"")</x:f>
        <x:v>0.01830783313717798</x:v>
      </x:c>
      <x:c r="R129" s="153" t="n">
        <x:v>7626</x:v>
      </x:c>
      <x:c r="S129" s="158" t="n">
        <x:v>494494</x:v>
      </x:c>
      <x:c r="T129" s="158" t="n">
        <x:v>3771026928</x:v>
      </x:c>
      <x:c r="U129" s="158" t="n">
        <x:v>4779200</x:v>
      </x:c>
      <x:c r="V129" s="153" t="n">
        <x:f>IFERROR(E129*1000/O129,"")</x:f>
        <x:v>74.07232084155162</x:v>
      </x:c>
      <x:c r="W129" s="153" t="n">
        <x:v>4.25</x:v>
      </x:c>
      <x:c r="X129" s="155" t="n">
        <x:v>45492</x:v>
      </x:c>
      <x:c r="Y129" s="153" t="n">
        <x:v>1.93</x:v>
      </x:c>
      <x:c r="Z129" s="155" t="n">
        <x:v>45492</x:v>
      </x:c>
      <x:c r="AA129" s="153" t="n">
        <x:f>IFERROR(Y129-Y128,"")</x:f>
        <x:v>0.040000000000000036</x:v>
      </x:c>
      <x:c r="AB129" s="153" t="n">
        <x:v>2.32</x:v>
      </x:c>
      <x:c r="AC129" s="153" t="n">
        <x:v>123.147</x:v>
      </x:c>
      <x:c r="AD129" s="155" t="n">
        <x:v>45492</x:v>
      </x:c>
      <x:c r="AE129" s="154" t="n">
        <x:f>IFERROR(AC129/AC128-1,"")</x:f>
        <x:v>0.0029000520396871288</x:v>
      </x:c>
      <x:c r="AF129" s="153" t="n">
        <x:v>16.52</x:v>
      </x:c>
      <x:c r="AG129" s="155" t="n">
        <x:v>45492</x:v>
      </x:c>
      <x:c r="AH129" s="153" t="n">
        <x:f>IFERROR(AF129-AF128,"")</x:f>
        <x:v>0.5899999999999999</x:v>
      </x:c>
      <x:c r="AI129" s="153" t="n">
        <x:v>5.33</x:v>
      </x:c>
      <x:c r="AJ129" s="155" t="n">
        <x:v>45492</x:v>
      </x:c>
      <x:c r="AK129" s="159" t="n">
        <x:v>184532</x:v>
      </x:c>
      <x:c r="AL129" s="154" t="n">
        <x:v>0.31823433851502597</x:v>
      </x:c>
      <x:c r="AM129" s="159" t="n">
        <x:v>-60318</x:v>
      </x:c>
      <x:c r="AN129" s="155" t="n">
        <x:v>45492</x:v>
      </x:c>
      <x:c r="AO129" s="159" t="n">
        <x:v>36675</x:v>
      </x:c>
      <x:c r="AP129" s="154" t="n">
        <x:v>0.2200838929195096</x:v>
      </x:c>
      <x:c r="AQ129" s="159" t="n">
        <x:v>-40548</x:v>
      </x:c>
      <x:c r="AR129" s="147" t="str">
        <x:v>美国市场指标与CFTC数据均使用严格早于上金所交易日的最后已发布值</x:v>
      </x:c>
    </x:row>
    <x:row r="130">
      <x:c r="A130" s="155" t="n">
        <x:v>45496</x:v>
      </x:c>
      <x:c r="B130" s="153" t="n">
        <x:v>562</x:v>
      </x:c>
      <x:c r="C130" s="153" t="n">
        <x:v>563.79</x:v>
      </x:c>
      <x:c r="D130" s="153" t="n">
        <x:v>558.56</x:v>
      </x:c>
      <x:c r="E130" s="153" t="n">
        <x:v>560</x:v>
      </x:c>
      <x:c r="F130" s="154" t="n">
        <x:f>IFERROR(E130/E129-1,"")</x:f>
        <x:v>-0.005893630618476253</x:v>
      </x:c>
      <x:c r="G130" s="154" t="n">
        <x:f>IFERROR((C130-D130)/E129,"")</x:f>
        <x:v>0.009284243414045334</x:v>
      </x:c>
      <x:c r="H130" s="153" t="n">
        <x:v>560.5</x:v>
      </x:c>
      <x:c r="I130" s="158" t="n">
        <x:v>7180</x:v>
      </x:c>
      <x:c r="J130" s="158" t="n">
        <x:v>4024442614.2</x:v>
      </x:c>
      <x:c r="K130" s="158"/>
      <x:c r="L130" s="153" t="n">
        <x:v>7583</x:v>
      </x:c>
      <x:c r="M130" s="153" t="n">
        <x:v>7686</x:v>
      </x:c>
      <x:c r="N130" s="153" t="n">
        <x:v>7521</x:v>
      </x:c>
      <x:c r="O130" s="153" t="n">
        <x:v>7543</x:v>
      </x:c>
      <x:c r="P130" s="154" t="n">
        <x:f>IFERROR(O130/O129-1,"")</x:f>
        <x:v>-0.008152531229454252</x:v>
      </x:c>
      <x:c r="Q130" s="154" t="n">
        <x:f>IFERROR((M130-N130)/O129,"")</x:f>
        <x:v>0.021696252465483234</x:v>
      </x:c>
      <x:c r="R130" s="153" t="n">
        <x:v>7583</x:v>
      </x:c>
      <x:c r="S130" s="158" t="n">
        <x:v>515146</x:v>
      </x:c>
      <x:c r="T130" s="158" t="n">
        <x:v>3906589498</x:v>
      </x:c>
      <x:c r="U130" s="158" t="n">
        <x:v>4782904</x:v>
      </x:c>
      <x:c r="V130" s="153" t="n">
        <x:f>IFERROR(E130*1000/O130,"")</x:f>
        <x:v>74.2410181625348</x:v>
      </x:c>
      <x:c r="W130" s="153" t="n">
        <x:v>4.26</x:v>
      </x:c>
      <x:c r="X130" s="155" t="n">
        <x:v>45495</x:v>
      </x:c>
      <x:c r="Y130" s="153" t="n">
        <x:v>1.96</x:v>
      </x:c>
      <x:c r="Z130" s="155" t="n">
        <x:v>45495</x:v>
      </x:c>
      <x:c r="AA130" s="153" t="n">
        <x:f>IFERROR(Y130-Y129,"")</x:f>
        <x:v>0.030000000000000027</x:v>
      </x:c>
      <x:c r="AB130" s="153" t="n">
        <x:v>2.3</x:v>
      </x:c>
      <x:c r="AC130" s="153" t="n">
        <x:v>123.2172</x:v>
      </x:c>
      <x:c r="AD130" s="155" t="n">
        <x:v>45495</x:v>
      </x:c>
      <x:c r="AE130" s="154" t="n">
        <x:f>IFERROR(AC130/AC129-1,"")</x:f>
        <x:v>0.0005700504275378826</x:v>
      </x:c>
      <x:c r="AF130" s="153" t="n">
        <x:v>14.91</x:v>
      </x:c>
      <x:c r="AG130" s="155" t="n">
        <x:v>45495</x:v>
      </x:c>
      <x:c r="AH130" s="153" t="n">
        <x:f>IFERROR(AF130-AF129,"")</x:f>
        <x:v>-1.6099999999999994</x:v>
      </x:c>
      <x:c r="AI130" s="153" t="n">
        <x:v>5.33</x:v>
      </x:c>
      <x:c r="AJ130" s="155" t="n">
        <x:v>45492</x:v>
      </x:c>
      <x:c r="AK130" s="159" t="n">
        <x:v>184532</x:v>
      </x:c>
      <x:c r="AL130" s="154" t="n">
        <x:v>0.31823433851502597</x:v>
      </x:c>
      <x:c r="AM130" s="159" t="n">
        <x:v>-60318</x:v>
      </x:c>
      <x:c r="AN130" s="155" t="n">
        <x:v>45492</x:v>
      </x:c>
      <x:c r="AO130" s="159" t="n">
        <x:v>36675</x:v>
      </x:c>
      <x:c r="AP130" s="154" t="n">
        <x:v>0.2200838929195096</x:v>
      </x:c>
      <x:c r="AQ130" s="159" t="n">
        <x:v>-40548</x:v>
      </x:c>
      <x:c r="AR130" s="147" t="str">
        <x:v>美国市场指标与CFTC数据均使用严格早于上金所交易日的最后已发布值</x:v>
      </x:c>
    </x:row>
    <x:row r="131">
      <x:c r="A131" s="155" t="n">
        <x:v>45497</x:v>
      </x:c>
      <x:c r="B131" s="153" t="n">
        <x:v>562.9</x:v>
      </x:c>
      <x:c r="C131" s="153" t="n">
        <x:v>566.48</x:v>
      </x:c>
      <x:c r="D131" s="153" t="n">
        <x:v>562.86</x:v>
      </x:c>
      <x:c r="E131" s="153" t="n">
        <x:v>566.35</x:v>
      </x:c>
      <x:c r="F131" s="154" t="n">
        <x:f>IFERROR(E131/E130-1,"")</x:f>
        <x:v>0.011339285714285774</x:v>
      </x:c>
      <x:c r="G131" s="154" t="n">
        <x:f>IFERROR((C131-D131)/E130,"")</x:f>
        <x:v>0.006464285714285723</x:v>
      </x:c>
      <x:c r="H131" s="153" t="n">
        <x:v>565.43</x:v>
      </x:c>
      <x:c r="I131" s="158" t="n">
        <x:v>7482.32</x:v>
      </x:c>
      <x:c r="J131" s="158" t="n">
        <x:v>4230797214.8</x:v>
      </x:c>
      <x:c r="K131" s="158"/>
      <x:c r="L131" s="153" t="n">
        <x:v>7594</x:v>
      </x:c>
      <x:c r="M131" s="153" t="n">
        <x:v>7681</x:v>
      </x:c>
      <x:c r="N131" s="153" t="n">
        <x:v>7571</x:v>
      </x:c>
      <x:c r="O131" s="153" t="n">
        <x:v>7673</x:v>
      </x:c>
      <x:c r="P131" s="154" t="n">
        <x:f>IFERROR(O131/O130-1,"")</x:f>
        <x:v>0.017234522073445557</x:v>
      </x:c>
      <x:c r="Q131" s="154" t="n">
        <x:f>IFERROR((M131-N131)/O130,"")</x:f>
        <x:v>0.014583057139069336</x:v>
      </x:c>
      <x:c r="R131" s="153" t="n">
        <x:v>7641</x:v>
      </x:c>
      <x:c r="S131" s="158" t="n">
        <x:v>413092</x:v>
      </x:c>
      <x:c r="T131" s="158" t="n">
        <x:v>3156556930</x:v>
      </x:c>
      <x:c r="U131" s="158" t="n">
        <x:v>4825264</x:v>
      </x:c>
      <x:c r="V131" s="153" t="n">
        <x:f>IFERROR(E131*1000/O131,"")</x:f>
        <x:v>73.8107650202007</x:v>
      </x:c>
      <x:c r="W131" s="153" t="n">
        <x:v>4.25</x:v>
      </x:c>
      <x:c r="X131" s="155" t="n">
        <x:v>45496</x:v>
      </x:c>
      <x:c r="Y131" s="153" t="n">
        <x:v>1.96</x:v>
      </x:c>
      <x:c r="Z131" s="155" t="n">
        <x:v>45496</x:v>
      </x:c>
      <x:c r="AA131" s="153" t="n">
        <x:f>IFERROR(Y131-Y130,"")</x:f>
        <x:v>0</x:v>
      </x:c>
      <x:c r="AB131" s="153" t="n">
        <x:v>2.29</x:v>
      </x:c>
      <x:c r="AC131" s="153" t="n">
        <x:v>123.3843</x:v>
      </x:c>
      <x:c r="AD131" s="155" t="n">
        <x:v>45496</x:v>
      </x:c>
      <x:c r="AE131" s="154" t="n">
        <x:f>IFERROR(AC131/AC130-1,"")</x:f>
        <x:v>0.0013561418373408962</x:v>
      </x:c>
      <x:c r="AF131" s="153" t="n">
        <x:v>14.72</x:v>
      </x:c>
      <x:c r="AG131" s="155" t="n">
        <x:v>45496</x:v>
      </x:c>
      <x:c r="AH131" s="153" t="n">
        <x:f>IFERROR(AF131-AF130,"")</x:f>
        <x:v>-0.1899999999999995</x:v>
      </x:c>
      <x:c r="AI131" s="153" t="n">
        <x:v>5.33</x:v>
      </x:c>
      <x:c r="AJ131" s="155" t="n">
        <x:v>45492</x:v>
      </x:c>
      <x:c r="AK131" s="159" t="n">
        <x:v>184532</x:v>
      </x:c>
      <x:c r="AL131" s="154" t="n">
        <x:v>0.31823433851502597</x:v>
      </x:c>
      <x:c r="AM131" s="159" t="n">
        <x:v>-60318</x:v>
      </x:c>
      <x:c r="AN131" s="155" t="n">
        <x:v>45492</x:v>
      </x:c>
      <x:c r="AO131" s="159" t="n">
        <x:v>36675</x:v>
      </x:c>
      <x:c r="AP131" s="154" t="n">
        <x:v>0.2200838929195096</x:v>
      </x:c>
      <x:c r="AQ131" s="159" t="n">
        <x:v>-40548</x:v>
      </x:c>
      <x:c r="AR131" s="147" t="str">
        <x:v>美国市场指标与CFTC数据均使用严格早于上金所交易日的最后已发布值</x:v>
      </x:c>
    </x:row>
    <x:row r="132">
      <x:c r="A132" s="155" t="n">
        <x:v>45498</x:v>
      </x:c>
      <x:c r="B132" s="153" t="n">
        <x:v>566.2</x:v>
      </x:c>
      <x:c r="C132" s="153" t="n">
        <x:v>568.2</x:v>
      </x:c>
      <x:c r="D132" s="153" t="n">
        <x:v>550.9</x:v>
      </x:c>
      <x:c r="E132" s="153" t="n">
        <x:v>552.4</x:v>
      </x:c>
      <x:c r="F132" s="154" t="n">
        <x:f>IFERROR(E132/E131-1,"")</x:f>
        <x:v>-0.024631411671228065</x:v>
      </x:c>
      <x:c r="G132" s="154" t="n">
        <x:f>IFERROR((C132-D132)/E131,"")</x:f>
        <x:v>0.030546481857508728</x:v>
      </x:c>
      <x:c r="H132" s="153" t="n">
        <x:v>554.34</x:v>
      </x:c>
      <x:c r="I132" s="158" t="n">
        <x:v>10759.96</x:v>
      </x:c>
      <x:c r="J132" s="158" t="n">
        <x:v>5964753898.8</x:v>
      </x:c>
      <x:c r="K132" s="158"/>
      <x:c r="L132" s="153" t="n">
        <x:v>7681</x:v>
      </x:c>
      <x:c r="M132" s="153" t="n">
        <x:v>7697</x:v>
      </x:c>
      <x:c r="N132" s="153" t="n">
        <x:v>7182</x:v>
      </x:c>
      <x:c r="O132" s="153" t="n">
        <x:v>7208</x:v>
      </x:c>
      <x:c r="P132" s="154" t="n">
        <x:f>IFERROR(O132/O131-1,"")</x:f>
        <x:v>-0.06060211129936144</x:v>
      </x:c>
      <x:c r="Q132" s="154" t="n">
        <x:f>IFERROR((M132-N132)/O131,"")</x:f>
        <x:v>0.06711846735305617</x:v>
      </x:c>
      <x:c r="R132" s="153" t="n">
        <x:v>7352</x:v>
      </x:c>
      <x:c r="S132" s="158" t="n">
        <x:v>903632</x:v>
      </x:c>
      <x:c r="T132" s="158" t="n">
        <x:v>6643879432</x:v>
      </x:c>
      <x:c r="U132" s="158" t="n">
        <x:v>4814556</x:v>
      </x:c>
      <x:c r="V132" s="153" t="n">
        <x:f>IFERROR(E132*1000/O132,"")</x:f>
        <x:v>76.63706992230854</x:v>
      </x:c>
      <x:c r="W132" s="153" t="n">
        <x:v>4.28</x:v>
      </x:c>
      <x:c r="X132" s="155" t="n">
        <x:v>45497</x:v>
      </x:c>
      <x:c r="Y132" s="153" t="n">
        <x:v>2</x:v>
      </x:c>
      <x:c r="Z132" s="155" t="n">
        <x:v>45497</x:v>
      </x:c>
      <x:c r="AA132" s="153" t="n">
        <x:f>IFERROR(Y132-Y131,"")</x:f>
        <x:v>0.040000000000000036</x:v>
      </x:c>
      <x:c r="AB132" s="153" t="n">
        <x:v>2.28</x:v>
      </x:c>
      <x:c r="AC132" s="153" t="n">
        <x:v>123.5575</x:v>
      </x:c>
      <x:c r="AD132" s="155" t="n">
        <x:v>45497</x:v>
      </x:c>
      <x:c r="AE132" s="154" t="n">
        <x:f>IFERROR(AC132/AC131-1,"")</x:f>
        <x:v>0.001403744236503357</x:v>
      </x:c>
      <x:c r="AF132" s="153" t="n">
        <x:v>18.04</x:v>
      </x:c>
      <x:c r="AG132" s="155" t="n">
        <x:v>45497</x:v>
      </x:c>
      <x:c r="AH132" s="153" t="n">
        <x:f>IFERROR(AF132-AF131,"")</x:f>
        <x:v>3.3199999999999985</x:v>
      </x:c>
      <x:c r="AI132" s="153" t="n">
        <x:v>5.33</x:v>
      </x:c>
      <x:c r="AJ132" s="155" t="n">
        <x:v>45492</x:v>
      </x:c>
      <x:c r="AK132" s="159" t="n">
        <x:v>184532</x:v>
      </x:c>
      <x:c r="AL132" s="154" t="n">
        <x:v>0.31823433851502597</x:v>
      </x:c>
      <x:c r="AM132" s="159" t="n">
        <x:v>-60318</x:v>
      </x:c>
      <x:c r="AN132" s="155" t="n">
        <x:v>45492</x:v>
      </x:c>
      <x:c r="AO132" s="159" t="n">
        <x:v>36675</x:v>
      </x:c>
      <x:c r="AP132" s="154" t="n">
        <x:v>0.2200838929195096</x:v>
      </x:c>
      <x:c r="AQ132" s="159" t="n">
        <x:v>-40548</x:v>
      </x:c>
      <x:c r="AR132" s="147" t="str">
        <x:v>美国市场指标与CFTC数据均使用严格早于上金所交易日的最后已发布值</x:v>
      </x:c>
    </x:row>
    <x:row r="133">
      <x:c r="A133" s="155" t="n">
        <x:v>45499</x:v>
      </x:c>
      <x:c r="B133" s="153" t="n">
        <x:v>549.01</x:v>
      </x:c>
      <x:c r="C133" s="153" t="n">
        <x:v>557.88</x:v>
      </x:c>
      <x:c r="D133" s="153" t="n">
        <x:v>548</x:v>
      </x:c>
      <x:c r="E133" s="153" t="n">
        <x:v>555.5</x:v>
      </x:c>
      <x:c r="F133" s="154" t="n">
        <x:f>IFERROR(E133/E132-1,"")</x:f>
        <x:v>0.0056118754525706915</x:v>
      </x:c>
      <x:c r="G133" s="154" t="n">
        <x:f>IFERROR((C133-D133)/E132,"")</x:f>
        <x:v>0.017885590152063716</x:v>
      </x:c>
      <x:c r="H133" s="153" t="n">
        <x:v>554.29</x:v>
      </x:c>
      <x:c r="I133" s="158" t="n">
        <x:v>12545.88</x:v>
      </x:c>
      <x:c r="J133" s="158" t="n">
        <x:v>6954129170.2</x:v>
      </x:c>
      <x:c r="K133" s="158"/>
      <x:c r="L133" s="153" t="n">
        <x:v>7123</x:v>
      </x:c>
      <x:c r="M133" s="153" t="n">
        <x:v>7289</x:v>
      </x:c>
      <x:c r="N133" s="153" t="n">
        <x:v>7108</x:v>
      </x:c>
      <x:c r="O133" s="153" t="n">
        <x:v>7232</x:v>
      </x:c>
      <x:c r="P133" s="154" t="n">
        <x:f>IFERROR(O133/O132-1,"")</x:f>
        <x:v>0.0033296337402886067</x:v>
      </x:c>
      <x:c r="Q133" s="154" t="n">
        <x:f>IFERROR((M133-N133)/O132,"")</x:f>
        <x:v>0.02511098779134295</x:v>
      </x:c>
      <x:c r="R133" s="153" t="n">
        <x:v>7218</x:v>
      </x:c>
      <x:c r="S133" s="158" t="n">
        <x:v>521932</x:v>
      </x:c>
      <x:c r="T133" s="158" t="n">
        <x:v>3767646092</x:v>
      </x:c>
      <x:c r="U133" s="158" t="n">
        <x:v>4844812</x:v>
      </x:c>
      <x:c r="V133" s="153" t="n">
        <x:f>IFERROR(E133*1000/O133,"")</x:f>
        <x:v>76.81139380530973</x:v>
      </x:c>
      <x:c r="W133" s="153" t="n">
        <x:v>4.27</x:v>
      </x:c>
      <x:c r="X133" s="155" t="n">
        <x:v>45498</x:v>
      </x:c>
      <x:c r="Y133" s="153" t="n">
        <x:v>1.99</x:v>
      </x:c>
      <x:c r="Z133" s="155" t="n">
        <x:v>45498</x:v>
      </x:c>
      <x:c r="AA133" s="153" t="n">
        <x:f>IFERROR(Y133-Y132,"")</x:f>
        <x:v>-0.010000000000000009</x:v>
      </x:c>
      <x:c r="AB133" s="153" t="n">
        <x:v>2.28</x:v>
      </x:c>
      <x:c r="AC133" s="153" t="n">
        <x:v>123.5286</x:v>
      </x:c>
      <x:c r="AD133" s="155" t="n">
        <x:v>45498</x:v>
      </x:c>
      <x:c r="AE133" s="154" t="n">
        <x:f>IFERROR(AC133/AC132-1,"")</x:f>
        <x:v>-0.0002338991967303361</x:v>
      </x:c>
      <x:c r="AF133" s="153" t="n">
        <x:v>18.46</x:v>
      </x:c>
      <x:c r="AG133" s="155" t="n">
        <x:v>45498</x:v>
      </x:c>
      <x:c r="AH133" s="153" t="n">
        <x:f>IFERROR(AF133-AF132,"")</x:f>
        <x:v>0.4200000000000017</x:v>
      </x:c>
      <x:c r="AI133" s="153" t="n">
        <x:v>5.33</x:v>
      </x:c>
      <x:c r="AJ133" s="155" t="n">
        <x:v>45492</x:v>
      </x:c>
      <x:c r="AK133" s="159" t="n">
        <x:v>184532</x:v>
      </x:c>
      <x:c r="AL133" s="154" t="n">
        <x:v>0.31823433851502597</x:v>
      </x:c>
      <x:c r="AM133" s="159" t="n">
        <x:v>-60318</x:v>
      </x:c>
      <x:c r="AN133" s="155" t="n">
        <x:v>45492</x:v>
      </x:c>
      <x:c r="AO133" s="159" t="n">
        <x:v>36675</x:v>
      </x:c>
      <x:c r="AP133" s="154" t="n">
        <x:v>0.2200838929195096</x:v>
      </x:c>
      <x:c r="AQ133" s="159" t="n">
        <x:v>-40548</x:v>
      </x:c>
      <x:c r="AR133" s="147" t="str">
        <x:v>美国市场指标与CFTC数据均使用严格早于上金所交易日的最后已发布值</x:v>
      </x:c>
    </x:row>
    <x:row r="134">
      <x:c r="A134" s="155" t="n">
        <x:v>45502</x:v>
      </x:c>
      <x:c r="B134" s="153" t="n">
        <x:v>555.5</x:v>
      </x:c>
      <x:c r="C134" s="153" t="n">
        <x:v>560.99</x:v>
      </x:c>
      <x:c r="D134" s="153" t="n">
        <x:v>555.5</x:v>
      </x:c>
      <x:c r="E134" s="153" t="n">
        <x:v>558.79</x:v>
      </x:c>
      <x:c r="F134" s="154" t="n">
        <x:f>IFERROR(E134/E133-1,"")</x:f>
        <x:v>0.005922592259225867</x:v>
      </x:c>
      <x:c r="G134" s="154" t="n">
        <x:f>IFERROR((C134-D134)/E133,"")</x:f>
        <x:v>0.009882988298829899</x:v>
      </x:c>
      <x:c r="H134" s="153" t="n">
        <x:v>558.75</x:v>
      </x:c>
      <x:c r="I134" s="158" t="n">
        <x:v>9926.74</x:v>
      </x:c>
      <x:c r="J134" s="158" t="n">
        <x:v>5546587508</x:v>
      </x:c>
      <x:c r="K134" s="158"/>
      <x:c r="L134" s="153" t="n">
        <x:v>7234</x:v>
      </x:c>
      <x:c r="M134" s="153" t="n">
        <x:v>7315</x:v>
      </x:c>
      <x:c r="N134" s="153" t="n">
        <x:v>7192</x:v>
      </x:c>
      <x:c r="O134" s="153" t="n">
        <x:v>7282</x:v>
      </x:c>
      <x:c r="P134" s="154" t="n">
        <x:f>IFERROR(O134/O133-1,"")</x:f>
        <x:v>0.00691371681415931</x:v>
      </x:c>
      <x:c r="Q134" s="154" t="n">
        <x:f>IFERROR((M134-N134)/O133,"")</x:f>
        <x:v>0.017007743362831857</x:v>
      </x:c>
      <x:c r="R134" s="153" t="n">
        <x:v>7269</x:v>
      </x:c>
      <x:c r="S134" s="158" t="n">
        <x:v>347130</x:v>
      </x:c>
      <x:c r="T134" s="158" t="n">
        <x:v>2523544798</x:v>
      </x:c>
      <x:c r="U134" s="158" t="n">
        <x:v>4846670</x:v>
      </x:c>
      <x:c r="V134" s="153" t="n">
        <x:f>IFERROR(E134*1000/O134,"")</x:f>
        <x:v>76.73578687173854</x:v>
      </x:c>
      <x:c r="W134" s="153" t="n">
        <x:v>4.2</x:v>
      </x:c>
      <x:c r="X134" s="155" t="n">
        <x:v>45499</x:v>
      </x:c>
      <x:c r="Y134" s="153" t="n">
        <x:v>1.93</x:v>
      </x:c>
      <x:c r="Z134" s="155" t="n">
        <x:v>45499</x:v>
      </x:c>
      <x:c r="AA134" s="153" t="n">
        <x:f>IFERROR(Y134-Y133,"")</x:f>
        <x:v>-0.06000000000000005</x:v>
      </x:c>
      <x:c r="AB134" s="153" t="n">
        <x:v>2.27</x:v>
      </x:c>
      <x:c r="AC134" s="153" t="n">
        <x:v>123.672</x:v>
      </x:c>
      <x:c r="AD134" s="155" t="n">
        <x:v>45499</x:v>
      </x:c>
      <x:c r="AE134" s="154" t="n">
        <x:f>IFERROR(AC134/AC133-1,"")</x:f>
        <x:v>0.0011608647713969855</x:v>
      </x:c>
      <x:c r="AF134" s="153" t="n">
        <x:v>16.39</x:v>
      </x:c>
      <x:c r="AG134" s="155" t="n">
        <x:v>45499</x:v>
      </x:c>
      <x:c r="AH134" s="153" t="n">
        <x:f>IFERROR(AF134-AF133,"")</x:f>
        <x:v>-2.0700000000000003</x:v>
      </x:c>
      <x:c r="AI134" s="153" t="n">
        <x:v>5.33</x:v>
      </x:c>
      <x:c r="AJ134" s="155" t="n">
        <x:v>45499</x:v>
      </x:c>
      <x:c r="AK134" s="159" t="n">
        <x:v>162860</x:v>
      </x:c>
      <x:c r="AL134" s="154" t="n">
        <x:v>0.28456804576572675</x:v>
      </x:c>
      <x:c r="AM134" s="159" t="n">
        <x:v>-54215</x:v>
      </x:c>
      <x:c r="AN134" s="155" t="n">
        <x:v>45499</x:v>
      </x:c>
      <x:c r="AO134" s="159" t="n">
        <x:v>25354</x:v>
      </x:c>
      <x:c r="AP134" s="154" t="n">
        <x:v>0.16138148765801433</x:v>
      </x:c>
      <x:c r="AQ134" s="159" t="n">
        <x:v>-37007</x:v>
      </x:c>
      <x:c r="AR134" s="147" t="str">
        <x:v>美国市场指标与CFTC数据均使用严格早于上金所交易日的最后已发布值</x:v>
      </x:c>
    </x:row>
    <x:row r="135">
      <x:c r="A135" s="155" t="n">
        <x:v>45503</x:v>
      </x:c>
      <x:c r="B135" s="153" t="n">
        <x:v>558</x:v>
      </x:c>
      <x:c r="C135" s="153" t="n">
        <x:v>559.5</x:v>
      </x:c>
      <x:c r="D135" s="153" t="n">
        <x:v>553.5</x:v>
      </x:c>
      <x:c r="E135" s="153" t="n">
        <x:v>558.68</x:v>
      </x:c>
      <x:c r="F135" s="154" t="n">
        <x:f>IFERROR(E135/E134-1,"")</x:f>
        <x:v>-0.00019685391649815198</x:v>
      </x:c>
      <x:c r="G135" s="154" t="n">
        <x:f>IFERROR((C135-D135)/E134,"")</x:f>
        <x:v>0.010737486354444424</x:v>
      </x:c>
      <x:c r="H135" s="153" t="n">
        <x:v>557.87</x:v>
      </x:c>
      <x:c r="I135" s="158" t="n">
        <x:v>7260.04</x:v>
      </x:c>
      <x:c r="J135" s="158" t="n">
        <x:v>4050223735.4</x:v>
      </x:c>
      <x:c r="K135" s="158"/>
      <x:c r="L135" s="153" t="n">
        <x:v>7289</x:v>
      </x:c>
      <x:c r="M135" s="153" t="n">
        <x:v>7296</x:v>
      </x:c>
      <x:c r="N135" s="153" t="n">
        <x:v>7100</x:v>
      </x:c>
      <x:c r="O135" s="153" t="n">
        <x:v>7249</x:v>
      </x:c>
      <x:c r="P135" s="154" t="n">
        <x:f>IFERROR(O135/O134-1,"")</x:f>
        <x:v>-0.004531722054380682</x:v>
      </x:c>
      <x:c r="Q135" s="154" t="n">
        <x:f>IFERROR((M135-N135)/O134,"")</x:f>
        <x:v>0.026915682504806374</x:v>
      </x:c>
      <x:c r="R135" s="153" t="n">
        <x:v>7214</x:v>
      </x:c>
      <x:c r="S135" s="158" t="n">
        <x:v>381680</x:v>
      </x:c>
      <x:c r="T135" s="158" t="n">
        <x:v>2753819844</x:v>
      </x:c>
      <x:c r="U135" s="158" t="n">
        <x:v>4846526</x:v>
      </x:c>
      <x:c r="V135" s="153" t="n">
        <x:f>IFERROR(E135*1000/O135,"")</x:f>
        <x:v>77.06994068147331</x:v>
      </x:c>
      <x:c r="W135" s="153" t="n">
        <x:v>4.17</x:v>
      </x:c>
      <x:c r="X135" s="155" t="n">
        <x:v>45502</x:v>
      </x:c>
      <x:c r="Y135" s="153" t="n">
        <x:v>1.92</x:v>
      </x:c>
      <x:c r="Z135" s="155" t="n">
        <x:v>45502</x:v>
      </x:c>
      <x:c r="AA135" s="153" t="n">
        <x:f>IFERROR(Y135-Y134,"")</x:f>
        <x:v>-0.010000000000000009</x:v>
      </x:c>
      <x:c r="AB135" s="153" t="n">
        <x:v>2.25</x:v>
      </x:c>
      <x:c r="AC135" s="153" t="n">
        <x:v>124.1392</x:v>
      </x:c>
      <x:c r="AD135" s="155" t="n">
        <x:v>45502</x:v>
      </x:c>
      <x:c r="AE135" s="154" t="n">
        <x:f>IFERROR(AC135/AC134-1,"")</x:f>
        <x:v>0.0037777346529530575</x:v>
      </x:c>
      <x:c r="AF135" s="153" t="n">
        <x:v>16.6</x:v>
      </x:c>
      <x:c r="AG135" s="155" t="n">
        <x:v>45502</x:v>
      </x:c>
      <x:c r="AH135" s="153" t="n">
        <x:f>IFERROR(AF135-AF134,"")</x:f>
        <x:v>0.21000000000000085</x:v>
      </x:c>
      <x:c r="AI135" s="153" t="n">
        <x:v>5.33</x:v>
      </x:c>
      <x:c r="AJ135" s="155" t="n">
        <x:v>45499</x:v>
      </x:c>
      <x:c r="AK135" s="159" t="n">
        <x:v>162860</x:v>
      </x:c>
      <x:c r="AL135" s="154" t="n">
        <x:v>0.28456804576572675</x:v>
      </x:c>
      <x:c r="AM135" s="159" t="n">
        <x:v>-54215</x:v>
      </x:c>
      <x:c r="AN135" s="155" t="n">
        <x:v>45499</x:v>
      </x:c>
      <x:c r="AO135" s="159" t="n">
        <x:v>25354</x:v>
      </x:c>
      <x:c r="AP135" s="154" t="n">
        <x:v>0.16138148765801433</x:v>
      </x:c>
      <x:c r="AQ135" s="159" t="n">
        <x:v>-37007</x:v>
      </x:c>
      <x:c r="AR135" s="147" t="str">
        <x:v>美国市场指标与CFTC数据均使用严格早于上金所交易日的最后已发布值</x:v>
      </x:c>
    </x:row>
    <x:row r="136">
      <x:c r="A136" s="155" t="n">
        <x:v>45504</x:v>
      </x:c>
      <x:c r="B136" s="153" t="n">
        <x:v>558</x:v>
      </x:c>
      <x:c r="C136" s="153" t="n">
        <x:v>565.5</x:v>
      </x:c>
      <x:c r="D136" s="153" t="n">
        <x:v>556.8</x:v>
      </x:c>
      <x:c r="E136" s="153" t="n">
        <x:v>563.26</x:v>
      </x:c>
      <x:c r="F136" s="154" t="n">
        <x:f>IFERROR(E136/E135-1,"")</x:f>
        <x:v>0.008197895038304592</x:v>
      </x:c>
      <x:c r="G136" s="154" t="n">
        <x:f>IFERROR((C136-D136)/E135,"")</x:f>
        <x:v>0.015572420705949821</x:v>
      </x:c>
      <x:c r="H136" s="153" t="n">
        <x:v>563.21</x:v>
      </x:c>
      <x:c r="I136" s="158" t="n">
        <x:v>7289.76</x:v>
      </x:c>
      <x:c r="J136" s="158" t="n">
        <x:v>4105672497.2</x:v>
      </x:c>
      <x:c r="K136" s="158"/>
      <x:c r="L136" s="153" t="n">
        <x:v>7230</x:v>
      </x:c>
      <x:c r="M136" s="153" t="n">
        <x:v>7454</x:v>
      </x:c>
      <x:c r="N136" s="153" t="n">
        <x:v>7203</x:v>
      </x:c>
      <x:c r="O136" s="153" t="n">
        <x:v>7414</x:v>
      </x:c>
      <x:c r="P136" s="154" t="n">
        <x:f>IFERROR(O136/O135-1,"")</x:f>
        <x:v>0.022761760242792084</x:v>
      </x:c>
      <x:c r="Q136" s="154" t="n">
        <x:f>IFERROR((M136-N136)/O135,"")</x:f>
        <x:v>0.034625465581459514</x:v>
      </x:c>
      <x:c r="R136" s="153" t="n">
        <x:v>7350</x:v>
      </x:c>
      <x:c r="S136" s="158" t="n">
        <x:v>537328</x:v>
      </x:c>
      <x:c r="T136" s="158" t="n">
        <x:v>3949474802</x:v>
      </x:c>
      <x:c r="U136" s="158" t="n">
        <x:v>4918590</x:v>
      </x:c>
      <x:c r="V136" s="153" t="n">
        <x:f>IFERROR(E136*1000/O136,"")</x:f>
        <x:v>75.97248448880497</x:v>
      </x:c>
      <x:c r="W136" s="153" t="n">
        <x:v>4.15</x:v>
      </x:c>
      <x:c r="X136" s="155" t="n">
        <x:v>45503</x:v>
      </x:c>
      <x:c r="Y136" s="153" t="n">
        <x:v>1.9</x:v>
      </x:c>
      <x:c r="Z136" s="155" t="n">
        <x:v>45503</x:v>
      </x:c>
      <x:c r="AA136" s="153" t="n">
        <x:f>IFERROR(Y136-Y135,"")</x:f>
        <x:v>-0.020000000000000018</x:v>
      </x:c>
      <x:c r="AB136" s="153" t="n">
        <x:v>2.25</x:v>
      </x:c>
      <x:c r="AC136" s="153" t="n">
        <x:v>124.2855</x:v>
      </x:c>
      <x:c r="AD136" s="155" t="n">
        <x:v>45503</x:v>
      </x:c>
      <x:c r="AE136" s="154" t="n">
        <x:f>IFERROR(AC136/AC135-1,"")</x:f>
        <x:v>0.0011785157307280247</x:v>
      </x:c>
      <x:c r="AF136" s="153" t="n">
        <x:v>17.69</x:v>
      </x:c>
      <x:c r="AG136" s="155" t="n">
        <x:v>45503</x:v>
      </x:c>
      <x:c r="AH136" s="153" t="n">
        <x:f>IFERROR(AF136-AF135,"")</x:f>
        <x:v>1.0899999999999999</x:v>
      </x:c>
      <x:c r="AI136" s="153" t="n">
        <x:v>5.33</x:v>
      </x:c>
      <x:c r="AJ136" s="155" t="n">
        <x:v>45499</x:v>
      </x:c>
      <x:c r="AK136" s="159" t="n">
        <x:v>162860</x:v>
      </x:c>
      <x:c r="AL136" s="154" t="n">
        <x:v>0.28456804576572675</x:v>
      </x:c>
      <x:c r="AM136" s="159" t="n">
        <x:v>-54215</x:v>
      </x:c>
      <x:c r="AN136" s="155" t="n">
        <x:v>45499</x:v>
      </x:c>
      <x:c r="AO136" s="159" t="n">
        <x:v>25354</x:v>
      </x:c>
      <x:c r="AP136" s="154" t="n">
        <x:v>0.16138148765801433</x:v>
      </x:c>
      <x:c r="AQ136" s="159" t="n">
        <x:v>-37007</x:v>
      </x:c>
      <x:c r="AR136" s="147" t="str">
        <x:v>美国市场指标与CFTC数据均使用严格早于上金所交易日的最后已发布值</x:v>
      </x:c>
    </x:row>
    <x:row r="137">
      <x:c r="A137" s="155" t="n">
        <x:v>45509</x:v>
      </x:c>
      <x:c r="B137" s="153" t="n">
        <x:v>570</x:v>
      </x:c>
      <x:c r="C137" s="153" t="n">
        <x:v>570</x:v>
      </x:c>
      <x:c r="D137" s="153" t="n">
        <x:v>554</x:v>
      </x:c>
      <x:c r="E137" s="153" t="n">
        <x:v>560.7</x:v>
      </x:c>
      <x:c r="F137" s="154" t="n">
        <x:f>IFERROR(E137/E136-1,"")</x:f>
        <x:v>-0.0045449703511698525</x:v>
      </x:c>
      <x:c r="G137" s="154" t="n">
        <x:f>IFERROR((C137-D137)/E136,"")</x:f>
        <x:v>0.02840606469481234</x:v>
      </x:c>
      <x:c r="H137" s="153" t="n">
        <x:v>559.27</x:v>
      </x:c>
      <x:c r="I137" s="158" t="n">
        <x:v>11212.7</x:v>
      </x:c>
      <x:c r="J137" s="158" t="n">
        <x:v>6270961015.8</x:v>
      </x:c>
      <x:c r="K137" s="158"/>
      <x:c r="L137" s="153" t="n">
        <x:v>7440</x:v>
      </x:c>
      <x:c r="M137" s="153" t="n">
        <x:v>7490</x:v>
      </x:c>
      <x:c r="N137" s="153" t="n">
        <x:v>7147</x:v>
      </x:c>
      <x:c r="O137" s="153" t="n">
        <x:v>7225</x:v>
      </x:c>
      <x:c r="P137" s="154" t="n">
        <x:f>IFERROR(O137/O136-1,"")</x:f>
        <x:v>-0.025492311842460258</x:v>
      </x:c>
      <x:c r="Q137" s="154" t="n">
        <x:f>IFERROR((M137-N137)/O136,"")</x:f>
        <x:v>0.04626382519557594</x:v>
      </x:c>
      <x:c r="R137" s="153" t="n">
        <x:v>7267</x:v>
      </x:c>
      <x:c r="S137" s="158" t="n">
        <x:v>752996</x:v>
      </x:c>
      <x:c r="T137" s="158" t="n">
        <x:v>5472736954</x:v>
      </x:c>
      <x:c r="U137" s="158" t="n">
        <x:v>4927838</x:v>
      </x:c>
      <x:c r="V137" s="153" t="n">
        <x:f>IFERROR(E137*1000/O137,"")</x:f>
        <x:v>77.60553633217994</x:v>
      </x:c>
      <x:c r="W137" s="153" t="n">
        <x:v>3.8</x:v>
      </x:c>
      <x:c r="X137" s="155" t="n">
        <x:v>45506</x:v>
      </x:c>
      <x:c r="Y137" s="153" t="n">
        <x:v>1.76</x:v>
      </x:c>
      <x:c r="Z137" s="155" t="n">
        <x:v>45506</x:v>
      </x:c>
      <x:c r="AA137" s="153" t="n">
        <x:f>IFERROR(Y137-Y136,"")</x:f>
        <x:v>-0.1399999999999999</x:v>
      </x:c>
      <x:c r="AB137" s="153" t="n">
        <x:v>2.04</x:v>
      </x:c>
      <x:c r="AC137" s="153" t="n">
        <x:v>123.4681</x:v>
      </x:c>
      <x:c r="AD137" s="155" t="n">
        <x:v>45506</x:v>
      </x:c>
      <x:c r="AE137" s="154" t="n">
        <x:f>IFERROR(AC137/AC136-1,"")</x:f>
        <x:v>-0.0065767929484935594</x:v>
      </x:c>
      <x:c r="AF137" s="153" t="n">
        <x:v>23.39</x:v>
      </x:c>
      <x:c r="AG137" s="155" t="n">
        <x:v>45506</x:v>
      </x:c>
      <x:c r="AH137" s="153" t="n">
        <x:f>IFERROR(AF137-AF136,"")</x:f>
        <x:v>5.699999999999999</x:v>
      </x:c>
      <x:c r="AI137" s="153" t="n">
        <x:v>5.33</x:v>
      </x:c>
      <x:c r="AJ137" s="155" t="n">
        <x:v>45506</x:v>
      </x:c>
      <x:c r="AK137" s="159" t="n">
        <x:v>152364</x:v>
      </x:c>
      <x:c r="AL137" s="154" t="n">
        <x:v>0.2982184868686315</x:v>
      </x:c>
      <x:c r="AM137" s="159" t="n">
        <x:v>-44765</x:v>
      </x:c>
      <x:c r="AN137" s="155" t="n">
        <x:v>45506</x:v>
      </x:c>
      <x:c r="AO137" s="159" t="n">
        <x:v>24215</x:v>
      </x:c>
      <x:c r="AP137" s="154" t="n">
        <x:v>0.15990147718193043</x:v>
      </x:c>
      <x:c r="AQ137" s="159" t="n">
        <x:v>-34465</x:v>
      </x:c>
      <x:c r="AR137" s="147" t="str">
        <x:v>美国市场指标与CFTC数据均使用严格早于上金所交易日的最后已发布值</x:v>
      </x:c>
    </x:row>
    <x:row r="138">
      <x:c r="A138" s="155" t="n">
        <x:v>45510</x:v>
      </x:c>
      <x:c r="B138" s="153" t="n">
        <x:v>550</x:v>
      </x:c>
      <x:c r="C138" s="153" t="n">
        <x:v>559.4</x:v>
      </x:c>
      <x:c r="D138" s="153" t="n">
        <x:v>544</x:v>
      </x:c>
      <x:c r="E138" s="153" t="n">
        <x:v>554.28</x:v>
      </x:c>
      <x:c r="F138" s="154" t="n">
        <x:f>IFERROR(E138/E137-1,"")</x:f>
        <x:v>-0.01144997324772623</x:v>
      </x:c>
      <x:c r="G138" s="154" t="n">
        <x:f>IFERROR((C138-D138)/E137,"")</x:f>
        <x:v>0.027465667915106073</x:v>
      </x:c>
      <x:c r="H138" s="153" t="n">
        <x:v>554.14</x:v>
      </x:c>
      <x:c r="I138" s="158" t="n">
        <x:v>12622.9</x:v>
      </x:c>
      <x:c r="J138" s="158" t="n">
        <x:v>6994858196.6</x:v>
      </x:c>
      <x:c r="K138" s="158"/>
      <x:c r="L138" s="153" t="n">
        <x:v>6858</x:v>
      </x:c>
      <x:c r="M138" s="153" t="n">
        <x:v>7065</x:v>
      </x:c>
      <x:c r="N138" s="153" t="n">
        <x:v>6797</x:v>
      </x:c>
      <x:c r="O138" s="153" t="n">
        <x:v>6899</x:v>
      </x:c>
      <x:c r="P138" s="154" t="n">
        <x:f>IFERROR(O138/O137-1,"")</x:f>
        <x:v>-0.045121107266436034</x:v>
      </x:c>
      <x:c r="Q138" s="154" t="n">
        <x:f>IFERROR((M138-N138)/O137,"")</x:f>
        <x:v>0.03709342560553633</x:v>
      </x:c>
      <x:c r="R138" s="153" t="n">
        <x:v>6917</x:v>
      </x:c>
      <x:c r="S138" s="158" t="n">
        <x:v>960240</x:v>
      </x:c>
      <x:c r="T138" s="158" t="n">
        <x:v>6642268614</x:v>
      </x:c>
      <x:c r="U138" s="158" t="n">
        <x:v>4865228</x:v>
      </x:c>
      <x:c r="V138" s="153" t="n">
        <x:f>IFERROR(E138*1000/O138,"")</x:f>
        <x:v>80.34207856211044</x:v>
      </x:c>
      <x:c r="W138" s="153" t="n">
        <x:v>3.78</x:v>
      </x:c>
      <x:c r="X138" s="155" t="n">
        <x:v>45509</x:v>
      </x:c>
      <x:c r="Y138" s="153" t="n">
        <x:v>1.71</x:v>
      </x:c>
      <x:c r="Z138" s="155" t="n">
        <x:v>45509</x:v>
      </x:c>
      <x:c r="AA138" s="153" t="n">
        <x:f>IFERROR(Y138-Y137,"")</x:f>
        <x:v>-0.050000000000000044</x:v>
      </x:c>
      <x:c r="AB138" s="153" t="n">
        <x:v>2.07</x:v>
      </x:c>
      <x:c r="AC138" s="153" t="n">
        <x:v>123.5787</x:v>
      </x:c>
      <x:c r="AD138" s="155" t="n">
        <x:v>45509</x:v>
      </x:c>
      <x:c r="AE138" s="154" t="n">
        <x:f>IFERROR(AC138/AC137-1,"")</x:f>
        <x:v>0.0008957779377829489</x:v>
      </x:c>
      <x:c r="AF138" s="153" t="n">
        <x:v>38.57</x:v>
      </x:c>
      <x:c r="AG138" s="155" t="n">
        <x:v>45509</x:v>
      </x:c>
      <x:c r="AH138" s="153" t="n">
        <x:f>IFERROR(AF138-AF137,"")</x:f>
        <x:v>15.18</x:v>
      </x:c>
      <x:c r="AI138" s="153" t="n">
        <x:v>5.33</x:v>
      </x:c>
      <x:c r="AJ138" s="155" t="n">
        <x:v>45506</x:v>
      </x:c>
      <x:c r="AK138" s="159" t="n">
        <x:v>152364</x:v>
      </x:c>
      <x:c r="AL138" s="154" t="n">
        <x:v>0.2982184868686315</x:v>
      </x:c>
      <x:c r="AM138" s="159" t="n">
        <x:v>-44765</x:v>
      </x:c>
      <x:c r="AN138" s="155" t="n">
        <x:v>45506</x:v>
      </x:c>
      <x:c r="AO138" s="159" t="n">
        <x:v>24215</x:v>
      </x:c>
      <x:c r="AP138" s="154" t="n">
        <x:v>0.15990147718193043</x:v>
      </x:c>
      <x:c r="AQ138" s="159" t="n">
        <x:v>-34465</x:v>
      </x:c>
      <x:c r="AR138" s="147" t="str">
        <x:v>美国市场指标与CFTC数据均使用严格早于上金所交易日的最后已发布值</x:v>
      </x:c>
    </x:row>
    <x:row r="139">
      <x:c r="A139" s="155" t="n">
        <x:v>45511</x:v>
      </x:c>
      <x:c r="B139" s="153" t="n">
        <x:v>555.2</x:v>
      </x:c>
      <x:c r="C139" s="153" t="n">
        <x:v>558.9</x:v>
      </x:c>
      <x:c r="D139" s="153" t="n">
        <x:v>550.07</x:v>
      </x:c>
      <x:c r="E139" s="153" t="n">
        <x:v>554.7</x:v>
      </x:c>
      <x:c r="F139" s="154" t="n">
        <x:f>IFERROR(E139/E138-1,"")</x:f>
        <x:v>0.0007577397705131883</x:v>
      </x:c>
      <x:c r="G139" s="154" t="n">
        <x:f>IFERROR((C139-D139)/E138,"")</x:f>
        <x:v>0.015930576603882383</x:v>
      </x:c>
      <x:c r="H139" s="153" t="n">
        <x:v>553.33</x:v>
      </x:c>
      <x:c r="I139" s="158" t="n">
        <x:v>13570.36</x:v>
      </x:c>
      <x:c r="J139" s="158" t="n">
        <x:v>7508974236.4</x:v>
      </x:c>
      <x:c r="K139" s="158"/>
      <x:c r="L139" s="153" t="n">
        <x:v>6909</x:v>
      </x:c>
      <x:c r="M139" s="153" t="n">
        <x:v>6973</x:v>
      </x:c>
      <x:c r="N139" s="153" t="n">
        <x:v>6845</x:v>
      </x:c>
      <x:c r="O139" s="153" t="n">
        <x:v>6907</x:v>
      </x:c>
      <x:c r="P139" s="154" t="n">
        <x:f>IFERROR(O139/O138-1,"")</x:f>
        <x:v>0.0011595883461370526</x:v>
      </x:c>
      <x:c r="Q139" s="154" t="n">
        <x:f>IFERROR((M139-N139)/O138,"")</x:f>
        <x:v>0.018553413538193942</x:v>
      </x:c>
      <x:c r="R139" s="153" t="n">
        <x:v>6922</x:v>
      </x:c>
      <x:c r="S139" s="158" t="n">
        <x:v>1195698</x:v>
      </x:c>
      <x:c r="T139" s="158" t="n">
        <x:v>8277391612</x:v>
      </x:c>
      <x:c r="U139" s="158" t="n">
        <x:v>4654984</x:v>
      </x:c>
      <x:c r="V139" s="153" t="n">
        <x:f>IFERROR(E139*1000/O139,"")</x:f>
        <x:v>80.30983060663095</x:v>
      </x:c>
      <x:c r="W139" s="153" t="n">
        <x:v>3.9</x:v>
      </x:c>
      <x:c r="X139" s="155" t="n">
        <x:v>45510</x:v>
      </x:c>
      <x:c r="Y139" s="153" t="n">
        <x:v>1.78</x:v>
      </x:c>
      <x:c r="Z139" s="155" t="n">
        <x:v>45510</x:v>
      </x:c>
      <x:c r="AA139" s="153" t="n">
        <x:f>IFERROR(Y139-Y138,"")</x:f>
        <x:v>0.07000000000000006</x:v>
      </x:c>
      <x:c r="AB139" s="153" t="n">
        <x:v>2.12</x:v>
      </x:c>
      <x:c r="AC139" s="153" t="n">
        <x:v>123.6532</x:v>
      </x:c>
      <x:c r="AD139" s="155" t="n">
        <x:v>45510</x:v>
      </x:c>
      <x:c r="AE139" s="154" t="n">
        <x:f>IFERROR(AC139/AC138-1,"")</x:f>
        <x:v>0.0006028546990703987</x:v>
      </x:c>
      <x:c r="AF139" s="153" t="n">
        <x:v>27.71</x:v>
      </x:c>
      <x:c r="AG139" s="155" t="n">
        <x:v>45510</x:v>
      </x:c>
      <x:c r="AH139" s="153" t="n">
        <x:f>IFERROR(AF139-AF138,"")</x:f>
        <x:v>-10.86</x:v>
      </x:c>
      <x:c r="AI139" s="153" t="n">
        <x:v>5.33</x:v>
      </x:c>
      <x:c r="AJ139" s="155" t="n">
        <x:v>45506</x:v>
      </x:c>
      <x:c r="AK139" s="159" t="n">
        <x:v>152364</x:v>
      </x:c>
      <x:c r="AL139" s="154" t="n">
        <x:v>0.2982184868686315</x:v>
      </x:c>
      <x:c r="AM139" s="159" t="n">
        <x:v>-44765</x:v>
      </x:c>
      <x:c r="AN139" s="155" t="n">
        <x:v>45506</x:v>
      </x:c>
      <x:c r="AO139" s="159" t="n">
        <x:v>24215</x:v>
      </x:c>
      <x:c r="AP139" s="154" t="n">
        <x:v>0.15990147718193043</x:v>
      </x:c>
      <x:c r="AQ139" s="159" t="n">
        <x:v>-34465</x:v>
      </x:c>
      <x:c r="AR139" s="147" t="str">
        <x:v>美国市场指标与CFTC数据均使用严格早于上金所交易日的最后已发布值</x:v>
      </x:c>
    </x:row>
    <x:row r="140">
      <x:c r="A140" s="155" t="n">
        <x:v>45512</x:v>
      </x:c>
      <x:c r="B140" s="153" t="n">
        <x:v>556.5</x:v>
      </x:c>
      <x:c r="C140" s="153" t="n">
        <x:v>556.7</x:v>
      </x:c>
      <x:c r="D140" s="153" t="n">
        <x:v>552</x:v>
      </x:c>
      <x:c r="E140" s="153" t="n">
        <x:v>555.16</x:v>
      </x:c>
      <x:c r="F140" s="154" t="n">
        <x:f>IFERROR(E140/E139-1,"")</x:f>
        <x:v>0.0008292770867133203</x:v>
      </x:c>
      <x:c r="G140" s="154" t="n">
        <x:f>IFERROR((C140-D140)/E139,"")</x:f>
        <x:v>0.008473048494681891</x:v>
      </x:c>
      <x:c r="H140" s="153" t="n">
        <x:v>553.64</x:v>
      </x:c>
      <x:c r="I140" s="158" t="n">
        <x:v>13759.66</x:v>
      </x:c>
      <x:c r="J140" s="158" t="n">
        <x:v>7618000777.6</x:v>
      </x:c>
      <x:c r="K140" s="158"/>
      <x:c r="L140" s="153" t="n">
        <x:v>6951</x:v>
      </x:c>
      <x:c r="M140" s="153" t="n">
        <x:v>6966</x:v>
      </x:c>
      <x:c r="N140" s="153" t="n">
        <x:v>6854</x:v>
      </x:c>
      <x:c r="O140" s="153" t="n">
        <x:v>6896</x:v>
      </x:c>
      <x:c r="P140" s="154" t="n">
        <x:f>IFERROR(O140/O139-1,"")</x:f>
        <x:v>-0.0015925872303460542</x:v>
      </x:c>
      <x:c r="Q140" s="154" t="n">
        <x:f>IFERROR((M140-N140)/O139,"")</x:f>
        <x:v>0.016215433618068625</x:v>
      </x:c>
      <x:c r="R140" s="153" t="n">
        <x:v>6914</x:v>
      </x:c>
      <x:c r="S140" s="158" t="n">
        <x:v>1102888</x:v>
      </x:c>
      <x:c r="T140" s="158" t="n">
        <x:v>7626013448</x:v>
      </x:c>
      <x:c r="U140" s="158" t="n">
        <x:v>4429166</x:v>
      </x:c>
      <x:c r="V140" s="153" t="n">
        <x:f>IFERROR(E140*1000/O140,"")</x:f>
        <x:v>80.5046403712297</x:v>
      </x:c>
      <x:c r="W140" s="153" t="n">
        <x:v>3.96</x:v>
      </x:c>
      <x:c r="X140" s="155" t="n">
        <x:v>45511</x:v>
      </x:c>
      <x:c r="Y140" s="153" t="n">
        <x:v>1.85</x:v>
      </x:c>
      <x:c r="Z140" s="155" t="n">
        <x:v>45511</x:v>
      </x:c>
      <x:c r="AA140" s="153" t="n">
        <x:f>IFERROR(Y140-Y139,"")</x:f>
        <x:v>0.07000000000000006</x:v>
      </x:c>
      <x:c r="AB140" s="153" t="n">
        <x:v>2.11</x:v>
      </x:c>
      <x:c r="AC140" s="153" t="n">
        <x:v>123.5698</x:v>
      </x:c>
      <x:c r="AD140" s="155" t="n">
        <x:v>45511</x:v>
      </x:c>
      <x:c r="AE140" s="154" t="n">
        <x:f>IFERROR(AC140/AC139-1,"")</x:f>
        <x:v>-0.0006744669769969125</x:v>
      </x:c>
      <x:c r="AF140" s="153" t="n">
        <x:v>27.85</x:v>
      </x:c>
      <x:c r="AG140" s="155" t="n">
        <x:v>45511</x:v>
      </x:c>
      <x:c r="AH140" s="153" t="n">
        <x:f>IFERROR(AF140-AF139,"")</x:f>
        <x:v>0.14000000000000057</x:v>
      </x:c>
      <x:c r="AI140" s="153" t="n">
        <x:v>5.33</x:v>
      </x:c>
      <x:c r="AJ140" s="155" t="n">
        <x:v>45506</x:v>
      </x:c>
      <x:c r="AK140" s="159" t="n">
        <x:v>152364</x:v>
      </x:c>
      <x:c r="AL140" s="154" t="n">
        <x:v>0.2982184868686315</x:v>
      </x:c>
      <x:c r="AM140" s="159" t="n">
        <x:v>-44765</x:v>
      </x:c>
      <x:c r="AN140" s="155" t="n">
        <x:v>45506</x:v>
      </x:c>
      <x:c r="AO140" s="159" t="n">
        <x:v>24215</x:v>
      </x:c>
      <x:c r="AP140" s="154" t="n">
        <x:v>0.15990147718193043</x:v>
      </x:c>
      <x:c r="AQ140" s="159" t="n">
        <x:v>-34465</x:v>
      </x:c>
      <x:c r="AR140" s="147" t="str">
        <x:v>美国市场指标与CFTC数据均使用严格早于上金所交易日的最后已发布值</x:v>
      </x:c>
    </x:row>
    <x:row r="141">
      <x:c r="A141" s="155" t="n">
        <x:v>45513</x:v>
      </x:c>
      <x:c r="B141" s="153" t="n">
        <x:v>558</x:v>
      </x:c>
      <x:c r="C141" s="153" t="n">
        <x:v>562</x:v>
      </x:c>
      <x:c r="D141" s="153" t="n">
        <x:v>557.2</x:v>
      </x:c>
      <x:c r="E141" s="153" t="n">
        <x:v>560.94</x:v>
      </x:c>
      <x:c r="F141" s="154" t="n">
        <x:f>IFERROR(E141/E140-1,"")</x:f>
        <x:v>0.01041141292600356</x:v>
      </x:c>
      <x:c r="G141" s="154" t="n">
        <x:f>IFERROR((C141-D141)/E140,"")</x:f>
        <x:v>0.008646156063116858</x:v>
      </x:c>
      <x:c r="H141" s="153" t="n">
        <x:v>559.95</x:v>
      </x:c>
      <x:c r="I141" s="158" t="n">
        <x:v>11270.42</x:v>
      </x:c>
      <x:c r="J141" s="158" t="n">
        <x:v>6310940034</x:v>
      </x:c>
      <x:c r="K141" s="158"/>
      <x:c r="L141" s="153" t="n">
        <x:v>6935</x:v>
      </x:c>
      <x:c r="M141" s="153" t="n">
        <x:v>7133</x:v>
      </x:c>
      <x:c r="N141" s="153" t="n">
        <x:v>6920</x:v>
      </x:c>
      <x:c r="O141" s="153" t="n">
        <x:v>7088</x:v>
      </x:c>
      <x:c r="P141" s="154" t="n">
        <x:f>IFERROR(O141/O140-1,"")</x:f>
        <x:v>0.0278422273781902</x:v>
      </x:c>
      <x:c r="Q141" s="154" t="n">
        <x:f>IFERROR((M141-N141)/O140,"")</x:f>
        <x:v>0.030887470997679814</x:v>
      </x:c>
      <x:c r="R141" s="153" t="n">
        <x:v>7047</x:v>
      </x:c>
      <x:c r="S141" s="158" t="n">
        <x:v>536926</x:v>
      </x:c>
      <x:c r="T141" s="158" t="n">
        <x:v>3783949982</x:v>
      </x:c>
      <x:c r="U141" s="158" t="n">
        <x:v>4316746</x:v>
      </x:c>
      <x:c r="V141" s="153" t="n">
        <x:f>IFERROR(E141*1000/O141,"")</x:f>
        <x:v>79.13939051918736</x:v>
      </x:c>
      <x:c r="W141" s="153" t="n">
        <x:v>3.99</x:v>
      </x:c>
      <x:c r="X141" s="155" t="n">
        <x:v>45512</x:v>
      </x:c>
      <x:c r="Y141" s="153" t="n">
        <x:v>1.87</x:v>
      </x:c>
      <x:c r="Z141" s="155" t="n">
        <x:v>45512</x:v>
      </x:c>
      <x:c r="AA141" s="153" t="n">
        <x:f>IFERROR(Y141-Y140,"")</x:f>
        <x:v>0.020000000000000018</x:v>
      </x:c>
      <x:c r="AB141" s="153" t="n">
        <x:v>2.12</x:v>
      </x:c>
      <x:c r="AC141" s="153" t="n">
        <x:v>123.4466</x:v>
      </x:c>
      <x:c r="AD141" s="155" t="n">
        <x:v>45512</x:v>
      </x:c>
      <x:c r="AE141" s="154" t="n">
        <x:f>IFERROR(AC141/AC140-1,"")</x:f>
        <x:v>-0.0009970073594033346</x:v>
      </x:c>
      <x:c r="AF141" s="153" t="n">
        <x:v>23.79</x:v>
      </x:c>
      <x:c r="AG141" s="155" t="n">
        <x:v>45512</x:v>
      </x:c>
      <x:c r="AH141" s="153" t="n">
        <x:f>IFERROR(AF141-AF140,"")</x:f>
        <x:v>-4.060000000000002</x:v>
      </x:c>
      <x:c r="AI141" s="153" t="n">
        <x:v>5.33</x:v>
      </x:c>
      <x:c r="AJ141" s="155" t="n">
        <x:v>45506</x:v>
      </x:c>
      <x:c r="AK141" s="159" t="n">
        <x:v>152364</x:v>
      </x:c>
      <x:c r="AL141" s="154" t="n">
        <x:v>0.2982184868686315</x:v>
      </x:c>
      <x:c r="AM141" s="159" t="n">
        <x:v>-44765</x:v>
      </x:c>
      <x:c r="AN141" s="155" t="n">
        <x:v>45506</x:v>
      </x:c>
      <x:c r="AO141" s="159" t="n">
        <x:v>24215</x:v>
      </x:c>
      <x:c r="AP141" s="154" t="n">
        <x:v>0.15990147718193043</x:v>
      </x:c>
      <x:c r="AQ141" s="159" t="n">
        <x:v>-34465</x:v>
      </x:c>
      <x:c r="AR141" s="147" t="str">
        <x:v>美国市场指标与CFTC数据均使用严格早于上金所交易日的最后已发布值</x:v>
      </x:c>
    </x:row>
    <x:row r="142">
      <x:c r="A142" s="155" t="n">
        <x:v>45516</x:v>
      </x:c>
      <x:c r="B142" s="153" t="n">
        <x:v>560.5</x:v>
      </x:c>
      <x:c r="C142" s="153" t="n">
        <x:v>564.49</x:v>
      </x:c>
      <x:c r="D142" s="153" t="n">
        <x:v>560.05</x:v>
      </x:c>
      <x:c r="E142" s="153" t="n">
        <x:v>564.1</x:v>
      </x:c>
      <x:c r="F142" s="154" t="n">
        <x:f>IFERROR(E142/E141-1,"")</x:f>
        <x:v>0.005633401076764022</x:v>
      </x:c>
      <x:c r="G142" s="154" t="n">
        <x:f>IFERROR((C142-D142)/E141,"")</x:f>
        <x:v>0.007915285057225468</x:v>
      </x:c>
      <x:c r="H142" s="153" t="n">
        <x:v>562.28</x:v>
      </x:c>
      <x:c r="I142" s="158" t="n">
        <x:v>8153.94</x:v>
      </x:c>
      <x:c r="J142" s="158" t="n">
        <x:v>4584815055.6</x:v>
      </x:c>
      <x:c r="K142" s="158"/>
      <x:c r="L142" s="153" t="n">
        <x:v>7060</x:v>
      </x:c>
      <x:c r="M142" s="153" t="n">
        <x:v>7170</x:v>
      </x:c>
      <x:c r="N142" s="153" t="n">
        <x:v>6990</x:v>
      </x:c>
      <x:c r="O142" s="153" t="n">
        <x:v>7166</x:v>
      </x:c>
      <x:c r="P142" s="154" t="n">
        <x:f>IFERROR(O142/O141-1,"")</x:f>
        <x:v>0.01100451467268626</x:v>
      </x:c>
      <x:c r="Q142" s="154" t="n">
        <x:f>IFERROR((M142-N142)/O141,"")</x:f>
        <x:v>0.025395033860045147</x:v>
      </x:c>
      <x:c r="R142" s="153" t="n">
        <x:v>7068</x:v>
      </x:c>
      <x:c r="S142" s="158" t="n">
        <x:v>446710</x:v>
      </x:c>
      <x:c r="T142" s="158" t="n">
        <x:v>3157522248</x:v>
      </x:c>
      <x:c r="U142" s="158" t="n">
        <x:v>4313752</x:v>
      </x:c>
      <x:c r="V142" s="153" t="n">
        <x:f>IFERROR(E142*1000/O142,"")</x:f>
        <x:v>78.71895060005582</x:v>
      </x:c>
      <x:c r="W142" s="153" t="n">
        <x:v>3.94</x:v>
      </x:c>
      <x:c r="X142" s="155" t="n">
        <x:v>45513</x:v>
      </x:c>
      <x:c r="Y142" s="153" t="n">
        <x:v>1.84</x:v>
      </x:c>
      <x:c r="Z142" s="155" t="n">
        <x:v>45513</x:v>
      </x:c>
      <x:c r="AA142" s="153" t="n">
        <x:f>IFERROR(Y142-Y141,"")</x:f>
        <x:v>-0.030000000000000027</x:v>
      </x:c>
      <x:c r="AB142" s="153" t="n">
        <x:v>2.1</x:v>
      </x:c>
      <x:c r="AC142" s="153" t="n">
        <x:v>122.9276</x:v>
      </x:c>
      <x:c r="AD142" s="155" t="n">
        <x:v>45513</x:v>
      </x:c>
      <x:c r="AE142" s="154" t="n">
        <x:f>IFERROR(AC142/AC141-1,"")</x:f>
        <x:v>-0.0042042470185489345</x:v>
      </x:c>
      <x:c r="AF142" s="153" t="n">
        <x:v>20.37</x:v>
      </x:c>
      <x:c r="AG142" s="155" t="n">
        <x:v>45513</x:v>
      </x:c>
      <x:c r="AH142" s="153" t="n">
        <x:f>IFERROR(AF142-AF141,"")</x:f>
        <x:v>-3.419999999999998</x:v>
      </x:c>
      <x:c r="AI142" s="153" t="n">
        <x:v>5.33</x:v>
      </x:c>
      <x:c r="AJ142" s="155" t="n">
        <x:v>45513</x:v>
      </x:c>
      <x:c r="AK142" s="159" t="n">
        <x:v>150786</x:v>
      </x:c>
      <x:c r="AL142" s="154" t="n">
        <x:v>0.3137159441999813</x:v>
      </x:c>
      <x:c r="AM142" s="159" t="n">
        <x:v>-47145</x:v>
      </x:c>
      <x:c r="AN142" s="155" t="n">
        <x:v>45513</x:v>
      </x:c>
      <x:c r="AO142" s="159" t="n">
        <x:v>24384</x:v>
      </x:c>
      <x:c r="AP142" s="154" t="n">
        <x:v>0.16527379572581793</x:v>
      </x:c>
      <x:c r="AQ142" s="159" t="n">
        <x:v>-33010</x:v>
      </x:c>
      <x:c r="AR142" s="147" t="str">
        <x:v>美国市场指标与CFTC数据均使用严格早于上金所交易日的最后已发布值</x:v>
      </x:c>
    </x:row>
    <x:row r="143">
      <x:c r="A143" s="155" t="n">
        <x:v>45517</x:v>
      </x:c>
      <x:c r="B143" s="153" t="n">
        <x:v>564.4</x:v>
      </x:c>
      <x:c r="C143" s="153" t="n">
        <x:v>570.98</x:v>
      </x:c>
      <x:c r="D143" s="153" t="n">
        <x:v>564.4</x:v>
      </x:c>
      <x:c r="E143" s="153" t="n">
        <x:v>567.84</x:v>
      </x:c>
      <x:c r="F143" s="154" t="n">
        <x:f>IFERROR(E143/E142-1,"")</x:f>
        <x:v>0.006630030136500542</x:v>
      </x:c>
      <x:c r="G143" s="154" t="n">
        <x:f>IFERROR((C143-D143)/E142,"")</x:f>
        <x:v>0.011664598475447688</x:v>
      </x:c>
      <x:c r="H143" s="153" t="n">
        <x:v>568.44</x:v>
      </x:c>
      <x:c r="I143" s="158" t="n">
        <x:v>6291.06</x:v>
      </x:c>
      <x:c r="J143" s="158" t="n">
        <x:v>3576107244.2</x:v>
      </x:c>
      <x:c r="K143" s="158"/>
      <x:c r="L143" s="153" t="n">
        <x:v>7184</x:v>
      </x:c>
      <x:c r="M143" s="153" t="n">
        <x:v>7207</x:v>
      </x:c>
      <x:c r="N143" s="153" t="n">
        <x:v>7104</x:v>
      </x:c>
      <x:c r="O143" s="153" t="n">
        <x:v>7124</x:v>
      </x:c>
      <x:c r="P143" s="154" t="n">
        <x:f>IFERROR(O143/O142-1,"")</x:f>
        <x:v>-0.00586101032654196</x:v>
      </x:c>
      <x:c r="Q143" s="154" t="n">
        <x:f>IFERROR((M143-N143)/O142,"")</x:f>
        <x:v>0.014373430086519676</x:v>
      </x:c>
      <x:c r="R143" s="153" t="n">
        <x:v>7142</x:v>
      </x:c>
      <x:c r="S143" s="158" t="n">
        <x:v>332358</x:v>
      </x:c>
      <x:c r="T143" s="158" t="n">
        <x:v>2373884716</x:v>
      </x:c>
      <x:c r="U143" s="158" t="n">
        <x:v>4255746</x:v>
      </x:c>
      <x:c r="V143" s="153" t="n">
        <x:f>IFERROR(E143*1000/O143,"")</x:f>
        <x:v>79.7080291970803</x:v>
      </x:c>
      <x:c r="W143" s="153" t="n">
        <x:v>3.9</x:v>
      </x:c>
      <x:c r="X143" s="155" t="n">
        <x:v>45516</x:v>
      </x:c>
      <x:c r="Y143" s="153" t="n">
        <x:v>1.79</x:v>
      </x:c>
      <x:c r="Z143" s="155" t="n">
        <x:v>45516</x:v>
      </x:c>
      <x:c r="AA143" s="153" t="n">
        <x:f>IFERROR(Y143-Y142,"")</x:f>
        <x:v>-0.050000000000000044</x:v>
      </x:c>
      <x:c r="AB143" s="153" t="n">
        <x:v>2.11</x:v>
      </x:c>
      <x:c r="AC143" s="153" t="n">
        <x:v>123.2204</x:v>
      </x:c>
      <x:c r="AD143" s="155" t="n">
        <x:v>45516</x:v>
      </x:c>
      <x:c r="AE143" s="154" t="n">
        <x:f>IFERROR(AC143/AC142-1,"")</x:f>
        <x:v>0.0023818898278336054</x:v>
      </x:c>
      <x:c r="AF143" s="153" t="n">
        <x:v>20.71</x:v>
      </x:c>
      <x:c r="AG143" s="155" t="n">
        <x:v>45516</x:v>
      </x:c>
      <x:c r="AH143" s="153" t="n">
        <x:f>IFERROR(AF143-AF142,"")</x:f>
        <x:v>0.33999999999999986</x:v>
      </x:c>
      <x:c r="AI143" s="153" t="n">
        <x:v>5.33</x:v>
      </x:c>
      <x:c r="AJ143" s="155" t="n">
        <x:v>45513</x:v>
      </x:c>
      <x:c r="AK143" s="159" t="n">
        <x:v>150786</x:v>
      </x:c>
      <x:c r="AL143" s="154" t="n">
        <x:v>0.3137159441999813</x:v>
      </x:c>
      <x:c r="AM143" s="159" t="n">
        <x:v>-47145</x:v>
      </x:c>
      <x:c r="AN143" s="155" t="n">
        <x:v>45513</x:v>
      </x:c>
      <x:c r="AO143" s="159" t="n">
        <x:v>24384</x:v>
      </x:c>
      <x:c r="AP143" s="154" t="n">
        <x:v>0.16527379572581793</x:v>
      </x:c>
      <x:c r="AQ143" s="159" t="n">
        <x:v>-33010</x:v>
      </x:c>
      <x:c r="AR143" s="147" t="str">
        <x:v>美国市场指标与CFTC数据均使用严格早于上金所交易日的最后已发布值</x:v>
      </x:c>
    </x:row>
    <x:row r="144">
      <x:c r="A144" s="155" t="n">
        <x:v>45518</x:v>
      </x:c>
      <x:c r="B144" s="153" t="n">
        <x:v>568</x:v>
      </x:c>
      <x:c r="C144" s="153" t="n">
        <x:v>568.15</x:v>
      </x:c>
      <x:c r="D144" s="153" t="n">
        <x:v>563.5</x:v>
      </x:c>
      <x:c r="E144" s="153" t="n">
        <x:v>566.71</x:v>
      </x:c>
      <x:c r="F144" s="154" t="n">
        <x:f>IFERROR(E144/E143-1,"")</x:f>
        <x:v>-0.001989997182304859</x:v>
      </x:c>
      <x:c r="G144" s="154" t="n">
        <x:f>IFERROR((C144-D144)/E143,"")</x:f>
        <x:v>0.008188926458157187</x:v>
      </x:c>
      <x:c r="H144" s="153" t="n">
        <x:v>565.89</x:v>
      </x:c>
      <x:c r="I144" s="158" t="n">
        <x:v>6521.64</x:v>
      </x:c>
      <x:c r="J144" s="158" t="n">
        <x:v>3690568869.6</x:v>
      </x:c>
      <x:c r="K144" s="158"/>
      <x:c r="L144" s="153" t="n">
        <x:v>7137</x:v>
      </x:c>
      <x:c r="M144" s="153" t="n">
        <x:v>7172</x:v>
      </x:c>
      <x:c r="N144" s="153" t="n">
        <x:v>7034</x:v>
      </x:c>
      <x:c r="O144" s="153" t="n">
        <x:v>7147</x:v>
      </x:c>
      <x:c r="P144" s="154" t="n">
        <x:f>IFERROR(O144/O143-1,"")</x:f>
        <x:v>0.0032285233015159065</x:v>
      </x:c>
      <x:c r="Q144" s="154" t="n">
        <x:f>IFERROR((M144-N144)/O143,"")</x:f>
        <x:v>0.019371139809096015</x:v>
      </x:c>
      <x:c r="R144" s="153" t="n">
        <x:v>7106</x:v>
      </x:c>
      <x:c r="S144" s="158" t="n">
        <x:v>371490</x:v>
      </x:c>
      <x:c r="T144" s="158" t="n">
        <x:v>2639908064</x:v>
      </x:c>
      <x:c r="U144" s="158" t="n">
        <x:v>4228034</x:v>
      </x:c>
      <x:c r="V144" s="153" t="n">
        <x:f>IFERROR(E144*1000/O144,"")</x:f>
        <x:v>79.29340982230306</x:v>
      </x:c>
      <x:c r="W144" s="153" t="n">
        <x:v>3.85</x:v>
      </x:c>
      <x:c r="X144" s="155" t="n">
        <x:v>45517</x:v>
      </x:c>
      <x:c r="Y144" s="153" t="n">
        <x:v>1.76</x:v>
      </x:c>
      <x:c r="Z144" s="155" t="n">
        <x:v>45517</x:v>
      </x:c>
      <x:c r="AA144" s="153" t="n">
        <x:f>IFERROR(Y144-Y143,"")</x:f>
        <x:v>-0.030000000000000027</x:v>
      </x:c>
      <x:c r="AB144" s="153" t="n">
        <x:v>2.09</x:v>
      </x:c>
      <x:c r="AC144" s="153" t="n">
        <x:v>123.0146</x:v>
      </x:c>
      <x:c r="AD144" s="155" t="n">
        <x:v>45517</x:v>
      </x:c>
      <x:c r="AE144" s="154" t="n">
        <x:f>IFERROR(AC144/AC143-1,"")</x:f>
        <x:v>-0.001670177990008126</x:v>
      </x:c>
      <x:c r="AF144" s="153" t="n">
        <x:v>18.12</x:v>
      </x:c>
      <x:c r="AG144" s="155" t="n">
        <x:v>45517</x:v>
      </x:c>
      <x:c r="AH144" s="153" t="n">
        <x:f>IFERROR(AF144-AF143,"")</x:f>
        <x:v>-2.59</x:v>
      </x:c>
      <x:c r="AI144" s="153" t="n">
        <x:v>5.33</x:v>
      </x:c>
      <x:c r="AJ144" s="155" t="n">
        <x:v>45513</x:v>
      </x:c>
      <x:c r="AK144" s="159" t="n">
        <x:v>150786</x:v>
      </x:c>
      <x:c r="AL144" s="154" t="n">
        <x:v>0.3137159441999813</x:v>
      </x:c>
      <x:c r="AM144" s="159" t="n">
        <x:v>-47145</x:v>
      </x:c>
      <x:c r="AN144" s="155" t="n">
        <x:v>45513</x:v>
      </x:c>
      <x:c r="AO144" s="159" t="n">
        <x:v>24384</x:v>
      </x:c>
      <x:c r="AP144" s="154" t="n">
        <x:v>0.16527379572581793</x:v>
      </x:c>
      <x:c r="AQ144" s="159" t="n">
        <x:v>-33010</x:v>
      </x:c>
      <x:c r="AR144" s="147" t="str">
        <x:v>美国市场指标与CFTC数据均使用严格早于上金所交易日的最后已发布值</x:v>
      </x:c>
    </x:row>
    <x:row r="145">
      <x:c r="A145" s="155" t="n">
        <x:v>45519</x:v>
      </x:c>
      <x:c r="B145" s="153" t="n">
        <x:v>567.5</x:v>
      </x:c>
      <x:c r="C145" s="153" t="n">
        <x:v>567.5</x:v>
      </x:c>
      <x:c r="D145" s="153" t="n">
        <x:v>561</x:v>
      </x:c>
      <x:c r="E145" s="153" t="n">
        <x:v>565.66</x:v>
      </x:c>
      <x:c r="F145" s="154" t="n">
        <x:f>IFERROR(E145/E144-1,"")</x:f>
        <x:v>-0.001852799491803725</x:v>
      </x:c>
      <x:c r="G145" s="154" t="n">
        <x:f>IFERROR((C145-D145)/E144,"")</x:f>
        <x:v>0.011469711139736372</x:v>
      </x:c>
      <x:c r="H145" s="153" t="n">
        <x:v>564.88</x:v>
      </x:c>
      <x:c r="I145" s="158" t="n">
        <x:v>7610.84</x:v>
      </x:c>
      <x:c r="J145" s="158" t="n">
        <x:v>4299243075</x:v>
      </x:c>
      <x:c r="K145" s="158"/>
      <x:c r="L145" s="153" t="n">
        <x:v>7141</x:v>
      </x:c>
      <x:c r="M145" s="153" t="n">
        <x:v>7158</x:v>
      </x:c>
      <x:c r="N145" s="153" t="n">
        <x:v>6944</x:v>
      </x:c>
      <x:c r="O145" s="153" t="n">
        <x:v>7157</x:v>
      </x:c>
      <x:c r="P145" s="154" t="n">
        <x:f>IFERROR(O145/O144-1,"")</x:f>
        <x:v>0.001399188470686985</x:v>
      </x:c>
      <x:c r="Q145" s="154" t="n">
        <x:f>IFERROR((M145-N145)/O144,"")</x:f>
        <x:v>0.029942633272701833</x:v>
      </x:c>
      <x:c r="R145" s="153" t="n">
        <x:v>7081</x:v>
      </x:c>
      <x:c r="S145" s="158" t="n">
        <x:v>548920</x:v>
      </x:c>
      <x:c r="T145" s="158" t="n">
        <x:v>3887068902</x:v>
      </x:c>
      <x:c r="U145" s="158" t="n">
        <x:v>4226772</x:v>
      </x:c>
      <x:c r="V145" s="153" t="n">
        <x:f>IFERROR(E145*1000/O145,"")</x:f>
        <x:v>79.03590890037725</x:v>
      </x:c>
      <x:c r="W145" s="153" t="n">
        <x:v>3.83</x:v>
      </x:c>
      <x:c r="X145" s="155" t="n">
        <x:v>45518</x:v>
      </x:c>
      <x:c r="Y145" s="153" t="n">
        <x:v>1.77</x:v>
      </x:c>
      <x:c r="Z145" s="155" t="n">
        <x:v>45518</x:v>
      </x:c>
      <x:c r="AA145" s="153" t="n">
        <x:f>IFERROR(Y145-Y144,"")</x:f>
        <x:v>0.010000000000000009</x:v>
      </x:c>
      <x:c r="AB145" s="153" t="n">
        <x:v>2.06</x:v>
      </x:c>
      <x:c r="AC145" s="153" t="n">
        <x:v>122.4297</x:v>
      </x:c>
      <x:c r="AD145" s="155" t="n">
        <x:v>45518</x:v>
      </x:c>
      <x:c r="AE145" s="154" t="n">
        <x:f>IFERROR(AC145/AC144-1,"")</x:f>
        <x:v>-0.004754720171426863</x:v>
      </x:c>
      <x:c r="AF145" s="153" t="n">
        <x:v>16.19</x:v>
      </x:c>
      <x:c r="AG145" s="155" t="n">
        <x:v>45518</x:v>
      </x:c>
      <x:c r="AH145" s="153" t="n">
        <x:f>IFERROR(AF145-AF144,"")</x:f>
        <x:v>-1.9299999999999997</x:v>
      </x:c>
      <x:c r="AI145" s="153" t="n">
        <x:v>5.33</x:v>
      </x:c>
      <x:c r="AJ145" s="155" t="n">
        <x:v>45513</x:v>
      </x:c>
      <x:c r="AK145" s="159" t="n">
        <x:v>150786</x:v>
      </x:c>
      <x:c r="AL145" s="154" t="n">
        <x:v>0.3137159441999813</x:v>
      </x:c>
      <x:c r="AM145" s="159" t="n">
        <x:v>-47145</x:v>
      </x:c>
      <x:c r="AN145" s="155" t="n">
        <x:v>45513</x:v>
      </x:c>
      <x:c r="AO145" s="159" t="n">
        <x:v>24384</x:v>
      </x:c>
      <x:c r="AP145" s="154" t="n">
        <x:v>0.16527379572581793</x:v>
      </x:c>
      <x:c r="AQ145" s="159" t="n">
        <x:v>-33010</x:v>
      </x:c>
      <x:c r="AR145" s="147" t="str">
        <x:v>美国市场指标与CFTC数据均使用严格早于上金所交易日的最后已发布值</x:v>
      </x:c>
    </x:row>
    <x:row r="146">
      <x:c r="A146" s="155" t="n">
        <x:v>45520</x:v>
      </x:c>
      <x:c r="B146" s="153" t="n">
        <x:v>566</x:v>
      </x:c>
      <x:c r="C146" s="153" t="n">
        <x:v>567.9</x:v>
      </x:c>
      <x:c r="D146" s="153" t="n">
        <x:v>562</x:v>
      </x:c>
      <x:c r="E146" s="153" t="n">
        <x:v>566.14</x:v>
      </x:c>
      <x:c r="F146" s="154" t="n">
        <x:f>IFERROR(E146/E145-1,"")</x:f>
        <x:v>0.000848566276561824</x:v>
      </x:c>
      <x:c r="G146" s="154" t="n">
        <x:f>IFERROR((C146-D146)/E145,"")</x:f>
        <x:v>0.01043029381607322</x:v>
      </x:c>
      <x:c r="H146" s="153" t="n">
        <x:v>566.55</x:v>
      </x:c>
      <x:c r="I146" s="158" t="n">
        <x:v>7256.8</x:v>
      </x:c>
      <x:c r="J146" s="158" t="n">
        <x:v>4111386166.6</x:v>
      </x:c>
      <x:c r="K146" s="158"/>
      <x:c r="L146" s="153" t="n">
        <x:v>7215</x:v>
      </x:c>
      <x:c r="M146" s="153" t="n">
        <x:v>7306</x:v>
      </x:c>
      <x:c r="N146" s="153" t="n">
        <x:v>7115</x:v>
      </x:c>
      <x:c r="O146" s="153" t="n">
        <x:v>7221</x:v>
      </x:c>
      <x:c r="P146" s="154" t="n">
        <x:f>IFERROR(O146/O145-1,"")</x:f>
        <x:v>0.008942294257370476</x:v>
      </x:c>
      <x:c r="Q146" s="154" t="n">
        <x:f>IFERROR((M146-N146)/O145,"")</x:f>
        <x:v>0.02668715942433981</x:v>
      </x:c>
      <x:c r="R146" s="153" t="n">
        <x:v>7236</x:v>
      </x:c>
      <x:c r="S146" s="158" t="n">
        <x:v>528904</x:v>
      </x:c>
      <x:c r="T146" s="158" t="n">
        <x:v>3827162416</x:v>
      </x:c>
      <x:c r="U146" s="158" t="n">
        <x:v>4296550</x:v>
      </x:c>
      <x:c r="V146" s="153" t="n">
        <x:f>IFERROR(E146*1000/O146,"")</x:f>
        <x:v>78.40188339565157</x:v>
      </x:c>
      <x:c r="W146" s="153" t="n">
        <x:v>3.92</x:v>
      </x:c>
      <x:c r="X146" s="155" t="n">
        <x:v>45519</x:v>
      </x:c>
      <x:c r="Y146" s="153" t="n">
        <x:v>1.8</x:v>
      </x:c>
      <x:c r="Z146" s="155" t="n">
        <x:v>45519</x:v>
      </x:c>
      <x:c r="AA146" s="153" t="n">
        <x:f>IFERROR(Y146-Y145,"")</x:f>
        <x:v>0.030000000000000027</x:v>
      </x:c>
      <x:c r="AB146" s="153" t="n">
        <x:v>2.12</x:v>
      </x:c>
      <x:c r="AC146" s="153" t="n">
        <x:v>122.5844</x:v>
      </x:c>
      <x:c r="AD146" s="155" t="n">
        <x:v>45519</x:v>
      </x:c>
      <x:c r="AE146" s="154" t="n">
        <x:f>IFERROR(AC146/AC145-1,"")</x:f>
        <x:v>0.0012635822843640732</x:v>
      </x:c>
      <x:c r="AF146" s="153" t="n">
        <x:v>15.23</x:v>
      </x:c>
      <x:c r="AG146" s="155" t="n">
        <x:v>45519</x:v>
      </x:c>
      <x:c r="AH146" s="153" t="n">
        <x:f>IFERROR(AF146-AF145,"")</x:f>
        <x:v>-0.9600000000000009</x:v>
      </x:c>
      <x:c r="AI146" s="153" t="n">
        <x:v>5.33</x:v>
      </x:c>
      <x:c r="AJ146" s="155" t="n">
        <x:v>45513</x:v>
      </x:c>
      <x:c r="AK146" s="159" t="n">
        <x:v>150786</x:v>
      </x:c>
      <x:c r="AL146" s="154" t="n">
        <x:v>0.3137159441999813</x:v>
      </x:c>
      <x:c r="AM146" s="159" t="n">
        <x:v>-47145</x:v>
      </x:c>
      <x:c r="AN146" s="155" t="n">
        <x:v>45513</x:v>
      </x:c>
      <x:c r="AO146" s="159" t="n">
        <x:v>24384</x:v>
      </x:c>
      <x:c r="AP146" s="154" t="n">
        <x:v>0.16527379572581793</x:v>
      </x:c>
      <x:c r="AQ146" s="159" t="n">
        <x:v>-33010</x:v>
      </x:c>
      <x:c r="AR146" s="147" t="str">
        <x:v>美国市场指标与CFTC数据均使用严格早于上金所交易日的最后已发布值</x:v>
      </x:c>
    </x:row>
    <x:row r="147">
      <x:c r="A147" s="155" t="n">
        <x:v>45523</x:v>
      </x:c>
      <x:c r="B147" s="153" t="n">
        <x:v>561.02</x:v>
      </x:c>
      <x:c r="C147" s="153" t="n">
        <x:v>574.01</x:v>
      </x:c>
      <x:c r="D147" s="153" t="n">
        <x:v>561.02</x:v>
      </x:c>
      <x:c r="E147" s="153" t="n">
        <x:v>572.26</x:v>
      </x:c>
      <x:c r="F147" s="154" t="n">
        <x:f>IFERROR(E147/E146-1,"")</x:f>
        <x:v>0.010810046984844668</x:v>
      </x:c>
      <x:c r="G147" s="154" t="n">
        <x:f>IFERROR((C147-D147)/E146,"")</x:f>
        <x:v>0.022944854629596938</x:v>
      </x:c>
      <x:c r="H147" s="153" t="n">
        <x:v>571.86</x:v>
      </x:c>
      <x:c r="I147" s="158" t="n">
        <x:v>7753.74</x:v>
      </x:c>
      <x:c r="J147" s="158" t="n">
        <x:v>4434119745.8</x:v>
      </x:c>
      <x:c r="K147" s="158"/>
      <x:c r="L147" s="153" t="n">
        <x:v>7231</x:v>
      </x:c>
      <x:c r="M147" s="153" t="n">
        <x:v>7435</x:v>
      </x:c>
      <x:c r="N147" s="153" t="n">
        <x:v>7217</x:v>
      </x:c>
      <x:c r="O147" s="153" t="n">
        <x:v>7414</x:v>
      </x:c>
      <x:c r="P147" s="154" t="n">
        <x:f>IFERROR(O147/O146-1,"")</x:f>
        <x:v>0.026727600055393985</x:v>
      </x:c>
      <x:c r="Q147" s="154" t="n">
        <x:f>IFERROR((M147-N147)/O146,"")</x:f>
        <x:v>0.030189724414900983</x:v>
      </x:c>
      <x:c r="R147" s="153" t="n">
        <x:v>7353</x:v>
      </x:c>
      <x:c r="S147" s="158" t="n">
        <x:v>347256</x:v>
      </x:c>
      <x:c r="T147" s="158" t="n">
        <x:v>2553397366</x:v>
      </x:c>
      <x:c r="U147" s="158" t="n">
        <x:v>4351750</x:v>
      </x:c>
      <x:c r="V147" s="153" t="n">
        <x:f>IFERROR(E147*1000/O147,"")</x:f>
        <x:v>77.18640410035069</x:v>
      </x:c>
      <x:c r="W147" s="153" t="n">
        <x:v>3.89</x:v>
      </x:c>
      <x:c r="X147" s="155" t="n">
        <x:v>45520</x:v>
      </x:c>
      <x:c r="Y147" s="153" t="n">
        <x:v>1.81</x:v>
      </x:c>
      <x:c r="Z147" s="155" t="n">
        <x:v>45520</x:v>
      </x:c>
      <x:c r="AA147" s="153" t="n">
        <x:f>IFERROR(Y147-Y146,"")</x:f>
        <x:v>0.010000000000000009</x:v>
      </x:c>
      <x:c r="AB147" s="153" t="n">
        <x:v>2.08</x:v>
      </x:c>
      <x:c r="AC147" s="153" t="n">
        <x:v>122.3972</x:v>
      </x:c>
      <x:c r="AD147" s="155" t="n">
        <x:v>45520</x:v>
      </x:c>
      <x:c r="AE147" s="154" t="n">
        <x:f>IFERROR(AC147/AC146-1,"")</x:f>
        <x:v>-0.001527111116912172</x:v>
      </x:c>
      <x:c r="AF147" s="153" t="n">
        <x:v>14.8</x:v>
      </x:c>
      <x:c r="AG147" s="155" t="n">
        <x:v>45520</x:v>
      </x:c>
      <x:c r="AH147" s="153" t="n">
        <x:f>IFERROR(AF147-AF146,"")</x:f>
        <x:v>-0.4299999999999997</x:v>
      </x:c>
      <x:c r="AI147" s="153" t="n">
        <x:v>5.33</x:v>
      </x:c>
      <x:c r="AJ147" s="155" t="n">
        <x:v>45520</x:v>
      </x:c>
      <x:c r="AK147" s="159" t="n">
        <x:v>177915</x:v>
      </x:c>
      <x:c r="AL147" s="154" t="n">
        <x:v>0.35169963943448146</x:v>
      </x:c>
      <x:c r="AM147" s="159" t="n">
        <x:v>-52935</x:v>
      </x:c>
      <x:c r="AN147" s="155" t="n">
        <x:v>45520</x:v>
      </x:c>
      <x:c r="AO147" s="159" t="n">
        <x:v>23334</x:v>
      </x:c>
      <x:c r="AP147" s="154" t="n">
        <x:v>0.15781251056750012</x:v>
      </x:c>
      <x:c r="AQ147" s="159" t="n">
        <x:v>-32801</x:v>
      </x:c>
      <x:c r="AR147" s="147" t="str">
        <x:v>美国市场指标与CFTC数据均使用严格早于上金所交易日的最后已发布值</x:v>
      </x:c>
    </x:row>
    <x:row r="148">
      <x:c r="A148" s="155" t="n">
        <x:v>45524</x:v>
      </x:c>
      <x:c r="B148" s="153" t="n">
        <x:v>570.5</x:v>
      </x:c>
      <x:c r="C148" s="153" t="n">
        <x:v>573.9</x:v>
      </x:c>
      <x:c r="D148" s="153" t="n">
        <x:v>569.6</x:v>
      </x:c>
      <x:c r="E148" s="153" t="n">
        <x:v>572.75</x:v>
      </x:c>
      <x:c r="F148" s="154" t="n">
        <x:f>IFERROR(E148/E147-1,"")</x:f>
        <x:v>0.0008562541502115106</x:v>
      </x:c>
      <x:c r="G148" s="154" t="n">
        <x:f>IFERROR((C148-D148)/E147,"")</x:f>
        <x:v>0.00751406703246768</x:v>
      </x:c>
      <x:c r="H148" s="153" t="n">
        <x:v>571.9</x:v>
      </x:c>
      <x:c r="I148" s="158" t="n">
        <x:v>8861.4</x:v>
      </x:c>
      <x:c r="J148" s="158" t="n">
        <x:v>5067849552.4</x:v>
      </x:c>
      <x:c r="K148" s="158"/>
      <x:c r="L148" s="153" t="n">
        <x:v>7400</x:v>
      </x:c>
      <x:c r="M148" s="153" t="n">
        <x:v>7519</x:v>
      </x:c>
      <x:c r="N148" s="153" t="n">
        <x:v>7370</x:v>
      </x:c>
      <x:c r="O148" s="153" t="n">
        <x:v>7511</x:v>
      </x:c>
      <x:c r="P148" s="154" t="n">
        <x:f>IFERROR(O148/O147-1,"")</x:f>
        <x:v>0.013083355813326092</x:v>
      </x:c>
      <x:c r="Q148" s="154" t="n">
        <x:f>IFERROR((M148-N148)/O147,"")</x:f>
        <x:v>0.020097113568923658</x:v>
      </x:c>
      <x:c r="R148" s="153" t="n">
        <x:v>7460</x:v>
      </x:c>
      <x:c r="S148" s="158" t="n">
        <x:v>361004</x:v>
      </x:c>
      <x:c r="T148" s="158" t="n">
        <x:v>2693347428</x:v>
      </x:c>
      <x:c r="U148" s="158" t="n">
        <x:v>4383778</x:v>
      </x:c>
      <x:c r="V148" s="153" t="n">
        <x:f>IFERROR(E148*1000/O148,"")</x:f>
        <x:v>76.25482625482626</x:v>
      </x:c>
      <x:c r="W148" s="153" t="n">
        <x:v>3.86</x:v>
      </x:c>
      <x:c r="X148" s="155" t="n">
        <x:v>45523</x:v>
      </x:c>
      <x:c r="Y148" s="153" t="n">
        <x:v>1.79</x:v>
      </x:c>
      <x:c r="Z148" s="155" t="n">
        <x:v>45523</x:v>
      </x:c>
      <x:c r="AA148" s="153" t="n">
        <x:f>IFERROR(Y148-Y147,"")</x:f>
        <x:v>-0.020000000000000018</x:v>
      </x:c>
      <x:c r="AB148" s="153" t="n">
        <x:v>2.07</x:v>
      </x:c>
      <x:c r="AC148" s="153" t="n">
        <x:v>121.8788</x:v>
      </x:c>
      <x:c r="AD148" s="155" t="n">
        <x:v>45523</x:v>
      </x:c>
      <x:c r="AE148" s="154" t="n">
        <x:f>IFERROR(AC148/AC147-1,"")</x:f>
        <x:v>-0.004235391005676603</x:v>
      </x:c>
      <x:c r="AF148" s="153" t="n">
        <x:v>14.65</x:v>
      </x:c>
      <x:c r="AG148" s="155" t="n">
        <x:v>45523</x:v>
      </x:c>
      <x:c r="AH148" s="153" t="n">
        <x:f>IFERROR(AF148-AF147,"")</x:f>
        <x:v>-0.15000000000000036</x:v>
      </x:c>
      <x:c r="AI148" s="153" t="n">
        <x:v>5.33</x:v>
      </x:c>
      <x:c r="AJ148" s="155" t="n">
        <x:v>45520</x:v>
      </x:c>
      <x:c r="AK148" s="159" t="n">
        <x:v>177915</x:v>
      </x:c>
      <x:c r="AL148" s="154" t="n">
        <x:v>0.35169963943448146</x:v>
      </x:c>
      <x:c r="AM148" s="159" t="n">
        <x:v>-52935</x:v>
      </x:c>
      <x:c r="AN148" s="155" t="n">
        <x:v>45520</x:v>
      </x:c>
      <x:c r="AO148" s="159" t="n">
        <x:v>23334</x:v>
      </x:c>
      <x:c r="AP148" s="154" t="n">
        <x:v>0.15781251056750012</x:v>
      </x:c>
      <x:c r="AQ148" s="159" t="n">
        <x:v>-32801</x:v>
      </x:c>
      <x:c r="AR148" s="147" t="str">
        <x:v>美国市场指标与CFTC数据均使用严格早于上金所交易日的最后已发布值</x:v>
      </x:c>
    </x:row>
    <x:row r="149">
      <x:c r="A149" s="155" t="n">
        <x:v>45525</x:v>
      </x:c>
      <x:c r="B149" s="153" t="n">
        <x:v>576</x:v>
      </x:c>
      <x:c r="C149" s="153" t="n">
        <x:v>576</x:v>
      </x:c>
      <x:c r="D149" s="153" t="n">
        <x:v>570.5</x:v>
      </x:c>
      <x:c r="E149" s="153" t="n">
        <x:v>574.5</x:v>
      </x:c>
      <x:c r="F149" s="154" t="n">
        <x:f>IFERROR(E149/E148-1,"")</x:f>
        <x:v>0.0030554343081623525</x:v>
      </x:c>
      <x:c r="G149" s="154" t="n">
        <x:f>IFERROR((C149-D149)/E148,"")</x:f>
        <x:v>0.00960279353993889</x:v>
      </x:c>
      <x:c r="H149" s="153" t="n">
        <x:v>574.54</x:v>
      </x:c>
      <x:c r="I149" s="158" t="n">
        <x:v>4829.76</x:v>
      </x:c>
      <x:c r="J149" s="158" t="n">
        <x:v>2774925563.8</x:v>
      </x:c>
      <x:c r="K149" s="158"/>
      <x:c r="L149" s="153" t="n">
        <x:v>7578</x:v>
      </x:c>
      <x:c r="M149" s="153" t="n">
        <x:v>7600</x:v>
      </x:c>
      <x:c r="N149" s="153" t="n">
        <x:v>7456</x:v>
      </x:c>
      <x:c r="O149" s="153" t="n">
        <x:v>7511</x:v>
      </x:c>
      <x:c r="P149" s="154" t="n">
        <x:f>IFERROR(O149/O148-1,"")</x:f>
        <x:v>0</x:v>
      </x:c>
      <x:c r="Q149" s="154" t="n">
        <x:f>IFERROR((M149-N149)/O148,"")</x:f>
        <x:v>0.019171881240846757</x:v>
      </x:c>
      <x:c r="R149" s="153" t="n">
        <x:v>7522</x:v>
      </x:c>
      <x:c r="S149" s="158" t="n">
        <x:v>500904</x:v>
      </x:c>
      <x:c r="T149" s="158" t="n">
        <x:v>3767805840</x:v>
      </x:c>
      <x:c r="U149" s="158" t="n">
        <x:v>4416336</x:v>
      </x:c>
      <x:c r="V149" s="153" t="n">
        <x:f>IFERROR(E149*1000/O149,"")</x:f>
        <x:v>76.48781786712821</x:v>
      </x:c>
      <x:c r="W149" s="153" t="n">
        <x:v>3.82</x:v>
      </x:c>
      <x:c r="X149" s="155" t="n">
        <x:v>45524</x:v>
      </x:c>
      <x:c r="Y149" s="153" t="n">
        <x:v>1.75</x:v>
      </x:c>
      <x:c r="Z149" s="155" t="n">
        <x:v>45524</x:v>
      </x:c>
      <x:c r="AA149" s="153" t="n">
        <x:f>IFERROR(Y149-Y148,"")</x:f>
        <x:v>-0.040000000000000036</x:v>
      </x:c>
      <x:c r="AB149" s="153" t="n">
        <x:v>2.07</x:v>
      </x:c>
      <x:c r="AC149" s="153" t="n">
        <x:v>121.7728</x:v>
      </x:c>
      <x:c r="AD149" s="155" t="n">
        <x:v>45524</x:v>
      </x:c>
      <x:c r="AE149" s="154" t="n">
        <x:f>IFERROR(AC149/AC148-1,"")</x:f>
        <x:v>-0.0008697164724299489</x:v>
      </x:c>
      <x:c r="AF149" s="153" t="n">
        <x:v>15.88</x:v>
      </x:c>
      <x:c r="AG149" s="155" t="n">
        <x:v>45524</x:v>
      </x:c>
      <x:c r="AH149" s="153" t="n">
        <x:f>IFERROR(AF149-AF148,"")</x:f>
        <x:v>1.2300000000000004</x:v>
      </x:c>
      <x:c r="AI149" s="153" t="n">
        <x:v>5.33</x:v>
      </x:c>
      <x:c r="AJ149" s="155" t="n">
        <x:v>45520</x:v>
      </x:c>
      <x:c r="AK149" s="159" t="n">
        <x:v>177915</x:v>
      </x:c>
      <x:c r="AL149" s="154" t="n">
        <x:v>0.35169963943448146</x:v>
      </x:c>
      <x:c r="AM149" s="159" t="n">
        <x:v>-52935</x:v>
      </x:c>
      <x:c r="AN149" s="155" t="n">
        <x:v>45520</x:v>
      </x:c>
      <x:c r="AO149" s="159" t="n">
        <x:v>23334</x:v>
      </x:c>
      <x:c r="AP149" s="154" t="n">
        <x:v>0.15781251056750012</x:v>
      </x:c>
      <x:c r="AQ149" s="159" t="n">
        <x:v>-32801</x:v>
      </x:c>
      <x:c r="AR149" s="147" t="str">
        <x:v>美国市场指标与CFTC数据均使用严格早于上金所交易日的最后已发布值</x:v>
      </x:c>
    </x:row>
    <x:row r="150">
      <x:c r="A150" s="155" t="n">
        <x:v>45526</x:v>
      </x:c>
      <x:c r="B150" s="153" t="n">
        <x:v>574</x:v>
      </x:c>
      <x:c r="C150" s="153" t="n">
        <x:v>574.95</x:v>
      </x:c>
      <x:c r="D150" s="153" t="n">
        <x:v>571.5</x:v>
      </x:c>
      <x:c r="E150" s="153" t="n">
        <x:v>572.89</x:v>
      </x:c>
      <x:c r="F150" s="154" t="n">
        <x:f>IFERROR(E150/E149-1,"")</x:f>
        <x:v>-0.0028024369016536044</x:v>
      </x:c>
      <x:c r="G150" s="154" t="n">
        <x:f>IFERROR((C150-D150)/E149,"")</x:f>
        <x:v>0.006005221932114961</x:v>
      </x:c>
      <x:c r="H150" s="153" t="n">
        <x:v>572.89</x:v>
      </x:c>
      <x:c r="I150" s="158" t="n">
        <x:v>7068</x:v>
      </x:c>
      <x:c r="J150" s="158" t="n">
        <x:v>4049190259</x:v>
      </x:c>
      <x:c r="K150" s="158"/>
      <x:c r="L150" s="153" t="n">
        <x:v>7526</x:v>
      </x:c>
      <x:c r="M150" s="153" t="n">
        <x:v>7550</x:v>
      </x:c>
      <x:c r="N150" s="153" t="n">
        <x:v>7437</x:v>
      </x:c>
      <x:c r="O150" s="153" t="n">
        <x:v>7477</x:v>
      </x:c>
      <x:c r="P150" s="154" t="n">
        <x:f>IFERROR(O150/O149-1,"")</x:f>
        <x:v>-0.004526694181866575</x:v>
      </x:c>
      <x:c r="Q150" s="154" t="n">
        <x:f>IFERROR((M150-N150)/O149,"")</x:f>
        <x:v>0.015044601251497803</x:v>
      </x:c>
      <x:c r="R150" s="153" t="n">
        <x:v>7499</x:v>
      </x:c>
      <x:c r="S150" s="158" t="n">
        <x:v>472800</x:v>
      </x:c>
      <x:c r="T150" s="158" t="n">
        <x:v>3545684562</x:v>
      </x:c>
      <x:c r="U150" s="158" t="n">
        <x:v>4309628</x:v>
      </x:c>
      <x:c r="V150" s="153" t="n">
        <x:f>IFERROR(E150*1000/O150,"")</x:f>
        <x:v>76.62030226026481</x:v>
      </x:c>
      <x:c r="W150" s="153" t="n">
        <x:v>3.79</x:v>
      </x:c>
      <x:c r="X150" s="155" t="n">
        <x:v>45525</x:v>
      </x:c>
      <x:c r="Y150" s="153" t="n">
        <x:v>1.72</x:v>
      </x:c>
      <x:c r="Z150" s="155" t="n">
        <x:v>45525</x:v>
      </x:c>
      <x:c r="AA150" s="153" t="n">
        <x:f>IFERROR(Y150-Y149,"")</x:f>
        <x:v>-0.030000000000000027</x:v>
      </x:c>
      <x:c r="AB150" s="153" t="n">
        <x:v>2.07</x:v>
      </x:c>
      <x:c r="AC150" s="153" t="n">
        <x:v>121.8535</x:v>
      </x:c>
      <x:c r="AD150" s="155" t="n">
        <x:v>45525</x:v>
      </x:c>
      <x:c r="AE150" s="154" t="n">
        <x:f>IFERROR(AC150/AC149-1,"")</x:f>
        <x:v>0.0006627095706102093</x:v>
      </x:c>
      <x:c r="AF150" s="153" t="n">
        <x:v>16.27</x:v>
      </x:c>
      <x:c r="AG150" s="155" t="n">
        <x:v>45525</x:v>
      </x:c>
      <x:c r="AH150" s="153" t="n">
        <x:f>IFERROR(AF150-AF149,"")</x:f>
        <x:v>0.3899999999999988</x:v>
      </x:c>
      <x:c r="AI150" s="153" t="n">
        <x:v>5.33</x:v>
      </x:c>
      <x:c r="AJ150" s="155" t="n">
        <x:v>45520</x:v>
      </x:c>
      <x:c r="AK150" s="159" t="n">
        <x:v>177915</x:v>
      </x:c>
      <x:c r="AL150" s="154" t="n">
        <x:v>0.35169963943448146</x:v>
      </x:c>
      <x:c r="AM150" s="159" t="n">
        <x:v>-52935</x:v>
      </x:c>
      <x:c r="AN150" s="155" t="n">
        <x:v>45520</x:v>
      </x:c>
      <x:c r="AO150" s="159" t="n">
        <x:v>23334</x:v>
      </x:c>
      <x:c r="AP150" s="154" t="n">
        <x:v>0.15781251056750012</x:v>
      </x:c>
      <x:c r="AQ150" s="159" t="n">
        <x:v>-32801</x:v>
      </x:c>
      <x:c r="AR150" s="147" t="str">
        <x:v>美国市场指标与CFTC数据均使用严格早于上金所交易日的最后已发布值</x:v>
      </x:c>
    </x:row>
    <x:row r="151">
      <x:c r="A151" s="155" t="n">
        <x:v>45527</x:v>
      </x:c>
      <x:c r="B151" s="153" t="n">
        <x:v>573</x:v>
      </x:c>
      <x:c r="C151" s="153" t="n">
        <x:v>573</x:v>
      </x:c>
      <x:c r="D151" s="153" t="n">
        <x:v>567</x:v>
      </x:c>
      <x:c r="E151" s="153" t="n">
        <x:v>571.58</x:v>
      </x:c>
      <x:c r="F151" s="154" t="n">
        <x:f>IFERROR(E151/E150-1,"")</x:f>
        <x:v>-0.0022866518877968645</x:v>
      </x:c>
      <x:c r="G151" s="154" t="n">
        <x:f>IFERROR((C151-D151)/E150,"")</x:f>
        <x:v>0.010473214753268517</x:v>
      </x:c>
      <x:c r="H151" s="153" t="n">
        <x:v>571.14</x:v>
      </x:c>
      <x:c r="I151" s="158" t="n">
        <x:v>6796.44</x:v>
      </x:c>
      <x:c r="J151" s="158" t="n">
        <x:v>3881769452</x:v>
      </x:c>
      <x:c r="K151" s="158"/>
      <x:c r="L151" s="153" t="n">
        <x:v>7494</x:v>
      </x:c>
      <x:c r="M151" s="153" t="n">
        <x:v>7528</x:v>
      </x:c>
      <x:c r="N151" s="153" t="n">
        <x:v>7352</x:v>
      </x:c>
      <x:c r="O151" s="153" t="n">
        <x:v>7450</x:v>
      </x:c>
      <x:c r="P151" s="154" t="n">
        <x:f>IFERROR(O151/O150-1,"")</x:f>
        <x:v>-0.003611073960144484</x:v>
      </x:c>
      <x:c r="Q151" s="154" t="n">
        <x:f>IFERROR((M151-N151)/O150,"")</x:f>
        <x:v>0.023538852480941553</x:v>
      </x:c>
      <x:c r="R151" s="153" t="n">
        <x:v>7430</x:v>
      </x:c>
      <x:c r="S151" s="158" t="n">
        <x:v>436390</x:v>
      </x:c>
      <x:c r="T151" s="158" t="n">
        <x:v>3242594028</x:v>
      </x:c>
      <x:c r="U151" s="158" t="n">
        <x:v>4345842</x:v>
      </x:c>
      <x:c r="V151" s="153" t="n">
        <x:f>IFERROR(E151*1000/O151,"")</x:f>
        <x:v>76.72214765100671</x:v>
      </x:c>
      <x:c r="W151" s="153" t="n">
        <x:v>3.86</x:v>
      </x:c>
      <x:c r="X151" s="155" t="n">
        <x:v>45526</x:v>
      </x:c>
      <x:c r="Y151" s="153" t="n">
        <x:v>1.76</x:v>
      </x:c>
      <x:c r="Z151" s="155" t="n">
        <x:v>45526</x:v>
      </x:c>
      <x:c r="AA151" s="153" t="n">
        <x:f>IFERROR(Y151-Y150,"")</x:f>
        <x:v>0.040000000000000036</x:v>
      </x:c>
      <x:c r="AB151" s="153" t="n">
        <x:v>2.1</x:v>
      </x:c>
      <x:c r="AC151" s="153" t="n">
        <x:v>122.3626</x:v>
      </x:c>
      <x:c r="AD151" s="155" t="n">
        <x:v>45526</x:v>
      </x:c>
      <x:c r="AE151" s="154" t="n">
        <x:f>IFERROR(AC151/AC150-1,"")</x:f>
        <x:v>0.004177967805602645</x:v>
      </x:c>
      <x:c r="AF151" s="153" t="n">
        <x:v>17.55</x:v>
      </x:c>
      <x:c r="AG151" s="155" t="n">
        <x:v>45526</x:v>
      </x:c>
      <x:c r="AH151" s="153" t="n">
        <x:f>IFERROR(AF151-AF150,"")</x:f>
        <x:v>1.2800000000000011</x:v>
      </x:c>
      <x:c r="AI151" s="153" t="n">
        <x:v>5.33</x:v>
      </x:c>
      <x:c r="AJ151" s="155" t="n">
        <x:v>45520</x:v>
      </x:c>
      <x:c r="AK151" s="159" t="n">
        <x:v>177915</x:v>
      </x:c>
      <x:c r="AL151" s="154" t="n">
        <x:v>0.35169963943448146</x:v>
      </x:c>
      <x:c r="AM151" s="159" t="n">
        <x:v>-52935</x:v>
      </x:c>
      <x:c r="AN151" s="155" t="n">
        <x:v>45520</x:v>
      </x:c>
      <x:c r="AO151" s="159" t="n">
        <x:v>23334</x:v>
      </x:c>
      <x:c r="AP151" s="154" t="n">
        <x:v>0.15781251056750012</x:v>
      </x:c>
      <x:c r="AQ151" s="159" t="n">
        <x:v>-32801</x:v>
      </x:c>
      <x:c r="AR151" s="147" t="str">
        <x:v>美国市场指标与CFTC数据均使用严格早于上金所交易日的最后已发布值</x:v>
      </x:c>
    </x:row>
    <x:row r="152">
      <x:c r="A152" s="155" t="n">
        <x:v>45530</x:v>
      </x:c>
      <x:c r="B152" s="153" t="n">
        <x:v>572.5</x:v>
      </x:c>
      <x:c r="C152" s="153" t="n">
        <x:v>575</x:v>
      </x:c>
      <x:c r="D152" s="153" t="n">
        <x:v>571.05</x:v>
      </x:c>
      <x:c r="E152" s="153" t="n">
        <x:v>574.89</x:v>
      </x:c>
      <x:c r="F152" s="154" t="n">
        <x:f>IFERROR(E152/E151-1,"")</x:f>
        <x:v>0.005790965394170344</x:v>
      </x:c>
      <x:c r="G152" s="154" t="n">
        <x:f>IFERROR((C152-D152)/E151,"")</x:f>
        <x:v>0.0069106686728017865</x:v>
      </x:c>
      <x:c r="H152" s="153" t="n">
        <x:v>573.67</x:v>
      </x:c>
      <x:c r="I152" s="158" t="n">
        <x:v>7891.16</x:v>
      </x:c>
      <x:c r="J152" s="158" t="n">
        <x:v>4526965224</x:v>
      </x:c>
      <x:c r="K152" s="158"/>
      <x:c r="L152" s="153" t="n">
        <x:v>7487</x:v>
      </x:c>
      <x:c r="M152" s="153" t="n">
        <x:v>7629</x:v>
      </x:c>
      <x:c r="N152" s="153" t="n">
        <x:v>7416</x:v>
      </x:c>
      <x:c r="O152" s="153" t="n">
        <x:v>7621</x:v>
      </x:c>
      <x:c r="P152" s="154" t="n">
        <x:f>IFERROR(O152/O151-1,"")</x:f>
        <x:v>0.022953020134228286</x:v>
      </x:c>
      <x:c r="Q152" s="154" t="n">
        <x:f>IFERROR((M152-N152)/O151,"")</x:f>
        <x:v>0.02859060402684564</x:v>
      </x:c>
      <x:c r="R152" s="153" t="n">
        <x:v>7550</x:v>
      </x:c>
      <x:c r="S152" s="158" t="n">
        <x:v>677602</x:v>
      </x:c>
      <x:c r="T152" s="158" t="n">
        <x:v>5116474384</x:v>
      </x:c>
      <x:c r="U152" s="158" t="n">
        <x:v>4358798</x:v>
      </x:c>
      <x:c r="V152" s="153" t="n">
        <x:f>IFERROR(E152*1000/O152,"")</x:f>
        <x:v>75.43498228578926</x:v>
      </x:c>
      <x:c r="W152" s="153" t="n">
        <x:v>3.81</x:v>
      </x:c>
      <x:c r="X152" s="155" t="n">
        <x:v>45527</x:v>
      </x:c>
      <x:c r="Y152" s="153" t="n">
        <x:v>1.68</x:v>
      </x:c>
      <x:c r="Z152" s="155" t="n">
        <x:v>45527</x:v>
      </x:c>
      <x:c r="AA152" s="153" t="n">
        <x:f>IFERROR(Y152-Y151,"")</x:f>
        <x:v>-0.08000000000000007</x:v>
      </x:c>
      <x:c r="AB152" s="153" t="n">
        <x:v>2.13</x:v>
      </x:c>
      <x:c r="AC152" s="153" t="n">
        <x:v>121.4597</x:v>
      </x:c>
      <x:c r="AD152" s="155" t="n">
        <x:v>45527</x:v>
      </x:c>
      <x:c r="AE152" s="154" t="n">
        <x:f>IFERROR(AC152/AC151-1,"")</x:f>
        <x:v>-0.007378888647348147</x:v>
      </x:c>
      <x:c r="AF152" s="153" t="n">
        <x:v>15.86</x:v>
      </x:c>
      <x:c r="AG152" s="155" t="n">
        <x:v>45527</x:v>
      </x:c>
      <x:c r="AH152" s="153" t="n">
        <x:f>IFERROR(AF152-AF151,"")</x:f>
        <x:v>-1.6900000000000013</x:v>
      </x:c>
      <x:c r="AI152" s="153" t="n">
        <x:v>5.33</x:v>
      </x:c>
      <x:c r="AJ152" s="155" t="n">
        <x:v>45527</x:v>
      </x:c>
      <x:c r="AK152" s="159" t="n">
        <x:v>193305</x:v>
      </x:c>
      <x:c r="AL152" s="154" t="n">
        <x:v>0.3627640668309353</x:v>
      </x:c>
      <x:c r="AM152" s="159" t="n">
        <x:v>-63995</x:v>
      </x:c>
      <x:c r="AN152" s="155" t="n">
        <x:v>45527</x:v>
      </x:c>
      <x:c r="AO152" s="159" t="n">
        <x:v>29839</x:v>
      </x:c>
      <x:c r="AP152" s="154" t="n">
        <x:v>0.20300572843672188</x:v>
      </x:c>
      <x:c r="AQ152" s="159" t="n">
        <x:v>-34646</x:v>
      </x:c>
      <x:c r="AR152" s="147" t="str">
        <x:v>美国市场指标与CFTC数据均使用严格早于上金所交易日的最后已发布值</x:v>
      </x:c>
    </x:row>
    <x:row r="153">
      <x:c r="A153" s="155" t="n">
        <x:v>45531</x:v>
      </x:c>
      <x:c r="B153" s="153" t="n">
        <x:v>576</x:v>
      </x:c>
      <x:c r="C153" s="153" t="n">
        <x:v>576</x:v>
      </x:c>
      <x:c r="D153" s="153" t="n">
        <x:v>572.5</x:v>
      </x:c>
      <x:c r="E153" s="153" t="n">
        <x:v>573.99</x:v>
      </x:c>
      <x:c r="F153" s="154" t="n">
        <x:f>IFERROR(E153/E152-1,"")</x:f>
        <x:v>-0.0015655168814903142</x:v>
      </x:c>
      <x:c r="G153" s="154" t="n">
        <x:f>IFERROR((C153-D153)/E152,"")</x:f>
        <x:v>0.006088121205795892</x:v>
      </x:c>
      <x:c r="H153" s="153" t="n">
        <x:v>573.78</x:v>
      </x:c>
      <x:c r="I153" s="158" t="n">
        <x:v>8474.6</x:v>
      </x:c>
      <x:c r="J153" s="158" t="n">
        <x:v>4862636625.6</x:v>
      </x:c>
      <x:c r="K153" s="158"/>
      <x:c r="L153" s="153" t="n">
        <x:v>7634</x:v>
      </x:c>
      <x:c r="M153" s="153" t="n">
        <x:v>7650</x:v>
      </x:c>
      <x:c r="N153" s="153" t="n">
        <x:v>7558</x:v>
      </x:c>
      <x:c r="O153" s="153" t="n">
        <x:v>7596</x:v>
      </x:c>
      <x:c r="P153" s="154" t="n">
        <x:f>IFERROR(O153/O152-1,"")</x:f>
        <x:v>-0.003280409395092554</x:v>
      </x:c>
      <x:c r="Q153" s="154" t="n">
        <x:f>IFERROR((M153-N153)/O152,"")</x:f>
        <x:v>0.012071906573940428</x:v>
      </x:c>
      <x:c r="R153" s="153" t="n">
        <x:v>7598</x:v>
      </x:c>
      <x:c r="S153" s="158" t="n">
        <x:v>328922</x:v>
      </x:c>
      <x:c r="T153" s="158" t="n">
        <x:v>2499204562</x:v>
      </x:c>
      <x:c r="U153" s="158" t="n">
        <x:v>4324428</x:v>
      </x:c>
      <x:c r="V153" s="153" t="n">
        <x:f>IFERROR(E153*1000/O153,"")</x:f>
        <x:v>75.56477093206951</x:v>
      </x:c>
      <x:c r="W153" s="153" t="n">
        <x:v>3.82</x:v>
      </x:c>
      <x:c r="X153" s="155" t="n">
        <x:v>45530</x:v>
      </x:c>
      <x:c r="Y153" s="153" t="n">
        <x:v>1.67</x:v>
      </x:c>
      <x:c r="Z153" s="155" t="n">
        <x:v>45530</x:v>
      </x:c>
      <x:c r="AA153" s="153" t="n">
        <x:f>IFERROR(Y153-Y152,"")</x:f>
        <x:v>-0.010000000000000009</x:v>
      </x:c>
      <x:c r="AB153" s="153" t="n">
        <x:v>2.15</x:v>
      </x:c>
      <x:c r="AC153" s="153" t="n">
        <x:v>121.6943</x:v>
      </x:c>
      <x:c r="AD153" s="155" t="n">
        <x:v>45530</x:v>
      </x:c>
      <x:c r="AE153" s="154" t="n">
        <x:f>IFERROR(AC153/AC152-1,"")</x:f>
        <x:v>0.0019315048530499368</x:v>
      </x:c>
      <x:c r="AF153" s="153" t="n">
        <x:v>16.15</x:v>
      </x:c>
      <x:c r="AG153" s="155" t="n">
        <x:v>45530</x:v>
      </x:c>
      <x:c r="AH153" s="153" t="n">
        <x:f>IFERROR(AF153-AF152,"")</x:f>
        <x:v>0.28999999999999915</x:v>
      </x:c>
      <x:c r="AI153" s="153" t="n">
        <x:v>5.33</x:v>
      </x:c>
      <x:c r="AJ153" s="155" t="n">
        <x:v>45527</x:v>
      </x:c>
      <x:c r="AK153" s="159" t="n">
        <x:v>193305</x:v>
      </x:c>
      <x:c r="AL153" s="154" t="n">
        <x:v>0.3627640668309353</x:v>
      </x:c>
      <x:c r="AM153" s="159" t="n">
        <x:v>-63995</x:v>
      </x:c>
      <x:c r="AN153" s="155" t="n">
        <x:v>45527</x:v>
      </x:c>
      <x:c r="AO153" s="159" t="n">
        <x:v>29839</x:v>
      </x:c>
      <x:c r="AP153" s="154" t="n">
        <x:v>0.20300572843672188</x:v>
      </x:c>
      <x:c r="AQ153" s="159" t="n">
        <x:v>-34646</x:v>
      </x:c>
      <x:c r="AR153" s="147" t="str">
        <x:v>美国市场指标与CFTC数据均使用严格早于上金所交易日的最后已发布值</x:v>
      </x:c>
    </x:row>
    <x:row r="154">
      <x:c r="A154" s="155" t="n">
        <x:v>45532</x:v>
      </x:c>
      <x:c r="B154" s="153" t="n">
        <x:v>573.5</x:v>
      </x:c>
      <x:c r="C154" s="153" t="n">
        <x:v>576</x:v>
      </x:c>
      <x:c r="D154" s="153" t="n">
        <x:v>573</x:v>
      </x:c>
      <x:c r="E154" s="153" t="n">
        <x:v>573.33</x:v>
      </x:c>
      <x:c r="F154" s="154" t="n">
        <x:f>IFERROR(E154/E153-1,"")</x:f>
        <x:v>-0.0011498458161290914</x:v>
      </x:c>
      <x:c r="G154" s="154" t="n">
        <x:f>IFERROR((C154-D154)/E153,"")</x:f>
        <x:v>0.005226571891496367</x:v>
      </x:c>
      <x:c r="H154" s="153" t="n">
        <x:v>574.62</x:v>
      </x:c>
      <x:c r="I154" s="158" t="n">
        <x:v>7819.96</x:v>
      </x:c>
      <x:c r="J154" s="158" t="n">
        <x:v>4493528957.4</x:v>
      </x:c>
      <x:c r="K154" s="158"/>
      <x:c r="L154" s="153" t="n">
        <x:v>7609</x:v>
      </x:c>
      <x:c r="M154" s="153" t="n">
        <x:v>7628</x:v>
      </x:c>
      <x:c r="N154" s="153" t="n">
        <x:v>7460</x:v>
      </x:c>
      <x:c r="O154" s="153" t="n">
        <x:v>7494</x:v>
      </x:c>
      <x:c r="P154" s="154" t="n">
        <x:f>IFERROR(O154/O153-1,"")</x:f>
        <x:v>-0.013428120063191162</x:v>
      </x:c>
      <x:c r="Q154" s="154" t="n">
        <x:f>IFERROR((M154-N154)/O153,"")</x:f>
        <x:v>0.022116903633491312</x:v>
      </x:c>
      <x:c r="R154" s="153" t="n">
        <x:v>7539</x:v>
      </x:c>
      <x:c r="S154" s="158" t="n">
        <x:v>377690</x:v>
      </x:c>
      <x:c r="T154" s="158" t="n">
        <x:v>2847536620</x:v>
      </x:c>
      <x:c r="U154" s="158" t="n">
        <x:v>4286578</x:v>
      </x:c>
      <x:c r="V154" s="153" t="n">
        <x:f>IFERROR(E154*1000/O154,"")</x:f>
        <x:v>76.50520416333066</x:v>
      </x:c>
      <x:c r="W154" s="153" t="n">
        <x:v>3.83</x:v>
      </x:c>
      <x:c r="X154" s="155" t="n">
        <x:v>45531</x:v>
      </x:c>
      <x:c r="Y154" s="153" t="n">
        <x:v>1.68</x:v>
      </x:c>
      <x:c r="Z154" s="155" t="n">
        <x:v>45531</x:v>
      </x:c>
      <x:c r="AA154" s="153" t="n">
        <x:f>IFERROR(Y154-Y153,"")</x:f>
        <x:v>0.010000000000000009</x:v>
      </x:c>
      <x:c r="AB154" s="153" t="n">
        <x:v>2.15</x:v>
      </x:c>
      <x:c r="AC154" s="153" t="n">
        <x:v>121.8672</x:v>
      </x:c>
      <x:c r="AD154" s="155" t="n">
        <x:v>45531</x:v>
      </x:c>
      <x:c r="AE154" s="154" t="n">
        <x:f>IFERROR(AC154/AC153-1,"")</x:f>
        <x:v>0.0014207731997308848</x:v>
      </x:c>
      <x:c r="AF154" s="153" t="n">
        <x:v>15.43</x:v>
      </x:c>
      <x:c r="AG154" s="155" t="n">
        <x:v>45531</x:v>
      </x:c>
      <x:c r="AH154" s="153" t="n">
        <x:f>IFERROR(AF154-AF153,"")</x:f>
        <x:v>-0.7199999999999989</x:v>
      </x:c>
      <x:c r="AI154" s="153" t="n">
        <x:v>5.33</x:v>
      </x:c>
      <x:c r="AJ154" s="155" t="n">
        <x:v>45527</x:v>
      </x:c>
      <x:c r="AK154" s="159" t="n">
        <x:v>193305</x:v>
      </x:c>
      <x:c r="AL154" s="154" t="n">
        <x:v>0.3627640668309353</x:v>
      </x:c>
      <x:c r="AM154" s="159" t="n">
        <x:v>-63995</x:v>
      </x:c>
      <x:c r="AN154" s="155" t="n">
        <x:v>45527</x:v>
      </x:c>
      <x:c r="AO154" s="159" t="n">
        <x:v>29839</x:v>
      </x:c>
      <x:c r="AP154" s="154" t="n">
        <x:v>0.20300572843672188</x:v>
      </x:c>
      <x:c r="AQ154" s="159" t="n">
        <x:v>-34646</x:v>
      </x:c>
      <x:c r="AR154" s="147" t="str">
        <x:v>美国市场指标与CFTC数据均使用严格早于上金所交易日的最后已发布值</x:v>
      </x:c>
    </x:row>
    <x:row r="155">
      <x:c r="A155" s="155" t="n">
        <x:v>45533</x:v>
      </x:c>
      <x:c r="B155" s="153" t="n">
        <x:v>572.5</x:v>
      </x:c>
      <x:c r="C155" s="153" t="n">
        <x:v>575.7</x:v>
      </x:c>
      <x:c r="D155" s="153" t="n">
        <x:v>571.5</x:v>
      </x:c>
      <x:c r="E155" s="153" t="n">
        <x:v>574.9</x:v>
      </x:c>
      <x:c r="F155" s="154" t="n">
        <x:f>IFERROR(E155/E154-1,"")</x:f>
        <x:v>0.002738388013883597</x:v>
      </x:c>
      <x:c r="G155" s="154" t="n">
        <x:f>IFERROR((C155-D155)/E154,"")</x:f>
        <x:v>0.007325623986186045</x:v>
      </x:c>
      <x:c r="H155" s="153" t="n">
        <x:v>575.05</x:v>
      </x:c>
      <x:c r="I155" s="158" t="n">
        <x:v>6528.58</x:v>
      </x:c>
      <x:c r="J155" s="158" t="n">
        <x:v>3754272034.8</x:v>
      </x:c>
      <x:c r="K155" s="158"/>
      <x:c r="L155" s="153" t="n">
        <x:v>7468</x:v>
      </x:c>
      <x:c r="M155" s="153" t="n">
        <x:v>7517</x:v>
      </x:c>
      <x:c r="N155" s="153" t="n">
        <x:v>7398</x:v>
      </x:c>
      <x:c r="O155" s="153" t="n">
        <x:v>7491</x:v>
      </x:c>
      <x:c r="P155" s="154" t="n">
        <x:f>IFERROR(O155/O154-1,"")</x:f>
        <x:v>-0.0004003202562049557</x:v>
      </x:c>
      <x:c r="Q155" s="154" t="n">
        <x:f>IFERROR((M155-N155)/O154,"")</x:f>
        <x:v>0.015879370162796905</x:v>
      </x:c>
      <x:c r="R155" s="153" t="n">
        <x:v>7476</x:v>
      </x:c>
      <x:c r="S155" s="158" t="n">
        <x:v>508636</x:v>
      </x:c>
      <x:c r="T155" s="158" t="n">
        <x:v>3802756510</x:v>
      </x:c>
      <x:c r="U155" s="158" t="n">
        <x:v>4252062</x:v>
      </x:c>
      <x:c r="V155" s="153" t="n">
        <x:f>IFERROR(E155*1000/O155,"")</x:f>
        <x:v>76.74542784674944</x:v>
      </x:c>
      <x:c r="W155" s="153" t="n">
        <x:v>3.84</x:v>
      </x:c>
      <x:c r="X155" s="155" t="n">
        <x:v>45532</x:v>
      </x:c>
      <x:c r="Y155" s="153" t="n">
        <x:v>1.69</x:v>
      </x:c>
      <x:c r="Z155" s="155" t="n">
        <x:v>45532</x:v>
      </x:c>
      <x:c r="AA155" s="153" t="n">
        <x:f>IFERROR(Y155-Y154,"")</x:f>
        <x:v>0.010000000000000009</x:v>
      </x:c>
      <x:c r="AB155" s="153" t="n">
        <x:v>2.15</x:v>
      </x:c>
      <x:c r="AC155" s="153" t="n">
        <x:v>121.8943</x:v>
      </x:c>
      <x:c r="AD155" s="155" t="n">
        <x:v>45532</x:v>
      </x:c>
      <x:c r="AE155" s="154" t="n">
        <x:f>IFERROR(AC155/AC154-1,"")</x:f>
        <x:v>0.00022237320624429735</x:v>
      </x:c>
      <x:c r="AF155" s="153" t="n">
        <x:v>17.11</x:v>
      </x:c>
      <x:c r="AG155" s="155" t="n">
        <x:v>45532</x:v>
      </x:c>
      <x:c r="AH155" s="153" t="n">
        <x:f>IFERROR(AF155-AF154,"")</x:f>
        <x:v>1.6799999999999997</x:v>
      </x:c>
      <x:c r="AI155" s="153" t="n">
        <x:v>5.33</x:v>
      </x:c>
      <x:c r="AJ155" s="155" t="n">
        <x:v>45527</x:v>
      </x:c>
      <x:c r="AK155" s="159" t="n">
        <x:v>193305</x:v>
      </x:c>
      <x:c r="AL155" s="154" t="n">
        <x:v>0.3627640668309353</x:v>
      </x:c>
      <x:c r="AM155" s="159" t="n">
        <x:v>-63995</x:v>
      </x:c>
      <x:c r="AN155" s="155" t="n">
        <x:v>45527</x:v>
      </x:c>
      <x:c r="AO155" s="159" t="n">
        <x:v>29839</x:v>
      </x:c>
      <x:c r="AP155" s="154" t="n">
        <x:v>0.20300572843672188</x:v>
      </x:c>
      <x:c r="AQ155" s="159" t="n">
        <x:v>-34646</x:v>
      </x:c>
      <x:c r="AR155" s="147" t="str">
        <x:v>美国市场指标与CFTC数据均使用严格早于上金所交易日的最后已发布值</x:v>
      </x:c>
    </x:row>
    <x:row r="156">
      <x:c r="A156" s="155" t="n">
        <x:v>45534</x:v>
      </x:c>
      <x:c r="B156" s="153" t="n">
        <x:v>574</x:v>
      </x:c>
      <x:c r="C156" s="153" t="n">
        <x:v>575.97</x:v>
      </x:c>
      <x:c r="D156" s="153" t="n">
        <x:v>571.8</x:v>
      </x:c>
      <x:c r="E156" s="153" t="n">
        <x:v>573.44</x:v>
      </x:c>
      <x:c r="F156" s="154" t="n">
        <x:f>IFERROR(E156/E155-1,"")</x:f>
        <x:v>-0.002539572099495402</x:v>
      </x:c>
      <x:c r="G156" s="154" t="n">
        <x:f>IFERROR((C156-D156)/E155,"")</x:f>
        <x:v>0.007253435380066225</x:v>
      </x:c>
      <x:c r="H156" s="153" t="n">
        <x:v>573.23</x:v>
      </x:c>
      <x:c r="I156" s="158" t="n">
        <x:v>7022.1</x:v>
      </x:c>
      <x:c r="J156" s="158" t="n">
        <x:v>4025279738</x:v>
      </x:c>
      <x:c r="K156" s="158"/>
      <x:c r="L156" s="153" t="n">
        <x:v>7474</x:v>
      </x:c>
      <x:c r="M156" s="153" t="n">
        <x:v>7507</x:v>
      </x:c>
      <x:c r="N156" s="153" t="n">
        <x:v>7411</x:v>
      </x:c>
      <x:c r="O156" s="153" t="n">
        <x:v>7453</x:v>
      </x:c>
      <x:c r="P156" s="154" t="n">
        <x:f>IFERROR(O156/O155-1,"")</x:f>
        <x:v>-0.005072753971432364</x:v>
      </x:c>
      <x:c r="Q156" s="154" t="n">
        <x:f>IFERROR((M156-N156)/O155,"")</x:f>
        <x:v>0.012815378454144974</x:v>
      </x:c>
      <x:c r="R156" s="153" t="n">
        <x:v>7457</x:v>
      </x:c>
      <x:c r="S156" s="158" t="n">
        <x:v>444084</x:v>
      </x:c>
      <x:c r="T156" s="158" t="n">
        <x:v>3311966150</x:v>
      </x:c>
      <x:c r="U156" s="158" t="n">
        <x:v>4219492</x:v>
      </x:c>
      <x:c r="V156" s="153" t="n">
        <x:f>IFERROR(E156*1000/O156,"")</x:f>
        <x:v>76.94082919629679</x:v>
      </x:c>
      <x:c r="W156" s="153" t="n">
        <x:v>3.87</x:v>
      </x:c>
      <x:c r="X156" s="155" t="n">
        <x:v>45533</x:v>
      </x:c>
      <x:c r="Y156" s="153" t="n">
        <x:v>1.71</x:v>
      </x:c>
      <x:c r="Z156" s="155" t="n">
        <x:v>45533</x:v>
      </x:c>
      <x:c r="AA156" s="153" t="n">
        <x:f>IFERROR(Y156-Y155,"")</x:f>
        <x:v>0.020000000000000018</x:v>
      </x:c>
      <x:c r="AB156" s="153" t="n">
        <x:v>2.16</x:v>
      </x:c>
      <x:c r="AC156" s="153" t="n">
        <x:v>122.2333</x:v>
      </x:c>
      <x:c r="AD156" s="155" t="n">
        <x:v>45533</x:v>
      </x:c>
      <x:c r="AE156" s="154" t="n">
        <x:f>IFERROR(AC156/AC155-1,"")</x:f>
        <x:v>0.002781098049703612</x:v>
      </x:c>
      <x:c r="AF156" s="153" t="n">
        <x:v>15.65</x:v>
      </x:c>
      <x:c r="AG156" s="155" t="n">
        <x:v>45533</x:v>
      </x:c>
      <x:c r="AH156" s="153" t="n">
        <x:f>IFERROR(AF156-AF155,"")</x:f>
        <x:v>-1.459999999999999</x:v>
      </x:c>
      <x:c r="AI156" s="153" t="n">
        <x:v>5.33</x:v>
      </x:c>
      <x:c r="AJ156" s="155" t="n">
        <x:v>45527</x:v>
      </x:c>
      <x:c r="AK156" s="159" t="n">
        <x:v>193305</x:v>
      </x:c>
      <x:c r="AL156" s="154" t="n">
        <x:v>0.3627640668309353</x:v>
      </x:c>
      <x:c r="AM156" s="159" t="n">
        <x:v>-63995</x:v>
      </x:c>
      <x:c r="AN156" s="155" t="n">
        <x:v>45527</x:v>
      </x:c>
      <x:c r="AO156" s="159" t="n">
        <x:v>29839</x:v>
      </x:c>
      <x:c r="AP156" s="154" t="n">
        <x:v>0.20300572843672188</x:v>
      </x:c>
      <x:c r="AQ156" s="159" t="n">
        <x:v>-34646</x:v>
      </x:c>
      <x:c r="AR156" s="147" t="str">
        <x:v>美国市场指标与CFTC数据均使用严格早于上金所交易日的最后已发布值</x:v>
      </x:c>
    </x:row>
    <x:row r="157">
      <x:c r="A157" s="155" t="n">
        <x:v>45537</x:v>
      </x:c>
      <x:c r="B157" s="153" t="n">
        <x:v>573</x:v>
      </x:c>
      <x:c r="C157" s="153" t="n">
        <x:v>573.99</x:v>
      </x:c>
      <x:c r="D157" s="153" t="n">
        <x:v>568.6</x:v>
      </x:c>
      <x:c r="E157" s="153" t="n">
        <x:v>570.7</x:v>
      </x:c>
      <x:c r="F157" s="154" t="n">
        <x:f>IFERROR(E157/E156-1,"")</x:f>
        <x:v>-0.004778180803571397</x:v>
      </x:c>
      <x:c r="G157" s="154" t="n">
        <x:f>IFERROR((C157-D157)/E156,"")</x:f>
        <x:v>0.009399414062499976</x:v>
      </x:c>
      <x:c r="H157" s="153" t="n">
        <x:v>570.07</x:v>
      </x:c>
      <x:c r="I157" s="158" t="n">
        <x:v>8958.52</x:v>
      </x:c>
      <x:c r="J157" s="158" t="n">
        <x:v>5107043518.8</x:v>
      </x:c>
      <x:c r="K157" s="158"/>
      <x:c r="L157" s="153" t="n">
        <x:v>7450</x:v>
      </x:c>
      <x:c r="M157" s="153" t="n">
        <x:v>7478</x:v>
      </x:c>
      <x:c r="N157" s="153" t="n">
        <x:v>7173</x:v>
      </x:c>
      <x:c r="O157" s="153" t="n">
        <x:v>7192</x:v>
      </x:c>
      <x:c r="P157" s="154" t="n">
        <x:f>IFERROR(O157/O156-1,"")</x:f>
        <x:v>-0.035019455252918275</x:v>
      </x:c>
      <x:c r="Q157" s="154" t="n">
        <x:f>IFERROR((M157-N157)/O156,"")</x:f>
        <x:v>0.040923118207433246</x:v>
      </x:c>
      <x:c r="R157" s="153" t="n">
        <x:v>7255</x:v>
      </x:c>
      <x:c r="S157" s="158" t="n">
        <x:v>654430</x:v>
      </x:c>
      <x:c r="T157" s="158" t="n">
        <x:v>4747997922</x:v>
      </x:c>
      <x:c r="U157" s="158" t="n">
        <x:v>4364050</x:v>
      </x:c>
      <x:c r="V157" s="153" t="n">
        <x:f>IFERROR(E157*1000/O157,"")</x:f>
        <x:v>79.35205784204672</x:v>
      </x:c>
      <x:c r="W157" s="153" t="n">
        <x:v>3.91</x:v>
      </x:c>
      <x:c r="X157" s="155" t="n">
        <x:v>45534</x:v>
      </x:c>
      <x:c r="Y157" s="153" t="n">
        <x:v>1.76</x:v>
      </x:c>
      <x:c r="Z157" s="155" t="n">
        <x:v>45534</x:v>
      </x:c>
      <x:c r="AA157" s="153" t="n">
        <x:f>IFERROR(Y157-Y156,"")</x:f>
        <x:v>0.050000000000000044</x:v>
      </x:c>
      <x:c r="AB157" s="153" t="n">
        <x:v>2.15</x:v>
      </x:c>
      <x:c r="AC157" s="153" t="n">
        <x:v>122.3262</x:v>
      </x:c>
      <x:c r="AD157" s="155" t="n">
        <x:v>45534</x:v>
      </x:c>
      <x:c r="AE157" s="154" t="n">
        <x:f>IFERROR(AC157/AC156-1,"")</x:f>
        <x:v>0.0007600220234584842</x:v>
      </x:c>
      <x:c r="AF157" s="153" t="n">
        <x:v>15</x:v>
      </x:c>
      <x:c r="AG157" s="155" t="n">
        <x:v>45534</x:v>
      </x:c>
      <x:c r="AH157" s="153" t="n">
        <x:f>IFERROR(AF157-AF156,"")</x:f>
        <x:v>-0.6500000000000004</x:v>
      </x:c>
      <x:c r="AI157" s="153" t="n">
        <x:v>5.33</x:v>
      </x:c>
      <x:c r="AJ157" s="155" t="n">
        <x:v>45534</x:v>
      </x:c>
      <x:c r="AK157" s="159" t="n">
        <x:v>200291</x:v>
      </x:c>
      <x:c r="AL157" s="154" t="n">
        <x:v>0.3838764640379946</x:v>
      </x:c>
      <x:c r="AM157" s="159" t="n">
        <x:v>-68384</x:v>
      </x:c>
      <x:c r="AN157" s="155" t="n">
        <x:v>45534</x:v>
      </x:c>
      <x:c r="AO157" s="159" t="n">
        <x:v>33187</x:v>
      </x:c>
      <x:c r="AP157" s="154" t="n">
        <x:v>0.23434995374718423</x:v>
      </x:c>
      <x:c r="AQ157" s="159" t="n">
        <x:v>-35152</x:v>
      </x:c>
      <x:c r="AR157" s="147" t="str">
        <x:v>美国市场指标与CFTC数据均使用严格早于上金所交易日的最后已发布值</x:v>
      </x:c>
    </x:row>
    <x:row r="158">
      <x:c r="A158" s="155" t="n">
        <x:v>45538</x:v>
      </x:c>
      <x:c r="B158" s="153" t="n">
        <x:v>571</x:v>
      </x:c>
      <x:c r="C158" s="153" t="n">
        <x:v>572</x:v>
      </x:c>
      <x:c r="D158" s="153" t="n">
        <x:v>569.5</x:v>
      </x:c>
      <x:c r="E158" s="153" t="n">
        <x:v>571.48</x:v>
      </x:c>
      <x:c r="F158" s="154" t="n">
        <x:f>IFERROR(E158/E157-1,"")</x:f>
        <x:v>0.0013667425968109104</x:v>
      </x:c>
      <x:c r="G158" s="154" t="n">
        <x:f>IFERROR((C158-D158)/E157,"")</x:f>
        <x:v>0.004380585246188891</x:v>
      </x:c>
      <x:c r="H158" s="153" t="n">
        <x:v>570.79</x:v>
      </x:c>
      <x:c r="I158" s="158" t="n">
        <x:v>8237.46</x:v>
      </x:c>
      <x:c r="J158" s="158" t="n">
        <x:v>4701879322.4</x:v>
      </x:c>
      <x:c r="K158" s="158"/>
      <x:c r="L158" s="153" t="n">
        <x:v>7211</x:v>
      </x:c>
      <x:c r="M158" s="153" t="n">
        <x:v>7248</x:v>
      </x:c>
      <x:c r="N158" s="153" t="n">
        <x:v>7143</x:v>
      </x:c>
      <x:c r="O158" s="153" t="n">
        <x:v>7196</x:v>
      </x:c>
      <x:c r="P158" s="154" t="n">
        <x:f>IFERROR(O158/O157-1,"")</x:f>
        <x:v>0.0005561735261401246</x:v>
      </x:c>
      <x:c r="Q158" s="154" t="n">
        <x:f>IFERROR((M158-N158)/O157,"")</x:f>
        <x:v>0.014599555061179088</x:v>
      </x:c>
      <x:c r="R158" s="153" t="n">
        <x:v>7198</x:v>
      </x:c>
      <x:c r="S158" s="158" t="n">
        <x:v>461550</x:v>
      </x:c>
      <x:c r="T158" s="158" t="n">
        <x:v>3322245568</x:v>
      </x:c>
      <x:c r="U158" s="158" t="n">
        <x:v>4254422</x:v>
      </x:c>
      <x:c r="V158" s="153" t="n">
        <x:f>IFERROR(E158*1000/O158,"")</x:f>
        <x:v>79.41634241245136</x:v>
      </x:c>
      <x:c r="W158" s="153" t="n">
        <x:v>3.91</x:v>
      </x:c>
      <x:c r="X158" s="155" t="n">
        <x:v>45534</x:v>
      </x:c>
      <x:c r="Y158" s="153" t="n">
        <x:v>1.76</x:v>
      </x:c>
      <x:c r="Z158" s="155" t="n">
        <x:v>45534</x:v>
      </x:c>
      <x:c r="AA158" s="153" t="n">
        <x:f>IFERROR(Y158-Y157,"")</x:f>
        <x:v>0</x:v>
      </x:c>
      <x:c r="AB158" s="153" t="n">
        <x:v>2.15</x:v>
      </x:c>
      <x:c r="AC158" s="153" t="n">
        <x:v>122.3262</x:v>
      </x:c>
      <x:c r="AD158" s="155" t="n">
        <x:v>45534</x:v>
      </x:c>
      <x:c r="AE158" s="154" t="n">
        <x:f>IFERROR(AC158/AC157-1,"")</x:f>
        <x:v>0</x:v>
      </x:c>
      <x:c r="AF158" s="153" t="n">
        <x:v>15.55</x:v>
      </x:c>
      <x:c r="AG158" s="155" t="n">
        <x:v>45537</x:v>
      </x:c>
      <x:c r="AH158" s="153" t="n">
        <x:f>IFERROR(AF158-AF157,"")</x:f>
        <x:v>0.5500000000000007</x:v>
      </x:c>
      <x:c r="AI158" s="153" t="n">
        <x:v>5.33</x:v>
      </x:c>
      <x:c r="AJ158" s="155" t="n">
        <x:v>45534</x:v>
      </x:c>
      <x:c r="AK158" s="159" t="n">
        <x:v>200291</x:v>
      </x:c>
      <x:c r="AL158" s="154" t="n">
        <x:v>0.3838764640379946</x:v>
      </x:c>
      <x:c r="AM158" s="159" t="n">
        <x:v>-68384</x:v>
      </x:c>
      <x:c r="AN158" s="155" t="n">
        <x:v>45534</x:v>
      </x:c>
      <x:c r="AO158" s="159" t="n">
        <x:v>33187</x:v>
      </x:c>
      <x:c r="AP158" s="154" t="n">
        <x:v>0.23434995374718423</x:v>
      </x:c>
      <x:c r="AQ158" s="159" t="n">
        <x:v>-35152</x:v>
      </x:c>
      <x:c r="AR158" s="147" t="str">
        <x:v>美国市场指标与CFTC数据均使用严格早于上金所交易日的最后已发布值</x:v>
      </x:c>
    </x:row>
    <x:row r="159">
      <x:c r="A159" s="155" t="n">
        <x:v>45539</x:v>
      </x:c>
      <x:c r="B159" s="153" t="n">
        <x:v>569.65</x:v>
      </x:c>
      <x:c r="C159" s="153" t="n">
        <x:v>570.5</x:v>
      </x:c>
      <x:c r="D159" s="153" t="n">
        <x:v>566.6</x:v>
      </x:c>
      <x:c r="E159" s="153" t="n">
        <x:v>567.53</x:v>
      </x:c>
      <x:c r="F159" s="154" t="n">
        <x:f>IFERROR(E159/E158-1,"")</x:f>
        <x:v>-0.006911877930986243</x:v>
      </x:c>
      <x:c r="G159" s="154" t="n">
        <x:f>IFERROR((C159-D159)/E158,"")</x:f>
        <x:v>0.006824385805277485</x:v>
      </x:c>
      <x:c r="H159" s="153" t="n">
        <x:v>569.23</x:v>
      </x:c>
      <x:c r="I159" s="158" t="n">
        <x:v>9709.54</x:v>
      </x:c>
      <x:c r="J159" s="158" t="n">
        <x:v>5526995205.8</x:v>
      </x:c>
      <x:c r="K159" s="158"/>
      <x:c r="L159" s="153" t="n">
        <x:v>7155</x:v>
      </x:c>
      <x:c r="M159" s="153" t="n">
        <x:v>7195</x:v>
      </x:c>
      <x:c r="N159" s="153" t="n">
        <x:v>7025</x:v>
      </x:c>
      <x:c r="O159" s="153" t="n">
        <x:v>7026</x:v>
      </x:c>
      <x:c r="P159" s="154" t="n">
        <x:f>IFERROR(O159/O158-1,"")</x:f>
        <x:v>-0.023624235686492523</x:v>
      </x:c>
      <x:c r="Q159" s="154" t="n">
        <x:f>IFERROR((M159-N159)/O158,"")</x:f>
        <x:v>0.023624235686492495</x:v>
      </x:c>
      <x:c r="R159" s="153" t="n">
        <x:v>7075</x:v>
      </x:c>
      <x:c r="S159" s="158" t="n">
        <x:v>422268</x:v>
      </x:c>
      <x:c r="T159" s="158" t="n">
        <x:v>2987658472</x:v>
      </x:c>
      <x:c r="U159" s="158" t="n">
        <x:v>4235056</x:v>
      </x:c>
      <x:c r="V159" s="153" t="n">
        <x:f>IFERROR(E159*1000/O159,"")</x:f>
        <x:v>80.7756902931967</x:v>
      </x:c>
      <x:c r="W159" s="153" t="n">
        <x:v>3.84</x:v>
      </x:c>
      <x:c r="X159" s="155" t="n">
        <x:v>45538</x:v>
      </x:c>
      <x:c r="Y159" s="153" t="n">
        <x:v>1.73</x:v>
      </x:c>
      <x:c r="Z159" s="155" t="n">
        <x:v>45538</x:v>
      </x:c>
      <x:c r="AA159" s="153" t="n">
        <x:f>IFERROR(Y159-Y158,"")</x:f>
        <x:v>-0.030000000000000027</x:v>
      </x:c>
      <x:c r="AB159" s="153" t="n">
        <x:v>2.11</x:v>
      </x:c>
      <x:c r="AC159" s="153" t="n">
        <x:v>122.7811</x:v>
      </x:c>
      <x:c r="AD159" s="155" t="n">
        <x:v>45538</x:v>
      </x:c>
      <x:c r="AE159" s="154" t="n">
        <x:f>IFERROR(AC159/AC158-1,"")</x:f>
        <x:v>0.0037187454527320973</x:v>
      </x:c>
      <x:c r="AF159" s="153" t="n">
        <x:v>20.72</x:v>
      </x:c>
      <x:c r="AG159" s="155" t="n">
        <x:v>45538</x:v>
      </x:c>
      <x:c r="AH159" s="153" t="n">
        <x:f>IFERROR(AF159-AF158,"")</x:f>
        <x:v>5.169999999999998</x:v>
      </x:c>
      <x:c r="AI159" s="153" t="n">
        <x:v>5.33</x:v>
      </x:c>
      <x:c r="AJ159" s="155" t="n">
        <x:v>45534</x:v>
      </x:c>
      <x:c r="AK159" s="159" t="n">
        <x:v>200291</x:v>
      </x:c>
      <x:c r="AL159" s="154" t="n">
        <x:v>0.3838764640379946</x:v>
      </x:c>
      <x:c r="AM159" s="159" t="n">
        <x:v>-68384</x:v>
      </x:c>
      <x:c r="AN159" s="155" t="n">
        <x:v>45534</x:v>
      </x:c>
      <x:c r="AO159" s="159" t="n">
        <x:v>33187</x:v>
      </x:c>
      <x:c r="AP159" s="154" t="n">
        <x:v>0.23434995374718423</x:v>
      </x:c>
      <x:c r="AQ159" s="159" t="n">
        <x:v>-35152</x:v>
      </x:c>
      <x:c r="AR159" s="147" t="str">
        <x:v>美国市场指标与CFTC数据均使用严格早于上金所交易日的最后已发布值</x:v>
      </x:c>
    </x:row>
    <x:row r="160">
      <x:c r="A160" s="155" t="n">
        <x:v>45540</x:v>
      </x:c>
      <x:c r="B160" s="153" t="n">
        <x:v>569.8</x:v>
      </x:c>
      <x:c r="C160" s="153" t="n">
        <x:v>571.8</x:v>
      </x:c>
      <x:c r="D160" s="153" t="n">
        <x:v>568.61</x:v>
      </x:c>
      <x:c r="E160" s="153" t="n">
        <x:v>571.79</x:v>
      </x:c>
      <x:c r="F160" s="154" t="n">
        <x:f>IFERROR(E160/E159-1,"")</x:f>
        <x:v>0.007506211125402951</x:v>
      </x:c>
      <x:c r="G160" s="154" t="n">
        <x:f>IFERROR((C160-D160)/E159,"")</x:f>
        <x:v>0.005620848237097495</x:v>
      </x:c>
      <x:c r="H160" s="153" t="n">
        <x:v>569.89</x:v>
      </x:c>
      <x:c r="I160" s="158" t="n">
        <x:v>8919.44</x:v>
      </x:c>
      <x:c r="J160" s="158" t="n">
        <x:v>5083131577.2</x:v>
      </x:c>
      <x:c r="K160" s="158"/>
      <x:c r="L160" s="153" t="n">
        <x:v>7060</x:v>
      </x:c>
      <x:c r="M160" s="153" t="n">
        <x:v>7135</x:v>
      </x:c>
      <x:c r="N160" s="153" t="n">
        <x:v>7043</x:v>
      </x:c>
      <x:c r="O160" s="153" t="n">
        <x:v>7063</x:v>
      </x:c>
      <x:c r="P160" s="154" t="n">
        <x:f>IFERROR(O160/O159-1,"")</x:f>
        <x:v>0.005266154284087721</x:v>
      </x:c>
      <x:c r="Q160" s="154" t="n">
        <x:f>IFERROR((M160-N160)/O159,"")</x:f>
        <x:v>0.01309422146313692</x:v>
      </x:c>
      <x:c r="R160" s="153" t="n">
        <x:v>7082</x:v>
      </x:c>
      <x:c r="S160" s="158" t="n">
        <x:v>339428</x:v>
      </x:c>
      <x:c r="T160" s="158" t="n">
        <x:v>2404133344</x:v>
      </x:c>
      <x:c r="U160" s="158" t="n">
        <x:v>4234698</x:v>
      </x:c>
      <x:c r="V160" s="153" t="n">
        <x:f>IFERROR(E160*1000/O160,"")</x:f>
        <x:v>80.95568455330596</x:v>
      </x:c>
      <x:c r="W160" s="153" t="n">
        <x:v>3.77</x:v>
      </x:c>
      <x:c r="X160" s="155" t="n">
        <x:v>45539</x:v>
      </x:c>
      <x:c r="Y160" s="153" t="n">
        <x:v>1.7</x:v>
      </x:c>
      <x:c r="Z160" s="155" t="n">
        <x:v>45539</x:v>
      </x:c>
      <x:c r="AA160" s="153" t="n">
        <x:f>IFERROR(Y160-Y159,"")</x:f>
        <x:v>-0.030000000000000027</x:v>
      </x:c>
      <x:c r="AB160" s="153" t="n">
        <x:v>2.07</x:v>
      </x:c>
      <x:c r="AC160" s="153" t="n">
        <x:v>122.5144</x:v>
      </x:c>
      <x:c r="AD160" s="155" t="n">
        <x:v>45539</x:v>
      </x:c>
      <x:c r="AE160" s="154" t="n">
        <x:f>IFERROR(AC160/AC159-1,"")</x:f>
        <x:v>-0.0021721584185188103</x:v>
      </x:c>
      <x:c r="AF160" s="153" t="n">
        <x:v>21.32</x:v>
      </x:c>
      <x:c r="AG160" s="155" t="n">
        <x:v>45539</x:v>
      </x:c>
      <x:c r="AH160" s="153" t="n">
        <x:f>IFERROR(AF160-AF159,"")</x:f>
        <x:v>0.6000000000000014</x:v>
      </x:c>
      <x:c r="AI160" s="153" t="n">
        <x:v>5.33</x:v>
      </x:c>
      <x:c r="AJ160" s="155" t="n">
        <x:v>45534</x:v>
      </x:c>
      <x:c r="AK160" s="159" t="n">
        <x:v>200291</x:v>
      </x:c>
      <x:c r="AL160" s="154" t="n">
        <x:v>0.3838764640379946</x:v>
      </x:c>
      <x:c r="AM160" s="159" t="n">
        <x:v>-68384</x:v>
      </x:c>
      <x:c r="AN160" s="155" t="n">
        <x:v>45534</x:v>
      </x:c>
      <x:c r="AO160" s="159" t="n">
        <x:v>33187</x:v>
      </x:c>
      <x:c r="AP160" s="154" t="n">
        <x:v>0.23434995374718423</x:v>
      </x:c>
      <x:c r="AQ160" s="159" t="n">
        <x:v>-35152</x:v>
      </x:c>
      <x:c r="AR160" s="147" t="str">
        <x:v>美国市场指标与CFTC数据均使用严格早于上金所交易日的最后已发布值</x:v>
      </x:c>
    </x:row>
    <x:row r="161">
      <x:c r="A161" s="155" t="n">
        <x:v>45541</x:v>
      </x:c>
      <x:c r="B161" s="153" t="n">
        <x:v>572.5</x:v>
      </x:c>
      <x:c r="C161" s="153" t="n">
        <x:v>573.2</x:v>
      </x:c>
      <x:c r="D161" s="153" t="n">
        <x:v>571</x:v>
      </x:c>
      <x:c r="E161" s="153" t="n">
        <x:v>572.84</x:v>
      </x:c>
      <x:c r="F161" s="154" t="n">
        <x:f>IFERROR(E161/E160-1,"")</x:f>
        <x:v>0.0018363385158888246</x:v>
      </x:c>
      <x:c r="G161" s="154" t="n">
        <x:f>IFERROR((C161-D161)/E160,"")</x:f>
        <x:v>0.003847566414243071</x:v>
      </x:c>
      <x:c r="H161" s="153" t="n">
        <x:v>572.47</x:v>
      </x:c>
      <x:c r="I161" s="158" t="n">
        <x:v>11240.96</x:v>
      </x:c>
      <x:c r="J161" s="158" t="n">
        <x:v>6435138641</x:v>
      </x:c>
      <x:c r="K161" s="158"/>
      <x:c r="L161" s="153" t="n">
        <x:v>7126</x:v>
      </x:c>
      <x:c r="M161" s="153" t="n">
        <x:v>7232</x:v>
      </x:c>
      <x:c r="N161" s="153" t="n">
        <x:v>7110</x:v>
      </x:c>
      <x:c r="O161" s="153" t="n">
        <x:v>7185</x:v>
      </x:c>
      <x:c r="P161" s="154" t="n">
        <x:f>IFERROR(O161/O160-1,"")</x:f>
        <x:v>0.017273113407900276</x:v>
      </x:c>
      <x:c r="Q161" s="154" t="n">
        <x:f>IFERROR((M161-N161)/O160,"")</x:f>
        <x:v>0.017273113407900324</x:v>
      </x:c>
      <x:c r="R161" s="153" t="n">
        <x:v>7168</x:v>
      </x:c>
      <x:c r="S161" s="158" t="n">
        <x:v>697084</x:v>
      </x:c>
      <x:c r="T161" s="158" t="n">
        <x:v>4997309184</x:v>
      </x:c>
      <x:c r="U161" s="158" t="n">
        <x:v>4092552</x:v>
      </x:c>
      <x:c r="V161" s="153" t="n">
        <x:f>IFERROR(E161*1000/O161,"")</x:f>
        <x:v>79.72720946416145</x:v>
      </x:c>
      <x:c r="W161" s="153" t="n">
        <x:v>3.73</x:v>
      </x:c>
      <x:c r="X161" s="155" t="n">
        <x:v>45540</x:v>
      </x:c>
      <x:c r="Y161" s="153" t="n">
        <x:v>1.7</x:v>
      </x:c>
      <x:c r="Z161" s="155" t="n">
        <x:v>45540</x:v>
      </x:c>
      <x:c r="AA161" s="153" t="n">
        <x:f>IFERROR(Y161-Y160,"")</x:f>
        <x:v>0</x:v>
      </x:c>
      <x:c r="AB161" s="153" t="n">
        <x:v>2.03</x:v>
      </x:c>
      <x:c r="AC161" s="153" t="n">
        <x:v>122.4533</x:v>
      </x:c>
      <x:c r="AD161" s="155" t="n">
        <x:v>45540</x:v>
      </x:c>
      <x:c r="AE161" s="154" t="n">
        <x:f>IFERROR(AC161/AC160-1,"")</x:f>
        <x:v>-0.0004987168855252744</x:v>
      </x:c>
      <x:c r="AF161" s="153" t="n">
        <x:v>19.9</x:v>
      </x:c>
      <x:c r="AG161" s="155" t="n">
        <x:v>45540</x:v>
      </x:c>
      <x:c r="AH161" s="153" t="n">
        <x:f>IFERROR(AF161-AF160,"")</x:f>
        <x:v>-1.4200000000000017</x:v>
      </x:c>
      <x:c r="AI161" s="153" t="n">
        <x:v>5.33</x:v>
      </x:c>
      <x:c r="AJ161" s="155" t="n">
        <x:v>45534</x:v>
      </x:c>
      <x:c r="AK161" s="159" t="n">
        <x:v>200291</x:v>
      </x:c>
      <x:c r="AL161" s="154" t="n">
        <x:v>0.3838764640379946</x:v>
      </x:c>
      <x:c r="AM161" s="159" t="n">
        <x:v>-68384</x:v>
      </x:c>
      <x:c r="AN161" s="155" t="n">
        <x:v>45534</x:v>
      </x:c>
      <x:c r="AO161" s="159" t="n">
        <x:v>33187</x:v>
      </x:c>
      <x:c r="AP161" s="154" t="n">
        <x:v>0.23434995374718423</x:v>
      </x:c>
      <x:c r="AQ161" s="159" t="n">
        <x:v>-35152</x:v>
      </x:c>
      <x:c r="AR161" s="147" t="str">
        <x:v>美国市场指标与CFTC数据均使用严格早于上金所交易日的最后已发布值</x:v>
      </x:c>
    </x:row>
    <x:row r="162">
      <x:c r="A162" s="155" t="n">
        <x:v>45544</x:v>
      </x:c>
      <x:c r="B162" s="153" t="n">
        <x:v>571.7</x:v>
      </x:c>
      <x:c r="C162" s="153" t="n">
        <x:v>573</x:v>
      </x:c>
      <x:c r="D162" s="153" t="n">
        <x:v>566.5</x:v>
      </x:c>
      <x:c r="E162" s="153" t="n">
        <x:v>570.26</x:v>
      </x:c>
      <x:c r="F162" s="154" t="n">
        <x:f>IFERROR(E162/E161-1,"")</x:f>
        <x:v>-0.004503875427693704</x:v>
      </x:c>
      <x:c r="G162" s="154" t="n">
        <x:f>IFERROR((C162-D162)/E161,"")</x:f>
        <x:v>0.011346972976747433</x:v>
      </x:c>
      <x:c r="H162" s="153" t="n">
        <x:v>569.59</x:v>
      </x:c>
      <x:c r="I162" s="158" t="n">
        <x:v>11717.56</x:v>
      </x:c>
      <x:c r="J162" s="158" t="n">
        <x:v>6674285297.4</x:v>
      </x:c>
      <x:c r="K162" s="158"/>
      <x:c r="L162" s="153" t="n">
        <x:v>7170</x:v>
      </x:c>
      <x:c r="M162" s="153" t="n">
        <x:v>7236</x:v>
      </x:c>
      <x:c r="N162" s="153" t="n">
        <x:v>6850</x:v>
      </x:c>
      <x:c r="O162" s="153" t="n">
        <x:v>6964</x:v>
      </x:c>
      <x:c r="P162" s="154" t="n">
        <x:f>IFERROR(O162/O161-1,"")</x:f>
        <x:v>-0.030758524704245005</x:v>
      </x:c>
      <x:c r="Q162" s="154" t="n">
        <x:f>IFERROR((M162-N162)/O161,"")</x:f>
        <x:v>0.05372303409881698</x:v>
      </x:c>
      <x:c r="R162" s="153" t="n">
        <x:v>6988</x:v>
      </x:c>
      <x:c r="S162" s="158" t="n">
        <x:v>746826</x:v>
      </x:c>
      <x:c r="T162" s="158" t="n">
        <x:v>5218958696</x:v>
      </x:c>
      <x:c r="U162" s="158" t="n">
        <x:v>4147910</x:v>
      </x:c>
      <x:c r="V162" s="153" t="n">
        <x:f>IFERROR(E162*1000/O162,"")</x:f>
        <x:v>81.88684663986214</x:v>
      </x:c>
      <x:c r="W162" s="153" t="n">
        <x:v>3.72</x:v>
      </x:c>
      <x:c r="X162" s="155" t="n">
        <x:v>45541</x:v>
      </x:c>
      <x:c r="Y162" s="153" t="n">
        <x:v>1.69</x:v>
      </x:c>
      <x:c r="Z162" s="155" t="n">
        <x:v>45541</x:v>
      </x:c>
      <x:c r="AA162" s="153" t="n">
        <x:f>IFERROR(Y162-Y161,"")</x:f>
        <x:v>-0.010000000000000009</x:v>
      </x:c>
      <x:c r="AB162" s="153" t="n">
        <x:v>2.03</x:v>
      </x:c>
      <x:c r="AC162" s="153" t="n">
        <x:v>122.4991</x:v>
      </x:c>
      <x:c r="AD162" s="155" t="n">
        <x:v>45541</x:v>
      </x:c>
      <x:c r="AE162" s="154" t="n">
        <x:f>IFERROR(AC162/AC161-1,"")</x:f>
        <x:v>0.0003740201366562168</x:v>
      </x:c>
      <x:c r="AF162" s="153" t="n">
        <x:v>22.38</x:v>
      </x:c>
      <x:c r="AG162" s="155" t="n">
        <x:v>45541</x:v>
      </x:c>
      <x:c r="AH162" s="153" t="n">
        <x:f>IFERROR(AF162-AF161,"")</x:f>
        <x:v>2.4800000000000004</x:v>
      </x:c>
      <x:c r="AI162" s="153" t="n">
        <x:v>5.33</x:v>
      </x:c>
      <x:c r="AJ162" s="155" t="n">
        <x:v>45541</x:v>
      </x:c>
      <x:c r="AK162" s="159" t="n">
        <x:v>192090</x:v>
      </x:c>
      <x:c r="AL162" s="154" t="n">
        <x:v>0.37580996055844235</x:v>
      </x:c>
      <x:c r="AM162" s="159" t="n">
        <x:v>-69629</x:v>
      </x:c>
      <x:c r="AN162" s="155" t="n">
        <x:v>45541</x:v>
      </x:c>
      <x:c r="AO162" s="159" t="n">
        <x:v>25299</x:v>
      </x:c>
      <x:c r="AP162" s="154" t="n">
        <x:v>0.19322833923988758</x:v>
      </x:c>
      <x:c r="AQ162" s="159" t="n">
        <x:v>-29864</x:v>
      </x:c>
      <x:c r="AR162" s="147" t="str">
        <x:v>美国市场指标与CFTC数据均使用严格早于上金所交易日的最后已发布值</x:v>
      </x:c>
    </x:row>
    <x:row r="163">
      <x:c r="A163" s="155" t="n">
        <x:v>45545</x:v>
      </x:c>
      <x:c r="B163" s="153" t="n">
        <x:v>570.3</x:v>
      </x:c>
      <x:c r="C163" s="153" t="n">
        <x:v>572.8</x:v>
      </x:c>
      <x:c r="D163" s="153" t="n">
        <x:v>570</x:v>
      </x:c>
      <x:c r="E163" s="153" t="n">
        <x:v>572.72</x:v>
      </x:c>
      <x:c r="F163" s="154" t="n">
        <x:f>IFERROR(E163/E162-1,"")</x:f>
        <x:v>0.004313821765510539</x:v>
      </x:c>
      <x:c r="G163" s="154" t="n">
        <x:f>IFERROR((C163-D163)/E162,"")</x:f>
        <x:v>0.0049100410339142754</x:v>
      </x:c>
      <x:c r="H163" s="153" t="n">
        <x:v>572.23</x:v>
      </x:c>
      <x:c r="I163" s="158" t="n">
        <x:v>7171.82</x:v>
      </x:c>
      <x:c r="J163" s="158" t="n">
        <x:v>4103999570.4</x:v>
      </x:c>
      <x:c r="K163" s="158"/>
      <x:c r="L163" s="153" t="n">
        <x:v>6963</x:v>
      </x:c>
      <x:c r="M163" s="153" t="n">
        <x:v>7022</x:v>
      </x:c>
      <x:c r="N163" s="153" t="n">
        <x:v>6915</x:v>
      </x:c>
      <x:c r="O163" s="153" t="n">
        <x:v>7016</x:v>
      </x:c>
      <x:c r="P163" s="154" t="n">
        <x:f>IFERROR(O163/O162-1,"")</x:f>
        <x:v>0.0074669730040206606</x:v>
      </x:c>
      <x:c r="Q163" s="154" t="n">
        <x:f>IFERROR((M163-N163)/O162,"")</x:f>
        <x:v>0.015364732912119471</x:v>
      </x:c>
      <x:c r="R163" s="153" t="n">
        <x:v>6986</x:v>
      </x:c>
      <x:c r="S163" s="158" t="n">
        <x:v>443252</x:v>
      </x:c>
      <x:c r="T163" s="158" t="n">
        <x:v>3096636512</x:v>
      </x:c>
      <x:c r="U163" s="158" t="n">
        <x:v>4148402</x:v>
      </x:c>
      <x:c r="V163" s="153" t="n">
        <x:f>IFERROR(E163*1000/O163,"")</x:f>
        <x:v>81.63055872291905</x:v>
      </x:c>
      <x:c r="W163" s="153" t="n">
        <x:v>3.7</x:v>
      </x:c>
      <x:c r="X163" s="155" t="n">
        <x:v>45544</x:v>
      </x:c>
      <x:c r="Y163" s="153" t="n">
        <x:v>1.66</x:v>
      </x:c>
      <x:c r="Z163" s="155" t="n">
        <x:v>45544</x:v>
      </x:c>
      <x:c r="AA163" s="153" t="n">
        <x:f>IFERROR(Y163-Y162,"")</x:f>
        <x:v>-0.030000000000000027</x:v>
      </x:c>
      <x:c r="AB163" s="153" t="n">
        <x:v>2.04</x:v>
      </x:c>
      <x:c r="AC163" s="153" t="n">
        <x:v>122.7156</x:v>
      </x:c>
      <x:c r="AD163" s="155" t="n">
        <x:v>45544</x:v>
      </x:c>
      <x:c r="AE163" s="154" t="n">
        <x:f>IFERROR(AC163/AC162-1,"")</x:f>
        <x:v>0.0017673599234606652</x:v>
      </x:c>
      <x:c r="AF163" s="153" t="n">
        <x:v>19.45</x:v>
      </x:c>
      <x:c r="AG163" s="155" t="n">
        <x:v>45544</x:v>
      </x:c>
      <x:c r="AH163" s="153" t="n">
        <x:f>IFERROR(AF163-AF162,"")</x:f>
        <x:v>-2.9299999999999997</x:v>
      </x:c>
      <x:c r="AI163" s="153" t="n">
        <x:v>5.33</x:v>
      </x:c>
      <x:c r="AJ163" s="155" t="n">
        <x:v>45541</x:v>
      </x:c>
      <x:c r="AK163" s="159" t="n">
        <x:v>192090</x:v>
      </x:c>
      <x:c r="AL163" s="154" t="n">
        <x:v>0.37580996055844235</x:v>
      </x:c>
      <x:c r="AM163" s="159" t="n">
        <x:v>-69629</x:v>
      </x:c>
      <x:c r="AN163" s="155" t="n">
        <x:v>45541</x:v>
      </x:c>
      <x:c r="AO163" s="159" t="n">
        <x:v>25299</x:v>
      </x:c>
      <x:c r="AP163" s="154" t="n">
        <x:v>0.19322833923988758</x:v>
      </x:c>
      <x:c r="AQ163" s="159" t="n">
        <x:v>-29864</x:v>
      </x:c>
      <x:c r="AR163" s="147" t="str">
        <x:v>美国市场指标与CFTC数据均使用严格早于上金所交易日的最后已发布值</x:v>
      </x:c>
    </x:row>
    <x:row r="164">
      <x:c r="A164" s="155" t="n">
        <x:v>45546</x:v>
      </x:c>
      <x:c r="B164" s="153" t="n">
        <x:v>574</x:v>
      </x:c>
      <x:c r="C164" s="153" t="n">
        <x:v>575.78</x:v>
      </x:c>
      <x:c r="D164" s="153" t="n">
        <x:v>571.95</x:v>
      </x:c>
      <x:c r="E164" s="153" t="n">
        <x:v>575.74</x:v>
      </x:c>
      <x:c r="F164" s="154" t="n">
        <x:f>IFERROR(E164/E163-1,"")</x:f>
        <x:v>0.005273082832797815</x:v>
      </x:c>
      <x:c r="G164" s="154" t="n">
        <x:f>IFERROR((C164-D164)/E163,"")</x:f>
        <x:v>0.006687386506495193</x:v>
      </x:c>
      <x:c r="H164" s="153" t="n">
        <x:v>574.66</x:v>
      </x:c>
      <x:c r="I164" s="158" t="n">
        <x:v>7383.82</x:v>
      </x:c>
      <x:c r="J164" s="158" t="n">
        <x:v>4243200400</x:v>
      </x:c>
      <x:c r="K164" s="158"/>
      <x:c r="L164" s="153" t="n">
        <x:v>7012</x:v>
      </x:c>
      <x:c r="M164" s="153" t="n">
        <x:v>7150</x:v>
      </x:c>
      <x:c r="N164" s="153" t="n">
        <x:v>6910</x:v>
      </x:c>
      <x:c r="O164" s="153" t="n">
        <x:v>7146</x:v>
      </x:c>
      <x:c r="P164" s="154" t="n">
        <x:f>IFERROR(O164/O163-1,"")</x:f>
        <x:v>0.018529076396807342</x:v>
      </x:c>
      <x:c r="Q164" s="154" t="n">
        <x:f>IFERROR((M164-N164)/O163,"")</x:f>
        <x:v>0.03420752565564424</x:v>
      </x:c>
      <x:c r="R164" s="153" t="n">
        <x:v>7033</x:v>
      </x:c>
      <x:c r="S164" s="158" t="n">
        <x:v>592230</x:v>
      </x:c>
      <x:c r="T164" s="158" t="n">
        <x:v>4165208612</x:v>
      </x:c>
      <x:c r="U164" s="158" t="n">
        <x:v>4198072</x:v>
      </x:c>
      <x:c r="V164" s="153" t="n">
        <x:f>IFERROR(E164*1000/O164,"")</x:f>
        <x:v>80.56815001399384</x:v>
      </x:c>
      <x:c r="W164" s="153" t="n">
        <x:v>3.65</x:v>
      </x:c>
      <x:c r="X164" s="155" t="n">
        <x:v>45545</x:v>
      </x:c>
      <x:c r="Y164" s="153" t="n">
        <x:v>1.63</x:v>
      </x:c>
      <x:c r="Z164" s="155" t="n">
        <x:v>45545</x:v>
      </x:c>
      <x:c r="AA164" s="153" t="n">
        <x:f>IFERROR(Y164-Y163,"")</x:f>
        <x:v>-0.030000000000000027</x:v>
      </x:c>
      <x:c r="AB164" s="153" t="n">
        <x:v>2.02</x:v>
      </x:c>
      <x:c r="AC164" s="153" t="n">
        <x:v>123.0071</x:v>
      </x:c>
      <x:c r="AD164" s="155" t="n">
        <x:v>45545</x:v>
      </x:c>
      <x:c r="AE164" s="154" t="n">
        <x:f>IFERROR(AC164/AC163-1,"")</x:f>
        <x:v>0.0023754111131755185</x:v>
      </x:c>
      <x:c r="AF164" s="153" t="n">
        <x:v>19.08</x:v>
      </x:c>
      <x:c r="AG164" s="155" t="n">
        <x:v>45545</x:v>
      </x:c>
      <x:c r="AH164" s="153" t="n">
        <x:f>IFERROR(AF164-AF163,"")</x:f>
        <x:v>-0.370000000000001</x:v>
      </x:c>
      <x:c r="AI164" s="153" t="n">
        <x:v>5.33</x:v>
      </x:c>
      <x:c r="AJ164" s="155" t="n">
        <x:v>45541</x:v>
      </x:c>
      <x:c r="AK164" s="159" t="n">
        <x:v>192090</x:v>
      </x:c>
      <x:c r="AL164" s="154" t="n">
        <x:v>0.37580996055844235</x:v>
      </x:c>
      <x:c r="AM164" s="159" t="n">
        <x:v>-69629</x:v>
      </x:c>
      <x:c r="AN164" s="155" t="n">
        <x:v>45541</x:v>
      </x:c>
      <x:c r="AO164" s="159" t="n">
        <x:v>25299</x:v>
      </x:c>
      <x:c r="AP164" s="154" t="n">
        <x:v>0.19322833923988758</x:v>
      </x:c>
      <x:c r="AQ164" s="159" t="n">
        <x:v>-29864</x:v>
      </x:c>
      <x:c r="AR164" s="147" t="str">
        <x:v>美国市场指标与CFTC数据均使用严格早于上金所交易日的最后已发布值</x:v>
      </x:c>
    </x:row>
    <x:row r="165">
      <x:c r="A165" s="155" t="n">
        <x:v>45547</x:v>
      </x:c>
      <x:c r="B165" s="153" t="n">
        <x:v>575.5</x:v>
      </x:c>
      <x:c r="C165" s="153" t="n">
        <x:v>575.5</x:v>
      </x:c>
      <x:c r="D165" s="153" t="n">
        <x:v>571.8</x:v>
      </x:c>
      <x:c r="E165" s="153" t="n">
        <x:v>575</x:v>
      </x:c>
      <x:c r="F165" s="154" t="n">
        <x:f>IFERROR(E165/E164-1,"")</x:f>
        <x:v>-0.0012853023934414898</x:v>
      </x:c>
      <x:c r="G165" s="154" t="n">
        <x:f>IFERROR((C165-D165)/E164,"")</x:f>
        <x:v>0.006426511967207499</x:v>
      </x:c>
      <x:c r="H165" s="153" t="n">
        <x:v>574.22</x:v>
      </x:c>
      <x:c r="I165" s="158" t="n">
        <x:v>8876.46</x:v>
      </x:c>
      <x:c r="J165" s="158" t="n">
        <x:v>5097097703.4</x:v>
      </x:c>
      <x:c r="K165" s="158"/>
      <x:c r="L165" s="153" t="n">
        <x:v>7150</x:v>
      </x:c>
      <x:c r="M165" s="153" t="n">
        <x:v>7150</x:v>
      </x:c>
      <x:c r="N165" s="153" t="n">
        <x:v>6981</x:v>
      </x:c>
      <x:c r="O165" s="153" t="n">
        <x:v>7134</x:v>
      </x:c>
      <x:c r="P165" s="154" t="n">
        <x:f>IFERROR(O165/O164-1,"")</x:f>
        <x:v>-0.0016792611251049694</x:v>
      </x:c>
      <x:c r="Q165" s="154" t="n">
        <x:f>IFERROR((M165-N165)/O164,"")</x:f>
        <x:v>0.023649594178561432</x:v>
      </x:c>
      <x:c r="R165" s="153" t="n">
        <x:v>7066</x:v>
      </x:c>
      <x:c r="S165" s="158" t="n">
        <x:v>650042</x:v>
      </x:c>
      <x:c r="T165" s="158" t="n">
        <x:v>4593781880</x:v>
      </x:c>
      <x:c r="U165" s="158" t="n">
        <x:v>4359824</x:v>
      </x:c>
      <x:c r="V165" s="153" t="n">
        <x:f>IFERROR(E165*1000/O165,"")</x:f>
        <x:v>80.59994393047378</x:v>
      </x:c>
      <x:c r="W165" s="153" t="n">
        <x:v>3.65</x:v>
      </x:c>
      <x:c r="X165" s="155" t="n">
        <x:v>45546</x:v>
      </x:c>
      <x:c r="Y165" s="153" t="n">
        <x:v>1.61</x:v>
      </x:c>
      <x:c r="Z165" s="155" t="n">
        <x:v>45546</x:v>
      </x:c>
      <x:c r="AA165" s="153" t="n">
        <x:f>IFERROR(Y165-Y164,"")</x:f>
        <x:v>-0.019999999999999796</x:v>
      </x:c>
      <x:c r="AB165" s="153" t="n">
        <x:v>2.04</x:v>
      </x:c>
      <x:c r="AC165" s="153" t="n">
        <x:v>122.7754</x:v>
      </x:c>
      <x:c r="AD165" s="155" t="n">
        <x:v>45546</x:v>
      </x:c>
      <x:c r="AE165" s="154" t="n">
        <x:f>IFERROR(AC165/AC164-1,"")</x:f>
        <x:v>-0.0018836311074725831</x:v>
      </x:c>
      <x:c r="AF165" s="153" t="n">
        <x:v>17.69</x:v>
      </x:c>
      <x:c r="AG165" s="155" t="n">
        <x:v>45546</x:v>
      </x:c>
      <x:c r="AH165" s="153" t="n">
        <x:f>IFERROR(AF165-AF164,"")</x:f>
        <x:v>-1.389999999999997</x:v>
      </x:c>
      <x:c r="AI165" s="153" t="n">
        <x:v>5.33</x:v>
      </x:c>
      <x:c r="AJ165" s="155" t="n">
        <x:v>45541</x:v>
      </x:c>
      <x:c r="AK165" s="159" t="n">
        <x:v>192090</x:v>
      </x:c>
      <x:c r="AL165" s="154" t="n">
        <x:v>0.37580996055844235</x:v>
      </x:c>
      <x:c r="AM165" s="159" t="n">
        <x:v>-69629</x:v>
      </x:c>
      <x:c r="AN165" s="155" t="n">
        <x:v>45541</x:v>
      </x:c>
      <x:c r="AO165" s="159" t="n">
        <x:v>25299</x:v>
      </x:c>
      <x:c r="AP165" s="154" t="n">
        <x:v>0.19322833923988758</x:v>
      </x:c>
      <x:c r="AQ165" s="159" t="n">
        <x:v>-29864</x:v>
      </x:c>
      <x:c r="AR165" s="147" t="str">
        <x:v>美国市场指标与CFTC数据均使用严格早于上金所交易日的最后已发布值</x:v>
      </x:c>
    </x:row>
    <x:row r="166">
      <x:c r="A166" s="155" t="n">
        <x:v>45548</x:v>
      </x:c>
      <x:c r="B166" s="153" t="n">
        <x:v>575</x:v>
      </x:c>
      <x:c r="C166" s="153" t="n">
        <x:v>583.8</x:v>
      </x:c>
      <x:c r="D166" s="153" t="n">
        <x:v>575</x:v>
      </x:c>
      <x:c r="E166" s="153" t="n">
        <x:v>582.54</x:v>
      </x:c>
      <x:c r="F166" s="154" t="n">
        <x:f>IFERROR(E166/E165-1,"")</x:f>
        <x:v>0.0131130434782607</x:v>
      </x:c>
      <x:c r="G166" s="154" t="n">
        <x:f>IFERROR((C166-D166)/E165,"")</x:f>
        <x:v>0.015304347826086877</x:v>
      </x:c>
      <x:c r="H166" s="153" t="n">
        <x:v>582.72</x:v>
      </x:c>
      <x:c r="I166" s="158" t="n">
        <x:v>9556.6</x:v>
      </x:c>
      <x:c r="J166" s="158" t="n">
        <x:v>5568899555</x:v>
      </x:c>
      <x:c r="K166" s="158"/>
      <x:c r="L166" s="153" t="n">
        <x:v>7134</x:v>
      </x:c>
      <x:c r="M166" s="153" t="n">
        <x:v>7395</x:v>
      </x:c>
      <x:c r="N166" s="153" t="n">
        <x:v>7121</x:v>
      </x:c>
      <x:c r="O166" s="153" t="n">
        <x:v>7394</x:v>
      </x:c>
      <x:c r="P166" s="154" t="n">
        <x:f>IFERROR(O166/O165-1,"")</x:f>
        <x:v>0.03644519203812724</x:v>
      </x:c>
      <x:c r="Q166" s="154" t="n">
        <x:f>IFERROR((M166-N166)/O165,"")</x:f>
        <x:v>0.0384076254555649</x:v>
      </x:c>
      <x:c r="R166" s="153" t="n">
        <x:v>7320</x:v>
      </x:c>
      <x:c r="S166" s="158" t="n">
        <x:v>743408</x:v>
      </x:c>
      <x:c r="T166" s="158" t="n">
        <x:v>5442216956</x:v>
      </x:c>
      <x:c r="U166" s="158" t="n">
        <x:v>4512942</x:v>
      </x:c>
      <x:c r="V166" s="153" t="n">
        <x:f>IFERROR(E166*1000/O166,"")</x:f>
        <x:v>78.7855017581823</x:v>
      </x:c>
      <x:c r="W166" s="153" t="n">
        <x:v>3.68</x:v>
      </x:c>
      <x:c r="X166" s="155" t="n">
        <x:v>45547</x:v>
      </x:c>
      <x:c r="Y166" s="153" t="n">
        <x:v>1.63</x:v>
      </x:c>
      <x:c r="Z166" s="155" t="n">
        <x:v>45547</x:v>
      </x:c>
      <x:c r="AA166" s="153" t="n">
        <x:f>IFERROR(Y166-Y165,"")</x:f>
        <x:v>0.019999999999999796</x:v>
      </x:c>
      <x:c r="AB166" s="153" t="n">
        <x:v>2.05</x:v>
      </x:c>
      <x:c r="AC166" s="153" t="n">
        <x:v>122.4423</x:v>
      </x:c>
      <x:c r="AD166" s="155" t="n">
        <x:v>45547</x:v>
      </x:c>
      <x:c r="AE166" s="154" t="n">
        <x:f>IFERROR(AC166/AC165-1,"")</x:f>
        <x:v>-0.0027130842171966263</x:v>
      </x:c>
      <x:c r="AF166" s="153" t="n">
        <x:v>17.07</x:v>
      </x:c>
      <x:c r="AG166" s="155" t="n">
        <x:v>45547</x:v>
      </x:c>
      <x:c r="AH166" s="153" t="n">
        <x:f>IFERROR(AF166-AF165,"")</x:f>
        <x:v>-0.620000000000001</x:v>
      </x:c>
      <x:c r="AI166" s="153" t="n">
        <x:v>5.33</x:v>
      </x:c>
      <x:c r="AJ166" s="155" t="n">
        <x:v>45541</x:v>
      </x:c>
      <x:c r="AK166" s="159" t="n">
        <x:v>192090</x:v>
      </x:c>
      <x:c r="AL166" s="154" t="n">
        <x:v>0.37580996055844235</x:v>
      </x:c>
      <x:c r="AM166" s="159" t="n">
        <x:v>-69629</x:v>
      </x:c>
      <x:c r="AN166" s="155" t="n">
        <x:v>45541</x:v>
      </x:c>
      <x:c r="AO166" s="159" t="n">
        <x:v>25299</x:v>
      </x:c>
      <x:c r="AP166" s="154" t="n">
        <x:v>0.19322833923988758</x:v>
      </x:c>
      <x:c r="AQ166" s="159" t="n">
        <x:v>-29864</x:v>
      </x:c>
      <x:c r="AR166" s="147" t="str">
        <x:v>美国市场指标与CFTC数据均使用严格早于上金所交易日的最后已发布值</x:v>
      </x:c>
    </x:row>
    <x:row r="167">
      <x:c r="A167" s="155" t="n">
        <x:v>45553</x:v>
      </x:c>
      <x:c r="B167" s="153" t="n">
        <x:v>584.99</x:v>
      </x:c>
      <x:c r="C167" s="153" t="n">
        <x:v>585</x:v>
      </x:c>
      <x:c r="D167" s="153" t="n">
        <x:v>581.85</x:v>
      </x:c>
      <x:c r="E167" s="153" t="n">
        <x:v>581.98</x:v>
      </x:c>
      <x:c r="F167" s="154" t="n">
        <x:f>IFERROR(E167/E166-1,"")</x:f>
        <x:v>-0.0009613073780340153</x:v>
      </x:c>
      <x:c r="G167" s="154" t="n">
        <x:f>IFERROR((C167-D167)/E166,"")</x:f>
        <x:v>0.005407354001441923</x:v>
      </x:c>
      <x:c r="H167" s="153" t="n">
        <x:v>582.95</x:v>
      </x:c>
      <x:c r="I167" s="158" t="n">
        <x:v>10007.52</x:v>
      </x:c>
      <x:c r="J167" s="158" t="n">
        <x:v>5833886873.2</x:v>
      </x:c>
      <x:c r="K167" s="158"/>
      <x:c r="L167" s="153" t="n">
        <x:v>7500</x:v>
      </x:c>
      <x:c r="M167" s="153" t="n">
        <x:v>7500</x:v>
      </x:c>
      <x:c r="N167" s="153" t="n">
        <x:v>7365</x:v>
      </x:c>
      <x:c r="O167" s="153" t="n">
        <x:v>7414</x:v>
      </x:c>
      <x:c r="P167" s="154" t="n">
        <x:f>IFERROR(O167/O166-1,"")</x:f>
        <x:v>0.0027048958615092378</x:v>
      </x:c>
      <x:c r="Q167" s="154" t="n">
        <x:f>IFERROR((M167-N167)/O166,"")</x:f>
        <x:v>0.01825804706518799</x:v>
      </x:c>
      <x:c r="R167" s="153" t="n">
        <x:v>7405</x:v>
      </x:c>
      <x:c r="S167" s="158" t="n">
        <x:v>448188</x:v>
      </x:c>
      <x:c r="T167" s="158" t="n">
        <x:v>3319222354</x:v>
      </x:c>
      <x:c r="U167" s="158" t="n">
        <x:v>4645804</x:v>
      </x:c>
      <x:c r="V167" s="153" t="n">
        <x:f>IFERROR(E167*1000/O167,"")</x:f>
        <x:v>78.49743728082007</x:v>
      </x:c>
      <x:c r="W167" s="153" t="n">
        <x:v>3.65</x:v>
      </x:c>
      <x:c r="X167" s="155" t="n">
        <x:v>45552</x:v>
      </x:c>
      <x:c r="Y167" s="153" t="n">
        <x:v>1.53</x:v>
      </x:c>
      <x:c r="Z167" s="155" t="n">
        <x:v>45552</x:v>
      </x:c>
      <x:c r="AA167" s="153" t="n">
        <x:f>IFERROR(Y167-Y166,"")</x:f>
        <x:v>-0.09999999999999987</x:v>
      </x:c>
      <x:c r="AB167" s="153" t="n">
        <x:v>2.12</x:v>
      </x:c>
      <x:c r="AC167" s="153" t="n">
        <x:v>121.6031</x:v>
      </x:c>
      <x:c r="AD167" s="155" t="n">
        <x:v>45552</x:v>
      </x:c>
      <x:c r="AE167" s="154" t="n">
        <x:f>IFERROR(AC167/AC166-1,"")</x:f>
        <x:v>-0.0068538405436683325</x:v>
      </x:c>
      <x:c r="AF167" s="153" t="n">
        <x:v>17.61</x:v>
      </x:c>
      <x:c r="AG167" s="155" t="n">
        <x:v>45552</x:v>
      </x:c>
      <x:c r="AH167" s="153" t="n">
        <x:f>IFERROR(AF167-AF166,"")</x:f>
        <x:v>0.5399999999999991</x:v>
      </x:c>
      <x:c r="AI167" s="153" t="n">
        <x:v>5.33</x:v>
      </x:c>
      <x:c r="AJ167" s="155" t="n">
        <x:v>45548</x:v>
      </x:c>
      <x:c r="AK167" s="159" t="n">
        <x:v>190455</x:v>
      </x:c>
      <x:c r="AL167" s="154" t="n">
        <x:v>0.37234531310789226</x:v>
      </x:c>
      <x:c r="AM167" s="159" t="n">
        <x:v>-75374</x:v>
      </x:c>
      <x:c r="AN167" s="155" t="n">
        <x:v>45548</x:v>
      </x:c>
      <x:c r="AO167" s="159" t="n">
        <x:v>25821</x:v>
      </x:c>
      <x:c r="AP167" s="154" t="n">
        <x:v>0.20022642855481199</x:v>
      </x:c>
      <x:c r="AQ167" s="159" t="n">
        <x:v>-30444</x:v>
      </x:c>
      <x:c r="AR167" s="147" t="str">
        <x:v>美国市场指标与CFTC数据均使用严格早于上金所交易日的最后已发布值</x:v>
      </x:c>
    </x:row>
    <x:row r="168">
      <x:c r="A168" s="155" t="n">
        <x:v>45554</x:v>
      </x:c>
      <x:c r="B168" s="153" t="n">
        <x:v>583.5</x:v>
      </x:c>
      <x:c r="C168" s="153" t="n">
        <x:v>585</x:v>
      </x:c>
      <x:c r="D168" s="153" t="n">
        <x:v>579.2</x:v>
      </x:c>
      <x:c r="E168" s="153" t="n">
        <x:v>583.05</x:v>
      </x:c>
      <x:c r="F168" s="154" t="n">
        <x:f>IFERROR(E168/E167-1,"")</x:f>
        <x:v>0.0018385511529603882</x:v>
      </x:c>
      <x:c r="G168" s="154" t="n">
        <x:f>IFERROR((C168-D168)/E167,"")</x:f>
        <x:v>0.009965978212309623</x:v>
      </x:c>
      <x:c r="H168" s="153" t="n">
        <x:v>581.5</x:v>
      </x:c>
      <x:c r="I168" s="158" t="n">
        <x:v>9518.12</x:v>
      </x:c>
      <x:c r="J168" s="158" t="n">
        <x:v>5534859866.6</x:v>
      </x:c>
      <x:c r="K168" s="158"/>
      <x:c r="L168" s="153" t="n">
        <x:v>7416</x:v>
      </x:c>
      <x:c r="M168" s="153" t="n">
        <x:v>7499</x:v>
      </x:c>
      <x:c r="N168" s="153" t="n">
        <x:v>7222</x:v>
      </x:c>
      <x:c r="O168" s="153" t="n">
        <x:v>7460</x:v>
      </x:c>
      <x:c r="P168" s="154" t="n">
        <x:f>IFERROR(O168/O167-1,"")</x:f>
        <x:v>0.0062044780145671385</x:v>
      </x:c>
      <x:c r="Q168" s="154" t="n">
        <x:f>IFERROR((M168-N168)/O167,"")</x:f>
        <x:v>0.037361748044240625</x:v>
      </x:c>
      <x:c r="R168" s="153" t="n">
        <x:v>7347</x:v>
      </x:c>
      <x:c r="S168" s="158" t="n">
        <x:v>737894</x:v>
      </x:c>
      <x:c r="T168" s="158" t="n">
        <x:v>5421352578</x:v>
      </x:c>
      <x:c r="U168" s="158" t="n">
        <x:v>4718774</x:v>
      </x:c>
      <x:c r="V168" s="153" t="n">
        <x:f>IFERROR(E168*1000/O168,"")</x:f>
        <x:v>78.156836461126</x:v>
      </x:c>
      <x:c r="W168" s="153" t="n">
        <x:v>3.7</x:v>
      </x:c>
      <x:c r="X168" s="155" t="n">
        <x:v>45553</x:v>
      </x:c>
      <x:c r="Y168" s="153" t="n">
        <x:v>1.58</x:v>
      </x:c>
      <x:c r="Z168" s="155" t="n">
        <x:v>45553</x:v>
      </x:c>
      <x:c r="AA168" s="153" t="n">
        <x:f>IFERROR(Y168-Y167,"")</x:f>
        <x:v>0.050000000000000044</x:v>
      </x:c>
      <x:c r="AB168" s="153" t="n">
        <x:v>2.12</x:v>
      </x:c>
      <x:c r="AC168" s="153" t="n">
        <x:v>121.5618</x:v>
      </x:c>
      <x:c r="AD168" s="155" t="n">
        <x:v>45553</x:v>
      </x:c>
      <x:c r="AE168" s="154" t="n">
        <x:f>IFERROR(AC168/AC167-1,"")</x:f>
        <x:v>-0.0003396294995768878</x:v>
      </x:c>
      <x:c r="AF168" s="153" t="n">
        <x:v>18.23</x:v>
      </x:c>
      <x:c r="AG168" s="155" t="n">
        <x:v>45553</x:v>
      </x:c>
      <x:c r="AH168" s="153" t="n">
        <x:f>IFERROR(AF168-AF167,"")</x:f>
        <x:v>0.620000000000001</x:v>
      </x:c>
      <x:c r="AI168" s="153" t="n">
        <x:v>5.33</x:v>
      </x:c>
      <x:c r="AJ168" s="155" t="n">
        <x:v>45548</x:v>
      </x:c>
      <x:c r="AK168" s="159" t="n">
        <x:v>190455</x:v>
      </x:c>
      <x:c r="AL168" s="154" t="n">
        <x:v>0.37234531310789226</x:v>
      </x:c>
      <x:c r="AM168" s="159" t="n">
        <x:v>-75374</x:v>
      </x:c>
      <x:c r="AN168" s="155" t="n">
        <x:v>45548</x:v>
      </x:c>
      <x:c r="AO168" s="159" t="n">
        <x:v>25821</x:v>
      </x:c>
      <x:c r="AP168" s="154" t="n">
        <x:v>0.20022642855481199</x:v>
      </x:c>
      <x:c r="AQ168" s="159" t="n">
        <x:v>-30444</x:v>
      </x:c>
      <x:c r="AR168" s="147" t="str">
        <x:v>美国市场指标与CFTC数据均使用严格早于上金所交易日的最后已发布值</x:v>
      </x:c>
    </x:row>
    <x:row r="169">
      <x:c r="A169" s="155" t="n">
        <x:v>45555</x:v>
      </x:c>
      <x:c r="B169" s="153" t="n">
        <x:v>585</x:v>
      </x:c>
      <x:c r="C169" s="153" t="n">
        <x:v>588.32</x:v>
      </x:c>
      <x:c r="D169" s="153" t="n">
        <x:v>582</x:v>
      </x:c>
      <x:c r="E169" s="153" t="n">
        <x:v>588.3</x:v>
      </x:c>
      <x:c r="F169" s="154" t="n">
        <x:f>IFERROR(E169/E168-1,"")</x:f>
        <x:v>0.009004373552868428</x:v>
      </x:c>
      <x:c r="G169" s="154" t="n">
        <x:f>IFERROR((C169-D169)/E168,"")</x:f>
        <x:v>0.01083955063888183</x:v>
      </x:c>
      <x:c r="H169" s="153" t="n">
        <x:v>585.57</x:v>
      </x:c>
      <x:c r="I169" s="158" t="n">
        <x:v>9621.6</x:v>
      </x:c>
      <x:c r="J169" s="158" t="n">
        <x:v>5634123974.8</x:v>
      </x:c>
      <x:c r="K169" s="158"/>
      <x:c r="L169" s="153" t="n">
        <x:v>7478</x:v>
      </x:c>
      <x:c r="M169" s="153" t="n">
        <x:v>7529</x:v>
      </x:c>
      <x:c r="N169" s="153" t="n">
        <x:v>7397</x:v>
      </x:c>
      <x:c r="O169" s="153" t="n">
        <x:v>7505</x:v>
      </x:c>
      <x:c r="P169" s="154" t="n">
        <x:f>IFERROR(O169/O168-1,"")</x:f>
        <x:v>0.0060321715817694965</x:v>
      </x:c>
      <x:c r="Q169" s="154" t="n">
        <x:f>IFERROR((M169-N169)/O168,"")</x:f>
        <x:v>0.01769436997319035</x:v>
      </x:c>
      <x:c r="R169" s="153" t="n">
        <x:v>7467</x:v>
      </x:c>
      <x:c r="S169" s="158" t="n">
        <x:v>378990</x:v>
      </x:c>
      <x:c r="T169" s="158" t="n">
        <x:v>2830093166</x:v>
      </x:c>
      <x:c r="U169" s="158" t="n">
        <x:v>4713866</x:v>
      </x:c>
      <x:c r="V169" s="153" t="n">
        <x:f>IFERROR(E169*1000/O169,"")</x:f>
        <x:v>78.38774150566289</x:v>
      </x:c>
      <x:c r="W169" s="153" t="n">
        <x:v>3.73</x:v>
      </x:c>
      <x:c r="X169" s="155" t="n">
        <x:v>45554</x:v>
      </x:c>
      <x:c r="Y169" s="153" t="n">
        <x:v>1.56</x:v>
      </x:c>
      <x:c r="Z169" s="155" t="n">
        <x:v>45554</x:v>
      </x:c>
      <x:c r="AA169" s="153" t="n">
        <x:f>IFERROR(Y169-Y168,"")</x:f>
        <x:v>-0.020000000000000018</x:v>
      </x:c>
      <x:c r="AB169" s="153" t="n">
        <x:v>2.17</x:v>
      </x:c>
      <x:c r="AC169" s="153" t="n">
        <x:v>121.3059</x:v>
      </x:c>
      <x:c r="AD169" s="155" t="n">
        <x:v>45554</x:v>
      </x:c>
      <x:c r="AE169" s="154" t="n">
        <x:f>IFERROR(AC169/AC168-1,"")</x:f>
        <x:v>-0.002105102096217837</x:v>
      </x:c>
      <x:c r="AF169" s="153" t="n">
        <x:v>16.33</x:v>
      </x:c>
      <x:c r="AG169" s="155" t="n">
        <x:v>45554</x:v>
      </x:c>
      <x:c r="AH169" s="153" t="n">
        <x:f>IFERROR(AF169-AF168,"")</x:f>
        <x:v>-1.9000000000000021</x:v>
      </x:c>
      <x:c r="AI169" s="153" t="n">
        <x:v>4.83</x:v>
      </x:c>
      <x:c r="AJ169" s="155" t="n">
        <x:v>45548</x:v>
      </x:c>
      <x:c r="AK169" s="159" t="n">
        <x:v>190455</x:v>
      </x:c>
      <x:c r="AL169" s="154" t="n">
        <x:v>0.37234531310789226</x:v>
      </x:c>
      <x:c r="AM169" s="159" t="n">
        <x:v>-75374</x:v>
      </x:c>
      <x:c r="AN169" s="155" t="n">
        <x:v>45548</x:v>
      </x:c>
      <x:c r="AO169" s="159" t="n">
        <x:v>25821</x:v>
      </x:c>
      <x:c r="AP169" s="154" t="n">
        <x:v>0.20022642855481199</x:v>
      </x:c>
      <x:c r="AQ169" s="159" t="n">
        <x:v>-30444</x:v>
      </x:c>
      <x:c r="AR169" s="147" t="str">
        <x:v>美国市场指标与CFTC数据均使用严格早于上金所交易日的最后已发布值</x:v>
      </x:c>
    </x:row>
    <x:row r="170">
      <x:c r="A170" s="155" t="n">
        <x:v>45558</x:v>
      </x:c>
      <x:c r="B170" s="153" t="n">
        <x:v>590</x:v>
      </x:c>
      <x:c r="C170" s="153" t="n">
        <x:v>593.96</x:v>
      </x:c>
      <x:c r="D170" s="153" t="n">
        <x:v>588</x:v>
      </x:c>
      <x:c r="E170" s="153" t="n">
        <x:v>592.2</x:v>
      </x:c>
      <x:c r="F170" s="154" t="n">
        <x:f>IFERROR(E170/E169-1,"")</x:f>
        <x:v>0.006629270780214247</x:v>
      </x:c>
      <x:c r="G170" s="154" t="n">
        <x:f>IFERROR((C170-D170)/E169,"")</x:f>
        <x:v>0.010130885602583779</x:v>
      </x:c>
      <x:c r="H170" s="153" t="n">
        <x:v>592.27</x:v>
      </x:c>
      <x:c r="I170" s="158" t="n">
        <x:v>13481.22</x:v>
      </x:c>
      <x:c r="J170" s="158" t="n">
        <x:v>7984629824.8</x:v>
      </x:c>
      <x:c r="K170" s="158"/>
      <x:c r="L170" s="153" t="n">
        <x:v>7535</x:v>
      </x:c>
      <x:c r="M170" s="153" t="n">
        <x:v>7558</x:v>
      </x:c>
      <x:c r="N170" s="153" t="n">
        <x:v>7397</x:v>
      </x:c>
      <x:c r="O170" s="153" t="n">
        <x:v>7414</x:v>
      </x:c>
      <x:c r="P170" s="154" t="n">
        <x:f>IFERROR(O170/O169-1,"")</x:f>
        <x:v>-0.012125249833444318</x:v>
      </x:c>
      <x:c r="Q170" s="154" t="n">
        <x:f>IFERROR((M170-N170)/O169,"")</x:f>
        <x:v>0.02145236508994004</x:v>
      </x:c>
      <x:c r="R170" s="153" t="n">
        <x:v>7471</x:v>
      </x:c>
      <x:c r="S170" s="158" t="n">
        <x:v>511626</x:v>
      </x:c>
      <x:c r="T170" s="158" t="n">
        <x:v>3822782850</x:v>
      </x:c>
      <x:c r="U170" s="158" t="n">
        <x:v>4531920</x:v>
      </x:c>
      <x:c r="V170" s="153" t="n">
        <x:f>IFERROR(E170*1000/O170,"")</x:f>
        <x:v>79.87591043970866</x:v>
      </x:c>
      <x:c r="W170" s="153" t="n">
        <x:v>3.73</x:v>
      </x:c>
      <x:c r="X170" s="155" t="n">
        <x:v>45555</x:v>
      </x:c>
      <x:c r="Y170" s="153" t="n">
        <x:v>1.58</x:v>
      </x:c>
      <x:c r="Z170" s="155" t="n">
        <x:v>45555</x:v>
      </x:c>
      <x:c r="AA170" s="153" t="n">
        <x:f>IFERROR(Y170-Y169,"")</x:f>
        <x:v>0.020000000000000018</x:v>
      </x:c>
      <x:c r="AB170" s="153" t="n">
        <x:v>2.15</x:v>
      </x:c>
      <x:c r="AC170" s="153" t="n">
        <x:v>121.4052</x:v>
      </x:c>
      <x:c r="AD170" s="155" t="n">
        <x:v>45555</x:v>
      </x:c>
      <x:c r="AE170" s="154" t="n">
        <x:f>IFERROR(AC170/AC169-1,"")</x:f>
        <x:v>0.0008185916760850009</x:v>
      </x:c>
      <x:c r="AF170" s="153" t="n">
        <x:v>16.15</x:v>
      </x:c>
      <x:c r="AG170" s="155" t="n">
        <x:v>45555</x:v>
      </x:c>
      <x:c r="AH170" s="153" t="n">
        <x:f>IFERROR(AF170-AF169,"")</x:f>
        <x:v>-0.17999999999999972</x:v>
      </x:c>
      <x:c r="AI170" s="153" t="n">
        <x:v>4.83</x:v>
      </x:c>
      <x:c r="AJ170" s="155" t="n">
        <x:v>45555</x:v>
      </x:c>
      <x:c r="AK170" s="159" t="n">
        <x:v>216355</x:v>
      </x:c>
      <x:c r="AL170" s="154" t="n">
        <x:v>0.40242584542815</x:v>
      </x:c>
      <x:c r="AM170" s="159" t="n">
        <x:v>-77587</x:v>
      </x:c>
      <x:c r="AN170" s="155" t="n">
        <x:v>45555</x:v>
      </x:c>
      <x:c r="AO170" s="159" t="n">
        <x:v>39619</x:v>
      </x:c>
      <x:c r="AP170" s="154" t="n">
        <x:v>0.28177518580420324</x:v>
      </x:c>
      <x:c r="AQ170" s="159" t="n">
        <x:v>-37009</x:v>
      </x:c>
      <x:c r="AR170" s="147" t="str">
        <x:v>美国市场指标与CFTC数据均使用严格早于上金所交易日的最后已发布值</x:v>
      </x:c>
    </x:row>
    <x:row r="171">
      <x:c r="A171" s="155" t="n">
        <x:v>45559</x:v>
      </x:c>
      <x:c r="B171" s="153" t="n">
        <x:v>592.5</x:v>
      </x:c>
      <x:c r="C171" s="153" t="n">
        <x:v>595</x:v>
      </x:c>
      <x:c r="D171" s="153" t="n">
        <x:v>590.6</x:v>
      </x:c>
      <x:c r="E171" s="153" t="n">
        <x:v>592</x:v>
      </x:c>
      <x:c r="F171" s="154" t="n">
        <x:f>IFERROR(E171/E170-1,"")</x:f>
        <x:v>-0.0003377237419791568</x:v>
      </x:c>
      <x:c r="G171" s="154" t="n">
        <x:f>IFERROR((C171-D171)/E170,"")</x:f>
        <x:v>0.007429922323539306</x:v>
      </x:c>
      <x:c r="H171" s="153" t="n">
        <x:v>593.33</x:v>
      </x:c>
      <x:c r="I171" s="158" t="n">
        <x:v>12293.26</x:v>
      </x:c>
      <x:c r="J171" s="158" t="n">
        <x:v>7293966867.4</x:v>
      </x:c>
      <x:c r="K171" s="158"/>
      <x:c r="L171" s="153" t="n">
        <x:v>7434</x:v>
      </x:c>
      <x:c r="M171" s="153" t="n">
        <x:v>7595</x:v>
      </x:c>
      <x:c r="N171" s="153" t="n">
        <x:v>7389</x:v>
      </x:c>
      <x:c r="O171" s="153" t="n">
        <x:v>7501</x:v>
      </x:c>
      <x:c r="P171" s="154" t="n">
        <x:f>IFERROR(O171/O170-1,"")</x:f>
        <x:v>0.011734556244942018</x:v>
      </x:c>
      <x:c r="Q171" s="154" t="n">
        <x:f>IFERROR((M171-N171)/O170,"")</x:f>
        <x:v>0.027785271108713244</x:v>
      </x:c>
      <x:c r="R171" s="153" t="n">
        <x:v>7506</x:v>
      </x:c>
      <x:c r="S171" s="158" t="n">
        <x:v>521158</x:v>
      </x:c>
      <x:c r="T171" s="158" t="n">
        <x:v>3912110446</x:v>
      </x:c>
      <x:c r="U171" s="158" t="n">
        <x:v>4415544</x:v>
      </x:c>
      <x:c r="V171" s="153" t="n">
        <x:f>IFERROR(E171*1000/O171,"")</x:f>
        <x:v>78.92281029196107</x:v>
      </x:c>
      <x:c r="W171" s="153" t="n">
        <x:v>3.75</x:v>
      </x:c>
      <x:c r="X171" s="155" t="n">
        <x:v>45558</x:v>
      </x:c>
      <x:c r="Y171" s="153" t="n">
        <x:v>1.58</x:v>
      </x:c>
      <x:c r="Z171" s="155" t="n">
        <x:v>45558</x:v>
      </x:c>
      <x:c r="AA171" s="153" t="n">
        <x:f>IFERROR(Y171-Y170,"")</x:f>
        <x:v>0</x:v>
      </x:c>
      <x:c r="AB171" s="153" t="n">
        <x:v>2.17</x:v>
      </x:c>
      <x:c r="AC171" s="153" t="n">
        <x:v>121.4303</x:v>
      </x:c>
      <x:c r="AD171" s="155" t="n">
        <x:v>45558</x:v>
      </x:c>
      <x:c r="AE171" s="154" t="n">
        <x:f>IFERROR(AC171/AC170-1,"")</x:f>
        <x:v>0.0002067456748147123</x:v>
      </x:c>
      <x:c r="AF171" s="153" t="n">
        <x:v>15.89</x:v>
      </x:c>
      <x:c r="AG171" s="155" t="n">
        <x:v>45558</x:v>
      </x:c>
      <x:c r="AH171" s="153" t="n">
        <x:f>IFERROR(AF171-AF170,"")</x:f>
        <x:v>-0.259999999999998</x:v>
      </x:c>
      <x:c r="AI171" s="153" t="n">
        <x:v>4.83</x:v>
      </x:c>
      <x:c r="AJ171" s="155" t="n">
        <x:v>45555</x:v>
      </x:c>
      <x:c r="AK171" s="159" t="n">
        <x:v>216355</x:v>
      </x:c>
      <x:c r="AL171" s="154" t="n">
        <x:v>0.40242584542815</x:v>
      </x:c>
      <x:c r="AM171" s="159" t="n">
        <x:v>-77587</x:v>
      </x:c>
      <x:c r="AN171" s="155" t="n">
        <x:v>45555</x:v>
      </x:c>
      <x:c r="AO171" s="159" t="n">
        <x:v>39619</x:v>
      </x:c>
      <x:c r="AP171" s="154" t="n">
        <x:v>0.28177518580420324</x:v>
      </x:c>
      <x:c r="AQ171" s="159" t="n">
        <x:v>-37009</x:v>
      </x:c>
      <x:c r="AR171" s="147" t="str">
        <x:v>美国市场指标与CFTC数据均使用严格早于上金所交易日的最后已发布值</x:v>
      </x:c>
    </x:row>
    <x:row r="172">
      <x:c r="A172" s="155" t="n">
        <x:v>45560</x:v>
      </x:c>
      <x:c r="B172" s="153" t="n">
        <x:v>591</x:v>
      </x:c>
      <x:c r="C172" s="153" t="n">
        <x:v>599.28</x:v>
      </x:c>
      <x:c r="D172" s="153" t="n">
        <x:v>587.35</x:v>
      </x:c>
      <x:c r="E172" s="153" t="n">
        <x:v>595.66</x:v>
      </x:c>
      <x:c r="F172" s="154" t="n">
        <x:f>IFERROR(E172/E171-1,"")</x:f>
        <x:v>0.006182432432432439</x:v>
      </x:c>
      <x:c r="G172" s="154" t="n">
        <x:f>IFERROR((C172-D172)/E171,"")</x:f>
        <x:v>0.020152027027026943</x:v>
      </x:c>
      <x:c r="H172" s="153" t="n">
        <x:v>596.89</x:v>
      </x:c>
      <x:c r="I172" s="158" t="n">
        <x:v>12710.08</x:v>
      </x:c>
      <x:c r="J172" s="158" t="n">
        <x:v>7586523838.4</x:v>
      </x:c>
      <x:c r="K172" s="158"/>
      <x:c r="L172" s="153" t="n">
        <x:v>7510</x:v>
      </x:c>
      <x:c r="M172" s="153" t="n">
        <x:v>7889</x:v>
      </x:c>
      <x:c r="N172" s="153" t="n">
        <x:v>7504</x:v>
      </x:c>
      <x:c r="O172" s="153" t="n">
        <x:v>7752</x:v>
      </x:c>
      <x:c r="P172" s="154" t="n">
        <x:f>IFERROR(O172/O171-1,"")</x:f>
        <x:v>0.03346220503932806</x:v>
      </x:c>
      <x:c r="Q172" s="154" t="n">
        <x:f>IFERROR((M172-N172)/O171,"")</x:f>
        <x:v>0.05132648980135982</x:v>
      </x:c>
      <x:c r="R172" s="153" t="n">
        <x:v>7766</x:v>
      </x:c>
      <x:c r="S172" s="158" t="n">
        <x:v>574150</x:v>
      </x:c>
      <x:c r="T172" s="158" t="n">
        <x:v>4458962748</x:v>
      </x:c>
      <x:c r="U172" s="158" t="n">
        <x:v>4516876</x:v>
      </x:c>
      <x:c r="V172" s="153" t="n">
        <x:f>IFERROR(E172*1000/O172,"")</x:f>
        <x:v>76.83952528379773</x:v>
      </x:c>
      <x:c r="W172" s="153" t="n">
        <x:v>3.74</x:v>
      </x:c>
      <x:c r="X172" s="155" t="n">
        <x:v>45559</x:v>
      </x:c>
      <x:c r="Y172" s="153" t="n">
        <x:v>1.55</x:v>
      </x:c>
      <x:c r="Z172" s="155" t="n">
        <x:v>45559</x:v>
      </x:c>
      <x:c r="AA172" s="153" t="n">
        <x:f>IFERROR(Y172-Y171,"")</x:f>
        <x:v>-0.030000000000000027</x:v>
      </x:c>
      <x:c r="AB172" s="153" t="n">
        <x:v>2.19</x:v>
      </x:c>
      <x:c r="AC172" s="153" t="n">
        <x:v>121.1291</x:v>
      </x:c>
      <x:c r="AD172" s="155" t="n">
        <x:v>45559</x:v>
      </x:c>
      <x:c r="AE172" s="154" t="n">
        <x:f>IFERROR(AC172/AC171-1,"")</x:f>
        <x:v>-0.0024804352785096073</x:v>
      </x:c>
      <x:c r="AF172" s="153" t="n">
        <x:v>15.39</x:v>
      </x:c>
      <x:c r="AG172" s="155" t="n">
        <x:v>45559</x:v>
      </x:c>
      <x:c r="AH172" s="153" t="n">
        <x:f>IFERROR(AF172-AF171,"")</x:f>
        <x:v>-0.5</x:v>
      </x:c>
      <x:c r="AI172" s="153" t="n">
        <x:v>4.83</x:v>
      </x:c>
      <x:c r="AJ172" s="155" t="n">
        <x:v>45555</x:v>
      </x:c>
      <x:c r="AK172" s="159" t="n">
        <x:v>216355</x:v>
      </x:c>
      <x:c r="AL172" s="154" t="n">
        <x:v>0.40242584542815</x:v>
      </x:c>
      <x:c r="AM172" s="159" t="n">
        <x:v>-77587</x:v>
      </x:c>
      <x:c r="AN172" s="155" t="n">
        <x:v>45555</x:v>
      </x:c>
      <x:c r="AO172" s="159" t="n">
        <x:v>39619</x:v>
      </x:c>
      <x:c r="AP172" s="154" t="n">
        <x:v>0.28177518580420324</x:v>
      </x:c>
      <x:c r="AQ172" s="159" t="n">
        <x:v>-37009</x:v>
      </x:c>
      <x:c r="AR172" s="147" t="str">
        <x:v>美国市场指标与CFTC数据均使用严格早于上金所交易日的最后已发布值</x:v>
      </x:c>
    </x:row>
    <x:row r="173">
      <x:c r="A173" s="155" t="n">
        <x:v>45561</x:v>
      </x:c>
      <x:c r="B173" s="153" t="n">
        <x:v>597.5</x:v>
      </x:c>
      <x:c r="C173" s="153" t="n">
        <x:v>600</x:v>
      </x:c>
      <x:c r="D173" s="153" t="n">
        <x:v>596.8</x:v>
      </x:c>
      <x:c r="E173" s="153" t="n">
        <x:v>597.15</x:v>
      </x:c>
      <x:c r="F173" s="154" t="n">
        <x:f>IFERROR(E173/E172-1,"")</x:f>
        <x:v>0.0025014269885506035</x:v>
      </x:c>
      <x:c r="G173" s="154" t="n">
        <x:f>IFERROR((C173-D173)/E172,"")</x:f>
        <x:v>0.00537219219017568</x:v>
      </x:c>
      <x:c r="H173" s="153" t="n">
        <x:v>597.59</x:v>
      </x:c>
      <x:c r="I173" s="158" t="n">
        <x:v>10485.16</x:v>
      </x:c>
      <x:c r="J173" s="158" t="n">
        <x:v>6265891592</x:v>
      </x:c>
      <x:c r="K173" s="158"/>
      <x:c r="L173" s="153" t="n">
        <x:v>7770</x:v>
      </x:c>
      <x:c r="M173" s="153" t="n">
        <x:v>7860</x:v>
      </x:c>
      <x:c r="N173" s="153" t="n">
        <x:v>7733</x:v>
      </x:c>
      <x:c r="O173" s="153" t="n">
        <x:v>7812</x:v>
      </x:c>
      <x:c r="P173" s="154" t="n">
        <x:f>IFERROR(O173/O172-1,"")</x:f>
        <x:v>0.007739938080495445</x:v>
      </x:c>
      <x:c r="Q173" s="154" t="n">
        <x:f>IFERROR((M173-N173)/O172,"")</x:f>
        <x:v>0.016382868937048503</x:v>
      </x:c>
      <x:c r="R173" s="153" t="n">
        <x:v>7797</x:v>
      </x:c>
      <x:c r="S173" s="158" t="n">
        <x:v>489800</x:v>
      </x:c>
      <x:c r="T173" s="158" t="n">
        <x:v>3819300232</x:v>
      </x:c>
      <x:c r="U173" s="158" t="n">
        <x:v>4587828</x:v>
      </x:c>
      <x:c r="V173" s="153" t="n">
        <x:f>IFERROR(E173*1000/O173,"")</x:f>
        <x:v>76.44009216589862</x:v>
      </x:c>
      <x:c r="W173" s="153" t="n">
        <x:v>3.79</x:v>
      </x:c>
      <x:c r="X173" s="155" t="n">
        <x:v>45560</x:v>
      </x:c>
      <x:c r="Y173" s="153" t="n">
        <x:v>1.61</x:v>
      </x:c>
      <x:c r="Z173" s="155" t="n">
        <x:v>45560</x:v>
      </x:c>
      <x:c r="AA173" s="153" t="n">
        <x:f>IFERROR(Y173-Y172,"")</x:f>
        <x:v>0.06000000000000005</x:v>
      </x:c>
      <x:c r="AB173" s="153" t="n">
        <x:v>2.18</x:v>
      </x:c>
      <x:c r="AC173" s="153" t="n">
        <x:v>121.4447</x:v>
      </x:c>
      <x:c r="AD173" s="155" t="n">
        <x:v>45560</x:v>
      </x:c>
      <x:c r="AE173" s="154" t="n">
        <x:f>IFERROR(AC173/AC172-1,"")</x:f>
        <x:v>0.002605484561513327</x:v>
      </x:c>
      <x:c r="AF173" s="153" t="n">
        <x:v>15.41</x:v>
      </x:c>
      <x:c r="AG173" s="155" t="n">
        <x:v>45560</x:v>
      </x:c>
      <x:c r="AH173" s="153" t="n">
        <x:f>IFERROR(AF173-AF172,"")</x:f>
        <x:v>0.019999999999999574</x:v>
      </x:c>
      <x:c r="AI173" s="153" t="n">
        <x:v>4.83</x:v>
      </x:c>
      <x:c r="AJ173" s="155" t="n">
        <x:v>45555</x:v>
      </x:c>
      <x:c r="AK173" s="159" t="n">
        <x:v>216355</x:v>
      </x:c>
      <x:c r="AL173" s="154" t="n">
        <x:v>0.40242584542815</x:v>
      </x:c>
      <x:c r="AM173" s="159" t="n">
        <x:v>-77587</x:v>
      </x:c>
      <x:c r="AN173" s="155" t="n">
        <x:v>45555</x:v>
      </x:c>
      <x:c r="AO173" s="159" t="n">
        <x:v>39619</x:v>
      </x:c>
      <x:c r="AP173" s="154" t="n">
        <x:v>0.28177518580420324</x:v>
      </x:c>
      <x:c r="AQ173" s="159" t="n">
        <x:v>-37009</x:v>
      </x:c>
      <x:c r="AR173" s="147" t="str">
        <x:v>美国市场指标与CFTC数据均使用严格早于上金所交易日的最后已发布值</x:v>
      </x:c>
    </x:row>
    <x:row r="174">
      <x:c r="A174" s="155" t="n">
        <x:v>45562</x:v>
      </x:c>
      <x:c r="B174" s="153" t="n">
        <x:v>600</x:v>
      </x:c>
      <x:c r="C174" s="153" t="n">
        <x:v>600.56</x:v>
      </x:c>
      <x:c r="D174" s="153" t="n">
        <x:v>596</x:v>
      </x:c>
      <x:c r="E174" s="153" t="n">
        <x:v>597.16</x:v>
      </x:c>
      <x:c r="F174" s="154" t="n">
        <x:f>IFERROR(E174/E173-1,"")</x:f>
        <x:v>0.000016746211169760272</x:v>
      </x:c>
      <x:c r="G174" s="154" t="n">
        <x:f>IFERROR((C174-D174)/E173,"")</x:f>
        <x:v>0.007636272293393529</x:v>
      </x:c>
      <x:c r="H174" s="153" t="n">
        <x:v>598.49</x:v>
      </x:c>
      <x:c r="I174" s="158" t="n">
        <x:v>13161.14</x:v>
      </x:c>
      <x:c r="J174" s="158" t="n">
        <x:v>7876850225</x:v>
      </x:c>
      <x:c r="K174" s="158"/>
      <x:c r="L174" s="153" t="n">
        <x:v>7901</x:v>
      </x:c>
      <x:c r="M174" s="153" t="n">
        <x:v>7929</x:v>
      </x:c>
      <x:c r="N174" s="153" t="n">
        <x:v>7761</x:v>
      </x:c>
      <x:c r="O174" s="153" t="n">
        <x:v>7808</x:v>
      </x:c>
      <x:c r="P174" s="154" t="n">
        <x:f>IFERROR(O174/O173-1,"")</x:f>
        <x:v>-0.0005120327700972593</x:v>
      </x:c>
      <x:c r="Q174" s="154" t="n">
        <x:f>IFERROR((M174-N174)/O173,"")</x:f>
        <x:v>0.021505376344086023</x:v>
      </x:c>
      <x:c r="R174" s="153" t="n">
        <x:v>7831</x:v>
      </x:c>
      <x:c r="S174" s="158" t="n">
        <x:v>741936</x:v>
      </x:c>
      <x:c r="T174" s="158" t="n">
        <x:v>5810201936</x:v>
      </x:c>
      <x:c r="U174" s="158" t="n">
        <x:v>4365422</x:v>
      </x:c>
      <x:c r="V174" s="153" t="n">
        <x:f>IFERROR(E174*1000/O174,"")</x:f>
        <x:v>76.48053278688525</x:v>
      </x:c>
      <x:c r="W174" s="153" t="n">
        <x:v>3.79</x:v>
      </x:c>
      <x:c r="X174" s="155" t="n">
        <x:v>45561</x:v>
      </x:c>
      <x:c r="Y174" s="153" t="n">
        <x:v>1.63</x:v>
      </x:c>
      <x:c r="Z174" s="155" t="n">
        <x:v>45561</x:v>
      </x:c>
      <x:c r="AA174" s="153" t="n">
        <x:f>IFERROR(Y174-Y173,"")</x:f>
        <x:v>0.019999999999999796</x:v>
      </x:c>
      <x:c r="AB174" s="153" t="n">
        <x:v>2.16</x:v>
      </x:c>
      <x:c r="AC174" s="153" t="n">
        <x:v>121.0785</x:v>
      </x:c>
      <x:c r="AD174" s="155" t="n">
        <x:v>45561</x:v>
      </x:c>
      <x:c r="AE174" s="154" t="n">
        <x:f>IFERROR(AC174/AC173-1,"")</x:f>
        <x:v>-0.0030153641945674936</x:v>
      </x:c>
      <x:c r="AF174" s="153" t="n">
        <x:v>15.37</x:v>
      </x:c>
      <x:c r="AG174" s="155" t="n">
        <x:v>45561</x:v>
      </x:c>
      <x:c r="AH174" s="153" t="n">
        <x:f>IFERROR(AF174-AF173,"")</x:f>
        <x:v>-0.040000000000000924</x:v>
      </x:c>
      <x:c r="AI174" s="153" t="n">
        <x:v>4.83</x:v>
      </x:c>
      <x:c r="AJ174" s="155" t="n">
        <x:v>45555</x:v>
      </x:c>
      <x:c r="AK174" s="159" t="n">
        <x:v>216355</x:v>
      </x:c>
      <x:c r="AL174" s="154" t="n">
        <x:v>0.40242584542815</x:v>
      </x:c>
      <x:c r="AM174" s="159" t="n">
        <x:v>-77587</x:v>
      </x:c>
      <x:c r="AN174" s="155" t="n">
        <x:v>45555</x:v>
      </x:c>
      <x:c r="AO174" s="159" t="n">
        <x:v>39619</x:v>
      </x:c>
      <x:c r="AP174" s="154" t="n">
        <x:v>0.28177518580420324</x:v>
      </x:c>
      <x:c r="AQ174" s="159" t="n">
        <x:v>-37009</x:v>
      </x:c>
      <x:c r="AR174" s="147" t="str">
        <x:v>美国市场指标与CFTC数据均使用严格早于上金所交易日的最后已发布值</x:v>
      </x:c>
    </x:row>
    <x:row r="175">
      <x:c r="A175" s="155" t="n">
        <x:v>45565</x:v>
      </x:c>
      <x:c r="B175" s="153" t="n">
        <x:v>598.7</x:v>
      </x:c>
      <x:c r="C175" s="153" t="n">
        <x:v>598.8</x:v>
      </x:c>
      <x:c r="D175" s="153" t="n">
        <x:v>593</x:v>
      </x:c>
      <x:c r="E175" s="153" t="n">
        <x:v>595.25</x:v>
      </x:c>
      <x:c r="F175" s="154" t="n">
        <x:f>IFERROR(E175/E174-1,"")</x:f>
        <x:v>-0.0031984727711165117</x:v>
      </x:c>
      <x:c r="G175" s="154" t="n">
        <x:f>IFERROR((C175-D175)/E174,"")</x:f>
        <x:v>0.009712639828521594</x:v>
      </x:c>
      <x:c r="H175" s="153" t="n">
        <x:v>594.4</x:v>
      </x:c>
      <x:c r="I175" s="158" t="n">
        <x:v>11882.02</x:v>
      </x:c>
      <x:c r="J175" s="158" t="n">
        <x:v>7062728714</x:v>
      </x:c>
      <x:c r="K175" s="158"/>
      <x:c r="L175" s="153" t="n">
        <x:v>7850</x:v>
      </x:c>
      <x:c r="M175" s="153" t="n">
        <x:v>7905</x:v>
      </x:c>
      <x:c r="N175" s="153" t="n">
        <x:v>7665</x:v>
      </x:c>
      <x:c r="O175" s="153" t="n">
        <x:v>7765</x:v>
      </x:c>
      <x:c r="P175" s="154" t="n">
        <x:f>IFERROR(O175/O174-1,"")</x:f>
        <x:v>-0.005507172131147486</x:v>
      </x:c>
      <x:c r="Q175" s="154" t="n">
        <x:f>IFERROR((M175-N175)/O174,"")</x:f>
        <x:v>0.030737704918032786</x:v>
      </x:c>
      <x:c r="R175" s="153" t="n">
        <x:v>7798</x:v>
      </x:c>
      <x:c r="S175" s="158" t="n">
        <x:v>502760</x:v>
      </x:c>
      <x:c r="T175" s="158" t="n">
        <x:v>3920904230</x:v>
      </x:c>
      <x:c r="U175" s="158" t="n">
        <x:v>4363338</x:v>
      </x:c>
      <x:c r="V175" s="153" t="n">
        <x:f>IFERROR(E175*1000/O175,"")</x:f>
        <x:v>76.65808113329041</x:v>
      </x:c>
      <x:c r="W175" s="153" t="n">
        <x:v>3.75</x:v>
      </x:c>
      <x:c r="X175" s="155" t="n">
        <x:v>45562</x:v>
      </x:c>
      <x:c r="Y175" s="153" t="n">
        <x:v>1.6</x:v>
      </x:c>
      <x:c r="Z175" s="155" t="n">
        <x:v>45562</x:v>
      </x:c>
      <x:c r="AA175" s="153" t="n">
        <x:f>IFERROR(Y175-Y174,"")</x:f>
        <x:v>-0.029999999999999805</x:v>
      </x:c>
      <x:c r="AB175" s="153" t="n">
        <x:v>2.15</x:v>
      </x:c>
      <x:c r="AC175" s="153" t="n">
        <x:v>121.1111</x:v>
      </x:c>
      <x:c r="AD175" s="155" t="n">
        <x:v>45562</x:v>
      </x:c>
      <x:c r="AE175" s="154" t="n">
        <x:f>IFERROR(AC175/AC174-1,"")</x:f>
        <x:v>0.0002692468109530832</x:v>
      </x:c>
      <x:c r="AF175" s="153" t="n">
        <x:v>16.96</x:v>
      </x:c>
      <x:c r="AG175" s="155" t="n">
        <x:v>45562</x:v>
      </x:c>
      <x:c r="AH175" s="153" t="n">
        <x:f>IFERROR(AF175-AF174,"")</x:f>
        <x:v>1.5900000000000016</x:v>
      </x:c>
      <x:c r="AI175" s="153" t="n">
        <x:v>4.83</x:v>
      </x:c>
      <x:c r="AJ175" s="155" t="n">
        <x:v>45562</x:v>
      </x:c>
      <x:c r="AK175" s="159" t="n">
        <x:v>219029</x:v>
      </x:c>
      <x:c r="AL175" s="154" t="n">
        <x:v>0.3879091102295268</x:v>
      </x:c>
      <x:c r="AM175" s="159" t="n">
        <x:v>-80030</x:v>
      </x:c>
      <x:c r="AN175" s="155" t="n">
        <x:v>45562</x:v>
      </x:c>
      <x:c r="AO175" s="159" t="n">
        <x:v>43175</x:v>
      </x:c>
      <x:c r="AP175" s="154" t="n">
        <x:v>0.28769715667917184</x:v>
      </x:c>
      <x:c r="AQ175" s="159" t="n">
        <x:v>-38690</x:v>
      </x:c>
      <x:c r="AR175" s="147" t="str">
        <x:v>美国市场指标与CFTC数据均使用严格早于上金所交易日的最后已发布值</x:v>
      </x:c>
    </x:row>
    <x:row r="176">
      <x:c r="A176" s="155" t="n">
        <x:v>45573</x:v>
      </x:c>
      <x:c r="B176" s="153" t="n">
        <x:v>592.01</x:v>
      </x:c>
      <x:c r="C176" s="153" t="n">
        <x:v>601</x:v>
      </x:c>
      <x:c r="D176" s="153" t="n">
        <x:v>592.01</x:v>
      </x:c>
      <x:c r="E176" s="153" t="n">
        <x:v>593.4</x:v>
      </x:c>
      <x:c r="F176" s="154" t="n">
        <x:f>IFERROR(E176/E175-1,"")</x:f>
        <x:v>-0.0031079378412431913</x:v>
      </x:c>
      <x:c r="G176" s="154" t="n">
        <x:f>IFERROR((C176-D176)/E175,"")</x:f>
        <x:v>0.015102897942041175</x:v>
      </x:c>
      <x:c r="H176" s="153" t="n">
        <x:v>595.66</x:v>
      </x:c>
      <x:c r="I176" s="158" t="n">
        <x:v>11453.48</x:v>
      </x:c>
      <x:c r="J176" s="158" t="n">
        <x:v>6822449454.2</x:v>
      </x:c>
      <x:c r="K176" s="158"/>
      <x:c r="L176" s="153" t="n">
        <x:v>7772</x:v>
      </x:c>
      <x:c r="M176" s="153" t="n">
        <x:v>7868</x:v>
      </x:c>
      <x:c r="N176" s="153" t="n">
        <x:v>7642</x:v>
      </x:c>
      <x:c r="O176" s="153" t="n">
        <x:v>7650</x:v>
      </x:c>
      <x:c r="P176" s="154" t="n">
        <x:f>IFERROR(O176/O175-1,"")</x:f>
        <x:v>-0.01481004507405026</x:v>
      </x:c>
      <x:c r="Q176" s="154" t="n">
        <x:f>IFERROR((M176-N176)/O175,"")</x:f>
        <x:v>0.02910495814552479</x:v>
      </x:c>
      <x:c r="R176" s="153" t="n">
        <x:v>7751</x:v>
      </x:c>
      <x:c r="S176" s="158" t="n">
        <x:v>430428</x:v>
      </x:c>
      <x:c r="T176" s="158" t="n">
        <x:v>3336361152</x:v>
      </x:c>
      <x:c r="U176" s="158" t="n">
        <x:v>4399354</x:v>
      </x:c>
      <x:c r="V176" s="153" t="n">
        <x:f>IFERROR(E176*1000/O176,"")</x:f>
        <x:v>77.56862745098039</x:v>
      </x:c>
      <x:c r="W176" s="153" t="n">
        <x:v>4.03</x:v>
      </x:c>
      <x:c r="X176" s="155" t="n">
        <x:v>45572</x:v>
      </x:c>
      <x:c r="Y176" s="153" t="n">
        <x:v>1.76</x:v>
      </x:c>
      <x:c r="Z176" s="155" t="n">
        <x:v>45572</x:v>
      </x:c>
      <x:c r="AA176" s="153" t="n">
        <x:f>IFERROR(Y176-Y175,"")</x:f>
        <x:v>0.15999999999999992</x:v>
      </x:c>
      <x:c r="AB176" s="153" t="n">
        <x:v>2.27</x:v>
      </x:c>
      <x:c r="AC176" s="153" t="n">
        <x:v>122.4241</x:v>
      </x:c>
      <x:c r="AD176" s="155" t="n">
        <x:v>45572</x:v>
      </x:c>
      <x:c r="AE176" s="154" t="n">
        <x:f>IFERROR(AC176/AC175-1,"")</x:f>
        <x:v>0.010841285398283107</x:v>
      </x:c>
      <x:c r="AF176" s="153" t="n">
        <x:v>22.64</x:v>
      </x:c>
      <x:c r="AG176" s="155" t="n">
        <x:v>45572</x:v>
      </x:c>
      <x:c r="AH176" s="153" t="n">
        <x:f>IFERROR(AF176-AF175,"")</x:f>
        <x:v>5.68</x:v>
      </x:c>
      <x:c r="AI176" s="153" t="n">
        <x:v>4.83</x:v>
      </x:c>
      <x:c r="AJ176" s="155" t="n">
        <x:v>45569</x:v>
      </x:c>
      <x:c r="AK176" s="159" t="n">
        <x:v>214462</x:v>
      </x:c>
      <x:c r="AL176" s="154" t="n">
        <x:v>0.40228697053312</x:v>
      </x:c>
      <x:c r="AM176" s="159" t="n">
        <x:v>-75226</x:v>
      </x:c>
      <x:c r="AN176" s="155" t="n">
        <x:v>45569</x:v>
      </x:c>
      <x:c r="AO176" s="159" t="n">
        <x:v>37338</x:v>
      </x:c>
      <x:c r="AP176" s="154" t="n">
        <x:v>0.2579357129534323</x:v>
      </x:c>
      <x:c r="AQ176" s="159" t="n">
        <x:v>-37124</x:v>
      </x:c>
      <x:c r="AR176" s="147" t="str">
        <x:v>美国市场指标与CFTC数据均使用严格早于上金所交易日的最后已发布值</x:v>
      </x:c>
    </x:row>
    <x:row r="177">
      <x:c r="A177" s="155" t="n">
        <x:v>45574</x:v>
      </x:c>
      <x:c r="B177" s="153" t="n">
        <x:v>595</x:v>
      </x:c>
      <x:c r="C177" s="153" t="n">
        <x:v>596.5</x:v>
      </x:c>
      <x:c r="D177" s="153" t="n">
        <x:v>586.5</x:v>
      </x:c>
      <x:c r="E177" s="153" t="n">
        <x:v>588.6</x:v>
      </x:c>
      <x:c r="F177" s="154" t="n">
        <x:f>IFERROR(E177/E176-1,"")</x:f>
        <x:v>-0.008088978766430666</x:v>
      </x:c>
      <x:c r="G177" s="154" t="n">
        <x:f>IFERROR((C177-D177)/E176,"")</x:f>
        <x:v>0.016852039096730706</x:v>
      </x:c>
      <x:c r="H177" s="153" t="n">
        <x:v>588.61</x:v>
      </x:c>
      <x:c r="I177" s="158" t="n">
        <x:v>11779.04</x:v>
      </x:c>
      <x:c r="J177" s="158" t="n">
        <x:v>6933281681.2</x:v>
      </x:c>
      <x:c r="K177" s="158"/>
      <x:c r="L177" s="153" t="n">
        <x:v>7700</x:v>
      </x:c>
      <x:c r="M177" s="153" t="n">
        <x:v>7720</x:v>
      </x:c>
      <x:c r="N177" s="153" t="n">
        <x:v>7428</x:v>
      </x:c>
      <x:c r="O177" s="153" t="n">
        <x:v>7491</x:v>
      </x:c>
      <x:c r="P177" s="154" t="n">
        <x:f>IFERROR(O177/O176-1,"")</x:f>
        <x:v>-0.020784313725490167</x:v>
      </x:c>
      <x:c r="Q177" s="154" t="n">
        <x:f>IFERROR((M177-N177)/O176,"")</x:f>
        <x:v>0.03816993464052287</x:v>
      </x:c>
      <x:c r="R177" s="153" t="n">
        <x:v>7533</x:v>
      </x:c>
      <x:c r="S177" s="158" t="n">
        <x:v>465292</x:v>
      </x:c>
      <x:c r="T177" s="158" t="n">
        <x:v>3505401512</x:v>
      </x:c>
      <x:c r="U177" s="158" t="n">
        <x:v>4382418</x:v>
      </x:c>
      <x:c r="V177" s="153" t="n">
        <x:f>IFERROR(E177*1000/O177,"")</x:f>
        <x:v>78.57428914697637</x:v>
      </x:c>
      <x:c r="W177" s="153" t="n">
        <x:v>4.04</x:v>
      </x:c>
      <x:c r="X177" s="155" t="n">
        <x:v>45573</x:v>
      </x:c>
      <x:c r="Y177" s="153" t="n">
        <x:v>1.77</x:v>
      </x:c>
      <x:c r="Z177" s="155" t="n">
        <x:v>45573</x:v>
      </x:c>
      <x:c r="AA177" s="153" t="n">
        <x:f>IFERROR(Y177-Y176,"")</x:f>
        <x:v>0.010000000000000009</x:v>
      </x:c>
      <x:c r="AB177" s="153" t="n">
        <x:v>2.27</x:v>
      </x:c>
      <x:c r="AC177" s="153" t="n">
        <x:v>122.6625</x:v>
      </x:c>
      <x:c r="AD177" s="155" t="n">
        <x:v>45573</x:v>
      </x:c>
      <x:c r="AE177" s="154" t="n">
        <x:f>IFERROR(AC177/AC176-1,"")</x:f>
        <x:v>0.0019473289981302155</x:v>
      </x:c>
      <x:c r="AF177" s="153" t="n">
        <x:v>21.42</x:v>
      </x:c>
      <x:c r="AG177" s="155" t="n">
        <x:v>45573</x:v>
      </x:c>
      <x:c r="AH177" s="153" t="n">
        <x:f>IFERROR(AF177-AF176,"")</x:f>
        <x:v>-1.2199999999999989</x:v>
      </x:c>
      <x:c r="AI177" s="153" t="n">
        <x:v>4.83</x:v>
      </x:c>
      <x:c r="AJ177" s="155" t="n">
        <x:v>45569</x:v>
      </x:c>
      <x:c r="AK177" s="159" t="n">
        <x:v>214462</x:v>
      </x:c>
      <x:c r="AL177" s="154" t="n">
        <x:v>0.40228697053312</x:v>
      </x:c>
      <x:c r="AM177" s="159" t="n">
        <x:v>-75226</x:v>
      </x:c>
      <x:c r="AN177" s="155" t="n">
        <x:v>45569</x:v>
      </x:c>
      <x:c r="AO177" s="159" t="n">
        <x:v>37338</x:v>
      </x:c>
      <x:c r="AP177" s="154" t="n">
        <x:v>0.2579357129534323</x:v>
      </x:c>
      <x:c r="AQ177" s="159" t="n">
        <x:v>-37124</x:v>
      </x:c>
      <x:c r="AR177" s="147" t="str">
        <x:v>美国市场指标与CFTC数据均使用严格早于上金所交易日的最后已发布值</x:v>
      </x:c>
    </x:row>
    <x:row r="178">
      <x:c r="A178" s="155" t="n">
        <x:v>45575</x:v>
      </x:c>
      <x:c r="B178" s="153" t="n">
        <x:v>589</x:v>
      </x:c>
      <x:c r="C178" s="153" t="n">
        <x:v>595</x:v>
      </x:c>
      <x:c r="D178" s="153" t="n">
        <x:v>586.6</x:v>
      </x:c>
      <x:c r="E178" s="153" t="n">
        <x:v>590.89</x:v>
      </x:c>
      <x:c r="F178" s="154" t="n">
        <x:f>IFERROR(E178/E177-1,"")</x:f>
        <x:v>0.00389058783554197</x:v>
      </x:c>
      <x:c r="G178" s="154" t="n">
        <x:f>IFERROR((C178-D178)/E177,"")</x:f>
        <x:v>0.014271151885830747</x:v>
      </x:c>
      <x:c r="H178" s="153" t="n">
        <x:v>588.19</x:v>
      </x:c>
      <x:c r="I178" s="158" t="n">
        <x:v>9283.32</x:v>
      </x:c>
      <x:c r="J178" s="158" t="n">
        <x:v>5460417779.6</x:v>
      </x:c>
      <x:c r="K178" s="158"/>
      <x:c r="L178" s="153" t="n">
        <x:v>7499</x:v>
      </x:c>
      <x:c r="M178" s="153" t="n">
        <x:v>7558</x:v>
      </x:c>
      <x:c r="N178" s="153" t="n">
        <x:v>7406</x:v>
      </x:c>
      <x:c r="O178" s="153" t="n">
        <x:v>7499</x:v>
      </x:c>
      <x:c r="P178" s="154" t="n">
        <x:f>IFERROR(O178/O177-1,"")</x:f>
        <x:v>0.0010679482045121702</x:v>
      </x:c>
      <x:c r="Q178" s="154" t="n">
        <x:f>IFERROR((M178-N178)/O177,"")</x:f>
        <x:v>0.02029101588572954</x:v>
      </x:c>
      <x:c r="R178" s="153" t="n">
        <x:v>7503</x:v>
      </x:c>
      <x:c r="S178" s="158" t="n">
        <x:v>568742</x:v>
      </x:c>
      <x:c r="T178" s="158" t="n">
        <x:v>4267577672</x:v>
      </x:c>
      <x:c r="U178" s="158" t="n">
        <x:v>4263024</x:v>
      </x:c>
      <x:c r="V178" s="153" t="n">
        <x:f>IFERROR(E178*1000/O178,"")</x:f>
        <x:v>78.79583944525936</x:v>
      </x:c>
      <x:c r="W178" s="153" t="n">
        <x:v>4.06</x:v>
      </x:c>
      <x:c r="X178" s="155" t="n">
        <x:v>45574</x:v>
      </x:c>
      <x:c r="Y178" s="153" t="n">
        <x:v>1.77</x:v>
      </x:c>
      <x:c r="Z178" s="155" t="n">
        <x:v>45574</x:v>
      </x:c>
      <x:c r="AA178" s="153" t="n">
        <x:f>IFERROR(Y178-Y177,"")</x:f>
        <x:v>0</x:v>
      </x:c>
      <x:c r="AB178" s="153" t="n">
        <x:v>2.29</x:v>
      </x:c>
      <x:c r="AC178" s="153" t="n">
        <x:v>122.8821</x:v>
      </x:c>
      <x:c r="AD178" s="155" t="n">
        <x:v>45574</x:v>
      </x:c>
      <x:c r="AE178" s="154" t="n">
        <x:f>IFERROR(AC178/AC177-1,"")</x:f>
        <x:v>0.001790278202384643</x:v>
      </x:c>
      <x:c r="AF178" s="153" t="n">
        <x:v>20.86</x:v>
      </x:c>
      <x:c r="AG178" s="155" t="n">
        <x:v>45574</x:v>
      </x:c>
      <x:c r="AH178" s="153" t="n">
        <x:f>IFERROR(AF178-AF177,"")</x:f>
        <x:v>-0.5600000000000023</x:v>
      </x:c>
      <x:c r="AI178" s="153" t="n">
        <x:v>4.83</x:v>
      </x:c>
      <x:c r="AJ178" s="155" t="n">
        <x:v>45569</x:v>
      </x:c>
      <x:c r="AK178" s="159" t="n">
        <x:v>214462</x:v>
      </x:c>
      <x:c r="AL178" s="154" t="n">
        <x:v>0.40228697053312</x:v>
      </x:c>
      <x:c r="AM178" s="159" t="n">
        <x:v>-75226</x:v>
      </x:c>
      <x:c r="AN178" s="155" t="n">
        <x:v>45569</x:v>
      </x:c>
      <x:c r="AO178" s="159" t="n">
        <x:v>37338</x:v>
      </x:c>
      <x:c r="AP178" s="154" t="n">
        <x:v>0.2579357129534323</x:v>
      </x:c>
      <x:c r="AQ178" s="159" t="n">
        <x:v>-37124</x:v>
      </x:c>
      <x:c r="AR178" s="147" t="str">
        <x:v>美国市场指标与CFTC数据均使用严格早于上金所交易日的最后已发布值</x:v>
      </x:c>
    </x:row>
    <x:row r="179">
      <x:c r="A179" s="155" t="n">
        <x:v>45576</x:v>
      </x:c>
      <x:c r="B179" s="153" t="n">
        <x:v>590.18</x:v>
      </x:c>
      <x:c r="C179" s="153" t="n">
        <x:v>597.5</x:v>
      </x:c>
      <x:c r="D179" s="153" t="n">
        <x:v>590</x:v>
      </x:c>
      <x:c r="E179" s="153" t="n">
        <x:v>597.3</x:v>
      </x:c>
      <x:c r="F179" s="154" t="n">
        <x:f>IFERROR(E179/E178-1,"")</x:f>
        <x:v>0.01084804278292073</x:v>
      </x:c>
      <x:c r="G179" s="154" t="n">
        <x:f>IFERROR((C179-D179)/E178,"")</x:f>
        <x:v>0.012692717764727784</x:v>
      </x:c>
      <x:c r="H179" s="153" t="n">
        <x:v>595.97</x:v>
      </x:c>
      <x:c r="I179" s="158" t="n">
        <x:v>9382.56</x:v>
      </x:c>
      <x:c r="J179" s="158" t="n">
        <x:v>5591747864.6</x:v>
      </x:c>
      <x:c r="K179" s="158"/>
      <x:c r="L179" s="153" t="n">
        <x:v>7510</x:v>
      </x:c>
      <x:c r="M179" s="153" t="n">
        <x:v>7711</x:v>
      </x:c>
      <x:c r="N179" s="153" t="n">
        <x:v>7510</x:v>
      </x:c>
      <x:c r="O179" s="153" t="n">
        <x:v>7648</x:v>
      </x:c>
      <x:c r="P179" s="154" t="n">
        <x:f>IFERROR(O179/O178-1,"")</x:f>
        <x:v>0.019869315908787932</x:v>
      </x:c>
      <x:c r="Q179" s="154" t="n">
        <x:f>IFERROR((M179-N179)/O178,"")</x:f>
        <x:v>0.026803573809841313</x:v>
      </x:c>
      <x:c r="R179" s="153" t="n">
        <x:v>7641</x:v>
      </x:c>
      <x:c r="S179" s="158" t="n">
        <x:v>564072</x:v>
      </x:c>
      <x:c r="T179" s="158" t="n">
        <x:v>4310168122</x:v>
      </x:c>
      <x:c r="U179" s="158" t="n">
        <x:v>4370334</x:v>
      </x:c>
      <x:c r="V179" s="153" t="n">
        <x:f>IFERROR(E179*1000/O179,"")</x:f>
        <x:v>78.09884937238493</x:v>
      </x:c>
      <x:c r="W179" s="153" t="n">
        <x:v>4.09</x:v>
      </x:c>
      <x:c r="X179" s="155" t="n">
        <x:v>45575</x:v>
      </x:c>
      <x:c r="Y179" s="153" t="n">
        <x:v>1.76</x:v>
      </x:c>
      <x:c r="Z179" s="155" t="n">
        <x:v>45575</x:v>
      </x:c>
      <x:c r="AA179" s="153" t="n">
        <x:f>IFERROR(Y179-Y178,"")</x:f>
        <x:v>-0.010000000000000009</x:v>
      </x:c>
      <x:c r="AB179" s="153" t="n">
        <x:v>2.33</x:v>
      </x:c>
      <x:c r="AC179" s="153" t="n">
        <x:v>123.0951</x:v>
      </x:c>
      <x:c r="AD179" s="155" t="n">
        <x:v>45575</x:v>
      </x:c>
      <x:c r="AE179" s="154" t="n">
        <x:f>IFERROR(AC179/AC178-1,"")</x:f>
        <x:v>0.0017333688144978154</x:v>
      </x:c>
      <x:c r="AF179" s="153" t="n">
        <x:v>20.93</x:v>
      </x:c>
      <x:c r="AG179" s="155" t="n">
        <x:v>45575</x:v>
      </x:c>
      <x:c r="AH179" s="153" t="n">
        <x:f>IFERROR(AF179-AF178,"")</x:f>
        <x:v>0.07000000000000028</x:v>
      </x:c>
      <x:c r="AI179" s="153" t="n">
        <x:v>4.83</x:v>
      </x:c>
      <x:c r="AJ179" s="155" t="n">
        <x:v>45569</x:v>
      </x:c>
      <x:c r="AK179" s="159" t="n">
        <x:v>214462</x:v>
      </x:c>
      <x:c r="AL179" s="154" t="n">
        <x:v>0.40228697053312</x:v>
      </x:c>
      <x:c r="AM179" s="159" t="n">
        <x:v>-75226</x:v>
      </x:c>
      <x:c r="AN179" s="155" t="n">
        <x:v>45569</x:v>
      </x:c>
      <x:c r="AO179" s="159" t="n">
        <x:v>37338</x:v>
      </x:c>
      <x:c r="AP179" s="154" t="n">
        <x:v>0.2579357129534323</x:v>
      </x:c>
      <x:c r="AQ179" s="159" t="n">
        <x:v>-37124</x:v>
      </x:c>
      <x:c r="AR179" s="147" t="str">
        <x:v>美国市场指标与CFTC数据均使用严格早于上金所交易日的最后已发布值</x:v>
      </x:c>
    </x:row>
    <x:row r="180">
      <x:c r="A180" s="155" t="n">
        <x:v>45579</x:v>
      </x:c>
      <x:c r="B180" s="153" t="n">
        <x:v>596.5</x:v>
      </x:c>
      <x:c r="C180" s="153" t="n">
        <x:v>602.8</x:v>
      </x:c>
      <x:c r="D180" s="153" t="n">
        <x:v>596.5</x:v>
      </x:c>
      <x:c r="E180" s="153" t="n">
        <x:v>600.82</x:v>
      </x:c>
      <x:c r="F180" s="154" t="n">
        <x:f>IFERROR(E180/E179-1,"")</x:f>
        <x:v>0.005893186003683493</x:v>
      </x:c>
      <x:c r="G180" s="154" t="n">
        <x:f>IFERROR((C180-D180)/E179,"")</x:f>
        <x:v>0.010547463586137545</x:v>
      </x:c>
      <x:c r="H180" s="153" t="n">
        <x:v>599.44</x:v>
      </x:c>
      <x:c r="I180" s="158" t="n">
        <x:v>7940.22</x:v>
      </x:c>
      <x:c r="J180" s="158" t="n">
        <x:v>4759722969.8</x:v>
      </x:c>
      <x:c r="K180" s="158"/>
      <x:c r="L180" s="153" t="n">
        <x:v>7669</x:v>
      </x:c>
      <x:c r="M180" s="153" t="n">
        <x:v>7799</x:v>
      </x:c>
      <x:c r="N180" s="153" t="n">
        <x:v>7621</x:v>
      </x:c>
      <x:c r="O180" s="153" t="n">
        <x:v>7759</x:v>
      </x:c>
      <x:c r="P180" s="154" t="n">
        <x:f>IFERROR(O180/O179-1,"")</x:f>
        <x:v>0.014513598326359789</x:v>
      </x:c>
      <x:c r="Q180" s="154" t="n">
        <x:f>IFERROR((M180-N180)/O179,"")</x:f>
        <x:v>0.023274058577405856</x:v>
      </x:c>
      <x:c r="R180" s="153" t="n">
        <x:v>7709</x:v>
      </x:c>
      <x:c r="S180" s="158" t="n">
        <x:v>513802</x:v>
      </x:c>
      <x:c r="T180" s="158" t="n">
        <x:v>3961050012</x:v>
      </x:c>
      <x:c r="U180" s="158" t="n">
        <x:v>4304332</x:v>
      </x:c>
      <x:c r="V180" s="153" t="n">
        <x:f>IFERROR(E180*1000/O180,"")</x:f>
        <x:v>77.4352364995489</x:v>
      </x:c>
      <x:c r="W180" s="153" t="n">
        <x:v>4.08</x:v>
      </x:c>
      <x:c r="X180" s="155" t="n">
        <x:v>45576</x:v>
      </x:c>
      <x:c r="Y180" s="153" t="n">
        <x:v>1.75</x:v>
      </x:c>
      <x:c r="Z180" s="155" t="n">
        <x:v>45576</x:v>
      </x:c>
      <x:c r="AA180" s="153" t="n">
        <x:f>IFERROR(Y180-Y179,"")</x:f>
        <x:v>-0.010000000000000009</x:v>
      </x:c>
      <x:c r="AB180" s="153" t="n">
        <x:v>2.33</x:v>
      </x:c>
      <x:c r="AC180" s="153" t="n">
        <x:v>122.9805</x:v>
      </x:c>
      <x:c r="AD180" s="155" t="n">
        <x:v>45576</x:v>
      </x:c>
      <x:c r="AE180" s="154" t="n">
        <x:f>IFERROR(AC180/AC179-1,"")</x:f>
        <x:v>-0.0009309875047828209</x:v>
      </x:c>
      <x:c r="AF180" s="153" t="n">
        <x:v>20.46</x:v>
      </x:c>
      <x:c r="AG180" s="155" t="n">
        <x:v>45576</x:v>
      </x:c>
      <x:c r="AH180" s="153" t="n">
        <x:f>IFERROR(AF180-AF179,"")</x:f>
        <x:v>-0.46999999999999886</x:v>
      </x:c>
      <x:c r="AI180" s="153" t="n">
        <x:v>4.83</x:v>
      </x:c>
      <x:c r="AJ180" s="155" t="n">
        <x:v>45576</x:v>
      </x:c>
      <x:c r="AK180" s="159" t="n">
        <x:v>194059</x:v>
      </x:c>
      <x:c r="AL180" s="154" t="n">
        <x:v>0.3729637374211056</x:v>
      </x:c>
      <x:c r="AM180" s="159" t="n">
        <x:v>-71151</x:v>
      </x:c>
      <x:c r="AN180" s="155" t="n">
        <x:v>45576</x:v>
      </x:c>
      <x:c r="AO180" s="159" t="n">
        <x:v>34636</x:v>
      </x:c>
      <x:c r="AP180" s="154" t="n">
        <x:v>0.242482795315005</x:v>
      </x:c>
      <x:c r="AQ180" s="159" t="n">
        <x:v>-35759</x:v>
      </x:c>
      <x:c r="AR180" s="147" t="str">
        <x:v>美国市场指标与CFTC数据均使用严格早于上金所交易日的最后已发布值</x:v>
      </x:c>
    </x:row>
    <x:row r="181">
      <x:c r="A181" s="155" t="n">
        <x:v>45580</x:v>
      </x:c>
      <x:c r="B181" s="153" t="n">
        <x:v>600</x:v>
      </x:c>
      <x:c r="C181" s="153" t="n">
        <x:v>603.45</x:v>
      </x:c>
      <x:c r="D181" s="153" t="n">
        <x:v>598</x:v>
      </x:c>
      <x:c r="E181" s="153" t="n">
        <x:v>603.26</x:v>
      </x:c>
      <x:c r="F181" s="154" t="n">
        <x:f>IFERROR(E181/E180-1,"")</x:f>
        <x:v>0.004061116474151971</x:v>
      </x:c>
      <x:c r="G181" s="154" t="n">
        <x:f>IFERROR((C181-D181)/E180,"")</x:f>
        <x:v>0.009070936386937926</x:v>
      </x:c>
      <x:c r="H181" s="153" t="n">
        <x:v>601.15</x:v>
      </x:c>
      <x:c r="I181" s="158" t="n">
        <x:v>8730.3</x:v>
      </x:c>
      <x:c r="J181" s="158" t="n">
        <x:v>5248285208.8</x:v>
      </x:c>
      <x:c r="K181" s="158"/>
      <x:c r="L181" s="153" t="n">
        <x:v>7706</x:v>
      </x:c>
      <x:c r="M181" s="153" t="n">
        <x:v>7754</x:v>
      </x:c>
      <x:c r="N181" s="153" t="n">
        <x:v>7604</x:v>
      </x:c>
      <x:c r="O181" s="153" t="n">
        <x:v>7692</x:v>
      </x:c>
      <x:c r="P181" s="154" t="n">
        <x:f>IFERROR(O181/O180-1,"")</x:f>
        <x:v>-0.008635133393478545</x:v>
      </x:c>
      <x:c r="Q181" s="154" t="n">
        <x:f>IFERROR((M181-N181)/O180,"")</x:f>
        <x:v>0.019332388194354944</x:v>
      </x:c>
      <x:c r="R181" s="153" t="n">
        <x:v>7694</x:v>
      </x:c>
      <x:c r="S181" s="158" t="n">
        <x:v>558072</x:v>
      </x:c>
      <x:c r="T181" s="158" t="n">
        <x:v>4294122502</x:v>
      </x:c>
      <x:c r="U181" s="158" t="n">
        <x:v>4159696</x:v>
      </x:c>
      <x:c r="V181" s="153" t="n">
        <x:f>IFERROR(E181*1000/O181,"")</x:f>
        <x:v>78.4269370774831</x:v>
      </x:c>
      <x:c r="W181" s="153" t="n">
        <x:v>4.08</x:v>
      </x:c>
      <x:c r="X181" s="155" t="n">
        <x:v>45576</x:v>
      </x:c>
      <x:c r="Y181" s="153" t="n">
        <x:v>1.75</x:v>
      </x:c>
      <x:c r="Z181" s="155" t="n">
        <x:v>45576</x:v>
      </x:c>
      <x:c r="AA181" s="153" t="n">
        <x:f>IFERROR(Y181-Y180,"")</x:f>
        <x:v>0</x:v>
      </x:c>
      <x:c r="AB181" s="153" t="n">
        <x:v>2.33</x:v>
      </x:c>
      <x:c r="AC181" s="153" t="n">
        <x:v>122.9805</x:v>
      </x:c>
      <x:c r="AD181" s="155" t="n">
        <x:v>45576</x:v>
      </x:c>
      <x:c r="AE181" s="154" t="n">
        <x:f>IFERROR(AC181/AC180-1,"")</x:f>
        <x:v>0</x:v>
      </x:c>
      <x:c r="AF181" s="153" t="n">
        <x:v>19.7</x:v>
      </x:c>
      <x:c r="AG181" s="155" t="n">
        <x:v>45579</x:v>
      </x:c>
      <x:c r="AH181" s="153" t="n">
        <x:f>IFERROR(AF181-AF180,"")</x:f>
        <x:v>-0.7600000000000016</x:v>
      </x:c>
      <x:c r="AI181" s="153" t="n">
        <x:v>4.83</x:v>
      </x:c>
      <x:c r="AJ181" s="155" t="n">
        <x:v>45576</x:v>
      </x:c>
      <x:c r="AK181" s="159" t="n">
        <x:v>194059</x:v>
      </x:c>
      <x:c r="AL181" s="154" t="n">
        <x:v>0.3729637374211056</x:v>
      </x:c>
      <x:c r="AM181" s="159" t="n">
        <x:v>-71151</x:v>
      </x:c>
      <x:c r="AN181" s="155" t="n">
        <x:v>45576</x:v>
      </x:c>
      <x:c r="AO181" s="159" t="n">
        <x:v>34636</x:v>
      </x:c>
      <x:c r="AP181" s="154" t="n">
        <x:v>0.242482795315005</x:v>
      </x:c>
      <x:c r="AQ181" s="159" t="n">
        <x:v>-35759</x:v>
      </x:c>
      <x:c r="AR181" s="147" t="str">
        <x:v>美国市场指标与CFTC数据均使用严格早于上金所交易日的最后已发布值</x:v>
      </x:c>
    </x:row>
    <x:row r="182">
      <x:c r="A182" s="155" t="n">
        <x:v>45581</x:v>
      </x:c>
      <x:c r="B182" s="153" t="n">
        <x:v>602</x:v>
      </x:c>
      <x:c r="C182" s="153" t="n">
        <x:v>610.59</x:v>
      </x:c>
      <x:c r="D182" s="153" t="n">
        <x:v>602</x:v>
      </x:c>
      <x:c r="E182" s="153" t="n">
        <x:v>609.96</x:v>
      </x:c>
      <x:c r="F182" s="154" t="n">
        <x:f>IFERROR(E182/E181-1,"")</x:f>
        <x:v>0.011106322315419526</x:v>
      </x:c>
      <x:c r="G182" s="154" t="n">
        <x:f>IFERROR((C182-D182)/E181,"")</x:f>
        <x:v>0.014239299804396168</x:v>
      </x:c>
      <x:c r="H182" s="153" t="n">
        <x:v>607.98</x:v>
      </x:c>
      <x:c r="I182" s="158" t="n">
        <x:v>8941.72</x:v>
      </x:c>
      <x:c r="J182" s="158" t="n">
        <x:v>5436448030.2</x:v>
      </x:c>
      <x:c r="K182" s="158"/>
      <x:c r="L182" s="153" t="n">
        <x:v>7690</x:v>
      </x:c>
      <x:c r="M182" s="153" t="n">
        <x:v>7880</x:v>
      </x:c>
      <x:c r="N182" s="153" t="n">
        <x:v>7641</x:v>
      </x:c>
      <x:c r="O182" s="153" t="n">
        <x:v>7866</x:v>
      </x:c>
      <x:c r="P182" s="154" t="n">
        <x:f>IFERROR(O182/O181-1,"")</x:f>
        <x:v>0.02262090483619339</x:v>
      </x:c>
      <x:c r="Q182" s="154" t="n">
        <x:f>IFERROR((M182-N182)/O181,"")</x:f>
        <x:v>0.03107124284971399</x:v>
      </x:c>
      <x:c r="R182" s="153" t="n">
        <x:v>7808</x:v>
      </x:c>
      <x:c r="S182" s="158" t="n">
        <x:v>665594</x:v>
      </x:c>
      <x:c r="T182" s="158" t="n">
        <x:v>5197542622</x:v>
      </x:c>
      <x:c r="U182" s="158" t="n">
        <x:v>4187838</x:v>
      </x:c>
      <x:c r="V182" s="153" t="n">
        <x:f>IFERROR(E182*1000/O182,"")</x:f>
        <x:v>77.54385964912281</x:v>
      </x:c>
      <x:c r="W182" s="153" t="n">
        <x:v>4.03</x:v>
      </x:c>
      <x:c r="X182" s="155" t="n">
        <x:v>45580</x:v>
      </x:c>
      <x:c r="Y182" s="153" t="n">
        <x:v>1.75</x:v>
      </x:c>
      <x:c r="Z182" s="155" t="n">
        <x:v>45580</x:v>
      </x:c>
      <x:c r="AA182" s="153" t="n">
        <x:f>IFERROR(Y182-Y181,"")</x:f>
        <x:v>0</x:v>
      </x:c>
      <x:c r="AB182" s="153" t="n">
        <x:v>2.28</x:v>
      </x:c>
      <x:c r="AC182" s="153" t="n">
        <x:v>123.5124</x:v>
      </x:c>
      <x:c r="AD182" s="155" t="n">
        <x:v>45580</x:v>
      </x:c>
      <x:c r="AE182" s="154" t="n">
        <x:f>IFERROR(AC182/AC181-1,"")</x:f>
        <x:v>0.004325075926671307</x:v>
      </x:c>
      <x:c r="AF182" s="153" t="n">
        <x:v>20.64</x:v>
      </x:c>
      <x:c r="AG182" s="155" t="n">
        <x:v>45580</x:v>
      </x:c>
      <x:c r="AH182" s="153" t="n">
        <x:f>IFERROR(AF182-AF181,"")</x:f>
        <x:v>0.9400000000000013</x:v>
      </x:c>
      <x:c r="AI182" s="153" t="n">
        <x:v>4.83</x:v>
      </x:c>
      <x:c r="AJ182" s="155" t="n">
        <x:v>45576</x:v>
      </x:c>
      <x:c r="AK182" s="159" t="n">
        <x:v>194059</x:v>
      </x:c>
      <x:c r="AL182" s="154" t="n">
        <x:v>0.3729637374211056</x:v>
      </x:c>
      <x:c r="AM182" s="159" t="n">
        <x:v>-71151</x:v>
      </x:c>
      <x:c r="AN182" s="155" t="n">
        <x:v>45576</x:v>
      </x:c>
      <x:c r="AO182" s="159" t="n">
        <x:v>34636</x:v>
      </x:c>
      <x:c r="AP182" s="154" t="n">
        <x:v>0.242482795315005</x:v>
      </x:c>
      <x:c r="AQ182" s="159" t="n">
        <x:v>-35759</x:v>
      </x:c>
      <x:c r="AR182" s="147" t="str">
        <x:v>美国市场指标与CFTC数据均使用严格早于上金所交易日的最后已发布值</x:v>
      </x:c>
    </x:row>
    <x:row r="183">
      <x:c r="A183" s="155" t="n">
        <x:v>45582</x:v>
      </x:c>
      <x:c r="B183" s="153" t="n">
        <x:v>610</x:v>
      </x:c>
      <x:c r="C183" s="153" t="n">
        <x:v>613.5</x:v>
      </x:c>
      <x:c r="D183" s="153" t="n">
        <x:v>609</x:v>
      </x:c>
      <x:c r="E183" s="153" t="n">
        <x:v>612.66</x:v>
      </x:c>
      <x:c r="F183" s="154" t="n">
        <x:f>IFERROR(E183/E182-1,"")</x:f>
        <x:v>0.0044265197717880955</x:v>
      </x:c>
      <x:c r="G183" s="154" t="n">
        <x:f>IFERROR((C183-D183)/E182,"")</x:f>
        <x:v>0.007377532952980523</x:v>
      </x:c>
      <x:c r="H183" s="153" t="n">
        <x:v>612.27</x:v>
      </x:c>
      <x:c r="I183" s="158" t="n">
        <x:v>8465.16</x:v>
      </x:c>
      <x:c r="J183" s="158" t="n">
        <x:v>5183035293.2</x:v>
      </x:c>
      <x:c r="K183" s="158"/>
      <x:c r="L183" s="153" t="n">
        <x:v>7890</x:v>
      </x:c>
      <x:c r="M183" s="153" t="n">
        <x:v>7986</x:v>
      </x:c>
      <x:c r="N183" s="153" t="n">
        <x:v>7753</x:v>
      </x:c>
      <x:c r="O183" s="153" t="n">
        <x:v>7817</x:v>
      </x:c>
      <x:c r="P183" s="154" t="n">
        <x:f>IFERROR(O183/O182-1,"")</x:f>
        <x:v>-0.006229341469616068</x:v>
      </x:c>
      <x:c r="Q183" s="154" t="n">
        <x:f>IFERROR((M183-N183)/O182,"")</x:f>
        <x:v>0.029621154335113146</x:v>
      </x:c>
      <x:c r="R183" s="153" t="n">
        <x:v>7858</x:v>
      </x:c>
      <x:c r="S183" s="158" t="n">
        <x:v>550512</x:v>
      </x:c>
      <x:c r="T183" s="158" t="n">
        <x:v>4326001810</x:v>
      </x:c>
      <x:c r="U183" s="158" t="n">
        <x:v>4217410</x:v>
      </x:c>
      <x:c r="V183" s="153" t="n">
        <x:f>IFERROR(E183*1000/O183,"")</x:f>
        <x:v>78.3753358065754</x:v>
      </x:c>
      <x:c r="W183" s="153" t="n">
        <x:v>4.02</x:v>
      </x:c>
      <x:c r="X183" s="155" t="n">
        <x:v>45581</x:v>
      </x:c>
      <x:c r="Y183" s="153" t="n">
        <x:v>1.75</x:v>
      </x:c>
      <x:c r="Z183" s="155" t="n">
        <x:v>45581</x:v>
      </x:c>
      <x:c r="AA183" s="153" t="n">
        <x:f>IFERROR(Y183-Y182,"")</x:f>
        <x:v>0</x:v>
      </x:c>
      <x:c r="AB183" s="153" t="n">
        <x:v>2.27</x:v>
      </x:c>
      <x:c r="AC183" s="153" t="n">
        <x:v>123.9235</x:v>
      </x:c>
      <x:c r="AD183" s="155" t="n">
        <x:v>45581</x:v>
      </x:c>
      <x:c r="AE183" s="154" t="n">
        <x:f>IFERROR(AC183/AC182-1,"")</x:f>
        <x:v>0.0033284107506614813</x:v>
      </x:c>
      <x:c r="AF183" s="153" t="n">
        <x:v>19.58</x:v>
      </x:c>
      <x:c r="AG183" s="155" t="n">
        <x:v>45581</x:v>
      </x:c>
      <x:c r="AH183" s="153" t="n">
        <x:f>IFERROR(AF183-AF182,"")</x:f>
        <x:v>-1.0600000000000023</x:v>
      </x:c>
      <x:c r="AI183" s="153" t="n">
        <x:v>4.83</x:v>
      </x:c>
      <x:c r="AJ183" s="155" t="n">
        <x:v>45576</x:v>
      </x:c>
      <x:c r="AK183" s="159" t="n">
        <x:v>194059</x:v>
      </x:c>
      <x:c r="AL183" s="154" t="n">
        <x:v>0.3729637374211056</x:v>
      </x:c>
      <x:c r="AM183" s="159" t="n">
        <x:v>-71151</x:v>
      </x:c>
      <x:c r="AN183" s="155" t="n">
        <x:v>45576</x:v>
      </x:c>
      <x:c r="AO183" s="159" t="n">
        <x:v>34636</x:v>
      </x:c>
      <x:c r="AP183" s="154" t="n">
        <x:v>0.242482795315005</x:v>
      </x:c>
      <x:c r="AQ183" s="159" t="n">
        <x:v>-35759</x:v>
      </x:c>
      <x:c r="AR183" s="147" t="str">
        <x:v>美国市场指标与CFTC数据均使用严格早于上金所交易日的最后已发布值</x:v>
      </x:c>
    </x:row>
    <x:row r="184">
      <x:c r="A184" s="155" t="n">
        <x:v>45583</x:v>
      </x:c>
      <x:c r="B184" s="153" t="n">
        <x:v>612.3</x:v>
      </x:c>
      <x:c r="C184" s="153" t="n">
        <x:v>621.39</x:v>
      </x:c>
      <x:c r="D184" s="153" t="n">
        <x:v>612</x:v>
      </x:c>
      <x:c r="E184" s="153" t="n">
        <x:v>616.83</x:v>
      </x:c>
      <x:c r="F184" s="154" t="n">
        <x:f>IFERROR(E184/E183-1,"")</x:f>
        <x:v>0.006806385270786475</x:v>
      </x:c>
      <x:c r="G184" s="154" t="n">
        <x:f>IFERROR((C184-D184)/E183,"")</x:f>
        <x:v>0.015326608559396708</x:v>
      </x:c>
      <x:c r="H184" s="153" t="n">
        <x:v>618.72</x:v>
      </x:c>
      <x:c r="I184" s="158" t="n">
        <x:v>12773.8</x:v>
      </x:c>
      <x:c r="J184" s="158" t="n">
        <x:v>7903530320.4</x:v>
      </x:c>
      <x:c r="K184" s="158"/>
      <x:c r="L184" s="153" t="n">
        <x:v>7840</x:v>
      </x:c>
      <x:c r="M184" s="153" t="n">
        <x:v>7970</x:v>
      </x:c>
      <x:c r="N184" s="153" t="n">
        <x:v>7737</x:v>
      </x:c>
      <x:c r="O184" s="153" t="n">
        <x:v>7874</x:v>
      </x:c>
      <x:c r="P184" s="154" t="n">
        <x:f>IFERROR(O184/O183-1,"")</x:f>
        <x:v>0.0072917999232442465</x:v>
      </x:c>
      <x:c r="Q184" s="154" t="n">
        <x:f>IFERROR((M184-N184)/O183,"")</x:f>
        <x:v>0.02980683126519125</x:v>
      </x:c>
      <x:c r="R184" s="153" t="n">
        <x:v>7877</x:v>
      </x:c>
      <x:c r="S184" s="158" t="n">
        <x:v>486534</x:v>
      </x:c>
      <x:c r="T184" s="158" t="n">
        <x:v>3832605192</x:v>
      </x:c>
      <x:c r="U184" s="158" t="n">
        <x:v>4238352</x:v>
      </x:c>
      <x:c r="V184" s="153" t="n">
        <x:f>IFERROR(E184*1000/O184,"")</x:f>
        <x:v>78.33756667513335</x:v>
      </x:c>
      <x:c r="W184" s="153" t="n">
        <x:v>4.09</x:v>
      </x:c>
      <x:c r="X184" s="155" t="n">
        <x:v>45582</x:v>
      </x:c>
      <x:c r="Y184" s="153" t="n">
        <x:v>1.79</x:v>
      </x:c>
      <x:c r="Z184" s="155" t="n">
        <x:v>45582</x:v>
      </x:c>
      <x:c r="AA184" s="153" t="n">
        <x:f>IFERROR(Y184-Y183,"")</x:f>
        <x:v>0.040000000000000036</x:v>
      </x:c>
      <x:c r="AB184" s="153" t="n">
        <x:v>2.3</x:v>
      </x:c>
      <x:c r="AC184" s="153" t="n">
        <x:v>124.1122</x:v>
      </x:c>
      <x:c r="AD184" s="155" t="n">
        <x:v>45582</x:v>
      </x:c>
      <x:c r="AE184" s="154" t="n">
        <x:f>IFERROR(AC184/AC183-1,"")</x:f>
        <x:v>0.0015227136096058747</x:v>
      </x:c>
      <x:c r="AF184" s="153" t="n">
        <x:v>19.11</x:v>
      </x:c>
      <x:c r="AG184" s="155" t="n">
        <x:v>45582</x:v>
      </x:c>
      <x:c r="AH184" s="153" t="n">
        <x:f>IFERROR(AF184-AF183,"")</x:f>
        <x:v>-0.46999999999999886</x:v>
      </x:c>
      <x:c r="AI184" s="153" t="n">
        <x:v>4.83</x:v>
      </x:c>
      <x:c r="AJ184" s="155" t="n">
        <x:v>45576</x:v>
      </x:c>
      <x:c r="AK184" s="159" t="n">
        <x:v>194059</x:v>
      </x:c>
      <x:c r="AL184" s="154" t="n">
        <x:v>0.3729637374211056</x:v>
      </x:c>
      <x:c r="AM184" s="159" t="n">
        <x:v>-71151</x:v>
      </x:c>
      <x:c r="AN184" s="155" t="n">
        <x:v>45576</x:v>
      </x:c>
      <x:c r="AO184" s="159" t="n">
        <x:v>34636</x:v>
      </x:c>
      <x:c r="AP184" s="154" t="n">
        <x:v>0.242482795315005</x:v>
      </x:c>
      <x:c r="AQ184" s="159" t="n">
        <x:v>-35759</x:v>
      </x:c>
      <x:c r="AR184" s="147" t="str">
        <x:v>美国市场指标与CFTC数据均使用严格早于上金所交易日的最后已发布值</x:v>
      </x:c>
    </x:row>
    <x:row r="185">
      <x:c r="A185" s="155" t="n">
        <x:v>45586</x:v>
      </x:c>
      <x:c r="B185" s="153" t="n">
        <x:v>618</x:v>
      </x:c>
      <x:c r="C185" s="153" t="n">
        <x:v>624.7</x:v>
      </x:c>
      <x:c r="D185" s="153" t="n">
        <x:v>610</x:v>
      </x:c>
      <x:c r="E185" s="153" t="n">
        <x:v>624.06</x:v>
      </x:c>
      <x:c r="F185" s="154" t="n">
        <x:f>IFERROR(E185/E184-1,"")</x:f>
        <x:v>0.011721219785029824</x:v>
      </x:c>
      <x:c r="G185" s="154" t="n">
        <x:f>IFERROR((C185-D185)/E184,"")</x:f>
        <x:v>0.023831525704002796</x:v>
      </x:c>
      <x:c r="H185" s="153" t="n">
        <x:v>622.95</x:v>
      </x:c>
      <x:c r="I185" s="158" t="n">
        <x:v>13692.42</x:v>
      </x:c>
      <x:c r="J185" s="158" t="n">
        <x:v>8529790708.2</x:v>
      </x:c>
      <x:c r="K185" s="158"/>
      <x:c r="L185" s="153" t="n">
        <x:v>7890</x:v>
      </x:c>
      <x:c r="M185" s="153" t="n">
        <x:v>8349</x:v>
      </x:c>
      <x:c r="N185" s="153" t="n">
        <x:v>7883</x:v>
      </x:c>
      <x:c r="O185" s="153" t="n">
        <x:v>8289</x:v>
      </x:c>
      <x:c r="P185" s="154" t="n">
        <x:f>IFERROR(O185/O184-1,"")</x:f>
        <x:v>0.052705105410210784</x:v>
      </x:c>
      <x:c r="Q185" s="154" t="n">
        <x:f>IFERROR((M185-N185)/O184,"")</x:f>
        <x:v>0.05918211836423673</x:v>
      </x:c>
      <x:c r="R185" s="153" t="n">
        <x:v>8189</x:v>
      </x:c>
      <x:c r="S185" s="158" t="n">
        <x:v>655836</x:v>
      </x:c>
      <x:c r="T185" s="158" t="n">
        <x:v>5370683998</x:v>
      </x:c>
      <x:c r="U185" s="158" t="n">
        <x:v>4322564</x:v>
      </x:c>
      <x:c r="V185" s="153" t="n">
        <x:f>IFERROR(E185*1000/O185,"")</x:f>
        <x:v>75.28773072747015</x:v>
      </x:c>
      <x:c r="W185" s="153" t="n">
        <x:v>4.08</x:v>
      </x:c>
      <x:c r="X185" s="155" t="n">
        <x:v>45583</x:v>
      </x:c>
      <x:c r="Y185" s="153" t="n">
        <x:v>1.77</x:v>
      </x:c>
      <x:c r="Z185" s="155" t="n">
        <x:v>45583</x:v>
      </x:c>
      <x:c r="AA185" s="153" t="n">
        <x:f>IFERROR(Y185-Y184,"")</x:f>
        <x:v>-0.020000000000000018</x:v>
      </x:c>
      <x:c r="AB185" s="153" t="n">
        <x:v>2.31</x:v>
      </x:c>
      <x:c r="AC185" s="153" t="n">
        <x:v>123.9185</x:v>
      </x:c>
      <x:c r="AD185" s="155" t="n">
        <x:v>45583</x:v>
      </x:c>
      <x:c r="AE185" s="154" t="n">
        <x:f>IFERROR(AC185/AC184-1,"")</x:f>
        <x:v>-0.0015606846063481727</x:v>
      </x:c>
      <x:c r="AF185" s="153" t="n">
        <x:v>18.03</x:v>
      </x:c>
      <x:c r="AG185" s="155" t="n">
        <x:v>45583</x:v>
      </x:c>
      <x:c r="AH185" s="153" t="n">
        <x:f>IFERROR(AF185-AF184,"")</x:f>
        <x:v>-1.0799999999999983</x:v>
      </x:c>
      <x:c r="AI185" s="153" t="n">
        <x:v>4.83</x:v>
      </x:c>
      <x:c r="AJ185" s="155" t="n">
        <x:v>45583</x:v>
      </x:c>
      <x:c r="AK185" s="159" t="n">
        <x:v>199421</x:v>
      </x:c>
      <x:c r="AL185" s="154" t="n">
        <x:v>0.3684575191415142</x:v>
      </x:c>
      <x:c r="AM185" s="159" t="n">
        <x:v>-74698</x:v>
      </x:c>
      <x:c r="AN185" s="155" t="n">
        <x:v>45583</x:v>
      </x:c>
      <x:c r="AO185" s="159" t="n">
        <x:v>34701</x:v>
      </x:c>
      <x:c r="AP185" s="154" t="n">
        <x:v>0.2445489013234859</x:v>
      </x:c>
      <x:c r="AQ185" s="159" t="n">
        <x:v>-36892</x:v>
      </x:c>
      <x:c r="AR185" s="147" t="str">
        <x:v>美国市场指标与CFTC数据均使用严格早于上金所交易日的最后已发布值</x:v>
      </x:c>
    </x:row>
    <x:row r="186">
      <x:c r="A186" s="155" t="n">
        <x:v>45587</x:v>
      </x:c>
      <x:c r="B186" s="153" t="n">
        <x:v>625.99</x:v>
      </x:c>
      <x:c r="C186" s="153" t="n">
        <x:v>627</x:v>
      </x:c>
      <x:c r="D186" s="153" t="n">
        <x:v>620</x:v>
      </x:c>
      <x:c r="E186" s="153" t="n">
        <x:v>625</x:v>
      </x:c>
      <x:c r="F186" s="154" t="n">
        <x:f>IFERROR(E186/E185-1,"")</x:f>
        <x:v>0.00150626542319654</x:v>
      </x:c>
      <x:c r="G186" s="154" t="n">
        <x:f>IFERROR((C186-D186)/E185,"")</x:f>
        <x:v>0.011216870172739802</x:v>
      </x:c>
      <x:c r="H186" s="153" t="n">
        <x:v>624.62</x:v>
      </x:c>
      <x:c r="I186" s="158" t="n">
        <x:v>11178.38</x:v>
      </x:c>
      <x:c r="J186" s="158" t="n">
        <x:v>6982302763.6</x:v>
      </x:c>
      <x:c r="K186" s="158"/>
      <x:c r="L186" s="153" t="n">
        <x:v>8309</x:v>
      </x:c>
      <x:c r="M186" s="153" t="n">
        <x:v>8386</x:v>
      </x:c>
      <x:c r="N186" s="153" t="n">
        <x:v>8160</x:v>
      </x:c>
      <x:c r="O186" s="153" t="n">
        <x:v>8304</x:v>
      </x:c>
      <x:c r="P186" s="154" t="n">
        <x:f>IFERROR(O186/O185-1,"")</x:f>
        <x:v>0.0018096272167933414</x:v>
      </x:c>
      <x:c r="Q186" s="154" t="n">
        <x:f>IFERROR((M186-N186)/O185,"")</x:f>
        <x:v>0.027265050066353</x:v>
      </x:c>
      <x:c r="R186" s="153" t="n">
        <x:v>8284</x:v>
      </x:c>
      <x:c r="S186" s="158" t="n">
        <x:v>387342</x:v>
      </x:c>
      <x:c r="T186" s="158" t="n">
        <x:v>3209045746</x:v>
      </x:c>
      <x:c r="U186" s="158" t="n">
        <x:v>4335174</x:v>
      </x:c>
      <x:c r="V186" s="153" t="n">
        <x:f>IFERROR(E186*1000/O186,"")</x:f>
        <x:v>75.26493256262043</x:v>
      </x:c>
      <x:c r="W186" s="153" t="n">
        <x:v>4.19</x:v>
      </x:c>
      <x:c r="X186" s="155" t="n">
        <x:v>45586</x:v>
      </x:c>
      <x:c r="Y186" s="153" t="n">
        <x:v>1.88</x:v>
      </x:c>
      <x:c r="Z186" s="155" t="n">
        <x:v>45586</x:v>
      </x:c>
      <x:c r="AA186" s="153" t="n">
        <x:f>IFERROR(Y186-Y185,"")</x:f>
        <x:v>0.10999999999999988</x:v>
      </x:c>
      <x:c r="AB186" s="153" t="n">
        <x:v>2.31</x:v>
      </x:c>
      <x:c r="AC186" s="153" t="n">
        <x:v>124.4757</x:v>
      </x:c>
      <x:c r="AD186" s="155" t="n">
        <x:v>45586</x:v>
      </x:c>
      <x:c r="AE186" s="154" t="n">
        <x:f>IFERROR(AC186/AC185-1,"")</x:f>
        <x:v>0.004496503750448966</x:v>
      </x:c>
      <x:c r="AF186" s="153" t="n">
        <x:v>18.37</x:v>
      </x:c>
      <x:c r="AG186" s="155" t="n">
        <x:v>45586</x:v>
      </x:c>
      <x:c r="AH186" s="153" t="n">
        <x:f>IFERROR(AF186-AF185,"")</x:f>
        <x:v>0.33999999999999986</x:v>
      </x:c>
      <x:c r="AI186" s="153" t="n">
        <x:v>4.83</x:v>
      </x:c>
      <x:c r="AJ186" s="155" t="n">
        <x:v>45583</x:v>
      </x:c>
      <x:c r="AK186" s="159" t="n">
        <x:v>199421</x:v>
      </x:c>
      <x:c r="AL186" s="154" t="n">
        <x:v>0.3684575191415142</x:v>
      </x:c>
      <x:c r="AM186" s="159" t="n">
        <x:v>-74698</x:v>
      </x:c>
      <x:c r="AN186" s="155" t="n">
        <x:v>45583</x:v>
      </x:c>
      <x:c r="AO186" s="159" t="n">
        <x:v>34701</x:v>
      </x:c>
      <x:c r="AP186" s="154" t="n">
        <x:v>0.2445489013234859</x:v>
      </x:c>
      <x:c r="AQ186" s="159" t="n">
        <x:v>-36892</x:v>
      </x:c>
      <x:c r="AR186" s="147" t="str">
        <x:v>美国市场指标与CFTC数据均使用严格早于上金所交易日的最后已发布值</x:v>
      </x:c>
    </x:row>
    <x:row r="187">
      <x:c r="A187" s="155" t="n">
        <x:v>45588</x:v>
      </x:c>
      <x:c r="B187" s="153" t="n">
        <x:v>625</x:v>
      </x:c>
      <x:c r="C187" s="153" t="n">
        <x:v>628.85</x:v>
      </x:c>
      <x:c r="D187" s="153" t="n">
        <x:v>625</x:v>
      </x:c>
      <x:c r="E187" s="153" t="n">
        <x:v>628.68</x:v>
      </x:c>
      <x:c r="F187" s="154" t="n">
        <x:f>IFERROR(E187/E186-1,"")</x:f>
        <x:v>0.005887999999999893</x:v>
      </x:c>
      <x:c r="G187" s="154" t="n">
        <x:f>IFERROR((C187-D187)/E186,"")</x:f>
        <x:v>0.006160000000000036</x:v>
      </x:c>
      <x:c r="H187" s="153" t="n">
        <x:v>627.15</x:v>
      </x:c>
      <x:c r="I187" s="158" t="n">
        <x:v>13868.82</x:v>
      </x:c>
      <x:c r="J187" s="158" t="n">
        <x:v>8697954428.8</x:v>
      </x:c>
      <x:c r="K187" s="158"/>
      <x:c r="L187" s="153" t="n">
        <x:v>8340</x:v>
      </x:c>
      <x:c r="M187" s="153" t="n">
        <x:v>8415</x:v>
      </x:c>
      <x:c r="N187" s="153" t="n">
        <x:v>8287</x:v>
      </x:c>
      <x:c r="O187" s="153" t="n">
        <x:v>8332</x:v>
      </x:c>
      <x:c r="P187" s="154" t="n">
        <x:f>IFERROR(O187/O186-1,"")</x:f>
        <x:v>0.00337186897880537</x:v>
      </x:c>
      <x:c r="Q187" s="154" t="n">
        <x:f>IFERROR((M187-N187)/O186,"")</x:f>
        <x:v>0.015414258188824663</x:v>
      </x:c>
      <x:c r="R187" s="153" t="n">
        <x:v>8343</x:v>
      </x:c>
      <x:c r="S187" s="158" t="n">
        <x:v>513664</x:v>
      </x:c>
      <x:c r="T187" s="158" t="n">
        <x:v>4285905768</x:v>
      </x:c>
      <x:c r="U187" s="158" t="n">
        <x:v>4341196</x:v>
      </x:c>
      <x:c r="V187" s="153" t="n">
        <x:f>IFERROR(E187*1000/O187,"")</x:f>
        <x:v>75.45367258761402</x:v>
      </x:c>
      <x:c r="W187" s="153" t="n">
        <x:v>4.2</x:v>
      </x:c>
      <x:c r="X187" s="155" t="n">
        <x:v>45587</x:v>
      </x:c>
      <x:c r="Y187" s="153" t="n">
        <x:v>1.87</x:v>
      </x:c>
      <x:c r="Z187" s="155" t="n">
        <x:v>45587</x:v>
      </x:c>
      <x:c r="AA187" s="153" t="n">
        <x:f>IFERROR(Y187-Y186,"")</x:f>
        <x:v>-0.009999999999999787</x:v>
      </x:c>
      <x:c r="AB187" s="153" t="n">
        <x:v>2.33</x:v>
      </x:c>
      <x:c r="AC187" s="153" t="n">
        <x:v>124.4107</x:v>
      </x:c>
      <x:c r="AD187" s="155" t="n">
        <x:v>45587</x:v>
      </x:c>
      <x:c r="AE187" s="154" t="n">
        <x:f>IFERROR(AC187/AC186-1,"")</x:f>
        <x:v>-0.0005221902748889784</x:v>
      </x:c>
      <x:c r="AF187" s="153" t="n">
        <x:v>18.2</x:v>
      </x:c>
      <x:c r="AG187" s="155" t="n">
        <x:v>45587</x:v>
      </x:c>
      <x:c r="AH187" s="153" t="n">
        <x:f>IFERROR(AF187-AF186,"")</x:f>
        <x:v>-0.1700000000000017</x:v>
      </x:c>
      <x:c r="AI187" s="153" t="n">
        <x:v>4.83</x:v>
      </x:c>
      <x:c r="AJ187" s="155" t="n">
        <x:v>45583</x:v>
      </x:c>
      <x:c r="AK187" s="159" t="n">
        <x:v>199421</x:v>
      </x:c>
      <x:c r="AL187" s="154" t="n">
        <x:v>0.3684575191415142</x:v>
      </x:c>
      <x:c r="AM187" s="159" t="n">
        <x:v>-74698</x:v>
      </x:c>
      <x:c r="AN187" s="155" t="n">
        <x:v>45583</x:v>
      </x:c>
      <x:c r="AO187" s="159" t="n">
        <x:v>34701</x:v>
      </x:c>
      <x:c r="AP187" s="154" t="n">
        <x:v>0.2445489013234859</x:v>
      </x:c>
      <x:c r="AQ187" s="159" t="n">
        <x:v>-36892</x:v>
      </x:c>
      <x:c r="AR187" s="147" t="str">
        <x:v>美国市场指标与CFTC数据均使用严格早于上金所交易日的最后已发布值</x:v>
      </x:c>
    </x:row>
    <x:row r="188">
      <x:c r="A188" s="155" t="n">
        <x:v>45589</x:v>
      </x:c>
      <x:c r="B188" s="153" t="n">
        <x:v>628.68</x:v>
      </x:c>
      <x:c r="C188" s="153" t="n">
        <x:v>628.68</x:v>
      </x:c>
      <x:c r="D188" s="153" t="n">
        <x:v>617</x:v>
      </x:c>
      <x:c r="E188" s="153" t="n">
        <x:v>623.03</x:v>
      </x:c>
      <x:c r="F188" s="154" t="n">
        <x:f>IFERROR(E188/E187-1,"")</x:f>
        <x:v>-0.008987084049118743</x:v>
      </x:c>
      <x:c r="G188" s="154" t="n">
        <x:f>IFERROR((C188-D188)/E187,"")</x:f>
        <x:v>0.018578609149328674</x:v>
      </x:c>
      <x:c r="H188" s="153" t="n">
        <x:v>621.45</x:v>
      </x:c>
      <x:c r="I188" s="158" t="n">
        <x:v>14568.82</x:v>
      </x:c>
      <x:c r="J188" s="158" t="n">
        <x:v>9053824864.4</x:v>
      </x:c>
      <x:c r="K188" s="158"/>
      <x:c r="L188" s="153" t="n">
        <x:v>8320</x:v>
      </x:c>
      <x:c r="M188" s="153" t="n">
        <x:v>8325</x:v>
      </x:c>
      <x:c r="N188" s="153" t="n">
        <x:v>8071</x:v>
      </x:c>
      <x:c r="O188" s="153" t="n">
        <x:v>8232</x:v>
      </x:c>
      <x:c r="P188" s="154" t="n">
        <x:f>IFERROR(O188/O187-1,"")</x:f>
        <x:v>-0.012001920307249114</x:v>
      </x:c>
      <x:c r="Q188" s="154" t="n">
        <x:f>IFERROR((M188-N188)/O187,"")</x:f>
        <x:v>0.030484877580412868</x:v>
      </x:c>
      <x:c r="R188" s="153" t="n">
        <x:v>8162</x:v>
      </x:c>
      <x:c r="S188" s="158" t="n">
        <x:v>758808</x:v>
      </x:c>
      <x:c r="T188" s="158" t="n">
        <x:v>6194067944</x:v>
      </x:c>
      <x:c r="U188" s="158" t="n">
        <x:v>4281048</x:v>
      </x:c>
      <x:c r="V188" s="153" t="n">
        <x:f>IFERROR(E188*1000/O188,"")</x:f>
        <x:v>75.68391642371235</x:v>
      </x:c>
      <x:c r="W188" s="153" t="n">
        <x:v>4.24</x:v>
      </x:c>
      <x:c r="X188" s="155" t="n">
        <x:v>45588</x:v>
      </x:c>
      <x:c r="Y188" s="153" t="n">
        <x:v>1.93</x:v>
      </x:c>
      <x:c r="Z188" s="155" t="n">
        <x:v>45588</x:v>
      </x:c>
      <x:c r="AA188" s="153" t="n">
        <x:f>IFERROR(Y188-Y187,"")</x:f>
        <x:v>0.05999999999999983</x:v>
      </x:c>
      <x:c r="AB188" s="153" t="n">
        <x:v>2.31</x:v>
      </x:c>
      <x:c r="AC188" s="153" t="n">
        <x:v>124.6931</x:v>
      </x:c>
      <x:c r="AD188" s="155" t="n">
        <x:v>45588</x:v>
      </x:c>
      <x:c r="AE188" s="154" t="n">
        <x:f>IFERROR(AC188/AC187-1,"")</x:f>
        <x:v>0.0022699012223224013</x:v>
      </x:c>
      <x:c r="AF188" s="153" t="n">
        <x:v>19.24</x:v>
      </x:c>
      <x:c r="AG188" s="155" t="n">
        <x:v>45588</x:v>
      </x:c>
      <x:c r="AH188" s="153" t="n">
        <x:f>IFERROR(AF188-AF187,"")</x:f>
        <x:v>1.0399999999999991</x:v>
      </x:c>
      <x:c r="AI188" s="153" t="n">
        <x:v>4.83</x:v>
      </x:c>
      <x:c r="AJ188" s="155" t="n">
        <x:v>45583</x:v>
      </x:c>
      <x:c r="AK188" s="159" t="n">
        <x:v>199421</x:v>
      </x:c>
      <x:c r="AL188" s="154" t="n">
        <x:v>0.3684575191415142</x:v>
      </x:c>
      <x:c r="AM188" s="159" t="n">
        <x:v>-74698</x:v>
      </x:c>
      <x:c r="AN188" s="155" t="n">
        <x:v>45583</x:v>
      </x:c>
      <x:c r="AO188" s="159" t="n">
        <x:v>34701</x:v>
      </x:c>
      <x:c r="AP188" s="154" t="n">
        <x:v>0.2445489013234859</x:v>
      </x:c>
      <x:c r="AQ188" s="159" t="n">
        <x:v>-36892</x:v>
      </x:c>
      <x:c r="AR188" s="147" t="str">
        <x:v>美国市场指标与CFTC数据均使用严格早于上金所交易日的最后已发布值</x:v>
      </x:c>
    </x:row>
    <x:row r="189">
      <x:c r="A189" s="155" t="n">
        <x:v>45590</x:v>
      </x:c>
      <x:c r="B189" s="153" t="n">
        <x:v>623.5</x:v>
      </x:c>
      <x:c r="C189" s="153" t="n">
        <x:v>624.5</x:v>
      </x:c>
      <x:c r="D189" s="153" t="n">
        <x:v>620</x:v>
      </x:c>
      <x:c r="E189" s="153" t="n">
        <x:v>621.5</x:v>
      </x:c>
      <x:c r="F189" s="154" t="n">
        <x:f>IFERROR(E189/E188-1,"")</x:f>
        <x:v>-0.002455740494037184</x:v>
      </x:c>
      <x:c r="G189" s="154" t="n">
        <x:f>IFERROR((C189-D189)/E188,"")</x:f>
        <x:v>0.007222766158932957</x:v>
      </x:c>
      <x:c r="H189" s="153" t="n">
        <x:v>622.44</x:v>
      </x:c>
      <x:c r="I189" s="158" t="n">
        <x:v>14748.9</x:v>
      </x:c>
      <x:c r="J189" s="158" t="n">
        <x:v>9180402479</x:v>
      </x:c>
      <x:c r="K189" s="158"/>
      <x:c r="L189" s="153" t="n">
        <x:v>8212</x:v>
      </x:c>
      <x:c r="M189" s="153" t="n">
        <x:v>8248</x:v>
      </x:c>
      <x:c r="N189" s="153" t="n">
        <x:v>8062</x:v>
      </x:c>
      <x:c r="O189" s="153" t="n">
        <x:v>8119</x:v>
      </x:c>
      <x:c r="P189" s="154" t="n">
        <x:f>IFERROR(O189/O188-1,"")</x:f>
        <x:v>-0.013726919339164256</x:v>
      </x:c>
      <x:c r="Q189" s="154" t="n">
        <x:f>IFERROR((M189-N189)/O188,"")</x:f>
        <x:v>0.02259475218658892</x:v>
      </x:c>
      <x:c r="R189" s="153" t="n">
        <x:v>8123</x:v>
      </x:c>
      <x:c r="S189" s="158" t="n">
        <x:v>477806</x:v>
      </x:c>
      <x:c r="T189" s="158" t="n">
        <x:v>3881555838</x:v>
      </x:c>
      <x:c r="U189" s="158" t="n">
        <x:v>4312420</x:v>
      </x:c>
      <x:c r="V189" s="153" t="n">
        <x:f>IFERROR(E189*1000/O189,"")</x:f>
        <x:v>76.54883606355463</x:v>
      </x:c>
      <x:c r="W189" s="153" t="n">
        <x:v>4.21</x:v>
      </x:c>
      <x:c r="X189" s="155" t="n">
        <x:v>45589</x:v>
      </x:c>
      <x:c r="Y189" s="153" t="n">
        <x:v>1.91</x:v>
      </x:c>
      <x:c r="Z189" s="155" t="n">
        <x:v>45589</x:v>
      </x:c>
      <x:c r="AA189" s="153" t="n">
        <x:f>IFERROR(Y189-Y188,"")</x:f>
        <x:v>-0.020000000000000018</x:v>
      </x:c>
      <x:c r="AB189" s="153" t="n">
        <x:v>2.3</x:v>
      </x:c>
      <x:c r="AC189" s="153" t="n">
        <x:v>124.5127</x:v>
      </x:c>
      <x:c r="AD189" s="155" t="n">
        <x:v>45589</x:v>
      </x:c>
      <x:c r="AE189" s="154" t="n">
        <x:f>IFERROR(AC189/AC188-1,"")</x:f>
        <x:v>-0.001446752065671686</x:v>
      </x:c>
      <x:c r="AF189" s="153" t="n">
        <x:v>19.08</x:v>
      </x:c>
      <x:c r="AG189" s="155" t="n">
        <x:v>45589</x:v>
      </x:c>
      <x:c r="AH189" s="153" t="n">
        <x:f>IFERROR(AF189-AF188,"")</x:f>
        <x:v>-0.16000000000000014</x:v>
      </x:c>
      <x:c r="AI189" s="153" t="n">
        <x:v>4.83</x:v>
      </x:c>
      <x:c r="AJ189" s="155" t="n">
        <x:v>45583</x:v>
      </x:c>
      <x:c r="AK189" s="159" t="n">
        <x:v>199421</x:v>
      </x:c>
      <x:c r="AL189" s="154" t="n">
        <x:v>0.3684575191415142</x:v>
      </x:c>
      <x:c r="AM189" s="159" t="n">
        <x:v>-74698</x:v>
      </x:c>
      <x:c r="AN189" s="155" t="n">
        <x:v>45583</x:v>
      </x:c>
      <x:c r="AO189" s="159" t="n">
        <x:v>34701</x:v>
      </x:c>
      <x:c r="AP189" s="154" t="n">
        <x:v>0.2445489013234859</x:v>
      </x:c>
      <x:c r="AQ189" s="159" t="n">
        <x:v>-36892</x:v>
      </x:c>
      <x:c r="AR189" s="147" t="str">
        <x:v>美国市场指标与CFTC数据均使用严格早于上金所交易日的最后已发布值</x:v>
      </x:c>
    </x:row>
    <x:row r="190">
      <x:c r="A190" s="155" t="n">
        <x:v>45593</x:v>
      </x:c>
      <x:c r="B190" s="153" t="n">
        <x:v>621</x:v>
      </x:c>
      <x:c r="C190" s="153" t="n">
        <x:v>626.24</x:v>
      </x:c>
      <x:c r="D190" s="153" t="n">
        <x:v>621</x:v>
      </x:c>
      <x:c r="E190" s="153" t="n">
        <x:v>624.65</x:v>
      </x:c>
      <x:c r="F190" s="154" t="n">
        <x:f>IFERROR(E190/E189-1,"")</x:f>
        <x:v>0.0050683829444890804</x:v>
      </x:c>
      <x:c r="G190" s="154" t="n">
        <x:f>IFERROR((C190-D190)/E189,"")</x:f>
        <x:v>0.008431214802896233</x:v>
      </x:c>
      <x:c r="H190" s="153" t="n">
        <x:v>624.52</x:v>
      </x:c>
      <x:c r="I190" s="158" t="n">
        <x:v>14392.94</x:v>
      </x:c>
      <x:c r="J190" s="158" t="n">
        <x:v>8988791448.2</x:v>
      </x:c>
      <x:c r="K190" s="158"/>
      <x:c r="L190" s="153" t="n">
        <x:v>8072</x:v>
      </x:c>
      <x:c r="M190" s="153" t="n">
        <x:v>8218</x:v>
      </x:c>
      <x:c r="N190" s="153" t="n">
        <x:v>8066</x:v>
      </x:c>
      <x:c r="O190" s="153" t="n">
        <x:v>8192</x:v>
      </x:c>
      <x:c r="P190" s="154" t="n">
        <x:f>IFERROR(O190/O189-1,"")</x:f>
        <x:v>0.008991255080674998</x:v>
      </x:c>
      <x:c r="Q190" s="154" t="n">
        <x:f>IFERROR((M190-N190)/O189,"")</x:f>
        <x:v>0.01872151742825471</x:v>
      </x:c>
      <x:c r="R190" s="153" t="n">
        <x:v>8140</x:v>
      </x:c>
      <x:c r="S190" s="158" t="n">
        <x:v>468432</x:v>
      </x:c>
      <x:c r="T190" s="158" t="n">
        <x:v>3813411726</x:v>
      </x:c>
      <x:c r="U190" s="158" t="n">
        <x:v>4388270</x:v>
      </x:c>
      <x:c r="V190" s="153" t="n">
        <x:f>IFERROR(E190*1000/O190,"")</x:f>
        <x:v>76.251220703125</x:v>
      </x:c>
      <x:c r="W190" s="153" t="n">
        <x:v>4.25</x:v>
      </x:c>
      <x:c r="X190" s="155" t="n">
        <x:v>45590</x:v>
      </x:c>
      <x:c r="Y190" s="153" t="n">
        <x:v>1.96</x:v>
      </x:c>
      <x:c r="Z190" s="155" t="n">
        <x:v>45590</x:v>
      </x:c>
      <x:c r="AA190" s="153" t="n">
        <x:f>IFERROR(Y190-Y189,"")</x:f>
        <x:v>0.050000000000000044</x:v>
      </x:c>
      <x:c r="AB190" s="153" t="n">
        <x:v>2.29</x:v>
      </x:c>
      <x:c r="AC190" s="153" t="n">
        <x:v>124.6105</x:v>
      </x:c>
      <x:c r="AD190" s="155" t="n">
        <x:v>45590</x:v>
      </x:c>
      <x:c r="AE190" s="154" t="n">
        <x:f>IFERROR(AC190/AC189-1,"")</x:f>
        <x:v>0.0007854620452372174</x:v>
      </x:c>
      <x:c r="AF190" s="153" t="n">
        <x:v>20.33</x:v>
      </x:c>
      <x:c r="AG190" s="155" t="n">
        <x:v>45590</x:v>
      </x:c>
      <x:c r="AH190" s="153" t="n">
        <x:f>IFERROR(AF190-AF189,"")</x:f>
        <x:v>1.25</x:v>
      </x:c>
      <x:c r="AI190" s="153" t="n">
        <x:v>4.83</x:v>
      </x:c>
      <x:c r="AJ190" s="155" t="n">
        <x:v>45590</x:v>
      </x:c>
      <x:c r="AK190" s="159" t="n">
        <x:v>205160</x:v>
      </x:c>
      <x:c r="AL190" s="154" t="n">
        <x:v>0.35757110987172336</x:v>
      </x:c>
      <x:c r="AM190" s="159" t="n">
        <x:v>-82095</x:v>
      </x:c>
      <x:c r="AN190" s="155" t="n">
        <x:v>45590</x:v>
      </x:c>
      <x:c r="AO190" s="159" t="n">
        <x:v>45635</x:v>
      </x:c>
      <x:c r="AP190" s="154" t="n">
        <x:v>0.2901808424051277</x:v>
      </x:c>
      <x:c r="AQ190" s="159" t="n">
        <x:v>-41264</x:v>
      </x:c>
      <x:c r="AR190" s="147" t="str">
        <x:v>美国市场指标与CFTC数据均使用严格早于上金所交易日的最后已发布值</x:v>
      </x:c>
    </x:row>
    <x:row r="191">
      <x:c r="A191" s="155" t="n">
        <x:v>45594</x:v>
      </x:c>
      <x:c r="B191" s="153" t="n">
        <x:v>624.5</x:v>
      </x:c>
      <x:c r="C191" s="153" t="n">
        <x:v>630</x:v>
      </x:c>
      <x:c r="D191" s="153" t="n">
        <x:v>623.5</x:v>
      </x:c>
      <x:c r="E191" s="153" t="n">
        <x:v>629.5</x:v>
      </x:c>
      <x:c r="F191" s="154" t="n">
        <x:f>IFERROR(E191/E190-1,"")</x:f>
        <x:v>0.007764348034899671</x:v>
      </x:c>
      <x:c r="G191" s="154" t="n">
        <x:f>IFERROR((C191-D191)/E190,"")</x:f>
        <x:v>0.01040582726326743</x:v>
      </x:c>
      <x:c r="H191" s="153" t="n">
        <x:v>628.94</x:v>
      </x:c>
      <x:c r="I191" s="158" t="n">
        <x:v>12083.14</x:v>
      </x:c>
      <x:c r="J191" s="158" t="n">
        <x:v>7599684138</x:v>
      </x:c>
      <x:c r="K191" s="158"/>
      <x:c r="L191" s="153" t="n">
        <x:v>8159</x:v>
      </x:c>
      <x:c r="M191" s="153" t="n">
        <x:v>8305</x:v>
      </x:c>
      <x:c r="N191" s="153" t="n">
        <x:v>8149</x:v>
      </x:c>
      <x:c r="O191" s="153" t="n">
        <x:v>8268</x:v>
      </x:c>
      <x:c r="P191" s="154" t="n">
        <x:f>IFERROR(O191/O190-1,"")</x:f>
        <x:v>0.00927734375</x:v>
      </x:c>
      <x:c r="Q191" s="154" t="n">
        <x:f>IFERROR((M191-N191)/O190,"")</x:f>
        <x:v>0.01904296875</x:v>
      </x:c>
      <x:c r="R191" s="153" t="n">
        <x:v>8241</x:v>
      </x:c>
      <x:c r="S191" s="158" t="n">
        <x:v>437406</x:v>
      </x:c>
      <x:c r="T191" s="158" t="n">
        <x:v>3604961218</x:v>
      </x:c>
      <x:c r="U191" s="158" t="n">
        <x:v>4452678</x:v>
      </x:c>
      <x:c r="V191" s="153" t="n">
        <x:f>IFERROR(E191*1000/O191,"")</x:f>
        <x:v>76.13691340106435</x:v>
      </x:c>
      <x:c r="W191" s="153" t="n">
        <x:v>4.28</x:v>
      </x:c>
      <x:c r="X191" s="155" t="n">
        <x:v>45593</x:v>
      </x:c>
      <x:c r="Y191" s="153" t="n">
        <x:v>1.99</x:v>
      </x:c>
      <x:c r="Z191" s="155" t="n">
        <x:v>45593</x:v>
      </x:c>
      <x:c r="AA191" s="153" t="n">
        <x:f>IFERROR(Y191-Y190,"")</x:f>
        <x:v>0.030000000000000027</x:v>
      </x:c>
      <x:c r="AB191" s="153" t="n">
        <x:v>2.29</x:v>
      </x:c>
      <x:c r="AC191" s="153" t="n">
        <x:v>124.8076</x:v>
      </x:c>
      <x:c r="AD191" s="155" t="n">
        <x:v>45593</x:v>
      </x:c>
      <x:c r="AE191" s="154" t="n">
        <x:f>IFERROR(AC191/AC190-1,"")</x:f>
        <x:v>0.0015817286665247288</x:v>
      </x:c>
      <x:c r="AF191" s="153" t="n">
        <x:v>19.8</x:v>
      </x:c>
      <x:c r="AG191" s="155" t="n">
        <x:v>45593</x:v>
      </x:c>
      <x:c r="AH191" s="153" t="n">
        <x:f>IFERROR(AF191-AF190,"")</x:f>
        <x:v>-0.5299999999999976</x:v>
      </x:c>
      <x:c r="AI191" s="153" t="n">
        <x:v>4.83</x:v>
      </x:c>
      <x:c r="AJ191" s="155" t="n">
        <x:v>45590</x:v>
      </x:c>
      <x:c r="AK191" s="159" t="n">
        <x:v>205160</x:v>
      </x:c>
      <x:c r="AL191" s="154" t="n">
        <x:v>0.35757110987172336</x:v>
      </x:c>
      <x:c r="AM191" s="159" t="n">
        <x:v>-82095</x:v>
      </x:c>
      <x:c r="AN191" s="155" t="n">
        <x:v>45590</x:v>
      </x:c>
      <x:c r="AO191" s="159" t="n">
        <x:v>45635</x:v>
      </x:c>
      <x:c r="AP191" s="154" t="n">
        <x:v>0.2901808424051277</x:v>
      </x:c>
      <x:c r="AQ191" s="159" t="n">
        <x:v>-41264</x:v>
      </x:c>
      <x:c r="AR191" s="147" t="str">
        <x:v>美国市场指标与CFTC数据均使用严格早于上金所交易日的最后已发布值</x:v>
      </x:c>
    </x:row>
    <x:row r="192">
      <x:c r="A192" s="155" t="n">
        <x:v>45595</x:v>
      </x:c>
      <x:c r="B192" s="153" t="n">
        <x:v>629</x:v>
      </x:c>
      <x:c r="C192" s="153" t="n">
        <x:v>637.49</x:v>
      </x:c>
      <x:c r="D192" s="153" t="n">
        <x:v>628.61</x:v>
      </x:c>
      <x:c r="E192" s="153" t="n">
        <x:v>636.75</x:v>
      </x:c>
      <x:c r="F192" s="154" t="n">
        <x:f>IFERROR(E192/E191-1,"")</x:f>
        <x:v>0.011517077045273938</x:v>
      </x:c>
      <x:c r="G192" s="154" t="n">
        <x:f>IFERROR((C192-D192)/E191,"")</x:f>
        <x:v>0.014106433677521835</x:v>
      </x:c>
      <x:c r="H192" s="153" t="n">
        <x:v>635.86</x:v>
      </x:c>
      <x:c r="I192" s="158" t="n">
        <x:v>10672.54</x:v>
      </x:c>
      <x:c r="J192" s="158" t="n">
        <x:v>6786331472</x:v>
      </x:c>
      <x:c r="K192" s="158"/>
      <x:c r="L192" s="153" t="n">
        <x:v>8293</x:v>
      </x:c>
      <x:c r="M192" s="153" t="n">
        <x:v>8348</x:v>
      </x:c>
      <x:c r="N192" s="153" t="n">
        <x:v>8235</x:v>
      </x:c>
      <x:c r="O192" s="153" t="n">
        <x:v>8302</x:v>
      </x:c>
      <x:c r="P192" s="154" t="n">
        <x:f>IFERROR(O192/O191-1,"")</x:f>
        <x:v>0.004112239961296504</x:v>
      </x:c>
      <x:c r="Q192" s="154" t="n">
        <x:f>IFERROR((M192-N192)/O191,"")</x:f>
        <x:v>0.01366715045960329</x:v>
      </x:c>
      <x:c r="R192" s="153" t="n">
        <x:v>8298</x:v>
      </x:c>
      <x:c r="S192" s="158" t="n">
        <x:v>422128</x:v>
      </x:c>
      <x:c r="T192" s="158" t="n">
        <x:v>3503156088</x:v>
      </x:c>
      <x:c r="U192" s="158" t="n">
        <x:v>4498278</x:v>
      </x:c>
      <x:c r="V192" s="153" t="n">
        <x:f>IFERROR(E192*1000/O192,"")</x:f>
        <x:v>76.69838593110094</x:v>
      </x:c>
      <x:c r="W192" s="153" t="n">
        <x:v>4.28</x:v>
      </x:c>
      <x:c r="X192" s="155" t="n">
        <x:v>45594</x:v>
      </x:c>
      <x:c r="Y192" s="153" t="n">
        <x:v>1.98</x:v>
      </x:c>
      <x:c r="Z192" s="155" t="n">
        <x:v>45594</x:v>
      </x:c>
      <x:c r="AA192" s="153" t="n">
        <x:f>IFERROR(Y192-Y191,"")</x:f>
        <x:v>-0.010000000000000009</x:v>
      </x:c>
      <x:c r="AB192" s="153" t="n">
        <x:v>2.3</x:v>
      </x:c>
      <x:c r="AC192" s="153" t="n">
        <x:v>124.8612</x:v>
      </x:c>
      <x:c r="AD192" s="155" t="n">
        <x:v>45594</x:v>
      </x:c>
      <x:c r="AE192" s="154" t="n">
        <x:f>IFERROR(AC192/AC191-1,"")</x:f>
        <x:v>0.00042946102641194805</x:v>
      </x:c>
      <x:c r="AF192" s="153" t="n">
        <x:v>19.34</x:v>
      </x:c>
      <x:c r="AG192" s="155" t="n">
        <x:v>45594</x:v>
      </x:c>
      <x:c r="AH192" s="153" t="n">
        <x:f>IFERROR(AF192-AF191,"")</x:f>
        <x:v>-0.46000000000000085</x:v>
      </x:c>
      <x:c r="AI192" s="153" t="n">
        <x:v>4.83</x:v>
      </x:c>
      <x:c r="AJ192" s="155" t="n">
        <x:v>45590</x:v>
      </x:c>
      <x:c r="AK192" s="159" t="n">
        <x:v>205160</x:v>
      </x:c>
      <x:c r="AL192" s="154" t="n">
        <x:v>0.35757110987172336</x:v>
      </x:c>
      <x:c r="AM192" s="159" t="n">
        <x:v>-82095</x:v>
      </x:c>
      <x:c r="AN192" s="155" t="n">
        <x:v>45590</x:v>
      </x:c>
      <x:c r="AO192" s="159" t="n">
        <x:v>45635</x:v>
      </x:c>
      <x:c r="AP192" s="154" t="n">
        <x:v>0.2901808424051277</x:v>
      </x:c>
      <x:c r="AQ192" s="159" t="n">
        <x:v>-41264</x:v>
      </x:c>
      <x:c r="AR192" s="147" t="str">
        <x:v>美国市场指标与CFTC数据均使用严格早于上金所交易日的最后已发布值</x:v>
      </x:c>
    </x:row>
    <x:row r="193">
      <x:c r="A193" s="155" t="n">
        <x:v>45596</x:v>
      </x:c>
      <x:c r="B193" s="153" t="n">
        <x:v>635.01</x:v>
      </x:c>
      <x:c r="C193" s="153" t="n">
        <x:v>655</x:v>
      </x:c>
      <x:c r="D193" s="153" t="n">
        <x:v>633.51</x:v>
      </x:c>
      <x:c r="E193" s="153" t="n">
        <x:v>634</x:v>
      </x:c>
      <x:c r="F193" s="154" t="n">
        <x:f>IFERROR(E193/E192-1,"")</x:f>
        <x:v>-0.004318806438947775</x:v>
      </x:c>
      <x:c r="G193" s="154" t="n">
        <x:f>IFERROR((C193-D193)/E192,"")</x:f>
        <x:v>0.03374950922654104</x:v>
      </x:c>
      <x:c r="H193" s="153" t="n">
        <x:v>635.47</x:v>
      </x:c>
      <x:c r="I193" s="158" t="n">
        <x:v>9663.06</x:v>
      </x:c>
      <x:c r="J193" s="158" t="n">
        <x:v>6140645043</x:v>
      </x:c>
      <x:c r="K193" s="158"/>
      <x:c r="L193" s="153" t="n">
        <x:v>8250</x:v>
      </x:c>
      <x:c r="M193" s="153" t="n">
        <x:v>8280</x:v>
      </x:c>
      <x:c r="N193" s="153" t="n">
        <x:v>8099</x:v>
      </x:c>
      <x:c r="O193" s="153" t="n">
        <x:v>8127</x:v>
      </x:c>
      <x:c r="P193" s="154" t="n">
        <x:f>IFERROR(O193/O192-1,"")</x:f>
        <x:v>-0.021079258010118007</x:v>
      </x:c>
      <x:c r="Q193" s="154" t="n">
        <x:f>IFERROR((M193-N193)/O192,"")</x:f>
        <x:v>0.021801975427607805</x:v>
      </x:c>
      <x:c r="R193" s="153" t="n">
        <x:v>8163</x:v>
      </x:c>
      <x:c r="S193" s="158" t="n">
        <x:v>404574</x:v>
      </x:c>
      <x:c r="T193" s="158" t="n">
        <x:v>3302689918</x:v>
      </x:c>
      <x:c r="U193" s="158" t="n">
        <x:v>4513290</x:v>
      </x:c>
      <x:c r="V193" s="153" t="n">
        <x:f>IFERROR(E193*1000/O193,"")</x:f>
        <x:v>78.01156638365941</x:v>
      </x:c>
      <x:c r="W193" s="153" t="n">
        <x:v>4.29</x:v>
      </x:c>
      <x:c r="X193" s="155" t="n">
        <x:v>45595</x:v>
      </x:c>
      <x:c r="Y193" s="153" t="n">
        <x:v>1.95</x:v>
      </x:c>
      <x:c r="Z193" s="155" t="n">
        <x:v>45595</x:v>
      </x:c>
      <x:c r="AA193" s="153" t="n">
        <x:f>IFERROR(Y193-Y192,"")</x:f>
        <x:v>-0.030000000000000027</x:v>
      </x:c>
      <x:c r="AB193" s="153" t="n">
        <x:v>2.34</x:v>
      </x:c>
      <x:c r="AC193" s="153" t="n">
        <x:v>124.8153</x:v>
      </x:c>
      <x:c r="AD193" s="155" t="n">
        <x:v>45595</x:v>
      </x:c>
      <x:c r="AE193" s="154" t="n">
        <x:f>IFERROR(AC193/AC192-1,"")</x:f>
        <x:v>-0.00036760819213654816</x:v>
      </x:c>
      <x:c r="AF193" s="153" t="n">
        <x:v>20.35</x:v>
      </x:c>
      <x:c r="AG193" s="155" t="n">
        <x:v>45595</x:v>
      </x:c>
      <x:c r="AH193" s="153" t="n">
        <x:f>IFERROR(AF193-AF192,"")</x:f>
        <x:v>1.0100000000000016</x:v>
      </x:c>
      <x:c r="AI193" s="153" t="n">
        <x:v>4.83</x:v>
      </x:c>
      <x:c r="AJ193" s="155" t="n">
        <x:v>45590</x:v>
      </x:c>
      <x:c r="AK193" s="159" t="n">
        <x:v>205160</x:v>
      </x:c>
      <x:c r="AL193" s="154" t="n">
        <x:v>0.35757110987172336</x:v>
      </x:c>
      <x:c r="AM193" s="159" t="n">
        <x:v>-82095</x:v>
      </x:c>
      <x:c r="AN193" s="155" t="n">
        <x:v>45590</x:v>
      </x:c>
      <x:c r="AO193" s="159" t="n">
        <x:v>45635</x:v>
      </x:c>
      <x:c r="AP193" s="154" t="n">
        <x:v>0.2901808424051277</x:v>
      </x:c>
      <x:c r="AQ193" s="159" t="n">
        <x:v>-41264</x:v>
      </x:c>
      <x:c r="AR193" s="147" t="str">
        <x:v>美国市场指标与CFTC数据均使用严格早于上金所交易日的最后已发布值</x:v>
      </x:c>
    </x:row>
    <x:row r="194">
      <x:c r="A194" s="155" t="n">
        <x:v>45600</x:v>
      </x:c>
      <x:c r="B194" s="153" t="n">
        <x:v>628</x:v>
      </x:c>
      <x:c r="C194" s="153" t="n">
        <x:v>630</x:v>
      </x:c>
      <x:c r="D194" s="153" t="n">
        <x:v>621.55</x:v>
      </x:c>
      <x:c r="E194" s="153" t="n">
        <x:v>623.48</x:v>
      </x:c>
      <x:c r="F194" s="154" t="n">
        <x:f>IFERROR(E194/E193-1,"")</x:f>
        <x:v>-0.016593059936908516</x:v>
      </x:c>
      <x:c r="G194" s="154" t="n">
        <x:f>IFERROR((C194-D194)/E193,"")</x:f>
        <x:v>0.013328075709779251</x:v>
      </x:c>
      <x:c r="H194" s="153" t="n">
        <x:v>623.77</x:v>
      </x:c>
      <x:c r="I194" s="158" t="n">
        <x:v>13076.06</x:v>
      </x:c>
      <x:c r="J194" s="158" t="n">
        <x:v>8156546723.2</x:v>
      </x:c>
      <x:c r="K194" s="158"/>
      <x:c r="L194" s="153" t="n">
        <x:v>7962</x:v>
      </x:c>
      <x:c r="M194" s="153" t="n">
        <x:v>8050</x:v>
      </x:c>
      <x:c r="N194" s="153" t="n">
        <x:v>7888</x:v>
      </x:c>
      <x:c r="O194" s="153" t="n">
        <x:v>7958</x:v>
      </x:c>
      <x:c r="P194" s="154" t="n">
        <x:f>IFERROR(O194/O193-1,"")</x:f>
        <x:v>-0.02079488125999751</x:v>
      </x:c>
      <x:c r="Q194" s="154" t="n">
        <x:f>IFERROR((M194-N194)/O193,"")</x:f>
        <x:v>0.019933554817275746</x:v>
      </x:c>
      <x:c r="R194" s="153" t="n">
        <x:v>7955</x:v>
      </x:c>
      <x:c r="S194" s="158" t="n">
        <x:v>449246</x:v>
      </x:c>
      <x:c r="T194" s="158" t="n">
        <x:v>3574098296</x:v>
      </x:c>
      <x:c r="U194" s="158" t="n">
        <x:v>4510182</x:v>
      </x:c>
      <x:c r="V194" s="153" t="n">
        <x:f>IFERROR(E194*1000/O194,"")</x:f>
        <x:v>78.34631817039457</x:v>
      </x:c>
      <x:c r="W194" s="153" t="n">
        <x:v>4.37</x:v>
      </x:c>
      <x:c r="X194" s="155" t="n">
        <x:v>45597</x:v>
      </x:c>
      <x:c r="Y194" s="153" t="n">
        <x:v>2.04</x:v>
      </x:c>
      <x:c r="Z194" s="155" t="n">
        <x:v>45597</x:v>
      </x:c>
      <x:c r="AA194" s="153" t="n">
        <x:f>IFERROR(Y194-Y193,"")</x:f>
        <x:v>0.09000000000000008</x:v>
      </x:c>
      <x:c r="AB194" s="153" t="n">
        <x:v>2.33</x:v>
      </x:c>
      <x:c r="AC194" s="153" t="n">
        <x:v>124.8076</x:v>
      </x:c>
      <x:c r="AD194" s="155" t="n">
        <x:v>45597</x:v>
      </x:c>
      <x:c r="AE194" s="154" t="n">
        <x:f>IFERROR(AC194/AC193-1,"")</x:f>
        <x:v>-0.00006169115485044063</x:v>
      </x:c>
      <x:c r="AF194" s="153" t="n">
        <x:v>21.88</x:v>
      </x:c>
      <x:c r="AG194" s="155" t="n">
        <x:v>45597</x:v>
      </x:c>
      <x:c r="AH194" s="153" t="n">
        <x:f>IFERROR(AF194-AF193,"")</x:f>
        <x:v>1.5299999999999976</x:v>
      </x:c>
      <x:c r="AI194" s="153" t="n">
        <x:v>4.83</x:v>
      </x:c>
      <x:c r="AJ194" s="155" t="n">
        <x:v>45597</x:v>
      </x:c>
      <x:c r="AK194" s="159" t="n">
        <x:v>195173</x:v>
      </x:c>
      <x:c r="AL194" s="154" t="n">
        <x:v>0.33681411225468877</x:v>
      </x:c>
      <x:c r="AM194" s="159" t="n">
        <x:v>-74620</x:v>
      </x:c>
      <x:c r="AN194" s="155" t="n">
        <x:v>45597</x:v>
      </x:c>
      <x:c r="AO194" s="159" t="n">
        <x:v>39753</x:v>
      </x:c>
      <x:c r="AP194" s="154" t="n">
        <x:v>0.2543052712384852</x:v>
      </x:c>
      <x:c r="AQ194" s="159" t="n">
        <x:v>-39679</x:v>
      </x:c>
      <x:c r="AR194" s="147" t="str">
        <x:v>美国市场指标与CFTC数据均使用严格早于上金所交易日的最后已发布值</x:v>
      </x:c>
    </x:row>
    <x:row r="195">
      <x:c r="A195" s="155" t="n">
        <x:v>45601</x:v>
      </x:c>
      <x:c r="B195" s="153" t="n">
        <x:v>623.48</x:v>
      </x:c>
      <x:c r="C195" s="153" t="n">
        <x:v>625</x:v>
      </x:c>
      <x:c r="D195" s="153" t="n">
        <x:v>620</x:v>
      </x:c>
      <x:c r="E195" s="153" t="n">
        <x:v>623.78</x:v>
      </x:c>
      <x:c r="F195" s="154" t="n">
        <x:f>IFERROR(E195/E194-1,"")</x:f>
        <x:v>0.0004811702059408507</x:v>
      </x:c>
      <x:c r="G195" s="154" t="n">
        <x:f>IFERROR((C195-D195)/E194,"")</x:f>
        <x:v>0.00801950343234747</x:v>
      </x:c>
      <x:c r="H195" s="153" t="n">
        <x:v>622.11</x:v>
      </x:c>
      <x:c r="I195" s="158" t="n">
        <x:v>10685</x:v>
      </x:c>
      <x:c r="J195" s="158" t="n">
        <x:v>6647304333.4</x:v>
      </x:c>
      <x:c r="K195" s="158"/>
      <x:c r="L195" s="153" t="n">
        <x:v>7971</x:v>
      </x:c>
      <x:c r="M195" s="153" t="n">
        <x:v>8000</x:v>
      </x:c>
      <x:c r="N195" s="153" t="n">
        <x:v>7906</x:v>
      </x:c>
      <x:c r="O195" s="153" t="n">
        <x:v>7974</x:v>
      </x:c>
      <x:c r="P195" s="154" t="n">
        <x:f>IFERROR(O195/O194-1,"")</x:f>
        <x:v>0.002010555415933757</x:v>
      </x:c>
      <x:c r="Q195" s="154" t="n">
        <x:f>IFERROR((M195-N195)/O194,"")</x:f>
        <x:v>0.011812013068610204</x:v>
      </x:c>
      <x:c r="R195" s="153" t="n">
        <x:v>7951</x:v>
      </x:c>
      <x:c r="S195" s="158" t="n">
        <x:v>308274</x:v>
      </x:c>
      <x:c r="T195" s="158" t="n">
        <x:v>2451366760</x:v>
      </x:c>
      <x:c r="U195" s="158" t="n">
        <x:v>4538772</x:v>
      </x:c>
      <x:c r="V195" s="153" t="n">
        <x:f>IFERROR(E195*1000/O195,"")</x:f>
        <x:v>78.22673689490846</x:v>
      </x:c>
      <x:c r="W195" s="153" t="n">
        <x:v>4.31</x:v>
      </x:c>
      <x:c r="X195" s="155" t="n">
        <x:v>45600</x:v>
      </x:c>
      <x:c r="Y195" s="153" t="n">
        <x:v>2.03</x:v>
      </x:c>
      <x:c r="Z195" s="155" t="n">
        <x:v>45600</x:v>
      </x:c>
      <x:c r="AA195" s="153" t="n">
        <x:f>IFERROR(Y195-Y194,"")</x:f>
        <x:v>-0.010000000000000231</x:v>
      </x:c>
      <x:c r="AB195" s="153" t="n">
        <x:v>2.28</x:v>
      </x:c>
      <x:c r="AC195" s="153" t="n">
        <x:v>124.5903</x:v>
      </x:c>
      <x:c r="AD195" s="155" t="n">
        <x:v>45600</x:v>
      </x:c>
      <x:c r="AE195" s="154" t="n">
        <x:f>IFERROR(AC195/AC194-1,"")</x:f>
        <x:v>-0.001741079870136053</x:v>
      </x:c>
      <x:c r="AF195" s="153" t="n">
        <x:v>21.98</x:v>
      </x:c>
      <x:c r="AG195" s="155" t="n">
        <x:v>45600</x:v>
      </x:c>
      <x:c r="AH195" s="153" t="n">
        <x:f>IFERROR(AF195-AF194,"")</x:f>
        <x:v>0.10000000000000142</x:v>
      </x:c>
      <x:c r="AI195" s="153" t="n">
        <x:v>4.83</x:v>
      </x:c>
      <x:c r="AJ195" s="155" t="n">
        <x:v>45597</x:v>
      </x:c>
      <x:c r="AK195" s="159" t="n">
        <x:v>195173</x:v>
      </x:c>
      <x:c r="AL195" s="154" t="n">
        <x:v>0.33681411225468877</x:v>
      </x:c>
      <x:c r="AM195" s="159" t="n">
        <x:v>-74620</x:v>
      </x:c>
      <x:c r="AN195" s="155" t="n">
        <x:v>45597</x:v>
      </x:c>
      <x:c r="AO195" s="159" t="n">
        <x:v>39753</x:v>
      </x:c>
      <x:c r="AP195" s="154" t="n">
        <x:v>0.2543052712384852</x:v>
      </x:c>
      <x:c r="AQ195" s="159" t="n">
        <x:v>-39679</x:v>
      </x:c>
      <x:c r="AR195" s="147" t="str">
        <x:v>美国市场指标与CFTC数据均使用严格早于上金所交易日的最后已发布值</x:v>
      </x:c>
    </x:row>
    <x:row r="196">
      <x:c r="A196" s="155" t="n">
        <x:v>45602</x:v>
      </x:c>
      <x:c r="B196" s="153" t="n">
        <x:v>623.5</x:v>
      </x:c>
      <x:c r="C196" s="153" t="n">
        <x:v>629.78</x:v>
      </x:c>
      <x:c r="D196" s="153" t="n">
        <x:v>621</x:v>
      </x:c>
      <x:c r="E196" s="153" t="n">
        <x:v>624.69</x:v>
      </x:c>
      <x:c r="F196" s="154" t="n">
        <x:f>IFERROR(E196/E195-1,"")</x:f>
        <x:v>0.001458847670653185</x:v>
      </x:c>
      <x:c r="G196" s="154" t="n">
        <x:f>IFERROR((C196-D196)/E195,"")</x:f>
        <x:v>0.0140754753278399</x:v>
      </x:c>
      <x:c r="H196" s="153" t="n">
        <x:v>626.5</x:v>
      </x:c>
      <x:c r="I196" s="158" t="n">
        <x:v>8799.34</x:v>
      </x:c>
      <x:c r="J196" s="158" t="n">
        <x:v>5512863065.4</x:v>
      </x:c>
      <x:c r="K196" s="158"/>
      <x:c r="L196" s="153" t="n">
        <x:v>7990</x:v>
      </x:c>
      <x:c r="M196" s="153" t="n">
        <x:v>8057</x:v>
      </x:c>
      <x:c r="N196" s="153" t="n">
        <x:v>7722</x:v>
      </x:c>
      <x:c r="O196" s="153" t="n">
        <x:v>7856</x:v>
      </x:c>
      <x:c r="P196" s="154" t="n">
        <x:f>IFERROR(O196/O195-1,"")</x:f>
        <x:v>-0.014798093804865853</x:v>
      </x:c>
      <x:c r="Q196" s="154" t="n">
        <x:f>IFERROR((M196-N196)/O195,"")</x:f>
        <x:v>0.04201153749686481</x:v>
      </x:c>
      <x:c r="R196" s="153" t="n">
        <x:v>7941</x:v>
      </x:c>
      <x:c r="S196" s="158" t="n">
        <x:v>541440</x:v>
      </x:c>
      <x:c r="T196" s="158" t="n">
        <x:v>4299583462</x:v>
      </x:c>
      <x:c r="U196" s="158" t="n">
        <x:v>4558970</x:v>
      </x:c>
      <x:c r="V196" s="153" t="n">
        <x:f>IFERROR(E196*1000/O196,"")</x:f>
        <x:v>79.51756619144602</x:v>
      </x:c>
      <x:c r="W196" s="153" t="n">
        <x:v>4.26</x:v>
      </x:c>
      <x:c r="X196" s="155" t="n">
        <x:v>45601</x:v>
      </x:c>
      <x:c r="Y196" s="153" t="n">
        <x:v>1.99</x:v>
      </x:c>
      <x:c r="Z196" s="155" t="n">
        <x:v>45601</x:v>
      </x:c>
      <x:c r="AA196" s="153" t="n">
        <x:f>IFERROR(Y196-Y195,"")</x:f>
        <x:v>-0.039999999999999813</x:v>
      </x:c>
      <x:c r="AB196" s="153" t="n">
        <x:v>2.27</x:v>
      </x:c>
      <x:c r="AC196" s="153" t="n">
        <x:v>124.5532</x:v>
      </x:c>
      <x:c r="AD196" s="155" t="n">
        <x:v>45601</x:v>
      </x:c>
      <x:c r="AE196" s="154" t="n">
        <x:f>IFERROR(AC196/AC195-1,"")</x:f>
        <x:v>-0.00029777599058666837</x:v>
      </x:c>
      <x:c r="AF196" s="153" t="n">
        <x:v>20.49</x:v>
      </x:c>
      <x:c r="AG196" s="155" t="n">
        <x:v>45601</x:v>
      </x:c>
      <x:c r="AH196" s="153" t="n">
        <x:f>IFERROR(AF196-AF195,"")</x:f>
        <x:v>-1.490000000000002</x:v>
      </x:c>
      <x:c r="AI196" s="153" t="n">
        <x:v>4.83</x:v>
      </x:c>
      <x:c r="AJ196" s="155" t="n">
        <x:v>45597</x:v>
      </x:c>
      <x:c r="AK196" s="159" t="n">
        <x:v>195173</x:v>
      </x:c>
      <x:c r="AL196" s="154" t="n">
        <x:v>0.33681411225468877</x:v>
      </x:c>
      <x:c r="AM196" s="159" t="n">
        <x:v>-74620</x:v>
      </x:c>
      <x:c r="AN196" s="155" t="n">
        <x:v>45597</x:v>
      </x:c>
      <x:c r="AO196" s="159" t="n">
        <x:v>39753</x:v>
      </x:c>
      <x:c r="AP196" s="154" t="n">
        <x:v>0.2543052712384852</x:v>
      </x:c>
      <x:c r="AQ196" s="159" t="n">
        <x:v>-39679</x:v>
      </x:c>
      <x:c r="AR196" s="147" t="str">
        <x:v>美国市场指标与CFTC数据均使用严格早于上金所交易日的最后已发布值</x:v>
      </x:c>
    </x:row>
    <x:row r="197">
      <x:c r="A197" s="155" t="n">
        <x:v>45603</x:v>
      </x:c>
      <x:c r="B197" s="153" t="n">
        <x:v>622.7</x:v>
      </x:c>
      <x:c r="C197" s="153" t="n">
        <x:v>622.7</x:v>
      </x:c>
      <x:c r="D197" s="153" t="n">
        <x:v>608</x:v>
      </x:c>
      <x:c r="E197" s="153" t="n">
        <x:v>610.01</x:v>
      </x:c>
      <x:c r="F197" s="154" t="n">
        <x:f>IFERROR(E197/E196-1,"")</x:f>
        <x:v>-0.023499655829291477</x:v>
      </x:c>
      <x:c r="G197" s="154" t="n">
        <x:f>IFERROR((C197-D197)/E196,"")</x:f>
        <x:v>0.02353167170916782</x:v>
      </x:c>
      <x:c r="H197" s="153" t="n">
        <x:v>610.65</x:v>
      </x:c>
      <x:c r="I197" s="158" t="n">
        <x:v>10035.04</x:v>
      </x:c>
      <x:c r="J197" s="158" t="n">
        <x:v>6127971558</x:v>
      </x:c>
      <x:c r="K197" s="158"/>
      <x:c r="L197" s="153" t="n">
        <x:v>7815</x:v>
      </x:c>
      <x:c r="M197" s="153" t="n">
        <x:v>7821</x:v>
      </x:c>
      <x:c r="N197" s="153" t="n">
        <x:v>7610</x:v>
      </x:c>
      <x:c r="O197" s="153" t="n">
        <x:v>7685</x:v>
      </x:c>
      <x:c r="P197" s="154" t="n">
        <x:f>IFERROR(O197/O196-1,"")</x:f>
        <x:v>-0.021766802443991873</x:v>
      </x:c>
      <x:c r="Q197" s="154" t="n">
        <x:f>IFERROR((M197-N197)/O196,"")</x:f>
        <x:v>0.02685845213849287</x:v>
      </x:c>
      <x:c r="R197" s="153" t="n">
        <x:v>7683</x:v>
      </x:c>
      <x:c r="S197" s="158" t="n">
        <x:v>534382</x:v>
      </x:c>
      <x:c r="T197" s="158" t="n">
        <x:v>4106134340</x:v>
      </x:c>
      <x:c r="U197" s="158" t="n">
        <x:v>4653320</x:v>
      </x:c>
      <x:c r="V197" s="153" t="n">
        <x:f>IFERROR(E197*1000/O197,"")</x:f>
        <x:v>79.37670787247886</x:v>
      </x:c>
      <x:c r="W197" s="153" t="n">
        <x:v>4.42</x:v>
      </x:c>
      <x:c r="X197" s="155" t="n">
        <x:v>45602</x:v>
      </x:c>
      <x:c r="Y197" s="153" t="n">
        <x:v>2.04</x:v>
      </x:c>
      <x:c r="Z197" s="155" t="n">
        <x:v>45602</x:v>
      </x:c>
      <x:c r="AA197" s="153" t="n">
        <x:f>IFERROR(Y197-Y196,"")</x:f>
        <x:v>0.050000000000000044</x:v>
      </x:c>
      <x:c r="AB197" s="153" t="n">
        <x:v>2.38</x:v>
      </x:c>
      <x:c r="AC197" s="153" t="n">
        <x:v>125.7035</x:v>
      </x:c>
      <x:c r="AD197" s="155" t="n">
        <x:v>45602</x:v>
      </x:c>
      <x:c r="AE197" s="154" t="n">
        <x:f>IFERROR(AC197/AC196-1,"")</x:f>
        <x:v>0.00923541105326886</x:v>
      </x:c>
      <x:c r="AF197" s="153" t="n">
        <x:v>16.27</x:v>
      </x:c>
      <x:c r="AG197" s="155" t="n">
        <x:v>45602</x:v>
      </x:c>
      <x:c r="AH197" s="153" t="n">
        <x:f>IFERROR(AF197-AF196,"")</x:f>
        <x:v>-4.219999999999999</x:v>
      </x:c>
      <x:c r="AI197" s="153" t="n">
        <x:v>4.83</x:v>
      </x:c>
      <x:c r="AJ197" s="155" t="n">
        <x:v>45597</x:v>
      </x:c>
      <x:c r="AK197" s="159" t="n">
        <x:v>195173</x:v>
      </x:c>
      <x:c r="AL197" s="154" t="n">
        <x:v>0.33681411225468877</x:v>
      </x:c>
      <x:c r="AM197" s="159" t="n">
        <x:v>-74620</x:v>
      </x:c>
      <x:c r="AN197" s="155" t="n">
        <x:v>45597</x:v>
      </x:c>
      <x:c r="AO197" s="159" t="n">
        <x:v>39753</x:v>
      </x:c>
      <x:c r="AP197" s="154" t="n">
        <x:v>0.2543052712384852</x:v>
      </x:c>
      <x:c r="AQ197" s="159" t="n">
        <x:v>-39679</x:v>
      </x:c>
      <x:c r="AR197" s="147" t="str">
        <x:v>美国市场指标与CFTC数据均使用严格早于上金所交易日的最后已发布值</x:v>
      </x:c>
    </x:row>
    <x:row r="198">
      <x:c r="A198" s="155" t="n">
        <x:v>45604</x:v>
      </x:c>
      <x:c r="B198" s="153" t="n">
        <x:v>610</x:v>
      </x:c>
      <x:c r="C198" s="153" t="n">
        <x:v>617.38</x:v>
      </x:c>
      <x:c r="D198" s="153" t="n">
        <x:v>610</x:v>
      </x:c>
      <x:c r="E198" s="153" t="n">
        <x:v>612.85</x:v>
      </x:c>
      <x:c r="F198" s="154" t="n">
        <x:f>IFERROR(E198/E197-1,"")</x:f>
        <x:v>0.004655661382600318</x:v>
      </x:c>
      <x:c r="G198" s="154" t="n">
        <x:f>IFERROR((C198-D198)/E197,"")</x:f>
        <x:v>0.012098162325207776</x:v>
      </x:c>
      <x:c r="H198" s="153" t="n">
        <x:v>615.05</x:v>
      </x:c>
      <x:c r="I198" s="158" t="n">
        <x:v>12188</x:v>
      </x:c>
      <x:c r="J198" s="158" t="n">
        <x:v>7496289366</x:v>
      </x:c>
      <x:c r="K198" s="158"/>
      <x:c r="L198" s="153" t="n">
        <x:v>7680</x:v>
      </x:c>
      <x:c r="M198" s="153" t="n">
        <x:v>7833</x:v>
      </x:c>
      <x:c r="N198" s="153" t="n">
        <x:v>7670</x:v>
      </x:c>
      <x:c r="O198" s="153" t="n">
        <x:v>7732</x:v>
      </x:c>
      <x:c r="P198" s="154" t="n">
        <x:f>IFERROR(O198/O197-1,"")</x:f>
        <x:v>0.006115810019518442</x:v>
      </x:c>
      <x:c r="Q198" s="154" t="n">
        <x:f>IFERROR((M198-N198)/O197,"")</x:f>
        <x:v>0.021210149642160052</x:v>
      </x:c>
      <x:c r="R198" s="153" t="n">
        <x:v>7777</x:v>
      </x:c>
      <x:c r="S198" s="158" t="n">
        <x:v>414860</x:v>
      </x:c>
      <x:c r="T198" s="158" t="n">
        <x:v>3226539826</x:v>
      </x:c>
      <x:c r="U198" s="158" t="n">
        <x:v>4604628</x:v>
      </x:c>
      <x:c r="V198" s="153" t="n">
        <x:f>IFERROR(E198*1000/O198,"")</x:f>
        <x:v>79.26151060527677</x:v>
      </x:c>
      <x:c r="W198" s="153" t="n">
        <x:v>4.31</x:v>
      </x:c>
      <x:c r="X198" s="155" t="n">
        <x:v>45603</x:v>
      </x:c>
      <x:c r="Y198" s="153" t="n">
        <x:v>1.98</x:v>
      </x:c>
      <x:c r="Z198" s="155" t="n">
        <x:v>45603</x:v>
      </x:c>
      <x:c r="AA198" s="153" t="n">
        <x:f>IFERROR(Y198-Y197,"")</x:f>
        <x:v>-0.06000000000000005</x:v>
      </x:c>
      <x:c r="AB198" s="153" t="n">
        <x:v>2.33</x:v>
      </x:c>
      <x:c r="AC198" s="153" t="n">
        <x:v>124.775</x:v>
      </x:c>
      <x:c r="AD198" s="155" t="n">
        <x:v>45603</x:v>
      </x:c>
      <x:c r="AE198" s="154" t="n">
        <x:f>IFERROR(AC198/AC197-1,"")</x:f>
        <x:v>-0.007386429176594156</x:v>
      </x:c>
      <x:c r="AF198" s="153" t="n">
        <x:v>15.2</x:v>
      </x:c>
      <x:c r="AG198" s="155" t="n">
        <x:v>45603</x:v>
      </x:c>
      <x:c r="AH198" s="153" t="n">
        <x:f>IFERROR(AF198-AF197,"")</x:f>
        <x:v>-1.0700000000000003</x:v>
      </x:c>
      <x:c r="AI198" s="153" t="n">
        <x:v>4.83</x:v>
      </x:c>
      <x:c r="AJ198" s="155" t="n">
        <x:v>45597</x:v>
      </x:c>
      <x:c r="AK198" s="159" t="n">
        <x:v>195173</x:v>
      </x:c>
      <x:c r="AL198" s="154" t="n">
        <x:v>0.33681411225468877</x:v>
      </x:c>
      <x:c r="AM198" s="159" t="n">
        <x:v>-74620</x:v>
      </x:c>
      <x:c r="AN198" s="155" t="n">
        <x:v>45597</x:v>
      </x:c>
      <x:c r="AO198" s="159" t="n">
        <x:v>39753</x:v>
      </x:c>
      <x:c r="AP198" s="154" t="n">
        <x:v>0.2543052712384852</x:v>
      </x:c>
      <x:c r="AQ198" s="159" t="n">
        <x:v>-39679</x:v>
      </x:c>
      <x:c r="AR198" s="147" t="str">
        <x:v>美国市场指标与CFTC数据均使用严格早于上金所交易日的最后已发布值</x:v>
      </x:c>
    </x:row>
    <x:row r="199">
      <x:c r="A199" s="155" t="n">
        <x:v>45607</x:v>
      </x:c>
      <x:c r="B199" s="153" t="n">
        <x:v>615</x:v>
      </x:c>
      <x:c r="C199" s="153" t="n">
        <x:v>619</x:v>
      </x:c>
      <x:c r="D199" s="153" t="n">
        <x:v>612.31</x:v>
      </x:c>
      <x:c r="E199" s="153" t="n">
        <x:v>613.3</x:v>
      </x:c>
      <x:c r="F199" s="154" t="n">
        <x:f>IFERROR(E199/E198-1,"")</x:f>
        <x:v>0.0007342742922411549</x:v>
      </x:c>
      <x:c r="G199" s="154" t="n">
        <x:f>IFERROR((C199-D199)/E198,"")</x:f>
        <x:v>0.010916211144652124</x:v>
      </x:c>
      <x:c r="H199" s="153" t="n">
        <x:v>613.61</x:v>
      </x:c>
      <x:c r="I199" s="158" t="n">
        <x:v>9477.2</x:v>
      </x:c>
      <x:c r="J199" s="158" t="n">
        <x:v>5815320326.6</x:v>
      </x:c>
      <x:c r="K199" s="158"/>
      <x:c r="L199" s="153" t="n">
        <x:v>7749</x:v>
      </x:c>
      <x:c r="M199" s="153" t="n">
        <x:v>7868</x:v>
      </x:c>
      <x:c r="N199" s="153" t="n">
        <x:v>7730</x:v>
      </x:c>
      <x:c r="O199" s="153" t="n">
        <x:v>7769</x:v>
      </x:c>
      <x:c r="P199" s="154" t="n">
        <x:f>IFERROR(O199/O198-1,"")</x:f>
        <x:v>0.00478530781169173</x:v>
      </x:c>
      <x:c r="Q199" s="154" t="n">
        <x:f>IFERROR((M199-N199)/O198,"")</x:f>
        <x:v>0.01784790481117434</x:v>
      </x:c>
      <x:c r="R199" s="153" t="n">
        <x:v>7777</x:v>
      </x:c>
      <x:c r="S199" s="158" t="n">
        <x:v>421024</x:v>
      </x:c>
      <x:c r="T199" s="158" t="n">
        <x:v>3274660304</x:v>
      </x:c>
      <x:c r="U199" s="158" t="n">
        <x:v>4684658</x:v>
      </x:c>
      <x:c r="V199" s="153" t="n">
        <x:f>IFERROR(E199*1000/O199,"")</x:f>
        <x:v>78.94194877075557</x:v>
      </x:c>
      <x:c r="W199" s="153" t="n">
        <x:v>4.3</x:v>
      </x:c>
      <x:c r="X199" s="155" t="n">
        <x:v>45604</x:v>
      </x:c>
      <x:c r="Y199" s="153" t="n">
        <x:v>1.95</x:v>
      </x:c>
      <x:c r="Z199" s="155" t="n">
        <x:v>45604</x:v>
      </x:c>
      <x:c r="AA199" s="153" t="n">
        <x:f>IFERROR(Y199-Y198,"")</x:f>
        <x:v>-0.030000000000000027</x:v>
      </x:c>
      <x:c r="AB199" s="153" t="n">
        <x:v>2.35</x:v>
      </x:c>
      <x:c r="AC199" s="153" t="n">
        <x:v>125.5811</x:v>
      </x:c>
      <x:c r="AD199" s="155" t="n">
        <x:v>45604</x:v>
      </x:c>
      <x:c r="AE199" s="154" t="n">
        <x:f>IFERROR(AC199/AC198-1,"")</x:f>
        <x:v>0.006460428771789317</x:v>
      </x:c>
      <x:c r="AF199" s="153" t="n">
        <x:v>14.94</x:v>
      </x:c>
      <x:c r="AG199" s="155" t="n">
        <x:v>45604</x:v>
      </x:c>
      <x:c r="AH199" s="153" t="n">
        <x:f>IFERROR(AF199-AF198,"")</x:f>
        <x:v>-0.2599999999999998</x:v>
      </x:c>
      <x:c r="AI199" s="153" t="n">
        <x:v>4.58</x:v>
      </x:c>
      <x:c r="AJ199" s="155" t="n">
        <x:v>45604</x:v>
      </x:c>
      <x:c r="AK199" s="159" t="n">
        <x:v>183003</x:v>
      </x:c>
      <x:c r="AL199" s="154" t="n">
        <x:v>0.32794238343900195</x:v>
      </x:c>
      <x:c r="AM199" s="159" t="n">
        <x:v>-69363</x:v>
      </x:c>
      <x:c r="AN199" s="155" t="n">
        <x:v>45604</x:v>
      </x:c>
      <x:c r="AO199" s="159" t="n">
        <x:v>32297</x:v>
      </x:c>
      <x:c r="AP199" s="154" t="n">
        <x:v>0.2137090904278549</x:v>
      </x:c>
      <x:c r="AQ199" s="159" t="n">
        <x:v>-35258</x:v>
      </x:c>
      <x:c r="AR199" s="147" t="str">
        <x:v>美国市场指标与CFTC数据均使用严格早于上金所交易日的最后已发布值</x:v>
      </x:c>
    </x:row>
    <x:row r="200">
      <x:c r="A200" s="155" t="n">
        <x:v>45608</x:v>
      </x:c>
      <x:c r="B200" s="153" t="n">
        <x:v>612.1</x:v>
      </x:c>
      <x:c r="C200" s="153" t="n">
        <x:v>612.1</x:v>
      </x:c>
      <x:c r="D200" s="153" t="n">
        <x:v>602.4</x:v>
      </x:c>
      <x:c r="E200" s="153" t="n">
        <x:v>602.81</x:v>
      </x:c>
      <x:c r="F200" s="154" t="n">
        <x:f>IFERROR(E200/E199-1,"")</x:f>
        <x:v>-0.017104190445132894</x:v>
      </x:c>
      <x:c r="G200" s="154" t="n">
        <x:f>IFERROR((C200-D200)/E199,"")</x:f>
        <x:v>0.015816076960704462</x:v>
      </x:c>
      <x:c r="H200" s="153" t="n">
        <x:v>605.31</x:v>
      </x:c>
      <x:c r="I200" s="158" t="n">
        <x:v>10360.04</x:v>
      </x:c>
      <x:c r="J200" s="158" t="n">
        <x:v>6271041592.6</x:v>
      </x:c>
      <x:c r="K200" s="158"/>
      <x:c r="L200" s="153" t="n">
        <x:v>7773</x:v>
      </x:c>
      <x:c r="M200" s="153" t="n">
        <x:v>7787</x:v>
      </x:c>
      <x:c r="N200" s="153" t="n">
        <x:v>7533</x:v>
      </x:c>
      <x:c r="O200" s="153" t="n">
        <x:v>7559</x:v>
      </x:c>
      <x:c r="P200" s="154" t="n">
        <x:f>IFERROR(O200/O199-1,"")</x:f>
        <x:v>-0.0270305058566096</x:v>
      </x:c>
      <x:c r="Q200" s="154" t="n">
        <x:f>IFERROR((M200-N200)/O199,"")</x:f>
        <x:v>0.03269404041704209</x:v>
      </x:c>
      <x:c r="R200" s="153" t="n">
        <x:v>7635</x:v>
      </x:c>
      <x:c r="S200" s="158" t="n">
        <x:v>493070</x:v>
      </x:c>
      <x:c r="T200" s="158" t="n">
        <x:v>3764675018</x:v>
      </x:c>
      <x:c r="U200" s="158" t="n">
        <x:v>4692546</x:v>
      </x:c>
      <x:c r="V200" s="153" t="n">
        <x:f>IFERROR(E200*1000/O200,"")</x:f>
        <x:v>79.74732107421616</x:v>
      </x:c>
      <x:c r="W200" s="153" t="n">
        <x:v>4.3</x:v>
      </x:c>
      <x:c r="X200" s="155" t="n">
        <x:v>45604</x:v>
      </x:c>
      <x:c r="Y200" s="153" t="n">
        <x:v>1.95</x:v>
      </x:c>
      <x:c r="Z200" s="155" t="n">
        <x:v>45604</x:v>
      </x:c>
      <x:c r="AA200" s="153" t="n">
        <x:f>IFERROR(Y200-Y199,"")</x:f>
        <x:v>0</x:v>
      </x:c>
      <x:c r="AB200" s="153" t="n">
        <x:v>2.35</x:v>
      </x:c>
      <x:c r="AC200" s="153" t="n">
        <x:v>125.5811</x:v>
      </x:c>
      <x:c r="AD200" s="155" t="n">
        <x:v>45604</x:v>
      </x:c>
      <x:c r="AE200" s="154" t="n">
        <x:f>IFERROR(AC200/AC199-1,"")</x:f>
        <x:v>0</x:v>
      </x:c>
      <x:c r="AF200" s="153" t="n">
        <x:v>14.97</x:v>
      </x:c>
      <x:c r="AG200" s="155" t="n">
        <x:v>45607</x:v>
      </x:c>
      <x:c r="AH200" s="153" t="n">
        <x:f>IFERROR(AF200-AF199,"")</x:f>
        <x:v>0.030000000000001137</x:v>
      </x:c>
      <x:c r="AI200" s="153" t="n">
        <x:v>4.58</x:v>
      </x:c>
      <x:c r="AJ200" s="155" t="n">
        <x:v>45604</x:v>
      </x:c>
      <x:c r="AK200" s="159" t="n">
        <x:v>183003</x:v>
      </x:c>
      <x:c r="AL200" s="154" t="n">
        <x:v>0.32794238343900195</x:v>
      </x:c>
      <x:c r="AM200" s="159" t="n">
        <x:v>-69363</x:v>
      </x:c>
      <x:c r="AN200" s="155" t="n">
        <x:v>45604</x:v>
      </x:c>
      <x:c r="AO200" s="159" t="n">
        <x:v>32297</x:v>
      </x:c>
      <x:c r="AP200" s="154" t="n">
        <x:v>0.2137090904278549</x:v>
      </x:c>
      <x:c r="AQ200" s="159" t="n">
        <x:v>-35258</x:v>
      </x:c>
      <x:c r="AR200" s="147" t="str">
        <x:v>美国市场指标与CFTC数据均使用严格早于上金所交易日的最后已发布值</x:v>
      </x:c>
    </x:row>
    <x:row r="201">
      <x:c r="A201" s="155" t="n">
        <x:v>45609</x:v>
      </x:c>
      <x:c r="B201" s="153" t="n">
        <x:v>601.7</x:v>
      </x:c>
      <x:c r="C201" s="153" t="n">
        <x:v>604.98</x:v>
      </x:c>
      <x:c r="D201" s="153" t="n">
        <x:v>601.6</x:v>
      </x:c>
      <x:c r="E201" s="153" t="n">
        <x:v>603.09</x:v>
      </x:c>
      <x:c r="F201" s="154" t="n">
        <x:f>IFERROR(E201/E200-1,"")</x:f>
        <x:v>0.00046449129908276987</x:v>
      </x:c>
      <x:c r="G201" s="154" t="n">
        <x:f>IFERROR((C201-D201)/E200,"")</x:f>
        <x:v>0.0056070735389260225</x:v>
      </x:c>
      <x:c r="H201" s="153" t="n">
        <x:v>603.24</x:v>
      </x:c>
      <x:c r="I201" s="158" t="n">
        <x:v>8548.94</x:v>
      </x:c>
      <x:c r="J201" s="158" t="n">
        <x:v>5157139734.4</x:v>
      </x:c>
      <x:c r="K201" s="158"/>
      <x:c r="L201" s="153" t="n">
        <x:v>7566</x:v>
      </x:c>
      <x:c r="M201" s="153" t="n">
        <x:v>7698</x:v>
      </x:c>
      <x:c r="N201" s="153" t="n">
        <x:v>7566</x:v>
      </x:c>
      <x:c r="O201" s="153" t="n">
        <x:v>7660</x:v>
      </x:c>
      <x:c r="P201" s="154" t="n">
        <x:f>IFERROR(O201/O200-1,"")</x:f>
        <x:v>0.013361555761344013</x:v>
      </x:c>
      <x:c r="Q201" s="154" t="n">
        <x:f>IFERROR((M201-N201)/O200,"")</x:f>
        <x:v>0.017462627331657626</x:v>
      </x:c>
      <x:c r="R201" s="153" t="n">
        <x:v>7655</x:v>
      </x:c>
      <x:c r="S201" s="158" t="n">
        <x:v>423318</x:v>
      </x:c>
      <x:c r="T201" s="158" t="n">
        <x:v>3240670508</x:v>
      </x:c>
      <x:c r="U201" s="158" t="n">
        <x:v>4776664</x:v>
      </x:c>
      <x:c r="V201" s="153" t="n">
        <x:f>IFERROR(E201*1000/O201,"")</x:f>
        <x:v>78.73237597911228</x:v>
      </x:c>
      <x:c r="W201" s="153" t="n">
        <x:v>4.43</x:v>
      </x:c>
      <x:c r="X201" s="155" t="n">
        <x:v>45608</x:v>
      </x:c>
      <x:c r="Y201" s="153" t="n">
        <x:v>2.08</x:v>
      </x:c>
      <x:c r="Z201" s="155" t="n">
        <x:v>45608</x:v>
      </x:c>
      <x:c r="AA201" s="153" t="n">
        <x:f>IFERROR(Y201-Y200,"")</x:f>
        <x:v>0.13000000000000012</x:v>
      </x:c>
      <x:c r="AB201" s="153" t="n">
        <x:v>2.35</x:v>
      </x:c>
      <x:c r="AC201" s="153" t="n">
        <x:v>126.7762</x:v>
      </x:c>
      <x:c r="AD201" s="155" t="n">
        <x:v>45608</x:v>
      </x:c>
      <x:c r="AE201" s="154" t="n">
        <x:f>IFERROR(AC201/AC200-1,"")</x:f>
        <x:v>0.009516559418574877</x:v>
      </x:c>
      <x:c r="AF201" s="153" t="n">
        <x:v>14.71</x:v>
      </x:c>
      <x:c r="AG201" s="155" t="n">
        <x:v>45608</x:v>
      </x:c>
      <x:c r="AH201" s="153" t="n">
        <x:f>IFERROR(AF201-AF200,"")</x:f>
        <x:v>-0.2599999999999998</x:v>
      </x:c>
      <x:c r="AI201" s="153" t="n">
        <x:v>4.58</x:v>
      </x:c>
      <x:c r="AJ201" s="155" t="n">
        <x:v>45604</x:v>
      </x:c>
      <x:c r="AK201" s="159" t="n">
        <x:v>183003</x:v>
      </x:c>
      <x:c r="AL201" s="154" t="n">
        <x:v>0.32794238343900195</x:v>
      </x:c>
      <x:c r="AM201" s="159" t="n">
        <x:v>-69363</x:v>
      </x:c>
      <x:c r="AN201" s="155" t="n">
        <x:v>45604</x:v>
      </x:c>
      <x:c r="AO201" s="159" t="n">
        <x:v>32297</x:v>
      </x:c>
      <x:c r="AP201" s="154" t="n">
        <x:v>0.2137090904278549</x:v>
      </x:c>
      <x:c r="AQ201" s="159" t="n">
        <x:v>-35258</x:v>
      </x:c>
      <x:c r="AR201" s="147" t="str">
        <x:v>美国市场指标与CFTC数据均使用严格早于上金所交易日的最后已发布值</x:v>
      </x:c>
    </x:row>
    <x:row r="202">
      <x:c r="A202" s="155" t="n">
        <x:v>45610</x:v>
      </x:c>
      <x:c r="B202" s="153" t="n">
        <x:v>603.24</x:v>
      </x:c>
      <x:c r="C202" s="153" t="n">
        <x:v>604.55</x:v>
      </x:c>
      <x:c r="D202" s="153" t="n">
        <x:v>589</x:v>
      </x:c>
      <x:c r="E202" s="153" t="n">
        <x:v>591.12</x:v>
      </x:c>
      <x:c r="F202" s="154" t="n">
        <x:f>IFERROR(E202/E201-1,"")</x:f>
        <x:v>-0.019847783912848915</x:v>
      </x:c>
      <x:c r="G202" s="154" t="n">
        <x:f>IFERROR((C202-D202)/E201,"")</x:f>
        <x:v>0.025783879686282235</x:v>
      </x:c>
      <x:c r="H202" s="153" t="n">
        <x:v>593.36</x:v>
      </x:c>
      <x:c r="I202" s="158" t="n">
        <x:v>11199.98</x:v>
      </x:c>
      <x:c r="J202" s="158" t="n">
        <x:v>6645707083</x:v>
      </x:c>
      <x:c r="K202" s="158"/>
      <x:c r="L202" s="153" t="n">
        <x:v>7669</x:v>
      </x:c>
      <x:c r="M202" s="153" t="n">
        <x:v>7718</x:v>
      </x:c>
      <x:c r="N202" s="153" t="n">
        <x:v>7420</x:v>
      </x:c>
      <x:c r="O202" s="153" t="n">
        <x:v>7433</x:v>
      </x:c>
      <x:c r="P202" s="154" t="n">
        <x:f>IFERROR(O202/O201-1,"")</x:f>
        <x:v>-0.02963446475195819</x:v>
      </x:c>
      <x:c r="Q202" s="154" t="n">
        <x:f>IFERROR((M202-N202)/O201,"")</x:f>
        <x:v>0.038903394255874676</x:v>
      </x:c>
      <x:c r="R202" s="153" t="n">
        <x:v>7550</x:v>
      </x:c>
      <x:c r="S202" s="158" t="n">
        <x:v>402110</x:v>
      </x:c>
      <x:c r="T202" s="158" t="n">
        <x:v>3036213644</x:v>
      </x:c>
      <x:c r="U202" s="158" t="n">
        <x:v>4826332</x:v>
      </x:c>
      <x:c r="V202" s="153" t="n">
        <x:f>IFERROR(E202*1000/O202,"")</x:f>
        <x:v>79.52643616305664</x:v>
      </x:c>
      <x:c r="W202" s="153" t="n">
        <x:v>4.44</x:v>
      </x:c>
      <x:c r="X202" s="155" t="n">
        <x:v>45609</x:v>
      </x:c>
      <x:c r="Y202" s="153" t="n">
        <x:v>2.09</x:v>
      </x:c>
      <x:c r="Z202" s="155" t="n">
        <x:v>45609</x:v>
      </x:c>
      <x:c r="AA202" s="153" t="n">
        <x:f>IFERROR(Y202-Y201,"")</x:f>
        <x:v>0.009999999999999787</x:v>
      </x:c>
      <x:c r="AB202" s="153" t="n">
        <x:v>2.35</x:v>
      </x:c>
      <x:c r="AC202" s="153" t="n">
        <x:v>126.9572</x:v>
      </x:c>
      <x:c r="AD202" s="155" t="n">
        <x:v>45609</x:v>
      </x:c>
      <x:c r="AE202" s="154" t="n">
        <x:f>IFERROR(AC202/AC201-1,"")</x:f>
        <x:v>0.0014277127725865757</x:v>
      </x:c>
      <x:c r="AF202" s="153" t="n">
        <x:v>14.02</x:v>
      </x:c>
      <x:c r="AG202" s="155" t="n">
        <x:v>45609</x:v>
      </x:c>
      <x:c r="AH202" s="153" t="n">
        <x:f>IFERROR(AF202-AF201,"")</x:f>
        <x:v>-0.6900000000000013</x:v>
      </x:c>
      <x:c r="AI202" s="153" t="n">
        <x:v>4.58</x:v>
      </x:c>
      <x:c r="AJ202" s="155" t="n">
        <x:v>45604</x:v>
      </x:c>
      <x:c r="AK202" s="159" t="n">
        <x:v>183003</x:v>
      </x:c>
      <x:c r="AL202" s="154" t="n">
        <x:v>0.32794238343900195</x:v>
      </x:c>
      <x:c r="AM202" s="159" t="n">
        <x:v>-69363</x:v>
      </x:c>
      <x:c r="AN202" s="155" t="n">
        <x:v>45604</x:v>
      </x:c>
      <x:c r="AO202" s="159" t="n">
        <x:v>32297</x:v>
      </x:c>
      <x:c r="AP202" s="154" t="n">
        <x:v>0.2137090904278549</x:v>
      </x:c>
      <x:c r="AQ202" s="159" t="n">
        <x:v>-35258</x:v>
      </x:c>
      <x:c r="AR202" s="147" t="str">
        <x:v>美国市场指标与CFTC数据均使用严格早于上金所交易日的最后已发布值</x:v>
      </x:c>
    </x:row>
    <x:row r="203">
      <x:c r="A203" s="155" t="n">
        <x:v>45611</x:v>
      </x:c>
      <x:c r="B203" s="153" t="n">
        <x:v>591</x:v>
      </x:c>
      <x:c r="C203" s="153" t="n">
        <x:v>595.3</x:v>
      </x:c>
      <x:c r="D203" s="153" t="n">
        <x:v>590</x:v>
      </x:c>
      <x:c r="E203" s="153" t="n">
        <x:v>591.97</x:v>
      </x:c>
      <x:c r="F203" s="154" t="n">
        <x:f>IFERROR(E203/E202-1,"")</x:f>
        <x:v>0.0014379483015294348</x:v>
      </x:c>
      <x:c r="G203" s="154" t="n">
        <x:f>IFERROR((C203-D203)/E202,"")</x:f>
        <x:v>0.008966030586006148</x:v>
      </x:c>
      <x:c r="H203" s="153" t="n">
        <x:v>592.94</x:v>
      </x:c>
      <x:c r="I203" s="158" t="n">
        <x:v>8435.7</x:v>
      </x:c>
      <x:c r="J203" s="158" t="n">
        <x:v>5001895770.8</x:v>
      </x:c>
      <x:c r="K203" s="158"/>
      <x:c r="L203" s="153" t="n">
        <x:v>7460</x:v>
      </x:c>
      <x:c r="M203" s="153" t="n">
        <x:v>7603</x:v>
      </x:c>
      <x:c r="N203" s="153" t="n">
        <x:v>7446</x:v>
      </x:c>
      <x:c r="O203" s="153" t="n">
        <x:v>7550</x:v>
      </x:c>
      <x:c r="P203" s="154" t="n">
        <x:f>IFERROR(O203/O202-1,"")</x:f>
        <x:v>0.015740616171128652</x:v>
      </x:c>
      <x:c r="Q203" s="154" t="n">
        <x:f>IFERROR((M203-N203)/O202,"")</x:f>
        <x:v>0.021122023409121487</x:v>
      </x:c>
      <x:c r="R203" s="153" t="n">
        <x:v>7557</x:v>
      </x:c>
      <x:c r="S203" s="158" t="n">
        <x:v>522854</x:v>
      </x:c>
      <x:c r="T203" s="158" t="n">
        <x:v>3951431432</x:v>
      </x:c>
      <x:c r="U203" s="158" t="n">
        <x:v>4848038</x:v>
      </x:c>
      <x:c r="V203" s="153" t="n">
        <x:f>IFERROR(E203*1000/O203,"")</x:f>
        <x:v>78.4066225165563</x:v>
      </x:c>
      <x:c r="W203" s="153" t="n">
        <x:v>4.43</x:v>
      </x:c>
      <x:c r="X203" s="155" t="n">
        <x:v>45610</x:v>
      </x:c>
      <x:c r="Y203" s="153" t="n">
        <x:v>2.1</x:v>
      </x:c>
      <x:c r="Z203" s="155" t="n">
        <x:v>45610</x:v>
      </x:c>
      <x:c r="AA203" s="153" t="n">
        <x:f>IFERROR(Y203-Y202,"")</x:f>
        <x:v>0.010000000000000231</x:v>
      </x:c>
      <x:c r="AB203" s="153" t="n">
        <x:v>2.33</x:v>
      </x:c>
      <x:c r="AC203" s="153" t="n">
        <x:v>127.0015</x:v>
      </x:c>
      <x:c r="AD203" s="155" t="n">
        <x:v>45610</x:v>
      </x:c>
      <x:c r="AE203" s="154" t="n">
        <x:f>IFERROR(AC203/AC202-1,"")</x:f>
        <x:v>0.0003489364919830873</x:v>
      </x:c>
      <x:c r="AF203" s="153" t="n">
        <x:v>14.31</x:v>
      </x:c>
      <x:c r="AG203" s="155" t="n">
        <x:v>45610</x:v>
      </x:c>
      <x:c r="AH203" s="153" t="n">
        <x:f>IFERROR(AF203-AF202,"")</x:f>
        <x:v>0.2900000000000009</x:v>
      </x:c>
      <x:c r="AI203" s="153" t="n">
        <x:v>4.58</x:v>
      </x:c>
      <x:c r="AJ203" s="155" t="n">
        <x:v>45604</x:v>
      </x:c>
      <x:c r="AK203" s="159" t="n">
        <x:v>183003</x:v>
      </x:c>
      <x:c r="AL203" s="154" t="n">
        <x:v>0.32794238343900195</x:v>
      </x:c>
      <x:c r="AM203" s="159" t="n">
        <x:v>-69363</x:v>
      </x:c>
      <x:c r="AN203" s="155" t="n">
        <x:v>45604</x:v>
      </x:c>
      <x:c r="AO203" s="159" t="n">
        <x:v>32297</x:v>
      </x:c>
      <x:c r="AP203" s="154" t="n">
        <x:v>0.2137090904278549</x:v>
      </x:c>
      <x:c r="AQ203" s="159" t="n">
        <x:v>-35258</x:v>
      </x:c>
      <x:c r="AR203" s="147" t="str">
        <x:v>美国市场指标与CFTC数据均使用严格早于上金所交易日的最后已发布值</x:v>
      </x:c>
    </x:row>
    <x:row r="204">
      <x:c r="A204" s="155" t="n">
        <x:v>45614</x:v>
      </x:c>
      <x:c r="B204" s="153" t="n">
        <x:v>591.5</x:v>
      </x:c>
      <x:c r="C204" s="153" t="n">
        <x:v>602</x:v>
      </x:c>
      <x:c r="D204" s="153" t="n">
        <x:v>591.5</x:v>
      </x:c>
      <x:c r="E204" s="153" t="n">
        <x:v>598.77</x:v>
      </x:c>
      <x:c r="F204" s="154" t="n">
        <x:f>IFERROR(E204/E203-1,"")</x:f>
        <x:v>0.011487068601449213</x:v>
      </x:c>
      <x:c r="G204" s="154" t="n">
        <x:f>IFERROR((C204-D204)/E203,"")</x:f>
        <x:v>0.017737385340473335</x:v>
      </x:c>
      <x:c r="H204" s="153" t="n">
        <x:v>598.6</x:v>
      </x:c>
      <x:c r="I204" s="158" t="n">
        <x:v>12778.74</x:v>
      </x:c>
      <x:c r="J204" s="158" t="n">
        <x:v>7649414953.6</x:v>
      </x:c>
      <x:c r="K204" s="158"/>
      <x:c r="L204" s="153" t="n">
        <x:v>7603</x:v>
      </x:c>
      <x:c r="M204" s="153" t="n">
        <x:v>7650</x:v>
      </x:c>
      <x:c r="N204" s="153" t="n">
        <x:v>7525</x:v>
      </x:c>
      <x:c r="O204" s="153" t="n">
        <x:v>7632</x:v>
      </x:c>
      <x:c r="P204" s="154" t="n">
        <x:f>IFERROR(O204/O203-1,"")</x:f>
        <x:v>0.0108609271523179</x:v>
      </x:c>
      <x:c r="Q204" s="154" t="n">
        <x:f>IFERROR((M204-N204)/O203,"")</x:f>
        <x:v>0.016556291390728478</x:v>
      </x:c>
      <x:c r="R204" s="153" t="n">
        <x:v>7619</x:v>
      </x:c>
      <x:c r="S204" s="158" t="n">
        <x:v>503202</x:v>
      </x:c>
      <x:c r="T204" s="158" t="n">
        <x:v>3834382070</x:v>
      </x:c>
      <x:c r="U204" s="158" t="n">
        <x:v>4919486</x:v>
      </x:c>
      <x:c r="V204" s="153" t="n">
        <x:f>IFERROR(E204*1000/O204,"")</x:f>
        <x:v>78.45518867924528</x:v>
      </x:c>
      <x:c r="W204" s="153" t="n">
        <x:v>4.43</x:v>
      </x:c>
      <x:c r="X204" s="155" t="n">
        <x:v>45611</x:v>
      </x:c>
      <x:c r="Y204" s="153" t="n">
        <x:v>2.1</x:v>
      </x:c>
      <x:c r="Z204" s="155" t="n">
        <x:v>45611</x:v>
      </x:c>
      <x:c r="AA204" s="153" t="n">
        <x:f>IFERROR(Y204-Y203,"")</x:f>
        <x:v>0</x:v>
      </x:c>
      <x:c r="AB204" s="153" t="n">
        <x:v>2.33</x:v>
      </x:c>
      <x:c r="AC204" s="153" t="n">
        <x:v>126.8848</x:v>
      </x:c>
      <x:c r="AD204" s="155" t="n">
        <x:v>45611</x:v>
      </x:c>
      <x:c r="AE204" s="154" t="n">
        <x:f>IFERROR(AC204/AC203-1,"")</x:f>
        <x:v>-0.0009188867848016757</x:v>
      </x:c>
      <x:c r="AF204" s="153" t="n">
        <x:v>16.14</x:v>
      </x:c>
      <x:c r="AG204" s="155" t="n">
        <x:v>45611</x:v>
      </x:c>
      <x:c r="AH204" s="153" t="n">
        <x:f>IFERROR(AF204-AF203,"")</x:f>
        <x:v>1.83</x:v>
      </x:c>
      <x:c r="AI204" s="153" t="n">
        <x:v>4.58</x:v>
      </x:c>
      <x:c r="AJ204" s="155" t="n">
        <x:v>45611</x:v>
      </x:c>
      <x:c r="AK204" s="159" t="n">
        <x:v>165296</x:v>
      </x:c>
      <x:c r="AL204" s="154" t="n">
        <x:v>0.3083989917553048</x:v>
      </x:c>
      <x:c r="AM204" s="159" t="n">
        <x:v>-67456</x:v>
      </x:c>
      <x:c r="AN204" s="155" t="n">
        <x:v>45611</x:v>
      </x:c>
      <x:c r="AO204" s="159" t="n">
        <x:v>24225</x:v>
      </x:c>
      <x:c r="AP204" s="154" t="n">
        <x:v>0.1642083429361604</x:v>
      </x:c>
      <x:c r="AQ204" s="159" t="n">
        <x:v>-34128</x:v>
      </x:c>
      <x:c r="AR204" s="147" t="str">
        <x:v>美国市场指标与CFTC数据均使用严格早于上金所交易日的最后已发布值</x:v>
      </x:c>
    </x:row>
    <x:row r="205">
      <x:c r="A205" s="155" t="n">
        <x:v>45615</x:v>
      </x:c>
      <x:c r="B205" s="153" t="n">
        <x:v>601</x:v>
      </x:c>
      <x:c r="C205" s="153" t="n">
        <x:v>608.2</x:v>
      </x:c>
      <x:c r="D205" s="153" t="n">
        <x:v>599</x:v>
      </x:c>
      <x:c r="E205" s="153" t="n">
        <x:v>607.3</x:v>
      </x:c>
      <x:c r="F205" s="154" t="n">
        <x:f>IFERROR(E205/E204-1,"")</x:f>
        <x:v>0.014245870701604879</x:v>
      </x:c>
      <x:c r="G205" s="154" t="n">
        <x:f>IFERROR((C205-D205)/E204,"")</x:f>
        <x:v>0.015364831237370018</x:v>
      </x:c>
      <x:c r="H205" s="153" t="n">
        <x:v>606.67</x:v>
      </x:c>
      <x:c r="I205" s="158" t="n">
        <x:v>11283.74</x:v>
      </x:c>
      <x:c r="J205" s="158" t="n">
        <x:v>6845553780.2</x:v>
      </x:c>
      <x:c r="K205" s="158"/>
      <x:c r="L205" s="153" t="n">
        <x:v>7653</x:v>
      </x:c>
      <x:c r="M205" s="153" t="n">
        <x:v>7806</x:v>
      </x:c>
      <x:c r="N205" s="153" t="n">
        <x:v>7645</x:v>
      </x:c>
      <x:c r="O205" s="153" t="n">
        <x:v>7764</x:v>
      </x:c>
      <x:c r="P205" s="154" t="n">
        <x:f>IFERROR(O205/O204-1,"")</x:f>
        <x:v>0.01729559748427678</x:v>
      </x:c>
      <x:c r="Q205" s="154" t="n">
        <x:f>IFERROR((M205-N205)/O204,"")</x:f>
        <x:v>0.02109538784067086</x:v>
      </x:c>
      <x:c r="R205" s="153" t="n">
        <x:v>7744</x:v>
      </x:c>
      <x:c r="S205" s="158" t="n">
        <x:v>330224</x:v>
      </x:c>
      <x:c r="T205" s="158" t="n">
        <x:v>2557384830</x:v>
      </x:c>
      <x:c r="U205" s="158" t="n">
        <x:v>4921716</x:v>
      </x:c>
      <x:c r="V205" s="153" t="n">
        <x:f>IFERROR(E205*1000/O205,"")</x:f>
        <x:v>78.21998969603297</x:v>
      </x:c>
      <x:c r="W205" s="153" t="n">
        <x:v>4.42</x:v>
      </x:c>
      <x:c r="X205" s="155" t="n">
        <x:v>45614</x:v>
      </x:c>
      <x:c r="Y205" s="153" t="n">
        <x:v>2.08</x:v>
      </x:c>
      <x:c r="Z205" s="155" t="n">
        <x:v>45614</x:v>
      </x:c>
      <x:c r="AA205" s="153" t="n">
        <x:f>IFERROR(Y205-Y204,"")</x:f>
        <x:v>-0.020000000000000018</x:v>
      </x:c>
      <x:c r="AB205" s="153" t="n">
        <x:v>2.34</x:v>
      </x:c>
      <x:c r="AC205" s="153" t="n">
        <x:v>126.6045</x:v>
      </x:c>
      <x:c r="AD205" s="155" t="n">
        <x:v>45614</x:v>
      </x:c>
      <x:c r="AE205" s="154" t="n">
        <x:f>IFERROR(AC205/AC204-1,"")</x:f>
        <x:v>-0.0022090904505503994</x:v>
      </x:c>
      <x:c r="AF205" s="153" t="n">
        <x:v>15.58</x:v>
      </x:c>
      <x:c r="AG205" s="155" t="n">
        <x:v>45614</x:v>
      </x:c>
      <x:c r="AH205" s="153" t="n">
        <x:f>IFERROR(AF205-AF204,"")</x:f>
        <x:v>-0.5600000000000005</x:v>
      </x:c>
      <x:c r="AI205" s="153" t="n">
        <x:v>4.58</x:v>
      </x:c>
      <x:c r="AJ205" s="155" t="n">
        <x:v>45611</x:v>
      </x:c>
      <x:c r="AK205" s="159" t="n">
        <x:v>165296</x:v>
      </x:c>
      <x:c r="AL205" s="154" t="n">
        <x:v>0.3083989917553048</x:v>
      </x:c>
      <x:c r="AM205" s="159" t="n">
        <x:v>-67456</x:v>
      </x:c>
      <x:c r="AN205" s="155" t="n">
        <x:v>45611</x:v>
      </x:c>
      <x:c r="AO205" s="159" t="n">
        <x:v>24225</x:v>
      </x:c>
      <x:c r="AP205" s="154" t="n">
        <x:v>0.1642083429361604</x:v>
      </x:c>
      <x:c r="AQ205" s="159" t="n">
        <x:v>-34128</x:v>
      </x:c>
      <x:c r="AR205" s="147" t="str">
        <x:v>美国市场指标与CFTC数据均使用严格早于上金所交易日的最后已发布值</x:v>
      </x:c>
    </x:row>
    <x:row r="206">
      <x:c r="A206" s="155" t="n">
        <x:v>45616</x:v>
      </x:c>
      <x:c r="B206" s="153" t="n">
        <x:v>610</x:v>
      </x:c>
      <x:c r="C206" s="153" t="n">
        <x:v>611.89</x:v>
      </x:c>
      <x:c r="D206" s="153" t="n">
        <x:v>607</x:v>
      </x:c>
      <x:c r="E206" s="153" t="n">
        <x:v>608</x:v>
      </x:c>
      <x:c r="F206" s="154" t="n">
        <x:f>IFERROR(E206/E205-1,"")</x:f>
        <x:v>0.001152642845381191</x:v>
      </x:c>
      <x:c r="G206" s="154" t="n">
        <x:f>IFERROR((C206-D206)/E205,"")</x:f>
        <x:v>0.008052033591305758</x:v>
      </x:c>
      <x:c r="H206" s="153" t="n">
        <x:v>610.7</x:v>
      </x:c>
      <x:c r="I206" s="158" t="n">
        <x:v>9167.48</x:v>
      </x:c>
      <x:c r="J206" s="158" t="n">
        <x:v>5598667856.6</x:v>
      </x:c>
      <x:c r="K206" s="158"/>
      <x:c r="L206" s="153" t="n">
        <x:v>7764</x:v>
      </x:c>
      <x:c r="M206" s="153" t="n">
        <x:v>7803</x:v>
      </x:c>
      <x:c r="N206" s="153" t="n">
        <x:v>7694</x:v>
      </x:c>
      <x:c r="O206" s="153" t="n">
        <x:v>7711</x:v>
      </x:c>
      <x:c r="P206" s="154" t="n">
        <x:f>IFERROR(O206/O205-1,"")</x:f>
        <x:v>-0.006826378155589952</x:v>
      </x:c>
      <x:c r="Q206" s="154" t="n">
        <x:f>IFERROR((M206-N206)/O205,"")</x:f>
        <x:v>0.014039155074703762</x:v>
      </x:c>
      <x:c r="R206" s="153" t="n">
        <x:v>7737</x:v>
      </x:c>
      <x:c r="S206" s="158" t="n">
        <x:v>322032</x:v>
      </x:c>
      <x:c r="T206" s="158" t="n">
        <x:v>2491566940</x:v>
      </x:c>
      <x:c r="U206" s="158" t="n">
        <x:v>4887974</x:v>
      </x:c>
      <x:c r="V206" s="153" t="n">
        <x:f>IFERROR(E206*1000/O206,"")</x:f>
        <x:v>78.84839839190766</x:v>
      </x:c>
      <x:c r="W206" s="153" t="n">
        <x:v>4.39</x:v>
      </x:c>
      <x:c r="X206" s="155" t="n">
        <x:v>45615</x:v>
      </x:c>
      <x:c r="Y206" s="153" t="n">
        <x:v>2.05</x:v>
      </x:c>
      <x:c r="Z206" s="155" t="n">
        <x:v>45615</x:v>
      </x:c>
      <x:c r="AA206" s="153" t="n">
        <x:f>IFERROR(Y206-Y205,"")</x:f>
        <x:v>-0.03000000000000025</x:v>
      </x:c>
      <x:c r="AB206" s="153" t="n">
        <x:v>2.34</x:v>
      </x:c>
      <x:c r="AC206" s="153" t="n">
        <x:v>126.3994</x:v>
      </x:c>
      <x:c r="AD206" s="155" t="n">
        <x:v>45615</x:v>
      </x:c>
      <x:c r="AE206" s="154" t="n">
        <x:f>IFERROR(AC206/AC205-1,"")</x:f>
        <x:v>-0.0016200056080155623</x:v>
      </x:c>
      <x:c r="AF206" s="153" t="n">
        <x:v>16.35</x:v>
      </x:c>
      <x:c r="AG206" s="155" t="n">
        <x:v>45615</x:v>
      </x:c>
      <x:c r="AH206" s="153" t="n">
        <x:f>IFERROR(AF206-AF205,"")</x:f>
        <x:v>0.7700000000000014</x:v>
      </x:c>
      <x:c r="AI206" s="153" t="n">
        <x:v>4.58</x:v>
      </x:c>
      <x:c r="AJ206" s="155" t="n">
        <x:v>45611</x:v>
      </x:c>
      <x:c r="AK206" s="159" t="n">
        <x:v>165296</x:v>
      </x:c>
      <x:c r="AL206" s="154" t="n">
        <x:v>0.3083989917553048</x:v>
      </x:c>
      <x:c r="AM206" s="159" t="n">
        <x:v>-67456</x:v>
      </x:c>
      <x:c r="AN206" s="155" t="n">
        <x:v>45611</x:v>
      </x:c>
      <x:c r="AO206" s="159" t="n">
        <x:v>24225</x:v>
      </x:c>
      <x:c r="AP206" s="154" t="n">
        <x:v>0.1642083429361604</x:v>
      </x:c>
      <x:c r="AQ206" s="159" t="n">
        <x:v>-34128</x:v>
      </x:c>
      <x:c r="AR206" s="147" t="str">
        <x:v>美国市场指标与CFTC数据均使用严格早于上金所交易日的最后已发布值</x:v>
      </x:c>
    </x:row>
    <x:row r="207">
      <x:c r="A207" s="155" t="n">
        <x:v>45617</x:v>
      </x:c>
      <x:c r="B207" s="153" t="n">
        <x:v>609.7</x:v>
      </x:c>
      <x:c r="C207" s="153" t="n">
        <x:v>616.68</x:v>
      </x:c>
      <x:c r="D207" s="153" t="n">
        <x:v>609.7</x:v>
      </x:c>
      <x:c r="E207" s="153" t="n">
        <x:v>616.42</x:v>
      </x:c>
      <x:c r="F207" s="154" t="n">
        <x:f>IFERROR(E207/E206-1,"")</x:f>
        <x:v>0.013848684210526319</x:v>
      </x:c>
      <x:c r="G207" s="154" t="n">
        <x:f>IFERROR((C207-D207)/E206,"")</x:f>
        <x:v>0.01148026315789458</x:v>
      </x:c>
      <x:c r="H207" s="153" t="n">
        <x:v>615.47</x:v>
      </x:c>
      <x:c r="I207" s="158" t="n">
        <x:v>10831.72</x:v>
      </x:c>
      <x:c r="J207" s="158" t="n">
        <x:v>6666620932.8</x:v>
      </x:c>
      <x:c r="K207" s="158"/>
      <x:c r="L207" s="153" t="n">
        <x:v>7692</x:v>
      </x:c>
      <x:c r="M207" s="153" t="n">
        <x:v>7793</x:v>
      </x:c>
      <x:c r="N207" s="153" t="n">
        <x:v>7682</x:v>
      </x:c>
      <x:c r="O207" s="153" t="n">
        <x:v>7791</x:v>
      </x:c>
      <x:c r="P207" s="154" t="n">
        <x:f>IFERROR(O207/O206-1,"")</x:f>
        <x:v>0.01037478926209312</x:v>
      </x:c>
      <x:c r="Q207" s="154" t="n">
        <x:f>IFERROR((M207-N207)/O206,"")</x:f>
        <x:v>0.014395020101154196</x:v>
      </x:c>
      <x:c r="R207" s="153" t="n">
        <x:v>7750</x:v>
      </x:c>
      <x:c r="S207" s="158" t="n">
        <x:v>477212</x:v>
      </x:c>
      <x:c r="T207" s="158" t="n">
        <x:v>3698413790</x:v>
      </x:c>
      <x:c r="U207" s="158" t="n">
        <x:v>4715162</x:v>
      </x:c>
      <x:c r="V207" s="153" t="n">
        <x:f>IFERROR(E207*1000/O207,"")</x:f>
        <x:v>79.11949685534591</x:v>
      </x:c>
      <x:c r="W207" s="153" t="n">
        <x:v>4.41</x:v>
      </x:c>
      <x:c r="X207" s="155" t="n">
        <x:v>45616</x:v>
      </x:c>
      <x:c r="Y207" s="153" t="n">
        <x:v>2.06</x:v>
      </x:c>
      <x:c r="Z207" s="155" t="n">
        <x:v>45616</x:v>
      </x:c>
      <x:c r="AA207" s="153" t="n">
        <x:f>IFERROR(Y207-Y206,"")</x:f>
        <x:v>0.010000000000000231</x:v>
      </x:c>
      <x:c r="AB207" s="153" t="n">
        <x:v>2.35</x:v>
      </x:c>
      <x:c r="AC207" s="153" t="n">
        <x:v>126.88</x:v>
      </x:c>
      <x:c r="AD207" s="155" t="n">
        <x:v>45616</x:v>
      </x:c>
      <x:c r="AE207" s="154" t="n">
        <x:f>IFERROR(AC207/AC206-1,"")</x:f>
        <x:v>0.00380223323844886</x:v>
      </x:c>
      <x:c r="AF207" s="153" t="n">
        <x:v>17.16</x:v>
      </x:c>
      <x:c r="AG207" s="155" t="n">
        <x:v>45616</x:v>
      </x:c>
      <x:c r="AH207" s="153" t="n">
        <x:f>IFERROR(AF207-AF206,"")</x:f>
        <x:v>0.8099999999999987</x:v>
      </x:c>
      <x:c r="AI207" s="153" t="n">
        <x:v>4.58</x:v>
      </x:c>
      <x:c r="AJ207" s="155" t="n">
        <x:v>45611</x:v>
      </x:c>
      <x:c r="AK207" s="159" t="n">
        <x:v>165296</x:v>
      </x:c>
      <x:c r="AL207" s="154" t="n">
        <x:v>0.3083989917553048</x:v>
      </x:c>
      <x:c r="AM207" s="159" t="n">
        <x:v>-67456</x:v>
      </x:c>
      <x:c r="AN207" s="155" t="n">
        <x:v>45611</x:v>
      </x:c>
      <x:c r="AO207" s="159" t="n">
        <x:v>24225</x:v>
      </x:c>
      <x:c r="AP207" s="154" t="n">
        <x:v>0.1642083429361604</x:v>
      </x:c>
      <x:c r="AQ207" s="159" t="n">
        <x:v>-34128</x:v>
      </x:c>
      <x:c r="AR207" s="147" t="str">
        <x:v>美国市场指标与CFTC数据均使用严格早于上金所交易日的最后已发布值</x:v>
      </x:c>
    </x:row>
    <x:row r="208">
      <x:c r="A208" s="155" t="n">
        <x:v>45618</x:v>
      </x:c>
      <x:c r="B208" s="153" t="n">
        <x:v>617</x:v>
      </x:c>
      <x:c r="C208" s="153" t="n">
        <x:v>624</x:v>
      </x:c>
      <x:c r="D208" s="153" t="n">
        <x:v>616.5</x:v>
      </x:c>
      <x:c r="E208" s="153" t="n">
        <x:v>623.91</x:v>
      </x:c>
      <x:c r="F208" s="154" t="n">
        <x:f>IFERROR(E208/E207-1,"")</x:f>
        <x:v>0.01215080626845344</x:v>
      </x:c>
      <x:c r="G208" s="154" t="n">
        <x:f>IFERROR((C208-D208)/E207,"")</x:f>
        <x:v>0.012167028973751664</x:v>
      </x:c>
      <x:c r="H208" s="153" t="n">
        <x:v>622.16</x:v>
      </x:c>
      <x:c r="I208" s="158" t="n">
        <x:v>11993.28</x:v>
      </x:c>
      <x:c r="J208" s="158" t="n">
        <x:v>7461784257.4</x:v>
      </x:c>
      <x:c r="K208" s="158"/>
      <x:c r="L208" s="153" t="n">
        <x:v>7750</x:v>
      </x:c>
      <x:c r="M208" s="153" t="n">
        <x:v>7777</x:v>
      </x:c>
      <x:c r="N208" s="153" t="n">
        <x:v>7670</x:v>
      </x:c>
      <x:c r="O208" s="153" t="n">
        <x:v>7762</x:v>
      </x:c>
      <x:c r="P208" s="154" t="n">
        <x:f>IFERROR(O208/O207-1,"")</x:f>
        <x:v>-0.0037222436144268567</x:v>
      </x:c>
      <x:c r="Q208" s="154" t="n">
        <x:f>IFERROR((M208-N208)/O207,"")</x:f>
        <x:v>0.013733795404954435</x:v>
      </x:c>
      <x:c r="R208" s="153" t="n">
        <x:v>7734</x:v>
      </x:c>
      <x:c r="S208" s="158" t="n">
        <x:v>592046</x:v>
      </x:c>
      <x:c r="T208" s="158" t="n">
        <x:v>4579471702</x:v>
      </x:c>
      <x:c r="U208" s="158" t="n">
        <x:v>4726046</x:v>
      </x:c>
      <x:c r="V208" s="153" t="n">
        <x:f>IFERROR(E208*1000/O208,"")</x:f>
        <x:v>80.38005668642103</x:v>
      </x:c>
      <x:c r="W208" s="153" t="n">
        <x:v>4.43</x:v>
      </x:c>
      <x:c r="X208" s="155" t="n">
        <x:v>45617</x:v>
      </x:c>
      <x:c r="Y208" s="153" t="n">
        <x:v>2.09</x:v>
      </x:c>
      <x:c r="Z208" s="155" t="n">
        <x:v>45617</x:v>
      </x:c>
      <x:c r="AA208" s="153" t="n">
        <x:f>IFERROR(Y208-Y207,"")</x:f>
        <x:v>0.029999999999999805</x:v>
      </x:c>
      <x:c r="AB208" s="153" t="n">
        <x:v>2.34</x:v>
      </x:c>
      <x:c r="AC208" s="153" t="n">
        <x:v>127.1047</x:v>
      </x:c>
      <x:c r="AD208" s="155" t="n">
        <x:v>45617</x:v>
      </x:c>
      <x:c r="AE208" s="154" t="n">
        <x:f>IFERROR(AC208/AC207-1,"")</x:f>
        <x:v>0.0017709646910466503</x:v>
      </x:c>
      <x:c r="AF208" s="153" t="n">
        <x:v>16.87</x:v>
      </x:c>
      <x:c r="AG208" s="155" t="n">
        <x:v>45617</x:v>
      </x:c>
      <x:c r="AH208" s="153" t="n">
        <x:f>IFERROR(AF208-AF207,"")</x:f>
        <x:v>-0.28999999999999915</x:v>
      </x:c>
      <x:c r="AI208" s="153" t="n">
        <x:v>4.58</x:v>
      </x:c>
      <x:c r="AJ208" s="155" t="n">
        <x:v>45611</x:v>
      </x:c>
      <x:c r="AK208" s="159" t="n">
        <x:v>165296</x:v>
      </x:c>
      <x:c r="AL208" s="154" t="n">
        <x:v>0.3083989917553048</x:v>
      </x:c>
      <x:c r="AM208" s="159" t="n">
        <x:v>-67456</x:v>
      </x:c>
      <x:c r="AN208" s="155" t="n">
        <x:v>45611</x:v>
      </x:c>
      <x:c r="AO208" s="159" t="n">
        <x:v>24225</x:v>
      </x:c>
      <x:c r="AP208" s="154" t="n">
        <x:v>0.1642083429361604</x:v>
      </x:c>
      <x:c r="AQ208" s="159" t="n">
        <x:v>-34128</x:v>
      </x:c>
      <x:c r="AR208" s="147" t="str">
        <x:v>美国市场指标与CFTC数据均使用严格早于上金所交易日的最后已发布值</x:v>
      </x:c>
    </x:row>
    <x:row r="209">
      <x:c r="A209" s="155" t="n">
        <x:v>45621</x:v>
      </x:c>
      <x:c r="B209" s="153" t="n">
        <x:v>625</x:v>
      </x:c>
      <x:c r="C209" s="153" t="n">
        <x:v>627</x:v>
      </x:c>
      <x:c r="D209" s="153" t="n">
        <x:v>614</x:v>
      </x:c>
      <x:c r="E209" s="153" t="n">
        <x:v>616.51</x:v>
      </x:c>
      <x:c r="F209" s="154" t="n">
        <x:f>IFERROR(E209/E208-1,"")</x:f>
        <x:v>-0.011860685034700502</x:v>
      </x:c>
      <x:c r="G209" s="154" t="n">
        <x:f>IFERROR((C209-D209)/E208,"")</x:f>
        <x:v>0.020836338574473885</x:v>
      </x:c>
      <x:c r="H209" s="153" t="n">
        <x:v>618.71</x:v>
      </x:c>
      <x:c r="I209" s="158" t="n">
        <x:v>8965.8</x:v>
      </x:c>
      <x:c r="J209" s="158" t="n">
        <x:v>5547262163.6</x:v>
      </x:c>
      <x:c r="K209" s="158"/>
      <x:c r="L209" s="153" t="n">
        <x:v>7780</x:v>
      </x:c>
      <x:c r="M209" s="153" t="n">
        <x:v>7822</x:v>
      </x:c>
      <x:c r="N209" s="153" t="n">
        <x:v>7572</x:v>
      </x:c>
      <x:c r="O209" s="153" t="n">
        <x:v>7625</x:v>
      </x:c>
      <x:c r="P209" s="154" t="n">
        <x:f>IFERROR(O209/O208-1,"")</x:f>
        <x:v>-0.0176500901829425</x:v>
      </x:c>
      <x:c r="Q209" s="154" t="n">
        <x:f>IFERROR((M209-N209)/O208,"")</x:f>
        <x:v>0.03220819376449369</x:v>
      </x:c>
      <x:c r="R209" s="153" t="n">
        <x:v>7692</x:v>
      </x:c>
      <x:c r="S209" s="158" t="n">
        <x:v>417986</x:v>
      </x:c>
      <x:c r="T209" s="158" t="n">
        <x:v>3215186600</x:v>
      </x:c>
      <x:c r="U209" s="158" t="n">
        <x:v>4680074</x:v>
      </x:c>
      <x:c r="V209" s="153" t="n">
        <x:f>IFERROR(E209*1000/O209,"")</x:f>
        <x:v>80.85377049180327</x:v>
      </x:c>
      <x:c r="W209" s="153" t="n">
        <x:v>4.41</x:v>
      </x:c>
      <x:c r="X209" s="155" t="n">
        <x:v>45618</x:v>
      </x:c>
      <x:c r="Y209" s="153" t="n">
        <x:v>2.07</x:v>
      </x:c>
      <x:c r="Z209" s="155" t="n">
        <x:v>45618</x:v>
      </x:c>
      <x:c r="AA209" s="153" t="n">
        <x:f>IFERROR(Y209-Y208,"")</x:f>
        <x:v>-0.020000000000000018</x:v>
      </x:c>
      <x:c r="AB209" s="153" t="n">
        <x:v>2.34</x:v>
      </x:c>
      <x:c r="AC209" s="153" t="n">
        <x:v>127.4712</x:v>
      </x:c>
      <x:c r="AD209" s="155" t="n">
        <x:v>45618</x:v>
      </x:c>
      <x:c r="AE209" s="154" t="n">
        <x:f>IFERROR(AC209/AC208-1,"")</x:f>
        <x:v>0.0028834496285345956</x:v>
      </x:c>
      <x:c r="AF209" s="153" t="n">
        <x:v>15.24</x:v>
      </x:c>
      <x:c r="AG209" s="155" t="n">
        <x:v>45618</x:v>
      </x:c>
      <x:c r="AH209" s="153" t="n">
        <x:f>IFERROR(AF209-AF208,"")</x:f>
        <x:v>-1.6300000000000008</x:v>
      </x:c>
      <x:c r="AI209" s="153" t="n">
        <x:v>4.58</x:v>
      </x:c>
      <x:c r="AJ209" s="155" t="n">
        <x:v>45618</x:v>
      </x:c>
      <x:c r="AK209" s="159" t="n">
        <x:v>155174</x:v>
      </x:c>
      <x:c r="AL209" s="154" t="n">
        <x:v>0.3085264597814503</x:v>
      </x:c>
      <x:c r="AM209" s="159" t="n">
        <x:v>-70317</x:v>
      </x:c>
      <x:c r="AN209" s="155" t="n">
        <x:v>45618</x:v>
      </x:c>
      <x:c r="AO209" s="159" t="n">
        <x:v>25938</x:v>
      </x:c>
      <x:c r="AP209" s="154" t="n">
        <x:v>0.18358376920735808</x:v>
      </x:c>
      <x:c r="AQ209" s="159" t="n">
        <x:v>-34733</x:v>
      </x:c>
      <x:c r="AR209" s="147" t="str">
        <x:v>美国市场指标与CFTC数据均使用严格早于上金所交易日的最后已发布值</x:v>
      </x:c>
    </x:row>
    <x:row r="210">
      <x:c r="A210" s="155" t="n">
        <x:v>45622</x:v>
      </x:c>
      <x:c r="B210" s="153" t="n">
        <x:v>620</x:v>
      </x:c>
      <x:c r="C210" s="153" t="n">
        <x:v>620</x:v>
      </x:c>
      <x:c r="D210" s="153" t="n">
        <x:v>606</x:v>
      </x:c>
      <x:c r="E210" s="153" t="n">
        <x:v>607</x:v>
      </x:c>
      <x:c r="F210" s="154" t="n">
        <x:f>IFERROR(E210/E209-1,"")</x:f>
        <x:v>-0.015425540542732485</x:v>
      </x:c>
      <x:c r="G210" s="154" t="n">
        <x:f>IFERROR((C210-D210)/E209,"")</x:f>
        <x:v>0.022708471882045708</x:v>
      </x:c>
      <x:c r="H210" s="153" t="n">
        <x:v>608.2</x:v>
      </x:c>
      <x:c r="I210" s="158" t="n">
        <x:v>8198.08</x:v>
      </x:c>
      <x:c r="J210" s="158" t="n">
        <x:v>4986077616.6</x:v>
      </x:c>
      <x:c r="K210" s="158"/>
      <x:c r="L210" s="153" t="n">
        <x:v>7634</x:v>
      </x:c>
      <x:c r="M210" s="153" t="n">
        <x:v>7649</x:v>
      </x:c>
      <x:c r="N210" s="153" t="n">
        <x:v>7527</x:v>
      </x:c>
      <x:c r="O210" s="153" t="n">
        <x:v>7561</x:v>
      </x:c>
      <x:c r="P210" s="154" t="n">
        <x:f>IFERROR(O210/O209-1,"")</x:f>
        <x:v>-0.00839344262295083</x:v>
      </x:c>
      <x:c r="Q210" s="154" t="n">
        <x:f>IFERROR((M210-N210)/O209,"")</x:f>
        <x:v>0.016</x:v>
      </x:c>
      <x:c r="R210" s="153" t="n">
        <x:v>7567</x:v>
      </x:c>
      <x:c r="S210" s="158" t="n">
        <x:v>315346</x:v>
      </x:c>
      <x:c r="T210" s="158" t="n">
        <x:v>2386270400</x:v>
      </x:c>
      <x:c r="U210" s="158" t="n">
        <x:v>4696714</x:v>
      </x:c>
      <x:c r="V210" s="153" t="n">
        <x:f>IFERROR(E210*1000/O210,"")</x:f>
        <x:v>80.2803861923026</x:v>
      </x:c>
      <x:c r="W210" s="153" t="n">
        <x:v>4.27</x:v>
      </x:c>
      <x:c r="X210" s="155" t="n">
        <x:v>45621</x:v>
      </x:c>
      <x:c r="Y210" s="153" t="n">
        <x:v>1.98</x:v>
      </x:c>
      <x:c r="Z210" s="155" t="n">
        <x:v>45621</x:v>
      </x:c>
      <x:c r="AA210" s="153" t="n">
        <x:f>IFERROR(Y210-Y209,"")</x:f>
        <x:v>-0.08999999999999986</x:v>
      </x:c>
      <x:c r="AB210" s="153" t="n">
        <x:v>2.29</x:v>
      </x:c>
      <x:c r="AC210" s="153" t="n">
        <x:v>126.9948</x:v>
      </x:c>
      <x:c r="AD210" s="155" t="n">
        <x:v>45621</x:v>
      </x:c>
      <x:c r="AE210" s="154" t="n">
        <x:f>IFERROR(AC210/AC209-1,"")</x:f>
        <x:v>-0.003737314781691814</x:v>
      </x:c>
      <x:c r="AF210" s="153" t="n">
        <x:v>14.6</x:v>
      </x:c>
      <x:c r="AG210" s="155" t="n">
        <x:v>45621</x:v>
      </x:c>
      <x:c r="AH210" s="153" t="n">
        <x:f>IFERROR(AF210-AF209,"")</x:f>
        <x:v>-0.6400000000000006</x:v>
      </x:c>
      <x:c r="AI210" s="153" t="n">
        <x:v>4.58</x:v>
      </x:c>
      <x:c r="AJ210" s="155" t="n">
        <x:v>45618</x:v>
      </x:c>
      <x:c r="AK210" s="159" t="n">
        <x:v>155174</x:v>
      </x:c>
      <x:c r="AL210" s="154" t="n">
        <x:v>0.3085264597814503</x:v>
      </x:c>
      <x:c r="AM210" s="159" t="n">
        <x:v>-70317</x:v>
      </x:c>
      <x:c r="AN210" s="155" t="n">
        <x:v>45618</x:v>
      </x:c>
      <x:c r="AO210" s="159" t="n">
        <x:v>25938</x:v>
      </x:c>
      <x:c r="AP210" s="154" t="n">
        <x:v>0.18358376920735808</x:v>
      </x:c>
      <x:c r="AQ210" s="159" t="n">
        <x:v>-34733</x:v>
      </x:c>
      <x:c r="AR210" s="147" t="str">
        <x:v>美国市场指标与CFTC数据均使用严格早于上金所交易日的最后已发布值</x:v>
      </x:c>
    </x:row>
    <x:row r="211">
      <x:c r="A211" s="155" t="n">
        <x:v>45623</x:v>
      </x:c>
      <x:c r="B211" s="153" t="n">
        <x:v>609</x:v>
      </x:c>
      <x:c r="C211" s="153" t="n">
        <x:v>614.49</x:v>
      </x:c>
      <x:c r="D211" s="153" t="n">
        <x:v>607</x:v>
      </x:c>
      <x:c r="E211" s="153" t="n">
        <x:v>613.8</x:v>
      </x:c>
      <x:c r="F211" s="154" t="n">
        <x:f>IFERROR(E211/E210-1,"")</x:f>
        <x:v>0.011202635914332681</x:v>
      </x:c>
      <x:c r="G211" s="154" t="n">
        <x:f>IFERROR((C211-D211)/E210,"")</x:f>
        <x:v>0.012339373970345978</x:v>
      </x:c>
      <x:c r="H211" s="153" t="n">
        <x:v>612.11</x:v>
      </x:c>
      <x:c r="I211" s="158" t="n">
        <x:v>8381.12</x:v>
      </x:c>
      <x:c r="J211" s="158" t="n">
        <x:v>5130177843</x:v>
      </x:c>
      <x:c r="K211" s="158"/>
      <x:c r="L211" s="153" t="n">
        <x:v>7616</x:v>
      </x:c>
      <x:c r="M211" s="153" t="n">
        <x:v>7635</x:v>
      </x:c>
      <x:c r="N211" s="153" t="n">
        <x:v>7545</x:v>
      </x:c>
      <x:c r="O211" s="153" t="n">
        <x:v>7626</x:v>
      </x:c>
      <x:c r="P211" s="154" t="n">
        <x:f>IFERROR(O211/O210-1,"")</x:f>
        <x:v>0.008596746462108174</x:v>
      </x:c>
      <x:c r="Q211" s="154" t="n">
        <x:f>IFERROR((M211-N211)/O210,"")</x:f>
        <x:v>0.011903187409072874</x:v>
      </x:c>
      <x:c r="R211" s="153" t="n">
        <x:v>7596</x:v>
      </x:c>
      <x:c r="S211" s="158" t="n">
        <x:v>268506</x:v>
      </x:c>
      <x:c r="T211" s="158" t="n">
        <x:v>2039685166</x:v>
      </x:c>
      <x:c r="U211" s="158" t="n">
        <x:v>4544236</x:v>
      </x:c>
      <x:c r="V211" s="153" t="n">
        <x:f>IFERROR(E211*1000/O211,"")</x:f>
        <x:v>80.48780487804878</x:v>
      </x:c>
      <x:c r="W211" s="153" t="n">
        <x:v>4.3</x:v>
      </x:c>
      <x:c r="X211" s="155" t="n">
        <x:v>45622</x:v>
      </x:c>
      <x:c r="Y211" s="153" t="n">
        <x:v>2.02</x:v>
      </x:c>
      <x:c r="Z211" s="155" t="n">
        <x:v>45622</x:v>
      </x:c>
      <x:c r="AA211" s="153" t="n">
        <x:f>IFERROR(Y211-Y210,"")</x:f>
        <x:v>0.040000000000000036</x:v>
      </x:c>
      <x:c r="AB211" s="153" t="n">
        <x:v>2.28</x:v>
      </x:c>
      <x:c r="AC211" s="153" t="n">
        <x:v>127.4301</x:v>
      </x:c>
      <x:c r="AD211" s="155" t="n">
        <x:v>45622</x:v>
      </x:c>
      <x:c r="AE211" s="154" t="n">
        <x:f>IFERROR(AC211/AC210-1,"")</x:f>
        <x:v>0.0034276994018651585</x:v>
      </x:c>
      <x:c r="AF211" s="153" t="n">
        <x:v>14.1</x:v>
      </x:c>
      <x:c r="AG211" s="155" t="n">
        <x:v>45622</x:v>
      </x:c>
      <x:c r="AH211" s="153" t="n">
        <x:f>IFERROR(AF211-AF210,"")</x:f>
        <x:v>-0.5</x:v>
      </x:c>
      <x:c r="AI211" s="153" t="n">
        <x:v>4.58</x:v>
      </x:c>
      <x:c r="AJ211" s="155" t="n">
        <x:v>45618</x:v>
      </x:c>
      <x:c r="AK211" s="159" t="n">
        <x:v>155174</x:v>
      </x:c>
      <x:c r="AL211" s="154" t="n">
        <x:v>0.3085264597814503</x:v>
      </x:c>
      <x:c r="AM211" s="159" t="n">
        <x:v>-70317</x:v>
      </x:c>
      <x:c r="AN211" s="155" t="n">
        <x:v>45618</x:v>
      </x:c>
      <x:c r="AO211" s="159" t="n">
        <x:v>25938</x:v>
      </x:c>
      <x:c r="AP211" s="154" t="n">
        <x:v>0.18358376920735808</x:v>
      </x:c>
      <x:c r="AQ211" s="159" t="n">
        <x:v>-34733</x:v>
      </x:c>
      <x:c r="AR211" s="147" t="str">
        <x:v>美国市场指标与CFTC数据均使用严格早于上金所交易日的最后已发布值</x:v>
      </x:c>
    </x:row>
    <x:row r="212">
      <x:c r="A212" s="155" t="n">
        <x:v>45624</x:v>
      </x:c>
      <x:c r="B212" s="153" t="n">
        <x:v>614.9</x:v>
      </x:c>
      <x:c r="C212" s="153" t="n">
        <x:v>614.9</x:v>
      </x:c>
      <x:c r="D212" s="153" t="n">
        <x:v>606.01</x:v>
      </x:c>
      <x:c r="E212" s="153" t="n">
        <x:v>611.77</x:v>
      </x:c>
      <x:c r="F212" s="154" t="n">
        <x:f>IFERROR(E212/E211-1,"")</x:f>
        <x:v>-0.0033072662104919326</x:v>
      </x:c>
      <x:c r="G212" s="154" t="n">
        <x:f>IFERROR((C212-D212)/E211,"")</x:f>
        <x:v>0.014483545128706398</x:v>
      </x:c>
      <x:c r="H212" s="153" t="n">
        <x:v>608.91</x:v>
      </x:c>
      <x:c r="I212" s="158" t="n">
        <x:v>8231.32</x:v>
      </x:c>
      <x:c r="J212" s="158" t="n">
        <x:v>5012161935</x:v>
      </x:c>
      <x:c r="K212" s="158"/>
      <x:c r="L212" s="153" t="n">
        <x:v>7616</x:v>
      </x:c>
      <x:c r="M212" s="153" t="n">
        <x:v>7632</x:v>
      </x:c>
      <x:c r="N212" s="153" t="n">
        <x:v>7425</x:v>
      </x:c>
      <x:c r="O212" s="153" t="n">
        <x:v>7494</x:v>
      </x:c>
      <x:c r="P212" s="154" t="n">
        <x:f>IFERROR(O212/O211-1,"")</x:f>
        <x:v>-0.01730920535011804</x:v>
      </x:c>
      <x:c r="Q212" s="154" t="n">
        <x:f>IFERROR((M212-N212)/O211,"")</x:f>
        <x:v>0.02714398111723053</x:v>
      </x:c>
      <x:c r="R212" s="153" t="n">
        <x:v>7499</x:v>
      </x:c>
      <x:c r="S212" s="158" t="n">
        <x:v>402982</x:v>
      </x:c>
      <x:c r="T212" s="158" t="n">
        <x:v>3022037668</x:v>
      </x:c>
      <x:c r="U212" s="158" t="n">
        <x:v>4588118</x:v>
      </x:c>
      <x:c r="V212" s="153" t="n">
        <x:f>IFERROR(E212*1000/O212,"")</x:f>
        <x:v>81.63464104617027</x:v>
      </x:c>
      <x:c r="W212" s="153" t="n">
        <x:v>4.25</x:v>
      </x:c>
      <x:c r="X212" s="155" t="n">
        <x:v>45623</x:v>
      </x:c>
      <x:c r="Y212" s="153" t="n">
        <x:v>1.99</x:v>
      </x:c>
      <x:c r="Z212" s="155" t="n">
        <x:v>45623</x:v>
      </x:c>
      <x:c r="AA212" s="153" t="n">
        <x:f>IFERROR(Y212-Y211,"")</x:f>
        <x:v>-0.030000000000000027</x:v>
      </x:c>
      <x:c r="AB212" s="153" t="n">
        <x:v>2.26</x:v>
      </x:c>
      <x:c r="AC212" s="153" t="n">
        <x:v>126.8205</x:v>
      </x:c>
      <x:c r="AD212" s="155" t="n">
        <x:v>45623</x:v>
      </x:c>
      <x:c r="AE212" s="154" t="n">
        <x:f>IFERROR(AC212/AC211-1,"")</x:f>
        <x:v>-0.004783799118104781</x:v>
      </x:c>
      <x:c r="AF212" s="153" t="n">
        <x:v>14.1</x:v>
      </x:c>
      <x:c r="AG212" s="155" t="n">
        <x:v>45623</x:v>
      </x:c>
      <x:c r="AH212" s="153" t="n">
        <x:f>IFERROR(AF212-AF211,"")</x:f>
        <x:v>0</x:v>
      </x:c>
      <x:c r="AI212" s="153" t="n">
        <x:v>4.58</x:v>
      </x:c>
      <x:c r="AJ212" s="155" t="n">
        <x:v>45618</x:v>
      </x:c>
      <x:c r="AK212" s="159" t="n">
        <x:v>155174</x:v>
      </x:c>
      <x:c r="AL212" s="154" t="n">
        <x:v>0.3085264597814503</x:v>
      </x:c>
      <x:c r="AM212" s="159" t="n">
        <x:v>-70317</x:v>
      </x:c>
      <x:c r="AN212" s="155" t="n">
        <x:v>45618</x:v>
      </x:c>
      <x:c r="AO212" s="159" t="n">
        <x:v>25938</x:v>
      </x:c>
      <x:c r="AP212" s="154" t="n">
        <x:v>0.18358376920735808</x:v>
      </x:c>
      <x:c r="AQ212" s="159" t="n">
        <x:v>-34733</x:v>
      </x:c>
      <x:c r="AR212" s="147" t="str">
        <x:v>美国市场指标与CFTC数据均使用严格早于上金所交易日的最后已发布值</x:v>
      </x:c>
    </x:row>
    <x:row r="213">
      <x:c r="A213" s="155" t="n">
        <x:v>45625</x:v>
      </x:c>
      <x:c r="B213" s="153" t="n">
        <x:v>612</x:v>
      </x:c>
      <x:c r="C213" s="153" t="n">
        <x:v>616.2</x:v>
      </x:c>
      <x:c r="D213" s="153" t="n">
        <x:v>609</x:v>
      </x:c>
      <x:c r="E213" s="153" t="n">
        <x:v>614.88</x:v>
      </x:c>
      <x:c r="F213" s="154" t="n">
        <x:f>IFERROR(E213/E212-1,"")</x:f>
        <x:v>0.005083609853376192</x:v>
      </x:c>
      <x:c r="G213" s="154" t="n">
        <x:f>IFERROR((C213-D213)/E212,"")</x:f>
        <x:v>0.011769128920999797</x:v>
      </x:c>
      <x:c r="H213" s="153" t="n">
        <x:v>614.34</x:v>
      </x:c>
      <x:c r="I213" s="158" t="n">
        <x:v>7079.66</x:v>
      </x:c>
      <x:c r="J213" s="158" t="n">
        <x:v>4349351826.8</x:v>
      </x:c>
      <x:c r="K213" s="158"/>
      <x:c r="L213" s="153" t="n">
        <x:v>7523</x:v>
      </x:c>
      <x:c r="M213" s="153" t="n">
        <x:v>7675</x:v>
      </x:c>
      <x:c r="N213" s="153" t="n">
        <x:v>7503</x:v>
      </x:c>
      <x:c r="O213" s="153" t="n">
        <x:v>7649</x:v>
      </x:c>
      <x:c r="P213" s="154" t="n">
        <x:f>IFERROR(O213/O212-1,"")</x:f>
        <x:v>0.020683213237256526</x:v>
      </x:c>
      <x:c r="Q213" s="154" t="n">
        <x:f>IFERROR((M213-N213)/O212,"")</x:f>
        <x:v>0.0229516946890846</x:v>
      </x:c>
      <x:c r="R213" s="153" t="n">
        <x:v>7604</x:v>
      </x:c>
      <x:c r="S213" s="158" t="n">
        <x:v>391024</x:v>
      </x:c>
      <x:c r="T213" s="158" t="n">
        <x:v>2973659768</x:v>
      </x:c>
      <x:c r="U213" s="158" t="n">
        <x:v>4636836</x:v>
      </x:c>
      <x:c r="V213" s="153" t="n">
        <x:f>IFERROR(E213*1000/O213,"")</x:f>
        <x:v>80.38697869002483</x:v>
      </x:c>
      <x:c r="W213" s="153" t="n">
        <x:v>4.25</x:v>
      </x:c>
      <x:c r="X213" s="155" t="n">
        <x:v>45623</x:v>
      </x:c>
      <x:c r="Y213" s="153" t="n">
        <x:v>1.99</x:v>
      </x:c>
      <x:c r="Z213" s="155" t="n">
        <x:v>45623</x:v>
      </x:c>
      <x:c r="AA213" s="153" t="n">
        <x:f>IFERROR(Y213-Y212,"")</x:f>
        <x:v>0</x:v>
      </x:c>
      <x:c r="AB213" s="153" t="n">
        <x:v>2.26</x:v>
      </x:c>
      <x:c r="AC213" s="153" t="n">
        <x:v>126.8205</x:v>
      </x:c>
      <x:c r="AD213" s="155" t="n">
        <x:v>45623</x:v>
      </x:c>
      <x:c r="AE213" s="154" t="n">
        <x:f>IFERROR(AC213/AC212-1,"")</x:f>
        <x:v>0</x:v>
      </x:c>
      <x:c r="AF213" s="153" t="n">
        <x:v>13.9</x:v>
      </x:c>
      <x:c r="AG213" s="155" t="n">
        <x:v>45624</x:v>
      </x:c>
      <x:c r="AH213" s="153" t="n">
        <x:f>IFERROR(AF213-AF212,"")</x:f>
        <x:v>-0.1999999999999993</x:v>
      </x:c>
      <x:c r="AI213" s="153" t="n">
        <x:v>4.58</x:v>
      </x:c>
      <x:c r="AJ213" s="155" t="n">
        <x:v>45618</x:v>
      </x:c>
      <x:c r="AK213" s="159" t="n">
        <x:v>155174</x:v>
      </x:c>
      <x:c r="AL213" s="154" t="n">
        <x:v>0.3085264597814503</x:v>
      </x:c>
      <x:c r="AM213" s="159" t="n">
        <x:v>-70317</x:v>
      </x:c>
      <x:c r="AN213" s="155" t="n">
        <x:v>45618</x:v>
      </x:c>
      <x:c r="AO213" s="159" t="n">
        <x:v>25938</x:v>
      </x:c>
      <x:c r="AP213" s="154" t="n">
        <x:v>0.18358376920735808</x:v>
      </x:c>
      <x:c r="AQ213" s="159" t="n">
        <x:v>-34733</x:v>
      </x:c>
      <x:c r="AR213" s="147" t="str">
        <x:v>美国市场指标与CFTC数据均使用严格早于上金所交易日的最后已发布值</x:v>
      </x:c>
    </x:row>
    <x:row r="214">
      <x:c r="A214" s="155" t="n">
        <x:v>45630</x:v>
      </x:c>
      <x:c r="B214" s="153" t="n">
        <x:v>616</x:v>
      </x:c>
      <x:c r="C214" s="153" t="n">
        <x:v>618</x:v>
      </x:c>
      <x:c r="D214" s="153" t="n">
        <x:v>614.8</x:v>
      </x:c>
      <x:c r="E214" s="153" t="n">
        <x:v>615.86</x:v>
      </x:c>
      <x:c r="F214" s="154" t="n">
        <x:f>IFERROR(E214/E213-1,"")</x:f>
        <x:v>0.0015938069216758777</x:v>
      </x:c>
      <x:c r="G214" s="154" t="n">
        <x:f>IFERROR((C214-D214)/E213,"")</x:f>
        <x:v>0.00520426749934954</x:v>
      </x:c>
      <x:c r="H214" s="153" t="n">
        <x:v>616.42</x:v>
      </x:c>
      <x:c r="I214" s="158" t="n">
        <x:v>7341.18</x:v>
      </x:c>
      <x:c r="J214" s="158" t="n">
        <x:v>4525267297.2</x:v>
      </x:c>
      <x:c r="K214" s="158"/>
      <x:c r="L214" s="153" t="n">
        <x:v>7740</x:v>
      </x:c>
      <x:c r="M214" s="153" t="n">
        <x:v>7816</x:v>
      </x:c>
      <x:c r="N214" s="153" t="n">
        <x:v>7733</x:v>
      </x:c>
      <x:c r="O214" s="153" t="n">
        <x:v>7776</x:v>
      </x:c>
      <x:c r="P214" s="154" t="n">
        <x:f>IFERROR(O214/O213-1,"")</x:f>
        <x:v>0.016603477578768455</x:v>
      </x:c>
      <x:c r="Q214" s="154" t="n">
        <x:f>IFERROR((M214-N214)/O213,"")</x:f>
        <x:v>0.010851091645966792</x:v>
      </x:c>
      <x:c r="R214" s="153" t="n">
        <x:v>7774</x:v>
      </x:c>
      <x:c r="S214" s="158" t="n">
        <x:v>269148</x:v>
      </x:c>
      <x:c r="T214" s="158" t="n">
        <x:v>2092467746</x:v>
      </x:c>
      <x:c r="U214" s="158" t="n">
        <x:v>4492908</x:v>
      </x:c>
      <x:c r="V214" s="153" t="n">
        <x:f>IFERROR(E214*1000/O214,"")</x:f>
        <x:v>79.20010288065843</x:v>
      </x:c>
      <x:c r="W214" s="153" t="n">
        <x:v>4.23</x:v>
      </x:c>
      <x:c r="X214" s="155" t="n">
        <x:v>45629</x:v>
      </x:c>
      <x:c r="Y214" s="153" t="n">
        <x:v>1.95</x:v>
      </x:c>
      <x:c r="Z214" s="155" t="n">
        <x:v>45629</x:v>
      </x:c>
      <x:c r="AA214" s="153" t="n">
        <x:f>IFERROR(Y214-Y213,"")</x:f>
        <x:v>-0.040000000000000036</x:v>
      </x:c>
      <x:c r="AB214" s="153" t="n">
        <x:v>2.28</x:v>
      </x:c>
      <x:c r="AC214" s="153" t="n">
        <x:v>126.9565</x:v>
      </x:c>
      <x:c r="AD214" s="155" t="n">
        <x:v>45629</x:v>
      </x:c>
      <x:c r="AE214" s="154" t="n">
        <x:f>IFERROR(AC214/AC213-1,"")</x:f>
        <x:v>0.0010723818310132138</x:v>
      </x:c>
      <x:c r="AF214" s="153" t="n">
        <x:v>13.3</x:v>
      </x:c>
      <x:c r="AG214" s="155" t="n">
        <x:v>45629</x:v>
      </x:c>
      <x:c r="AH214" s="153" t="n">
        <x:f>IFERROR(AF214-AF213,"")</x:f>
        <x:v>-0.5999999999999996</x:v>
      </x:c>
      <x:c r="AI214" s="153" t="n">
        <x:v>4.58</x:v>
      </x:c>
      <x:c r="AJ214" s="155" t="n">
        <x:v>45625</x:v>
      </x:c>
      <x:c r="AK214" s="159" t="n">
        <x:v>179290</x:v>
      </x:c>
      <x:c r="AL214" s="154" t="n">
        <x:v>0.37932128802945037</x:v>
      </x:c>
      <x:c r="AM214" s="159" t="n">
        <x:v>-67080</x:v>
      </x:c>
      <x:c r="AN214" s="155" t="n">
        <x:v>45625</x:v>
      </x:c>
      <x:c r="AO214" s="159" t="n">
        <x:v>23105</x:v>
      </x:c>
      <x:c r="AP214" s="154" t="n">
        <x:v>0.17166951482279516</x:v>
      </x:c>
      <x:c r="AQ214" s="159" t="n">
        <x:v>-34409</x:v>
      </x:c>
      <x:c r="AR214" s="147" t="str">
        <x:v>美国市场指标与CFTC数据均使用严格早于上金所交易日的最后已发布值</x:v>
      </x:c>
    </x:row>
    <x:row r="215">
      <x:c r="A215" s="155" t="n">
        <x:v>45631</x:v>
      </x:c>
      <x:c r="B215" s="153" t="n">
        <x:v>615</x:v>
      </x:c>
      <x:c r="C215" s="153" t="n">
        <x:v>617.99</x:v>
      </x:c>
      <x:c r="D215" s="153" t="n">
        <x:v>614</x:v>
      </x:c>
      <x:c r="E215" s="153" t="n">
        <x:v>616</x:v>
      </x:c>
      <x:c r="F215" s="154" t="n">
        <x:f>IFERROR(E215/E214-1,"")</x:f>
        <x:v>0.00022732439190731313</x:v>
      </x:c>
      <x:c r="G215" s="154" t="n">
        <x:f>IFERROR((C215-D215)/E214,"")</x:f>
        <x:v>0.006478745169356687</x:v>
      </x:c>
      <x:c r="H215" s="153" t="n">
        <x:v>616.72</x:v>
      </x:c>
      <x:c r="I215" s="158" t="n">
        <x:v>6480.88</x:v>
      </x:c>
      <x:c r="J215" s="158" t="n">
        <x:v>3996892574.2</x:v>
      </x:c>
      <x:c r="K215" s="158"/>
      <x:c r="L215" s="153" t="n">
        <x:v>7757</x:v>
      </x:c>
      <x:c r="M215" s="153" t="n">
        <x:v>7872</x:v>
      </x:c>
      <x:c r="N215" s="153" t="n">
        <x:v>7687</x:v>
      </x:c>
      <x:c r="O215" s="153" t="n">
        <x:v>7801</x:v>
      </x:c>
      <x:c r="P215" s="154" t="n">
        <x:f>IFERROR(O215/O214-1,"")</x:f>
        <x:v>0.0032150205761316553</x:v>
      </x:c>
      <x:c r="Q215" s="154" t="n">
        <x:f>IFERROR((M215-N215)/O214,"")</x:f>
        <x:v>0.023791152263374485</x:v>
      </x:c>
      <x:c r="R215" s="153" t="n">
        <x:v>7793</x:v>
      </x:c>
      <x:c r="S215" s="158" t="n">
        <x:v>312884</x:v>
      </x:c>
      <x:c r="T215" s="158" t="n">
        <x:v>2438392028</x:v>
      </x:c>
      <x:c r="U215" s="158" t="n">
        <x:v>4462804</x:v>
      </x:c>
      <x:c r="V215" s="153" t="n">
        <x:f>IFERROR(E215*1000/O215,"")</x:f>
        <x:v>78.96423535444174</x:v>
      </x:c>
      <x:c r="W215" s="153" t="n">
        <x:v>4.19</x:v>
      </x:c>
      <x:c r="X215" s="155" t="n">
        <x:v>45630</x:v>
      </x:c>
      <x:c r="Y215" s="153" t="n">
        <x:v>1.9</x:v>
      </x:c>
      <x:c r="Z215" s="155" t="n">
        <x:v>45630</x:v>
      </x:c>
      <x:c r="AA215" s="153" t="n">
        <x:f>IFERROR(Y215-Y214,"")</x:f>
        <x:v>-0.050000000000000044</x:v>
      </x:c>
      <x:c r="AB215" s="153" t="n">
        <x:v>2.29</x:v>
      </x:c>
      <x:c r="AC215" s="153" t="n">
        <x:v>126.7574</x:v>
      </x:c>
      <x:c r="AD215" s="155" t="n">
        <x:v>45630</x:v>
      </x:c>
      <x:c r="AE215" s="154" t="n">
        <x:f>IFERROR(AC215/AC214-1,"")</x:f>
        <x:v>-0.0015682536931941327</x:v>
      </x:c>
      <x:c r="AF215" s="153" t="n">
        <x:v>13.45</x:v>
      </x:c>
      <x:c r="AG215" s="155" t="n">
        <x:v>45630</x:v>
      </x:c>
      <x:c r="AH215" s="153" t="n">
        <x:f>IFERROR(AF215-AF214,"")</x:f>
        <x:v>0.14999999999999858</x:v>
      </x:c>
      <x:c r="AI215" s="153" t="n">
        <x:v>4.58</x:v>
      </x:c>
      <x:c r="AJ215" s="155" t="n">
        <x:v>45625</x:v>
      </x:c>
      <x:c r="AK215" s="159" t="n">
        <x:v>179290</x:v>
      </x:c>
      <x:c r="AL215" s="154" t="n">
        <x:v>0.37932128802945037</x:v>
      </x:c>
      <x:c r="AM215" s="159" t="n">
        <x:v>-67080</x:v>
      </x:c>
      <x:c r="AN215" s="155" t="n">
        <x:v>45625</x:v>
      </x:c>
      <x:c r="AO215" s="159" t="n">
        <x:v>23105</x:v>
      </x:c>
      <x:c r="AP215" s="154" t="n">
        <x:v>0.17166951482279516</x:v>
      </x:c>
      <x:c r="AQ215" s="159" t="n">
        <x:v>-34409</x:v>
      </x:c>
      <x:c r="AR215" s="147" t="str">
        <x:v>美国市场指标与CFTC数据均使用严格早于上金所交易日的最后已发布值</x:v>
      </x:c>
    </x:row>
    <x:row r="216">
      <x:c r="A216" s="155" t="n">
        <x:v>45632</x:v>
      </x:c>
      <x:c r="B216" s="153" t="n">
        <x:v>616</x:v>
      </x:c>
      <x:c r="C216" s="153" t="n">
        <x:v>616</x:v>
      </x:c>
      <x:c r="D216" s="153" t="n">
        <x:v>609.06</x:v>
      </x:c>
      <x:c r="E216" s="153" t="n">
        <x:v>614.09</x:v>
      </x:c>
      <x:c r="F216" s="154" t="n">
        <x:f>IFERROR(E216/E215-1,"")</x:f>
        <x:v>-0.0031006493506493538</x:v>
      </x:c>
      <x:c r="G216" s="154" t="n">
        <x:f>IFERROR((C216-D216)/E215,"")</x:f>
        <x:v>0.011266233766233855</x:v>
      </x:c>
      <x:c r="H216" s="153" t="n">
        <x:v>612.4</x:v>
      </x:c>
      <x:c r="I216" s="158" t="n">
        <x:v>7711.26</x:v>
      </x:c>
      <x:c r="J216" s="158" t="n">
        <x:v>4722433843.4</x:v>
      </x:c>
      <x:c r="K216" s="158"/>
      <x:c r="L216" s="153" t="n">
        <x:v>7815</x:v>
      </x:c>
      <x:c r="M216" s="153" t="n">
        <x:v>7835</x:v>
      </x:c>
      <x:c r="N216" s="153" t="n">
        <x:v>7706</x:v>
      </x:c>
      <x:c r="O216" s="153" t="n">
        <x:v>7797</x:v>
      </x:c>
      <x:c r="P216" s="154" t="n">
        <x:f>IFERROR(O216/O215-1,"")</x:f>
        <x:v>-0.0005127547750288786</x:v>
      </x:c>
      <x:c r="Q216" s="154" t="n">
        <x:f>IFERROR((M216-N216)/O215,"")</x:f>
        <x:v>0.016536341494680168</x:v>
      </x:c>
      <x:c r="R216" s="153" t="n">
        <x:v>7773</x:v>
      </x:c>
      <x:c r="S216" s="158" t="n">
        <x:v>314074</x:v>
      </x:c>
      <x:c r="T216" s="158" t="n">
        <x:v>2441524952</x:v>
      </x:c>
      <x:c r="U216" s="158" t="n">
        <x:v>4466322</x:v>
      </x:c>
      <x:c r="V216" s="153" t="n">
        <x:f>IFERROR(E216*1000/O216,"")</x:f>
        <x:v>78.75977940233423</x:v>
      </x:c>
      <x:c r="W216" s="153" t="n">
        <x:v>4.17</x:v>
      </x:c>
      <x:c r="X216" s="155" t="n">
        <x:v>45631</x:v>
      </x:c>
      <x:c r="Y216" s="153" t="n">
        <x:v>1.92</x:v>
      </x:c>
      <x:c r="Z216" s="155" t="n">
        <x:v>45631</x:v>
      </x:c>
      <x:c r="AA216" s="153" t="n">
        <x:f>IFERROR(Y216-Y215,"")</x:f>
        <x:v>0.020000000000000018</x:v>
      </x:c>
      <x:c r="AB216" s="153" t="n">
        <x:v>2.25</x:v>
      </x:c>
      <x:c r="AC216" s="153" t="n">
        <x:v>126.4286</x:v>
      </x:c>
      <x:c r="AD216" s="155" t="n">
        <x:v>45631</x:v>
      </x:c>
      <x:c r="AE216" s="154" t="n">
        <x:f>IFERROR(AC216/AC215-1,"")</x:f>
        <x:v>-0.0025939313996657942</x:v>
      </x:c>
      <x:c r="AF216" s="153" t="n">
        <x:v>13.54</x:v>
      </x:c>
      <x:c r="AG216" s="155" t="n">
        <x:v>45631</x:v>
      </x:c>
      <x:c r="AH216" s="153" t="n">
        <x:f>IFERROR(AF216-AF215,"")</x:f>
        <x:v>0.08999999999999986</x:v>
      </x:c>
      <x:c r="AI216" s="153" t="n">
        <x:v>4.58</x:v>
      </x:c>
      <x:c r="AJ216" s="155" t="n">
        <x:v>45625</x:v>
      </x:c>
      <x:c r="AK216" s="159" t="n">
        <x:v>179290</x:v>
      </x:c>
      <x:c r="AL216" s="154" t="n">
        <x:v>0.37932128802945037</x:v>
      </x:c>
      <x:c r="AM216" s="159" t="n">
        <x:v>-67080</x:v>
      </x:c>
      <x:c r="AN216" s="155" t="n">
        <x:v>45625</x:v>
      </x:c>
      <x:c r="AO216" s="159" t="n">
        <x:v>23105</x:v>
      </x:c>
      <x:c r="AP216" s="154" t="n">
        <x:v>0.17166951482279516</x:v>
      </x:c>
      <x:c r="AQ216" s="159" t="n">
        <x:v>-34409</x:v>
      </x:c>
      <x:c r="AR216" s="147" t="str">
        <x:v>美国市场指标与CFTC数据均使用严格早于上金所交易日的最后已发布值</x:v>
      </x:c>
    </x:row>
    <x:row r="217">
      <x:c r="A217" s="155" t="n">
        <x:v>45635</x:v>
      </x:c>
      <x:c r="B217" s="153" t="n">
        <x:v>613.8</x:v>
      </x:c>
      <x:c r="C217" s="153" t="n">
        <x:v>618.5</x:v>
      </x:c>
      <x:c r="D217" s="153" t="n">
        <x:v>612</x:v>
      </x:c>
      <x:c r="E217" s="153" t="n">
        <x:v>617.26</x:v>
      </x:c>
      <x:c r="F217" s="154" t="n">
        <x:f>IFERROR(E217/E216-1,"")</x:f>
        <x:v>0.005162109788467317</x:v>
      </x:c>
      <x:c r="G217" s="154" t="n">
        <x:f>IFERROR((C217-D217)/E216,"")</x:f>
        <x:v>0.010584767705059518</x:v>
      </x:c>
      <x:c r="H217" s="153" t="n">
        <x:v>616.86</x:v>
      </x:c>
      <x:c r="I217" s="158" t="n">
        <x:v>7703.44</x:v>
      </x:c>
      <x:c r="J217" s="158" t="n">
        <x:v>4752014993.2</x:v>
      </x:c>
      <x:c r="K217" s="158"/>
      <x:c r="L217" s="153" t="n">
        <x:v>7774</x:v>
      </x:c>
      <x:c r="M217" s="153" t="n">
        <x:v>7816</x:v>
      </x:c>
      <x:c r="N217" s="153" t="n">
        <x:v>7686</x:v>
      </x:c>
      <x:c r="O217" s="153" t="n">
        <x:v>7775</x:v>
      </x:c>
      <x:c r="P217" s="154" t="n">
        <x:f>IFERROR(O217/O216-1,"")</x:f>
        <x:v>-0.0028215980505322813</x:v>
      </x:c>
      <x:c r="Q217" s="154" t="n">
        <x:f>IFERROR((M217-N217)/O216,"")</x:f>
        <x:v>0.016673079389508787</x:v>
      </x:c>
      <x:c r="R217" s="153" t="n">
        <x:v>7756</x:v>
      </x:c>
      <x:c r="S217" s="158" t="n">
        <x:v>440970</x:v>
      </x:c>
      <x:c r="T217" s="158" t="n">
        <x:v>3420594482</x:v>
      </x:c>
      <x:c r="U217" s="158" t="n">
        <x:v>4512696</x:v>
      </x:c>
      <x:c r="V217" s="153" t="n">
        <x:f>IFERROR(E217*1000/O217,"")</x:f>
        <x:v>79.39035369774919</x:v>
      </x:c>
      <x:c r="W217" s="153" t="n">
        <x:v>4.15</x:v>
      </x:c>
      <x:c r="X217" s="155" t="n">
        <x:v>45632</x:v>
      </x:c>
      <x:c r="Y217" s="153" t="n">
        <x:v>1.91</x:v>
      </x:c>
      <x:c r="Z217" s="155" t="n">
        <x:v>45632</x:v>
      </x:c>
      <x:c r="AA217" s="153" t="n">
        <x:f>IFERROR(Y217-Y216,"")</x:f>
        <x:v>-0.010000000000000009</x:v>
      </x:c>
      <x:c r="AB217" s="153" t="n">
        <x:v>2.24</x:v>
      </x:c>
      <x:c r="AC217" s="153" t="n">
        <x:v>126.688</x:v>
      </x:c>
      <x:c r="AD217" s="155" t="n">
        <x:v>45632</x:v>
      </x:c>
      <x:c r="AE217" s="154" t="n">
        <x:f>IFERROR(AC217/AC216-1,"")</x:f>
        <x:v>0.0020517509487567587</x:v>
      </x:c>
      <x:c r="AF217" s="153" t="n">
        <x:v>12.77</x:v>
      </x:c>
      <x:c r="AG217" s="155" t="n">
        <x:v>45632</x:v>
      </x:c>
      <x:c r="AH217" s="153" t="n">
        <x:f>IFERROR(AF217-AF216,"")</x:f>
        <x:v>-0.7699999999999996</x:v>
      </x:c>
      <x:c r="AI217" s="153" t="n">
        <x:v>4.58</x:v>
      </x:c>
      <x:c r="AJ217" s="155" t="n">
        <x:v>45632</x:v>
      </x:c>
      <x:c r="AK217" s="159" t="n">
        <x:v>180735</x:v>
      </x:c>
      <x:c r="AL217" s="154" t="n">
        <x:v>0.39116743139122157</x:v>
      </x:c>
      <x:c r="AM217" s="159" t="n">
        <x:v>-62341</x:v>
      </x:c>
      <x:c r="AN217" s="155" t="n">
        <x:v>45632</x:v>
      </x:c>
      <x:c r="AO217" s="159" t="n">
        <x:v>24332</x:v>
      </x:c>
      <x:c r="AP217" s="154" t="n">
        <x:v>0.18148186822202664</x:v>
      </x:c>
      <x:c r="AQ217" s="159" t="n">
        <x:v>-33046</x:v>
      </x:c>
      <x:c r="AR217" s="147" t="str">
        <x:v>美国市场指标与CFTC数据均使用严格早于上金所交易日的最后已发布值</x:v>
      </x:c>
    </x:row>
    <x:row r="218">
      <x:c r="A218" s="155" t="n">
        <x:v>45636</x:v>
      </x:c>
      <x:c r="B218" s="153" t="n">
        <x:v>619</x:v>
      </x:c>
      <x:c r="C218" s="153" t="n">
        <x:v>622.5</x:v>
      </x:c>
      <x:c r="D218" s="153" t="n">
        <x:v>618.41</x:v>
      </x:c>
      <x:c r="E218" s="153" t="n">
        <x:v>619.63</x:v>
      </x:c>
      <x:c r="F218" s="154" t="n">
        <x:f>IFERROR(E218/E217-1,"")</x:f>
        <x:v>0.0038395489745002287</x:v>
      </x:c>
      <x:c r="G218" s="154" t="n">
        <x:f>IFERROR((C218-D218)/E217,"")</x:f>
        <x:v>0.006626057091015183</x:v>
      </x:c>
      <x:c r="H218" s="153" t="n">
        <x:v>619.86</x:v>
      </x:c>
      <x:c r="I218" s="158" t="n">
        <x:v>8527.94</x:v>
      </x:c>
      <x:c r="J218" s="158" t="n">
        <x:v>5286196218.8</x:v>
      </x:c>
      <x:c r="K218" s="158"/>
      <x:c r="L218" s="153" t="n">
        <x:v>7871</x:v>
      </x:c>
      <x:c r="M218" s="153" t="n">
        <x:v>7975</x:v>
      </x:c>
      <x:c r="N218" s="153" t="n">
        <x:v>7867</x:v>
      </x:c>
      <x:c r="O218" s="153" t="n">
        <x:v>7899</x:v>
      </x:c>
      <x:c r="P218" s="154" t="n">
        <x:f>IFERROR(O218/O217-1,"")</x:f>
        <x:v>0.015948553054662362</x:v>
      </x:c>
      <x:c r="Q218" s="154" t="n">
        <x:f>IFERROR((M218-N218)/O217,"")</x:f>
        <x:v>0.013890675241157556</x:v>
      </x:c>
      <x:c r="R218" s="153" t="n">
        <x:v>7916</x:v>
      </x:c>
      <x:c r="S218" s="158" t="n">
        <x:v>472834</x:v>
      </x:c>
      <x:c r="T218" s="158" t="n">
        <x:v>3742970028</x:v>
      </x:c>
      <x:c r="U218" s="158" t="n">
        <x:v>4533108</x:v>
      </x:c>
      <x:c r="V218" s="153" t="n">
        <x:f>IFERROR(E218*1000/O218,"")</x:f>
        <x:v>78.44410684896822</x:v>
      </x:c>
      <x:c r="W218" s="153" t="n">
        <x:v>4.2</x:v>
      </x:c>
      <x:c r="X218" s="155" t="n">
        <x:v>45635</x:v>
      </x:c>
      <x:c r="Y218" s="153" t="n">
        <x:v>1.93</x:v>
      </x:c>
      <x:c r="Z218" s="155" t="n">
        <x:v>45635</x:v>
      </x:c>
      <x:c r="AA218" s="153" t="n">
        <x:f>IFERROR(Y218-Y217,"")</x:f>
        <x:v>0.020000000000000018</x:v>
      </x:c>
      <x:c r="AB218" s="153" t="n">
        <x:v>2.27</x:v>
      </x:c>
      <x:c r="AC218" s="153" t="n">
        <x:v>126.5981</x:v>
      </x:c>
      <x:c r="AD218" s="155" t="n">
        <x:v>45635</x:v>
      </x:c>
      <x:c r="AE218" s="154" t="n">
        <x:f>IFERROR(AC218/AC217-1,"")</x:f>
        <x:v>-0.000709617327607992</x:v>
      </x:c>
      <x:c r="AF218" s="153" t="n">
        <x:v>14.19</x:v>
      </x:c>
      <x:c r="AG218" s="155" t="n">
        <x:v>45635</x:v>
      </x:c>
      <x:c r="AH218" s="153" t="n">
        <x:f>IFERROR(AF218-AF217,"")</x:f>
        <x:v>1.42</x:v>
      </x:c>
      <x:c r="AI218" s="153" t="n">
        <x:v>4.58</x:v>
      </x:c>
      <x:c r="AJ218" s="155" t="n">
        <x:v>45632</x:v>
      </x:c>
      <x:c r="AK218" s="159" t="n">
        <x:v>180735</x:v>
      </x:c>
      <x:c r="AL218" s="154" t="n">
        <x:v>0.39116743139122157</x:v>
      </x:c>
      <x:c r="AM218" s="159" t="n">
        <x:v>-62341</x:v>
      </x:c>
      <x:c r="AN218" s="155" t="n">
        <x:v>45632</x:v>
      </x:c>
      <x:c r="AO218" s="159" t="n">
        <x:v>24332</x:v>
      </x:c>
      <x:c r="AP218" s="154" t="n">
        <x:v>0.18148186822202664</x:v>
      </x:c>
      <x:c r="AQ218" s="159" t="n">
        <x:v>-33046</x:v>
      </x:c>
      <x:c r="AR218" s="147" t="str">
        <x:v>美国市场指标与CFTC数据均使用严格早于上金所交易日的最后已发布值</x:v>
      </x:c>
    </x:row>
    <x:row r="219">
      <x:c r="A219" s="155" t="n">
        <x:v>45637</x:v>
      </x:c>
      <x:c r="B219" s="153" t="n">
        <x:v>621</x:v>
      </x:c>
      <x:c r="C219" s="153" t="n">
        <x:v>627</x:v>
      </x:c>
      <x:c r="D219" s="153" t="n">
        <x:v>621</x:v>
      </x:c>
      <x:c r="E219" s="153" t="n">
        <x:v>624.79</x:v>
      </x:c>
      <x:c r="F219" s="154" t="n">
        <x:f>IFERROR(E219/E218-1,"")</x:f>
        <x:v>0.00832755031228305</x:v>
      </x:c>
      <x:c r="G219" s="154" t="n">
        <x:f>IFERROR((C219-D219)/E218,"")</x:f>
        <x:v>0.009683198037538532</x:v>
      </x:c>
      <x:c r="H219" s="153" t="n">
        <x:v>624.83</x:v>
      </x:c>
      <x:c r="I219" s="158" t="n">
        <x:v>8740.2</x:v>
      </x:c>
      <x:c r="J219" s="158" t="n">
        <x:v>5461179465</x:v>
      </x:c>
      <x:c r="K219" s="158"/>
      <x:c r="L219" s="153" t="n">
        <x:v>7905</x:v>
      </x:c>
      <x:c r="M219" s="153" t="n">
        <x:v>7962</x:v>
      </x:c>
      <x:c r="N219" s="153" t="n">
        <x:v>7856</x:v>
      </x:c>
      <x:c r="O219" s="153" t="n">
        <x:v>7884</x:v>
      </x:c>
      <x:c r="P219" s="154" t="n">
        <x:f>IFERROR(O219/O218-1,"")</x:f>
        <x:v>-0.0018989745537409952</x:v>
      </x:c>
      <x:c r="Q219" s="154" t="n">
        <x:f>IFERROR((M219-N219)/O218,"")</x:f>
        <x:v>0.013419420179769591</x:v>
      </x:c>
      <x:c r="R219" s="153" t="n">
        <x:v>7915</x:v>
      </x:c>
      <x:c r="S219" s="158" t="n">
        <x:v>423292</x:v>
      </x:c>
      <x:c r="T219" s="158" t="n">
        <x:v>3350551698</x:v>
      </x:c>
      <x:c r="U219" s="158" t="n">
        <x:v>4514176</x:v>
      </x:c>
      <x:c r="V219" s="153" t="n">
        <x:f>IFERROR(E219*1000/O219,"")</x:f>
        <x:v>79.2478437341451</x:v>
      </x:c>
      <x:c r="W219" s="153" t="n">
        <x:v>4.22</x:v>
      </x:c>
      <x:c r="X219" s="155" t="n">
        <x:v>45636</x:v>
      </x:c>
      <x:c r="Y219" s="153" t="n">
        <x:v>1.93</x:v>
      </x:c>
      <x:c r="Z219" s="155" t="n">
        <x:v>45636</x:v>
      </x:c>
      <x:c r="AA219" s="153" t="n">
        <x:f>IFERROR(Y219-Y218,"")</x:f>
        <x:v>0</x:v>
      </x:c>
      <x:c r="AB219" s="153" t="n">
        <x:v>2.29</x:v>
      </x:c>
      <x:c r="AC219" s="153" t="n">
        <x:v>126.957</x:v>
      </x:c>
      <x:c r="AD219" s="155" t="n">
        <x:v>45636</x:v>
      </x:c>
      <x:c r="AE219" s="154" t="n">
        <x:f>IFERROR(AC219/AC218-1,"")</x:f>
        <x:v>0.0028349556588920244</x:v>
      </x:c>
      <x:c r="AF219" s="153" t="n">
        <x:v>14.18</x:v>
      </x:c>
      <x:c r="AG219" s="155" t="n">
        <x:v>45636</x:v>
      </x:c>
      <x:c r="AH219" s="153" t="n">
        <x:f>IFERROR(AF219-AF218,"")</x:f>
        <x:v>-0.009999999999999787</x:v>
      </x:c>
      <x:c r="AI219" s="153" t="n">
        <x:v>4.58</x:v>
      </x:c>
      <x:c r="AJ219" s="155" t="n">
        <x:v>45632</x:v>
      </x:c>
      <x:c r="AK219" s="159" t="n">
        <x:v>180735</x:v>
      </x:c>
      <x:c r="AL219" s="154" t="n">
        <x:v>0.39116743139122157</x:v>
      </x:c>
      <x:c r="AM219" s="159" t="n">
        <x:v>-62341</x:v>
      </x:c>
      <x:c r="AN219" s="155" t="n">
        <x:v>45632</x:v>
      </x:c>
      <x:c r="AO219" s="159" t="n">
        <x:v>24332</x:v>
      </x:c>
      <x:c r="AP219" s="154" t="n">
        <x:v>0.18148186822202664</x:v>
      </x:c>
      <x:c r="AQ219" s="159" t="n">
        <x:v>-33046</x:v>
      </x:c>
      <x:c r="AR219" s="147" t="str">
        <x:v>美国市场指标与CFTC数据均使用严格早于上金所交易日的最后已发布值</x:v>
      </x:c>
    </x:row>
    <x:row r="220">
      <x:c r="A220" s="155" t="n">
        <x:v>45638</x:v>
      </x:c>
      <x:c r="B220" s="153" t="n">
        <x:v>626</x:v>
      </x:c>
      <x:c r="C220" s="153" t="n">
        <x:v>629.9</x:v>
      </x:c>
      <x:c r="D220" s="153" t="n">
        <x:v>625.5</x:v>
      </x:c>
      <x:c r="E220" s="153" t="n">
        <x:v>628.83</x:v>
      </x:c>
      <x:c r="F220" s="154" t="n">
        <x:f>IFERROR(E220/E219-1,"")</x:f>
        <x:v>0.006466172634005174</x:v>
      </x:c>
      <x:c r="G220" s="154" t="n">
        <x:f>IFERROR((C220-D220)/E219,"")</x:f>
        <x:v>0.007042366235054942</x:v>
      </x:c>
      <x:c r="H220" s="153" t="n">
        <x:v>628.2</x:v>
      </x:c>
      <x:c r="I220" s="158" t="n">
        <x:v>7726.26</x:v>
      </x:c>
      <x:c r="J220" s="158" t="n">
        <x:v>4853705053</x:v>
      </x:c>
      <x:c r="K220" s="158"/>
      <x:c r="L220" s="153" t="n">
        <x:v>7901</x:v>
      </x:c>
      <x:c r="M220" s="153" t="n">
        <x:v>8006</x:v>
      </x:c>
      <x:c r="N220" s="153" t="n">
        <x:v>7869</x:v>
      </x:c>
      <x:c r="O220" s="153" t="n">
        <x:v>7980</x:v>
      </x:c>
      <x:c r="P220" s="154" t="n">
        <x:f>IFERROR(O220/O219-1,"")</x:f>
        <x:v>0.0121765601217656</x:v>
      </x:c>
      <x:c r="Q220" s="154" t="n">
        <x:f>IFERROR((M220-N220)/O219,"")</x:f>
        <x:v>0.017376966007102992</x:v>
      </x:c>
      <x:c r="R220" s="153" t="n">
        <x:v>7945</x:v>
      </x:c>
      <x:c r="S220" s="158" t="n">
        <x:v>388852</x:v>
      </x:c>
      <x:c r="T220" s="158" t="n">
        <x:v>3089804606</x:v>
      </x:c>
      <x:c r="U220" s="158" t="n">
        <x:v>4571792</x:v>
      </x:c>
      <x:c r="V220" s="153" t="n">
        <x:f>IFERROR(E220*1000/O220,"")</x:f>
        <x:v>78.80075187969925</x:v>
      </x:c>
      <x:c r="W220" s="153" t="n">
        <x:v>4.26</x:v>
      </x:c>
      <x:c r="X220" s="155" t="n">
        <x:v>45637</x:v>
      </x:c>
      <x:c r="Y220" s="153" t="n">
        <x:v>1.96</x:v>
      </x:c>
      <x:c r="Z220" s="155" t="n">
        <x:v>45637</x:v>
      </x:c>
      <x:c r="AA220" s="153" t="n">
        <x:f>IFERROR(Y220-Y219,"")</x:f>
        <x:v>0.030000000000000027</x:v>
      </x:c>
      <x:c r="AB220" s="153" t="n">
        <x:v>2.3</x:v>
      </x:c>
      <x:c r="AC220" s="153" t="n">
        <x:v>126.8483</x:v>
      </x:c>
      <x:c r="AD220" s="155" t="n">
        <x:v>45637</x:v>
      </x:c>
      <x:c r="AE220" s="154" t="n">
        <x:f>IFERROR(AC220/AC219-1,"")</x:f>
        <x:v>-0.000856195404743354</x:v>
      </x:c>
      <x:c r="AF220" s="153" t="n">
        <x:v>13.58</x:v>
      </x:c>
      <x:c r="AG220" s="155" t="n">
        <x:v>45637</x:v>
      </x:c>
      <x:c r="AH220" s="153" t="n">
        <x:f>IFERROR(AF220-AF219,"")</x:f>
        <x:v>-0.5999999999999996</x:v>
      </x:c>
      <x:c r="AI220" s="153" t="n">
        <x:v>4.58</x:v>
      </x:c>
      <x:c r="AJ220" s="155" t="n">
        <x:v>45632</x:v>
      </x:c>
      <x:c r="AK220" s="159" t="n">
        <x:v>180735</x:v>
      </x:c>
      <x:c r="AL220" s="154" t="n">
        <x:v>0.39116743139122157</x:v>
      </x:c>
      <x:c r="AM220" s="159" t="n">
        <x:v>-62341</x:v>
      </x:c>
      <x:c r="AN220" s="155" t="n">
        <x:v>45632</x:v>
      </x:c>
      <x:c r="AO220" s="159" t="n">
        <x:v>24332</x:v>
      </x:c>
      <x:c r="AP220" s="154" t="n">
        <x:v>0.18148186822202664</x:v>
      </x:c>
      <x:c r="AQ220" s="159" t="n">
        <x:v>-33046</x:v>
      </x:c>
      <x:c r="AR220" s="147" t="str">
        <x:v>美国市场指标与CFTC数据均使用严格早于上金所交易日的最后已发布值</x:v>
      </x:c>
    </x:row>
    <x:row r="221">
      <x:c r="A221" s="155" t="n">
        <x:v>45639</x:v>
      </x:c>
      <x:c r="B221" s="153" t="n">
        <x:v>626.5</x:v>
      </x:c>
      <x:c r="C221" s="153" t="n">
        <x:v>631</x:v>
      </x:c>
      <x:c r="D221" s="153" t="n">
        <x:v>621.25</x:v>
      </x:c>
      <x:c r="E221" s="153" t="n">
        <x:v>622.43</x:v>
      </x:c>
      <x:c r="F221" s="154" t="n">
        <x:f>IFERROR(E221/E220-1,"")</x:f>
        <x:v>-0.010177631474325488</x:v>
      </x:c>
      <x:c r="G221" s="154" t="n">
        <x:f>IFERROR((C221-D221)/E220,"")</x:f>
        <x:v>0.0155049854491675</x:v>
      </x:c>
      <x:c r="H221" s="153" t="n">
        <x:v>624.28</x:v>
      </x:c>
      <x:c r="I221" s="158" t="n">
        <x:v>8565.4</x:v>
      </x:c>
      <x:c r="J221" s="158" t="n">
        <x:v>5347214218.6</x:v>
      </x:c>
      <x:c r="K221" s="158"/>
      <x:c r="L221" s="153" t="n">
        <x:v>7945</x:v>
      </x:c>
      <x:c r="M221" s="153" t="n">
        <x:v>7955</x:v>
      </x:c>
      <x:c r="N221" s="153" t="n">
        <x:v>7754</x:v>
      </x:c>
      <x:c r="O221" s="153" t="n">
        <x:v>7758</x:v>
      </x:c>
      <x:c r="P221" s="154" t="n">
        <x:f>IFERROR(O221/O220-1,"")</x:f>
        <x:v>-0.02781954887218041</x:v>
      </x:c>
      <x:c r="Q221" s="154" t="n">
        <x:f>IFERROR((M221-N221)/O220,"")</x:f>
        <x:v>0.02518796992481203</x:v>
      </x:c>
      <x:c r="R221" s="153" t="n">
        <x:v>7821</x:v>
      </x:c>
      <x:c r="S221" s="158" t="n">
        <x:v>574856</x:v>
      </x:c>
      <x:c r="T221" s="158" t="n">
        <x:v>4495957124</x:v>
      </x:c>
      <x:c r="U221" s="158" t="n">
        <x:v>4671120</x:v>
      </x:c>
      <x:c r="V221" s="153" t="n">
        <x:f>IFERROR(E221*1000/O221,"")</x:f>
        <x:v>80.23072956947667</x:v>
      </x:c>
      <x:c r="W221" s="153" t="n">
        <x:v>4.32</x:v>
      </x:c>
      <x:c r="X221" s="155" t="n">
        <x:v>45638</x:v>
      </x:c>
      <x:c r="Y221" s="153" t="n">
        <x:v>2</x:v>
      </x:c>
      <x:c r="Z221" s="155" t="n">
        <x:v>45638</x:v>
      </x:c>
      <x:c r="AA221" s="153" t="n">
        <x:f>IFERROR(Y221-Y220,"")</x:f>
        <x:v>0.040000000000000036</x:v>
      </x:c>
      <x:c r="AB221" s="153" t="n">
        <x:v>2.32</x:v>
      </x:c>
      <x:c r="AC221" s="153" t="n">
        <x:v>126.9556</x:v>
      </x:c>
      <x:c r="AD221" s="155" t="n">
        <x:v>45638</x:v>
      </x:c>
      <x:c r="AE221" s="154" t="n">
        <x:f>IFERROR(AC221/AC220-1,"")</x:f>
        <x:v>0.000845892298123152</x:v>
      </x:c>
      <x:c r="AF221" s="153" t="n">
        <x:v>13.92</x:v>
      </x:c>
      <x:c r="AG221" s="155" t="n">
        <x:v>45638</x:v>
      </x:c>
      <x:c r="AH221" s="153" t="n">
        <x:f>IFERROR(AF221-AF220,"")</x:f>
        <x:v>0.33999999999999986</x:v>
      </x:c>
      <x:c r="AI221" s="153" t="n">
        <x:v>4.58</x:v>
      </x:c>
      <x:c r="AJ221" s="155" t="n">
        <x:v>45632</x:v>
      </x:c>
      <x:c r="AK221" s="159" t="n">
        <x:v>180735</x:v>
      </x:c>
      <x:c r="AL221" s="154" t="n">
        <x:v>0.39116743139122157</x:v>
      </x:c>
      <x:c r="AM221" s="159" t="n">
        <x:v>-62341</x:v>
      </x:c>
      <x:c r="AN221" s="155" t="n">
        <x:v>45632</x:v>
      </x:c>
      <x:c r="AO221" s="159" t="n">
        <x:v>24332</x:v>
      </x:c>
      <x:c r="AP221" s="154" t="n">
        <x:v>0.18148186822202664</x:v>
      </x:c>
      <x:c r="AQ221" s="159" t="n">
        <x:v>-33046</x:v>
      </x:c>
      <x:c r="AR221" s="147" t="str">
        <x:v>美国市场指标与CFTC数据均使用严格早于上金所交易日的最后已发布值</x:v>
      </x:c>
    </x:row>
    <x:row r="222">
      <x:c r="A222" s="155" t="n">
        <x:v>45642</x:v>
      </x:c>
      <x:c r="B222" s="153" t="n">
        <x:v>620</x:v>
      </x:c>
      <x:c r="C222" s="153" t="n">
        <x:v>625</x:v>
      </x:c>
      <x:c r="D222" s="153" t="n">
        <x:v>616.35</x:v>
      </x:c>
      <x:c r="E222" s="153" t="n">
        <x:v>618.34</x:v>
      </x:c>
      <x:c r="F222" s="154" t="n">
        <x:f>IFERROR(E222/E221-1,"")</x:f>
        <x:v>-0.006571020034381259</x:v>
      </x:c>
      <x:c r="G222" s="154" t="n">
        <x:f>IFERROR((C222-D222)/E221,"")</x:f>
        <x:v>0.013897145060488694</x:v>
      </x:c>
      <x:c r="H222" s="153" t="n">
        <x:v>617.42</x:v>
      </x:c>
      <x:c r="I222" s="158" t="n">
        <x:v>11574.2</x:v>
      </x:c>
      <x:c r="J222" s="158" t="n">
        <x:v>7146245249.8</x:v>
      </x:c>
      <x:c r="K222" s="158"/>
      <x:c r="L222" s="153" t="n">
        <x:v>7757</x:v>
      </x:c>
      <x:c r="M222" s="153" t="n">
        <x:v>7769</x:v>
      </x:c>
      <x:c r="N222" s="153" t="n">
        <x:v>7661</x:v>
      </x:c>
      <x:c r="O222" s="153" t="n">
        <x:v>7716</x:v>
      </x:c>
      <x:c r="P222" s="154" t="n">
        <x:f>IFERROR(O222/O221-1,"")</x:f>
        <x:v>-0.005413766434648082</x:v>
      </x:c>
      <x:c r="Q222" s="154" t="n">
        <x:f>IFERROR((M222-N222)/O221,"")</x:f>
        <x:v>0.013921113689095127</x:v>
      </x:c>
      <x:c r="R222" s="153" t="n">
        <x:v>7702</x:v>
      </x:c>
      <x:c r="S222" s="158" t="n">
        <x:v>482454</x:v>
      </x:c>
      <x:c r="T222" s="158" t="n">
        <x:v>3716118038</x:v>
      </x:c>
      <x:c r="U222" s="158" t="n">
        <x:v>4735148</x:v>
      </x:c>
      <x:c r="V222" s="153" t="n">
        <x:f>IFERROR(E222*1000/O222,"")</x:f>
        <x:v>80.13737687921203</x:v>
      </x:c>
      <x:c r="W222" s="153" t="n">
        <x:v>4.4</x:v>
      </x:c>
      <x:c r="X222" s="155" t="n">
        <x:v>45639</x:v>
      </x:c>
      <x:c r="Y222" s="153" t="n">
        <x:v>2.07</x:v>
      </x:c>
      <x:c r="Z222" s="155" t="n">
        <x:v>45639</x:v>
      </x:c>
      <x:c r="AA222" s="153" t="n">
        <x:f>IFERROR(Y222-Y221,"")</x:f>
        <x:v>0.06999999999999984</x:v>
      </x:c>
      <x:c r="AB222" s="153" t="n">
        <x:v>2.33</x:v>
      </x:c>
      <x:c r="AC222" s="153" t="n">
        <x:v>127.3096</x:v>
      </x:c>
      <x:c r="AD222" s="155" t="n">
        <x:v>45639</x:v>
      </x:c>
      <x:c r="AE222" s="154" t="n">
        <x:f>IFERROR(AC222/AC221-1,"")</x:f>
        <x:v>0.0027883764087601737</x:v>
      </x:c>
      <x:c r="AF222" s="153" t="n">
        <x:v>13.81</x:v>
      </x:c>
      <x:c r="AG222" s="155" t="n">
        <x:v>45639</x:v>
      </x:c>
      <x:c r="AH222" s="153" t="n">
        <x:f>IFERROR(AF222-AF221,"")</x:f>
        <x:v>-0.10999999999999943</x:v>
      </x:c>
      <x:c r="AI222" s="153" t="n">
        <x:v>4.58</x:v>
      </x:c>
      <x:c r="AJ222" s="155" t="n">
        <x:v>45639</x:v>
      </x:c>
      <x:c r="AK222" s="159" t="n">
        <x:v>196078</x:v>
      </x:c>
      <x:c r="AL222" s="154" t="n">
        <x:v>0.4056679893906229</x:v>
      </x:c>
      <x:c r="AM222" s="159" t="n">
        <x:v>-66445</x:v>
      </x:c>
      <x:c r="AN222" s="155" t="n">
        <x:v>45639</x:v>
      </x:c>
      <x:c r="AO222" s="159" t="n">
        <x:v>29320</x:v>
      </x:c>
      <x:c r="AP222" s="154" t="n">
        <x:v>0.19404881664637053</x:v>
      </x:c>
      <x:c r="AQ222" s="159" t="n">
        <x:v>-35291</x:v>
      </x:c>
      <x:c r="AR222" s="147" t="str">
        <x:v>美国市场指标与CFTC数据均使用严格早于上金所交易日的最后已发布值</x:v>
      </x:c>
    </x:row>
    <x:row r="223">
      <x:c r="A223" s="155" t="n">
        <x:v>45643</x:v>
      </x:c>
      <x:c r="B223" s="153" t="n">
        <x:v>621</x:v>
      </x:c>
      <x:c r="C223" s="153" t="n">
        <x:v>621</x:v>
      </x:c>
      <x:c r="D223" s="153" t="n">
        <x:v>616.7</x:v>
      </x:c>
      <x:c r="E223" s="153" t="n">
        <x:v>618.21</x:v>
      </x:c>
      <x:c r="F223" s="154" t="n">
        <x:f>IFERROR(E223/E222-1,"")</x:f>
        <x:v>-0.0002102403208590342</x:v>
      </x:c>
      <x:c r="G223" s="154" t="n">
        <x:f>IFERROR((C223-D223)/E222,"")</x:f>
        <x:v>0.0069541029207231524</x:v>
      </x:c>
      <x:c r="H223" s="153" t="n">
        <x:v>618.74</x:v>
      </x:c>
      <x:c r="I223" s="158" t="n">
        <x:v>9575.22</x:v>
      </x:c>
      <x:c r="J223" s="158" t="n">
        <x:v>5924590136.8</x:v>
      </x:c>
      <x:c r="K223" s="158"/>
      <x:c r="L223" s="153" t="n">
        <x:v>7719</x:v>
      </x:c>
      <x:c r="M223" s="153" t="n">
        <x:v>7756</x:v>
      </x:c>
      <x:c r="N223" s="153" t="n">
        <x:v>7689</x:v>
      </x:c>
      <x:c r="O223" s="153" t="n">
        <x:v>7701</x:v>
      </x:c>
      <x:c r="P223" s="154" t="n">
        <x:f>IFERROR(O223/O222-1,"")</x:f>
        <x:v>-0.0019440124416796323</x:v>
      </x:c>
      <x:c r="Q223" s="154" t="n">
        <x:f>IFERROR((M223-N223)/O222,"")</x:f>
        <x:v>0.008683255572835667</x:v>
      </x:c>
      <x:c r="R223" s="153" t="n">
        <x:v>7716</x:v>
      </x:c>
      <x:c r="S223" s="158" t="n">
        <x:v>241128</x:v>
      </x:c>
      <x:c r="T223" s="158" t="n">
        <x:v>1860593046</x:v>
      </x:c>
      <x:c r="U223" s="158" t="n">
        <x:v>4528706</x:v>
      </x:c>
      <x:c r="V223" s="153" t="n">
        <x:f>IFERROR(E223*1000/O223,"")</x:f>
        <x:v>80.27658745617452</x:v>
      </x:c>
      <x:c r="W223" s="153" t="n">
        <x:v>4.39</x:v>
      </x:c>
      <x:c r="X223" s="155" t="n">
        <x:v>45642</x:v>
      </x:c>
      <x:c r="Y223" s="153" t="n">
        <x:v>2.07</x:v>
      </x:c>
      <x:c r="Z223" s="155" t="n">
        <x:v>45642</x:v>
      </x:c>
      <x:c r="AA223" s="153" t="n">
        <x:f>IFERROR(Y223-Y222,"")</x:f>
        <x:v>0</x:v>
      </x:c>
      <x:c r="AB223" s="153" t="n">
        <x:v>2.32</x:v>
      </x:c>
      <x:c r="AC223" s="153" t="n">
        <x:v>127.2687</x:v>
      </x:c>
      <x:c r="AD223" s="155" t="n">
        <x:v>45642</x:v>
      </x:c>
      <x:c r="AE223" s="154" t="n">
        <x:f>IFERROR(AC223/AC222-1,"")</x:f>
        <x:v>-0.0003212640680672063</x:v>
      </x:c>
      <x:c r="AF223" s="153" t="n">
        <x:v>14.69</x:v>
      </x:c>
      <x:c r="AG223" s="155" t="n">
        <x:v>45642</x:v>
      </x:c>
      <x:c r="AH223" s="153" t="n">
        <x:f>IFERROR(AF223-AF222,"")</x:f>
        <x:v>0.879999999999999</x:v>
      </x:c>
      <x:c r="AI223" s="153" t="n">
        <x:v>4.58</x:v>
      </x:c>
      <x:c r="AJ223" s="155" t="n">
        <x:v>45639</x:v>
      </x:c>
      <x:c r="AK223" s="159" t="n">
        <x:v>196078</x:v>
      </x:c>
      <x:c r="AL223" s="154" t="n">
        <x:v>0.4056679893906229</x:v>
      </x:c>
      <x:c r="AM223" s="159" t="n">
        <x:v>-66445</x:v>
      </x:c>
      <x:c r="AN223" s="155" t="n">
        <x:v>45639</x:v>
      </x:c>
      <x:c r="AO223" s="159" t="n">
        <x:v>29320</x:v>
      </x:c>
      <x:c r="AP223" s="154" t="n">
        <x:v>0.19404881664637053</x:v>
      </x:c>
      <x:c r="AQ223" s="159" t="n">
        <x:v>-35291</x:v>
      </x:c>
      <x:c r="AR223" s="147" t="str">
        <x:v>美国市场指标与CFTC数据均使用严格早于上金所交易日的最后已发布值</x:v>
      </x:c>
    </x:row>
    <x:row r="224">
      <x:c r="A224" s="155" t="n">
        <x:v>45644</x:v>
      </x:c>
      <x:c r="B224" s="153" t="n">
        <x:v>616</x:v>
      </x:c>
      <x:c r="C224" s="153" t="n">
        <x:v>619</x:v>
      </x:c>
      <x:c r="D224" s="153" t="n">
        <x:v>614</x:v>
      </x:c>
      <x:c r="E224" s="153" t="n">
        <x:v>616.5</x:v>
      </x:c>
      <x:c r="F224" s="154" t="n">
        <x:f>IFERROR(E224/E223-1,"")</x:f>
        <x:v>-0.0027660503712331197</x:v>
      </x:c>
      <x:c r="G224" s="154" t="n">
        <x:f>IFERROR((C224-D224)/E223,"")</x:f>
        <x:v>0.008087866582552854</x:v>
      </x:c>
      <x:c r="H224" s="153" t="n">
        <x:v>617.11</x:v>
      </x:c>
      <x:c r="I224" s="158" t="n">
        <x:v>9319.12</x:v>
      </x:c>
      <x:c r="J224" s="158" t="n">
        <x:v>5751000775.4</x:v>
      </x:c>
      <x:c r="K224" s="158"/>
      <x:c r="L224" s="153" t="n">
        <x:v>7660</x:v>
      </x:c>
      <x:c r="M224" s="153" t="n">
        <x:v>7721</x:v>
      </x:c>
      <x:c r="N224" s="153" t="n">
        <x:v>7636</x:v>
      </x:c>
      <x:c r="O224" s="153" t="n">
        <x:v>7680</x:v>
      </x:c>
      <x:c r="P224" s="154" t="n">
        <x:f>IFERROR(O224/O223-1,"")</x:f>
        <x:v>-0.002726918582002358</x:v>
      </x:c>
      <x:c r="Q224" s="154" t="n">
        <x:f>IFERROR((M224-N224)/O223,"")</x:f>
        <x:v>0.011037527593818985</x:v>
      </x:c>
      <x:c r="R224" s="153" t="n">
        <x:v>7680</x:v>
      </x:c>
      <x:c r="S224" s="158" t="n">
        <x:v>282408</x:v>
      </x:c>
      <x:c r="T224" s="158" t="n">
        <x:v>2169136228</x:v>
      </x:c>
      <x:c r="U224" s="158" t="n">
        <x:v>4497144</x:v>
      </x:c>
      <x:c r="V224" s="153" t="n">
        <x:f>IFERROR(E224*1000/O224,"")</x:f>
        <x:v>80.2734375</x:v>
      </x:c>
      <x:c r="W224" s="153" t="n">
        <x:v>4.4</x:v>
      </x:c>
      <x:c r="X224" s="155" t="n">
        <x:v>45643</x:v>
      </x:c>
      <x:c r="Y224" s="153" t="n">
        <x:v>2.09</x:v>
      </x:c>
      <x:c r="Z224" s="155" t="n">
        <x:v>45643</x:v>
      </x:c>
      <x:c r="AA224" s="153" t="n">
        <x:f>IFERROR(Y224-Y223,"")</x:f>
        <x:v>0.020000000000000018</x:v>
      </x:c>
      <x:c r="AB224" s="153" t="n">
        <x:v>2.31</x:v>
      </x:c>
      <x:c r="AC224" s="153" t="n">
        <x:v>127.5043</x:v>
      </x:c>
      <x:c r="AD224" s="155" t="n">
        <x:v>45643</x:v>
      </x:c>
      <x:c r="AE224" s="154" t="n">
        <x:f>IFERROR(AC224/AC223-1,"")</x:f>
        <x:v>0.001851201434445393</x:v>
      </x:c>
      <x:c r="AF224" s="153" t="n">
        <x:v>15.87</x:v>
      </x:c>
      <x:c r="AG224" s="155" t="n">
        <x:v>45643</x:v>
      </x:c>
      <x:c r="AH224" s="153" t="n">
        <x:f>IFERROR(AF224-AF223,"")</x:f>
        <x:v>1.1799999999999997</x:v>
      </x:c>
      <x:c r="AI224" s="153" t="n">
        <x:v>4.58</x:v>
      </x:c>
      <x:c r="AJ224" s="155" t="n">
        <x:v>45639</x:v>
      </x:c>
      <x:c r="AK224" s="159" t="n">
        <x:v>196078</x:v>
      </x:c>
      <x:c r="AL224" s="154" t="n">
        <x:v>0.4056679893906229</x:v>
      </x:c>
      <x:c r="AM224" s="159" t="n">
        <x:v>-66445</x:v>
      </x:c>
      <x:c r="AN224" s="155" t="n">
        <x:v>45639</x:v>
      </x:c>
      <x:c r="AO224" s="159" t="n">
        <x:v>29320</x:v>
      </x:c>
      <x:c r="AP224" s="154" t="n">
        <x:v>0.19404881664637053</x:v>
      </x:c>
      <x:c r="AQ224" s="159" t="n">
        <x:v>-35291</x:v>
      </x:c>
      <x:c r="AR224" s="147" t="str">
        <x:v>美国市场指标与CFTC数据均使用严格早于上金所交易日的最后已发布值</x:v>
      </x:c>
    </x:row>
    <x:row r="225">
      <x:c r="A225" s="155" t="n">
        <x:v>45645</x:v>
      </x:c>
      <x:c r="B225" s="153" t="n">
        <x:v>616.5</x:v>
      </x:c>
      <x:c r="C225" s="153" t="n">
        <x:v>616.5</x:v>
      </x:c>
      <x:c r="D225" s="153" t="n">
        <x:v>607</x:v>
      </x:c>
      <x:c r="E225" s="153" t="n">
        <x:v>614.53</x:v>
      </x:c>
      <x:c r="F225" s="154" t="n">
        <x:f>IFERROR(E225/E224-1,"")</x:f>
        <x:v>-0.003195458231954662</x:v>
      </x:c>
      <x:c r="G225" s="154" t="n">
        <x:f>IFERROR((C225-D225)/E224,"")</x:f>
        <x:v>0.015409570154095702</x:v>
      </x:c>
      <x:c r="H225" s="153" t="n">
        <x:v>611.64</x:v>
      </x:c>
      <x:c r="I225" s="158" t="n">
        <x:v>14778.14</x:v>
      </x:c>
      <x:c r="J225" s="158" t="n">
        <x:v>9038948572.8</x:v>
      </x:c>
      <x:c r="K225" s="158"/>
      <x:c r="L225" s="153" t="n">
        <x:v>7680</x:v>
      </x:c>
      <x:c r="M225" s="153" t="n">
        <x:v>7697</x:v>
      </x:c>
      <x:c r="N225" s="153" t="n">
        <x:v>7441</x:v>
      </x:c>
      <x:c r="O225" s="153" t="n">
        <x:v>7508</x:v>
      </x:c>
      <x:c r="P225" s="154" t="n">
        <x:f>IFERROR(O225/O224-1,"")</x:f>
        <x:v>-0.02239583333333328</x:v>
      </x:c>
      <x:c r="Q225" s="154" t="n">
        <x:f>IFERROR((M225-N225)/O224,"")</x:f>
        <x:v>0.03333333333333333</x:v>
      </x:c>
      <x:c r="R225" s="153" t="n">
        <x:v>7508</x:v>
      </x:c>
      <x:c r="S225" s="158" t="n">
        <x:v>473468</x:v>
      </x:c>
      <x:c r="T225" s="158" t="n">
        <x:v>3554864312</x:v>
      </x:c>
      <x:c r="U225" s="158" t="n">
        <x:v>4388376</x:v>
      </x:c>
      <x:c r="V225" s="153" t="n">
        <x:f>IFERROR(E225*1000/O225,"")</x:f>
        <x:v>81.85002663825253</x:v>
      </x:c>
      <x:c r="W225" s="153" t="n">
        <x:v>4.5</x:v>
      </x:c>
      <x:c r="X225" s="155" t="n">
        <x:v>45644</x:v>
      </x:c>
      <x:c r="Y225" s="153" t="n">
        <x:v>2.18</x:v>
      </x:c>
      <x:c r="Z225" s="155" t="n">
        <x:v>45644</x:v>
      </x:c>
      <x:c r="AA225" s="153" t="n">
        <x:f>IFERROR(Y225-Y224,"")</x:f>
        <x:v>0.0900000000000003</x:v>
      </x:c>
      <x:c r="AB225" s="153" t="n">
        <x:v>2.32</x:v>
      </x:c>
      <x:c r="AC225" s="153" t="n">
        <x:v>127.6418</x:v>
      </x:c>
      <x:c r="AD225" s="155" t="n">
        <x:v>45644</x:v>
      </x:c>
      <x:c r="AE225" s="154" t="n">
        <x:f>IFERROR(AC225/AC224-1,"")</x:f>
        <x:v>0.0010783950031489908</x:v>
      </x:c>
      <x:c r="AF225" s="153" t="n">
        <x:v>27.62</x:v>
      </x:c>
      <x:c r="AG225" s="155" t="n">
        <x:v>45644</x:v>
      </x:c>
      <x:c r="AH225" s="153" t="n">
        <x:f>IFERROR(AF225-AF224,"")</x:f>
        <x:v>11.750000000000002</x:v>
      </x:c>
      <x:c r="AI225" s="153" t="n">
        <x:v>4.58</x:v>
      </x:c>
      <x:c r="AJ225" s="155" t="n">
        <x:v>45639</x:v>
      </x:c>
      <x:c r="AK225" s="159" t="n">
        <x:v>196078</x:v>
      </x:c>
      <x:c r="AL225" s="154" t="n">
        <x:v>0.4056679893906229</x:v>
      </x:c>
      <x:c r="AM225" s="159" t="n">
        <x:v>-66445</x:v>
      </x:c>
      <x:c r="AN225" s="155" t="n">
        <x:v>45639</x:v>
      </x:c>
      <x:c r="AO225" s="159" t="n">
        <x:v>29320</x:v>
      </x:c>
      <x:c r="AP225" s="154" t="n">
        <x:v>0.19404881664637053</x:v>
      </x:c>
      <x:c r="AQ225" s="159" t="n">
        <x:v>-35291</x:v>
      </x:c>
      <x:c r="AR225" s="147" t="str">
        <x:v>美国市场指标与CFTC数据均使用严格早于上金所交易日的最后已发布值</x:v>
      </x:c>
    </x:row>
    <x:row r="226">
      <x:c r="A226" s="155" t="n">
        <x:v>45646</x:v>
      </x:c>
      <x:c r="B226" s="153" t="n">
        <x:v>615</x:v>
      </x:c>
      <x:c r="C226" s="153" t="n">
        <x:v>616</x:v>
      </x:c>
      <x:c r="D226" s="153" t="n">
        <x:v>608</x:v>
      </x:c>
      <x:c r="E226" s="153" t="n">
        <x:v>611.83</x:v>
      </x:c>
      <x:c r="F226" s="154" t="n">
        <x:f>IFERROR(E226/E225-1,"")</x:f>
        <x:v>-0.004393601614241627</x:v>
      </x:c>
      <x:c r="G226" s="154" t="n">
        <x:f>IFERROR((C226-D226)/E225,"")</x:f>
        <x:v>0.013018078857012677</x:v>
      </x:c>
      <x:c r="H226" s="153" t="n">
        <x:v>610.96</x:v>
      </x:c>
      <x:c r="I226" s="158" t="n">
        <x:v>12966.9</x:v>
      </x:c>
      <x:c r="J226" s="158" t="n">
        <x:v>7922283702.2</x:v>
      </x:c>
      <x:c r="K226" s="158"/>
      <x:c r="L226" s="153" t="n">
        <x:v>7497</x:v>
      </x:c>
      <x:c r="M226" s="153" t="n">
        <x:v>7497</x:v>
      </x:c>
      <x:c r="N226" s="153" t="n">
        <x:v>7353</x:v>
      </x:c>
      <x:c r="O226" s="153" t="n">
        <x:v>7411</x:v>
      </x:c>
      <x:c r="P226" s="154" t="n">
        <x:f>IFERROR(O226/O225-1,"")</x:f>
        <x:v>-0.012919552477357432</x:v>
      </x:c>
      <x:c r="Q226" s="154" t="n">
        <x:f>IFERROR((M226-N226)/O225,"")</x:f>
        <x:v>0.019179541822056473</x:v>
      </x:c>
      <x:c r="R226" s="153" t="n">
        <x:v>7414</x:v>
      </x:c>
      <x:c r="S226" s="158" t="n">
        <x:v>340286</x:v>
      </x:c>
      <x:c r="T226" s="158" t="n">
        <x:v>2523107696</x:v>
      </x:c>
      <x:c r="U226" s="158" t="n">
        <x:v>4256836</x:v>
      </x:c>
      <x:c r="V226" s="153" t="n">
        <x:f>IFERROR(E226*1000/O226,"")</x:f>
        <x:v>82.55700985022264</x:v>
      </x:c>
      <x:c r="W226" s="153" t="n">
        <x:v>4.57</x:v>
      </x:c>
      <x:c r="X226" s="155" t="n">
        <x:v>45645</x:v>
      </x:c>
      <x:c r="Y226" s="153" t="n">
        <x:v>2.28</x:v>
      </x:c>
      <x:c r="Z226" s="155" t="n">
        <x:v>45645</x:v>
      </x:c>
      <x:c r="AA226" s="153" t="n">
        <x:f>IFERROR(Y226-Y225,"")</x:f>
        <x:v>0.09999999999999964</x:v>
      </x:c>
      <x:c r="AB226" s="153" t="n">
        <x:v>2.29</x:v>
      </x:c>
      <x:c r="AC226" s="153" t="n">
        <x:v>128.6366</x:v>
      </x:c>
      <x:c r="AD226" s="155" t="n">
        <x:v>45645</x:v>
      </x:c>
      <x:c r="AE226" s="154" t="n">
        <x:f>IFERROR(AC226/AC225-1,"")</x:f>
        <x:v>0.007793685140760953</x:v>
      </x:c>
      <x:c r="AF226" s="153" t="n">
        <x:v>24.09</x:v>
      </x:c>
      <x:c r="AG226" s="155" t="n">
        <x:v>45645</x:v>
      </x:c>
      <x:c r="AH226" s="153" t="n">
        <x:f>IFERROR(AF226-AF225,"")</x:f>
        <x:v>-3.530000000000001</x:v>
      </x:c>
      <x:c r="AI226" s="153" t="n">
        <x:v>4.33</x:v>
      </x:c>
      <x:c r="AJ226" s="155" t="n">
        <x:v>45639</x:v>
      </x:c>
      <x:c r="AK226" s="159" t="n">
        <x:v>196078</x:v>
      </x:c>
      <x:c r="AL226" s="154" t="n">
        <x:v>0.4056679893906229</x:v>
      </x:c>
      <x:c r="AM226" s="159" t="n">
        <x:v>-66445</x:v>
      </x:c>
      <x:c r="AN226" s="155" t="n">
        <x:v>45639</x:v>
      </x:c>
      <x:c r="AO226" s="159" t="n">
        <x:v>29320</x:v>
      </x:c>
      <x:c r="AP226" s="154" t="n">
        <x:v>0.19404881664637053</x:v>
      </x:c>
      <x:c r="AQ226" s="159" t="n">
        <x:v>-35291</x:v>
      </x:c>
      <x:c r="AR226" s="147" t="str">
        <x:v>美国市场指标与CFTC数据均使用严格早于上金所交易日的最后已发布值</x:v>
      </x:c>
    </x:row>
    <x:row r="227">
      <x:c r="A227" s="155" t="n">
        <x:v>45649</x:v>
      </x:c>
      <x:c r="B227" s="153" t="n">
        <x:v>611.1</x:v>
      </x:c>
      <x:c r="C227" s="153" t="n">
        <x:v>618.94</x:v>
      </x:c>
      <x:c r="D227" s="153" t="n">
        <x:v>611.1</x:v>
      </x:c>
      <x:c r="E227" s="153" t="n">
        <x:v>618.4</x:v>
      </x:c>
      <x:c r="F227" s="154" t="n">
        <x:f>IFERROR(E227/E226-1,"")</x:f>
        <x:v>0.010738276972361405</x:v>
      </x:c>
      <x:c r="G227" s="154" t="n">
        <x:f>IFERROR((C227-D227)/E226,"")</x:f>
        <x:v>0.012814016965497003</x:v>
      </x:c>
      <x:c r="H227" s="153" t="n">
        <x:v>617.52</x:v>
      </x:c>
      <x:c r="I227" s="158" t="n">
        <x:v>11136.88</x:v>
      </x:c>
      <x:c r="J227" s="158" t="n">
        <x:v>6877252537.4</x:v>
      </x:c>
      <x:c r="K227" s="158"/>
      <x:c r="L227" s="153" t="n">
        <x:v>7395</x:v>
      </x:c>
      <x:c r="M227" s="153" t="n">
        <x:v>7575</x:v>
      </x:c>
      <x:c r="N227" s="153" t="n">
        <x:v>7380</x:v>
      </x:c>
      <x:c r="O227" s="153" t="n">
        <x:v>7572</x:v>
      </x:c>
      <x:c r="P227" s="154" t="n">
        <x:f>IFERROR(O227/O226-1,"")</x:f>
        <x:v>0.021724463635137026</x:v>
      </x:c>
      <x:c r="Q227" s="154" t="n">
        <x:f>IFERROR((M227-N227)/O226,"")</x:f>
        <x:v>0.026312238564296316</x:v>
      </x:c>
      <x:c r="R227" s="153" t="n">
        <x:v>7508</x:v>
      </x:c>
      <x:c r="S227" s="158" t="n">
        <x:v>401784</x:v>
      </x:c>
      <x:c r="T227" s="158" t="n">
        <x:v>3016654630</x:v>
      </x:c>
      <x:c r="U227" s="158" t="n">
        <x:v>4093902</x:v>
      </x:c>
      <x:c r="V227" s="153" t="n">
        <x:f>IFERROR(E227*1000/O227,"")</x:f>
        <x:v>81.66930797675647</x:v>
      </x:c>
      <x:c r="W227" s="153" t="n">
        <x:v>4.52</x:v>
      </x:c>
      <x:c r="X227" s="155" t="n">
        <x:v>45646</x:v>
      </x:c>
      <x:c r="Y227" s="153" t="n">
        <x:v>2.23</x:v>
      </x:c>
      <x:c r="Z227" s="155" t="n">
        <x:v>45646</x:v>
      </x:c>
      <x:c r="AA227" s="153" t="n">
        <x:f>IFERROR(Y227-Y226,"")</x:f>
        <x:v>-0.04999999999999982</x:v>
      </x:c>
      <x:c r="AB227" s="153" t="n">
        <x:v>2.29</x:v>
      </x:c>
      <x:c r="AC227" s="153" t="n">
        <x:v>127.893</x:v>
      </x:c>
      <x:c r="AD227" s="155" t="n">
        <x:v>45646</x:v>
      </x:c>
      <x:c r="AE227" s="154" t="n">
        <x:f>IFERROR(AC227/AC226-1,"")</x:f>
        <x:v>-0.005780625420758856</x:v>
      </x:c>
      <x:c r="AF227" s="153" t="n">
        <x:v>18.36</x:v>
      </x:c>
      <x:c r="AG227" s="155" t="n">
        <x:v>45646</x:v>
      </x:c>
      <x:c r="AH227" s="153" t="n">
        <x:f>IFERROR(AF227-AF226,"")</x:f>
        <x:v>-5.73</x:v>
      </x:c>
      <x:c r="AI227" s="153" t="n">
        <x:v>4.33</x:v>
      </x:c>
      <x:c r="AJ227" s="155" t="n">
        <x:v>45646</x:v>
      </x:c>
      <x:c r="AK227" s="159" t="n">
        <x:v>183502</x:v>
      </x:c>
      <x:c r="AL227" s="154" t="n">
        <x:v>0.3932991977641131</x:v>
      </x:c>
      <x:c r="AM227" s="159" t="n">
        <x:v>-72455</x:v>
      </x:c>
      <x:c r="AN227" s="155" t="n">
        <x:v>45646</x:v>
      </x:c>
      <x:c r="AO227" s="159" t="n">
        <x:v>21879</x:v>
      </x:c>
      <x:c r="AP227" s="154" t="n">
        <x:v>0.14889953585866147</x:v>
      </x:c>
      <x:c r="AQ227" s="159" t="n">
        <x:v>-34032</x:v>
      </x:c>
      <x:c r="AR227" s="147" t="str">
        <x:v>美国市场指标与CFTC数据均使用严格早于上金所交易日的最后已发布值</x:v>
      </x:c>
    </x:row>
    <x:row r="228">
      <x:c r="A228" s="155" t="n">
        <x:v>45650</x:v>
      </x:c>
      <x:c r="B228" s="153" t="n">
        <x:v>600</x:v>
      </x:c>
      <x:c r="C228" s="153" t="n">
        <x:v>617</x:v>
      </x:c>
      <x:c r="D228" s="153" t="n">
        <x:v>600</x:v>
      </x:c>
      <x:c r="E228" s="153" t="n">
        <x:v>616.34</x:v>
      </x:c>
      <x:c r="F228" s="154" t="n">
        <x:f>IFERROR(E228/E227-1,"")</x:f>
        <x:v>-0.0033311772315652854</x:v>
      </x:c>
      <x:c r="G228" s="154" t="n">
        <x:f>IFERROR((C228-D228)/E227,"")</x:f>
        <x:v>0.027490297542043986</x:v>
      </x:c>
      <x:c r="H228" s="153" t="n">
        <x:v>615.98</x:v>
      </x:c>
      <x:c r="I228" s="158" t="n">
        <x:v>9607.56</x:v>
      </x:c>
      <x:c r="J228" s="158" t="n">
        <x:v>5918146883.2</x:v>
      </x:c>
      <x:c r="K228" s="158"/>
      <x:c r="L228" s="153" t="n">
        <x:v>7551</x:v>
      </x:c>
      <x:c r="M228" s="153" t="n">
        <x:v>7585</x:v>
      </x:c>
      <x:c r="N228" s="153" t="n">
        <x:v>7510</x:v>
      </x:c>
      <x:c r="O228" s="153" t="n">
        <x:v>7563</x:v>
      </x:c>
      <x:c r="P228" s="154" t="n">
        <x:f>IFERROR(O228/O227-1,"")</x:f>
        <x:v>-0.0011885895404120106</x:v>
      </x:c>
      <x:c r="Q228" s="154" t="n">
        <x:f>IFERROR((M228-N228)/O227,"")</x:f>
        <x:v>0.009904912836767036</x:v>
      </x:c>
      <x:c r="R228" s="153" t="n">
        <x:v>7555</x:v>
      </x:c>
      <x:c r="S228" s="158" t="n">
        <x:v>506258</x:v>
      </x:c>
      <x:c r="T228" s="158" t="n">
        <x:v>3825142308</x:v>
      </x:c>
      <x:c r="U228" s="158" t="n">
        <x:v>3945818</x:v>
      </x:c>
      <x:c r="V228" s="153" t="n">
        <x:f>IFERROR(E228*1000/O228,"")</x:f>
        <x:v>81.49411609149809</x:v>
      </x:c>
      <x:c r="W228" s="153" t="n">
        <x:v>4.59</x:v>
      </x:c>
      <x:c r="X228" s="155" t="n">
        <x:v>45649</x:v>
      </x:c>
      <x:c r="Y228" s="153" t="n">
        <x:v>2.27</x:v>
      </x:c>
      <x:c r="Z228" s="155" t="n">
        <x:v>45649</x:v>
      </x:c>
      <x:c r="AA228" s="153" t="n">
        <x:f>IFERROR(Y228-Y227,"")</x:f>
        <x:v>0.040000000000000036</x:v>
      </x:c>
      <x:c r="AB228" s="153" t="n">
        <x:v>2.32</x:v>
      </x:c>
      <x:c r="AC228" s="153" t="n">
        <x:v>128.3021</x:v>
      </x:c>
      <x:c r="AD228" s="155" t="n">
        <x:v>45649</x:v>
      </x:c>
      <x:c r="AE228" s="154" t="n">
        <x:f>IFERROR(AC228/AC227-1,"")</x:f>
        <x:v>0.003198767719890805</x:v>
      </x:c>
      <x:c r="AF228" s="153" t="n">
        <x:v>16.78</x:v>
      </x:c>
      <x:c r="AG228" s="155" t="n">
        <x:v>45649</x:v>
      </x:c>
      <x:c r="AH228" s="153" t="n">
        <x:f>IFERROR(AF228-AF227,"")</x:f>
        <x:v>-1.5799999999999983</x:v>
      </x:c>
      <x:c r="AI228" s="153" t="n">
        <x:v>4.33</x:v>
      </x:c>
      <x:c r="AJ228" s="155" t="n">
        <x:v>45646</x:v>
      </x:c>
      <x:c r="AK228" s="159" t="n">
        <x:v>183502</x:v>
      </x:c>
      <x:c r="AL228" s="154" t="n">
        <x:v>0.3932991977641131</x:v>
      </x:c>
      <x:c r="AM228" s="159" t="n">
        <x:v>-72455</x:v>
      </x:c>
      <x:c r="AN228" s="155" t="n">
        <x:v>45646</x:v>
      </x:c>
      <x:c r="AO228" s="159" t="n">
        <x:v>21879</x:v>
      </x:c>
      <x:c r="AP228" s="154" t="n">
        <x:v>0.14889953585866147</x:v>
      </x:c>
      <x:c r="AQ228" s="159" t="n">
        <x:v>-34032</x:v>
      </x:c>
      <x:c r="AR228" s="147" t="str">
        <x:v>美国市场指标与CFTC数据均使用严格早于上金所交易日的最后已发布值</x:v>
      </x:c>
    </x:row>
    <x:row r="229">
      <x:c r="A229" s="155" t="n">
        <x:v>45651</x:v>
      </x:c>
      <x:c r="B229" s="153" t="n">
        <x:v>615.2</x:v>
      </x:c>
      <x:c r="C229" s="153" t="n">
        <x:v>617.89</x:v>
      </x:c>
      <x:c r="D229" s="153" t="n">
        <x:v>615.05</x:v>
      </x:c>
      <x:c r="E229" s="153" t="n">
        <x:v>616.8</x:v>
      </x:c>
      <x:c r="F229" s="154" t="n">
        <x:f>IFERROR(E229/E228-1,"")</x:f>
        <x:v>0.0007463413051236323</x:v>
      </x:c>
      <x:c r="G229" s="154" t="n">
        <x:f>IFERROR((C229-D229)/E228,"")</x:f>
        <x:v>0.00460784631859044</x:v>
      </x:c>
      <x:c r="H229" s="153" t="n">
        <x:v>617.12</x:v>
      </x:c>
      <x:c r="I229" s="158" t="n">
        <x:v>8153.06</x:v>
      </x:c>
      <x:c r="J229" s="158" t="n">
        <x:v>5031483450.6</x:v>
      </x:c>
      <x:c r="K229" s="158"/>
      <x:c r="L229" s="153" t="n">
        <x:v>7540</x:v>
      </x:c>
      <x:c r="M229" s="153" t="n">
        <x:v>7604</x:v>
      </x:c>
      <x:c r="N229" s="153" t="n">
        <x:v>7501</x:v>
      </x:c>
      <x:c r="O229" s="153" t="n">
        <x:v>7553</x:v>
      </x:c>
      <x:c r="P229" s="154" t="n">
        <x:f>IFERROR(O229/O228-1,"")</x:f>
        <x:v>-0.0013222266296443186</x:v>
      </x:c>
      <x:c r="Q229" s="154" t="n">
        <x:f>IFERROR((M229-N229)/O228,"")</x:f>
        <x:v>0.013618934285336507</x:v>
      </x:c>
      <x:c r="R229" s="153" t="n">
        <x:v>7569</x:v>
      </x:c>
      <x:c r="S229" s="158" t="n">
        <x:v>223652</x:v>
      </x:c>
      <x:c r="T229" s="158" t="n">
        <x:v>1692919712</x:v>
      </x:c>
      <x:c r="U229" s="158" t="n">
        <x:v>3985898</x:v>
      </x:c>
      <x:c r="V229" s="153" t="n">
        <x:f>IFERROR(E229*1000/O229,"")</x:f>
        <x:v>81.66291539785516</x:v>
      </x:c>
      <x:c r="W229" s="153" t="n">
        <x:v>4.59</x:v>
      </x:c>
      <x:c r="X229" s="155" t="n">
        <x:v>45650</x:v>
      </x:c>
      <x:c r="Y229" s="153" t="n">
        <x:v>2.24</x:v>
      </x:c>
      <x:c r="Z229" s="155" t="n">
        <x:v>45650</x:v>
      </x:c>
      <x:c r="AA229" s="153" t="n">
        <x:f>IFERROR(Y229-Y228,"")</x:f>
        <x:v>-0.029999999999999805</x:v>
      </x:c>
      <x:c r="AB229" s="153" t="n">
        <x:v>2.35</x:v>
      </x:c>
      <x:c r="AC229" s="153" t="n">
        <x:v>128.3377</x:v>
      </x:c>
      <x:c r="AD229" s="155" t="n">
        <x:v>45650</x:v>
      </x:c>
      <x:c r="AE229" s="154" t="n">
        <x:f>IFERROR(AC229/AC228-1,"")</x:f>
        <x:v>0.0002774701271452962</x:v>
      </x:c>
      <x:c r="AF229" s="153" t="n">
        <x:v>14.27</x:v>
      </x:c>
      <x:c r="AG229" s="155" t="n">
        <x:v>45650</x:v>
      </x:c>
      <x:c r="AH229" s="153" t="n">
        <x:f>IFERROR(AF229-AF228,"")</x:f>
        <x:v>-2.5100000000000016</x:v>
      </x:c>
      <x:c r="AI229" s="153" t="n">
        <x:v>4.33</x:v>
      </x:c>
      <x:c r="AJ229" s="155" t="n">
        <x:v>45646</x:v>
      </x:c>
      <x:c r="AK229" s="159" t="n">
        <x:v>183502</x:v>
      </x:c>
      <x:c r="AL229" s="154" t="n">
        <x:v>0.3932991977641131</x:v>
      </x:c>
      <x:c r="AM229" s="159" t="n">
        <x:v>-72455</x:v>
      </x:c>
      <x:c r="AN229" s="155" t="n">
        <x:v>45646</x:v>
      </x:c>
      <x:c r="AO229" s="159" t="n">
        <x:v>21879</x:v>
      </x:c>
      <x:c r="AP229" s="154" t="n">
        <x:v>0.14889953585866147</x:v>
      </x:c>
      <x:c r="AQ229" s="159" t="n">
        <x:v>-34032</x:v>
      </x:c>
      <x:c r="AR229" s="147" t="str">
        <x:v>美国市场指标与CFTC数据均使用严格早于上金所交易日的最后已发布值</x:v>
      </x:c>
    </x:row>
    <x:row r="230">
      <x:c r="A230" s="155" t="n">
        <x:v>45652</x:v>
      </x:c>
      <x:c r="B230" s="153" t="n">
        <x:v>617.5</x:v>
      </x:c>
      <x:c r="C230" s="153" t="n">
        <x:v>618.98</x:v>
      </x:c>
      <x:c r="D230" s="153" t="n">
        <x:v>616.5</x:v>
      </x:c>
      <x:c r="E230" s="153" t="n">
        <x:v>618.07</x:v>
      </x:c>
      <x:c r="F230" s="154" t="n">
        <x:f>IFERROR(E230/E229-1,"")</x:f>
        <x:v>0.002059014267185688</x:v>
      </x:c>
      <x:c r="G230" s="154" t="n">
        <x:f>IFERROR((C230-D230)/E229,"")</x:f>
        <x:v>0.004020752269779537</x:v>
      </x:c>
      <x:c r="H230" s="153" t="n">
        <x:v>617.95</x:v>
      </x:c>
      <x:c r="I230" s="158" t="n">
        <x:v>10179.12</x:v>
      </x:c>
      <x:c r="J230" s="158" t="n">
        <x:v>6290216881.8</x:v>
      </x:c>
      <x:c r="K230" s="158"/>
      <x:c r="L230" s="153" t="n">
        <x:v>7565</x:v>
      </x:c>
      <x:c r="M230" s="153" t="n">
        <x:v>7645</x:v>
      </x:c>
      <x:c r="N230" s="153" t="n">
        <x:v>7542</x:v>
      </x:c>
      <x:c r="O230" s="153" t="n">
        <x:v>7550</x:v>
      </x:c>
      <x:c r="P230" s="154" t="n">
        <x:f>IFERROR(O230/O229-1,"")</x:f>
        <x:v>-0.0003971931682774654</x:v>
      </x:c>
      <x:c r="Q230" s="154" t="n">
        <x:f>IFERROR((M230-N230)/O229,"")</x:f>
        <x:v>0.01363696544419436</x:v>
      </x:c>
      <x:c r="R230" s="153" t="n">
        <x:v>7585</x:v>
      </x:c>
      <x:c r="S230" s="158" t="n">
        <x:v>231860</x:v>
      </x:c>
      <x:c r="T230" s="158" t="n">
        <x:v>1758682000</x:v>
      </x:c>
      <x:c r="U230" s="158" t="n">
        <x:v>4032580</x:v>
      </x:c>
      <x:c r="V230" s="153" t="n">
        <x:f>IFERROR(E230*1000/O230,"")</x:f>
        <x:v>81.8635761589404</x:v>
      </x:c>
      <x:c r="W230" s="153" t="n">
        <x:v>4.59</x:v>
      </x:c>
      <x:c r="X230" s="155" t="n">
        <x:v>45650</x:v>
      </x:c>
      <x:c r="Y230" s="153" t="n">
        <x:v>2.24</x:v>
      </x:c>
      <x:c r="Z230" s="155" t="n">
        <x:v>45650</x:v>
      </x:c>
      <x:c r="AA230" s="153" t="n">
        <x:f>IFERROR(Y230-Y229,"")</x:f>
        <x:v>0</x:v>
      </x:c>
      <x:c r="AB230" s="153" t="n">
        <x:v>2.35</x:v>
      </x:c>
      <x:c r="AC230" s="153" t="n">
        <x:v>128.3377</x:v>
      </x:c>
      <x:c r="AD230" s="155" t="n">
        <x:v>45650</x:v>
      </x:c>
      <x:c r="AE230" s="154" t="n">
        <x:f>IFERROR(AC230/AC229-1,"")</x:f>
        <x:v>0</x:v>
      </x:c>
      <x:c r="AF230" s="153" t="n">
        <x:v>14.27</x:v>
      </x:c>
      <x:c r="AG230" s="155" t="n">
        <x:v>45650</x:v>
      </x:c>
      <x:c r="AH230" s="153" t="n">
        <x:f>IFERROR(AF230-AF229,"")</x:f>
        <x:v>0</x:v>
      </x:c>
      <x:c r="AI230" s="153" t="n">
        <x:v>4.33</x:v>
      </x:c>
      <x:c r="AJ230" s="155" t="n">
        <x:v>45646</x:v>
      </x:c>
      <x:c r="AK230" s="159" t="n">
        <x:v>183502</x:v>
      </x:c>
      <x:c r="AL230" s="154" t="n">
        <x:v>0.3932991977641131</x:v>
      </x:c>
      <x:c r="AM230" s="159" t="n">
        <x:v>-72455</x:v>
      </x:c>
      <x:c r="AN230" s="155" t="n">
        <x:v>45646</x:v>
      </x:c>
      <x:c r="AO230" s="159" t="n">
        <x:v>21879</x:v>
      </x:c>
      <x:c r="AP230" s="154" t="n">
        <x:v>0.14889953585866147</x:v>
      </x:c>
      <x:c r="AQ230" s="159" t="n">
        <x:v>-34032</x:v>
      </x:c>
      <x:c r="AR230" s="147" t="str">
        <x:v>美国市场指标与CFTC数据均使用严格早于上金所交易日的最后已发布值</x:v>
      </x:c>
    </x:row>
    <x:row r="231">
      <x:c r="A231" s="155" t="n">
        <x:v>45653</x:v>
      </x:c>
      <x:c r="B231" s="153" t="n">
        <x:v>618</x:v>
      </x:c>
      <x:c r="C231" s="153" t="n">
        <x:v>619.5</x:v>
      </x:c>
      <x:c r="D231" s="153" t="n">
        <x:v>618</x:v>
      </x:c>
      <x:c r="E231" s="153" t="n">
        <x:v>618.55</x:v>
      </x:c>
      <x:c r="F231" s="154" t="n">
        <x:f>IFERROR(E231/E230-1,"")</x:f>
        <x:v>0.0007766110634717105</x:v>
      </x:c>
      <x:c r="G231" s="154" t="n">
        <x:f>IFERROR((C231-D231)/E230,"")</x:f>
        <x:v>0.002426909573349297</x:v>
      </x:c>
      <x:c r="H231" s="153" t="n">
        <x:v>618.72</x:v>
      </x:c>
      <x:c r="I231" s="158" t="n">
        <x:v>10013.18</x:v>
      </x:c>
      <x:c r="J231" s="158" t="n">
        <x:v>6195416100</x:v>
      </x:c>
      <x:c r="K231" s="158"/>
      <x:c r="L231" s="153" t="n">
        <x:v>7567</x:v>
      </x:c>
      <x:c r="M231" s="153" t="n">
        <x:v>7615</x:v>
      </x:c>
      <x:c r="N231" s="153" t="n">
        <x:v>7544</x:v>
      </x:c>
      <x:c r="O231" s="153" t="n">
        <x:v>7584</x:v>
      </x:c>
      <x:c r="P231" s="154" t="n">
        <x:f>IFERROR(O231/O230-1,"")</x:f>
        <x:v>0.0045033112582781865</x:v>
      </x:c>
      <x:c r="Q231" s="154" t="n">
        <x:f>IFERROR((M231-N231)/O230,"")</x:f>
        <x:v>0.009403973509933775</x:v>
      </x:c>
      <x:c r="R231" s="153" t="n">
        <x:v>7592</x:v>
      </x:c>
      <x:c r="S231" s="158" t="n">
        <x:v>261420</x:v>
      </x:c>
      <x:c r="T231" s="158" t="n">
        <x:v>1984880960</x:v>
      </x:c>
      <x:c r="U231" s="158" t="n">
        <x:v>4029476</x:v>
      </x:c>
      <x:c r="V231" s="153" t="n">
        <x:f>IFERROR(E231*1000/O231,"")</x:f>
        <x:v>81.55986286919831</x:v>
      </x:c>
      <x:c r="W231" s="153" t="n">
        <x:v>4.58</x:v>
      </x:c>
      <x:c r="X231" s="155" t="n">
        <x:v>45652</x:v>
      </x:c>
      <x:c r="Y231" s="153" t="n">
        <x:v>2.23</x:v>
      </x:c>
      <x:c r="Z231" s="155" t="n">
        <x:v>45652</x:v>
      </x:c>
      <x:c r="AA231" s="153" t="n">
        <x:f>IFERROR(Y231-Y230,"")</x:f>
        <x:v>-0.010000000000000231</x:v>
      </x:c>
      <x:c r="AB231" s="153" t="n">
        <x:v>2.35</x:v>
      </x:c>
      <x:c r="AC231" s="153" t="n">
        <x:v>128.3329</x:v>
      </x:c>
      <x:c r="AD231" s="155" t="n">
        <x:v>45652</x:v>
      </x:c>
      <x:c r="AE231" s="154" t="n">
        <x:f>IFERROR(AC231/AC230-1,"")</x:f>
        <x:v>-0.000037401324786245915</x:v>
      </x:c>
      <x:c r="AF231" s="153" t="n">
        <x:v>14.73</x:v>
      </x:c>
      <x:c r="AG231" s="155" t="n">
        <x:v>45652</x:v>
      </x:c>
      <x:c r="AH231" s="153" t="n">
        <x:f>IFERROR(AF231-AF230,"")</x:f>
        <x:v>0.46000000000000085</x:v>
      </x:c>
      <x:c r="AI231" s="153" t="n">
        <x:v>4.33</x:v>
      </x:c>
      <x:c r="AJ231" s="155" t="n">
        <x:v>45646</x:v>
      </x:c>
      <x:c r="AK231" s="159" t="n">
        <x:v>183502</x:v>
      </x:c>
      <x:c r="AL231" s="154" t="n">
        <x:v>0.3932991977641131</x:v>
      </x:c>
      <x:c r="AM231" s="159" t="n">
        <x:v>-72455</x:v>
      </x:c>
      <x:c r="AN231" s="155" t="n">
        <x:v>45646</x:v>
      </x:c>
      <x:c r="AO231" s="159" t="n">
        <x:v>21879</x:v>
      </x:c>
      <x:c r="AP231" s="154" t="n">
        <x:v>0.14889953585866147</x:v>
      </x:c>
      <x:c r="AQ231" s="159" t="n">
        <x:v>-34032</x:v>
      </x:c>
      <x:c r="AR231" s="147" t="str">
        <x:v>美国市场指标与CFTC数据均使用严格早于上金所交易日的最后已发布值</x:v>
      </x:c>
    </x:row>
    <x:row r="232">
      <x:c r="A232" s="155" t="n">
        <x:v>45656</x:v>
      </x:c>
      <x:c r="B232" s="153" t="n">
        <x:v>616.5</x:v>
      </x:c>
      <x:c r="C232" s="153" t="n">
        <x:v>618</x:v>
      </x:c>
      <x:c r="D232" s="153" t="n">
        <x:v>614.5</x:v>
      </x:c>
      <x:c r="E232" s="153" t="n">
        <x:v>616.5</x:v>
      </x:c>
      <x:c r="F232" s="154" t="n">
        <x:f>IFERROR(E232/E231-1,"")</x:f>
        <x:v>-0.0033142025705277245</x:v>
      </x:c>
      <x:c r="G232" s="154" t="n">
        <x:f>IFERROR((C232-D232)/E231,"")</x:f>
        <x:v>0.00565839463260852</x:v>
      </x:c>
      <x:c r="H232" s="153" t="n">
        <x:v>616.73</x:v>
      </x:c>
      <x:c r="I232" s="158" t="n">
        <x:v>10156.7</x:v>
      </x:c>
      <x:c r="J232" s="158" t="n">
        <x:v>6264032628.8</x:v>
      </x:c>
      <x:c r="K232" s="158"/>
      <x:c r="L232" s="153" t="n">
        <x:v>7568</x:v>
      </x:c>
      <x:c r="M232" s="153" t="n">
        <x:v>7569</x:v>
      </x:c>
      <x:c r="N232" s="153" t="n">
        <x:v>7481</x:v>
      </x:c>
      <x:c r="O232" s="153" t="n">
        <x:v>7557</x:v>
      </x:c>
      <x:c r="P232" s="154" t="n">
        <x:f>IFERROR(O232/O231-1,"")</x:f>
        <x:v>-0.0035601265822784445</x:v>
      </x:c>
      <x:c r="Q232" s="154" t="n">
        <x:f>IFERROR((M232-N232)/O231,"")</x:f>
        <x:v>0.011603375527426161</x:v>
      </x:c>
      <x:c r="R232" s="153" t="n">
        <x:v>7529</x:v>
      </x:c>
      <x:c r="S232" s="158" t="n">
        <x:v>270748</x:v>
      </x:c>
      <x:c r="T232" s="158" t="n">
        <x:v>2038625498</x:v>
      </x:c>
      <x:c r="U232" s="158" t="n">
        <x:v>4035630</x:v>
      </x:c>
      <x:c r="V232" s="153" t="n">
        <x:f>IFERROR(E232*1000/O232,"")</x:f>
        <x:v>81.57999206034141</x:v>
      </x:c>
      <x:c r="W232" s="153" t="n">
        <x:v>4.62</x:v>
      </x:c>
      <x:c r="X232" s="155" t="n">
        <x:v>45653</x:v>
      </x:c>
      <x:c r="Y232" s="153" t="n">
        <x:v>2.28</x:v>
      </x:c>
      <x:c r="Z232" s="155" t="n">
        <x:v>45653</x:v>
      </x:c>
      <x:c r="AA232" s="153" t="n">
        <x:f>IFERROR(Y232-Y231,"")</x:f>
        <x:v>0.04999999999999982</x:v>
      </x:c>
      <x:c r="AB232" s="153" t="n">
        <x:v>2.34</x:v>
      </x:c>
      <x:c r="AC232" s="153" t="n">
        <x:v>128.45</x:v>
      </x:c>
      <x:c r="AD232" s="155" t="n">
        <x:v>45653</x:v>
      </x:c>
      <x:c r="AE232" s="154" t="n">
        <x:f>IFERROR(AC232/AC231-1,"")</x:f>
        <x:v>0.0009124706135370531</x:v>
      </x:c>
      <x:c r="AF232" s="153" t="n">
        <x:v>15.95</x:v>
      </x:c>
      <x:c r="AG232" s="155" t="n">
        <x:v>45653</x:v>
      </x:c>
      <x:c r="AH232" s="153" t="n">
        <x:f>IFERROR(AF232-AF231,"")</x:f>
        <x:v>1.2199999999999989</x:v>
      </x:c>
      <x:c r="AI232" s="153" t="n">
        <x:v>4.33</x:v>
      </x:c>
      <x:c r="AJ232" s="155" t="n">
        <x:v>45653</x:v>
      </x:c>
      <x:c r="AK232" s="159" t="n">
        <x:v>165497</x:v>
      </x:c>
      <x:c r="AL232" s="154" t="n">
        <x:v>0.3640128803508664</x:v>
      </x:c>
      <x:c r="AM232" s="159" t="n">
        <x:v>-74789</x:v>
      </x:c>
      <x:c r="AN232" s="155" t="n">
        <x:v>45653</x:v>
      </x:c>
      <x:c r="AO232" s="159" t="n">
        <x:v>20548</x:v>
      </x:c>
      <x:c r="AP232" s="154" t="n">
        <x:v>0.14110892884121468</x:v>
      </x:c>
      <x:c r="AQ232" s="159" t="n">
        <x:v>-33842</x:v>
      </x:c>
      <x:c r="AR232" s="147" t="str">
        <x:v>美国市场指标与CFTC数据均使用严格早于上金所交易日的最后已发布值</x:v>
      </x:c>
    </x:row>
    <x:row r="233">
      <x:c r="A233" s="155" t="n">
        <x:v>45657</x:v>
      </x:c>
      <x:c r="B233" s="153" t="n">
        <x:v>615.5</x:v>
      </x:c>
      <x:c r="C233" s="153" t="n">
        <x:v>617.7</x:v>
      </x:c>
      <x:c r="D233" s="153" t="n">
        <x:v>613.6</x:v>
      </x:c>
      <x:c r="E233" s="153" t="n">
        <x:v>614.8</x:v>
      </x:c>
      <x:c r="F233" s="154" t="n">
        <x:f>IFERROR(E233/E232-1,"")</x:f>
        <x:v>-0.002757502027575076</x:v>
      </x:c>
      <x:c r="G233" s="154" t="n">
        <x:f>IFERROR((C233-D233)/E232,"")</x:f>
        <x:v>0.006650446066504497</x:v>
      </x:c>
      <x:c r="H233" s="153" t="n">
        <x:v>614.93</x:v>
      </x:c>
      <x:c r="I233" s="158" t="n">
        <x:v>8629.54</x:v>
      </x:c>
      <x:c r="J233" s="158" t="n">
        <x:v>5306620178.6</x:v>
      </x:c>
      <x:c r="K233" s="158"/>
      <x:c r="L233" s="153" t="n">
        <x:v>7543</x:v>
      </x:c>
      <x:c r="M233" s="153" t="n">
        <x:v>7559</x:v>
      </x:c>
      <x:c r="N233" s="153" t="n">
        <x:v>7439</x:v>
      </x:c>
      <x:c r="O233" s="153" t="n">
        <x:v>7461</x:v>
      </x:c>
      <x:c r="P233" s="154" t="n">
        <x:f>IFERROR(O233/O232-1,"")</x:f>
        <x:v>-0.012703453751488736</x:v>
      </x:c>
      <x:c r="Q233" s="154" t="n">
        <x:f>IFERROR((M233-N233)/O232,"")</x:f>
        <x:v>0.015879317189360857</x:v>
      </x:c>
      <x:c r="R233" s="153" t="n">
        <x:v>7476</x:v>
      </x:c>
      <x:c r="S233" s="158" t="n">
        <x:v>275982</x:v>
      </x:c>
      <x:c r="T233" s="158" t="n">
        <x:v>2063300794</x:v>
      </x:c>
      <x:c r="U233" s="158" t="n">
        <x:v>4056828</x:v>
      </x:c>
      <x:c r="V233" s="153" t="n">
        <x:f>IFERROR(E233*1000/O233,"")</x:f>
        <x:v>82.4018228119555</x:v>
      </x:c>
      <x:c r="W233" s="153" t="n">
        <x:v>4.55</x:v>
      </x:c>
      <x:c r="X233" s="155" t="n">
        <x:v>45656</x:v>
      </x:c>
      <x:c r="Y233" s="153" t="n">
        <x:v>2.24</x:v>
      </x:c>
      <x:c r="Z233" s="155" t="n">
        <x:v>45656</x:v>
      </x:c>
      <x:c r="AA233" s="153" t="n">
        <x:f>IFERROR(Y233-Y232,"")</x:f>
        <x:v>-0.03999999999999959</x:v>
      </x:c>
      <x:c r="AB233" s="153" t="n">
        <x:v>2.31</x:v>
      </x:c>
      <x:c r="AC233" s="153" t="n">
        <x:v>128.8205</x:v>
      </x:c>
      <x:c r="AD233" s="155" t="n">
        <x:v>45656</x:v>
      </x:c>
      <x:c r="AE233" s="154" t="n">
        <x:f>IFERROR(AC233/AC232-1,"")</x:f>
        <x:v>0.0028843908135463003</x:v>
      </x:c>
      <x:c r="AF233" s="153" t="n">
        <x:v>17.4</x:v>
      </x:c>
      <x:c r="AG233" s="155" t="n">
        <x:v>45656</x:v>
      </x:c>
      <x:c r="AH233" s="153" t="n">
        <x:f>IFERROR(AF233-AF232,"")</x:f>
        <x:v>1.4499999999999993</x:v>
      </x:c>
      <x:c r="AI233" s="153" t="n">
        <x:v>4.33</x:v>
      </x:c>
      <x:c r="AJ233" s="155" t="n">
        <x:v>45653</x:v>
      </x:c>
      <x:c r="AK233" s="159" t="n">
        <x:v>165497</x:v>
      </x:c>
      <x:c r="AL233" s="154" t="n">
        <x:v>0.3640128803508664</x:v>
      </x:c>
      <x:c r="AM233" s="159" t="n">
        <x:v>-74789</x:v>
      </x:c>
      <x:c r="AN233" s="155" t="n">
        <x:v>45653</x:v>
      </x:c>
      <x:c r="AO233" s="159" t="n">
        <x:v>20548</x:v>
      </x:c>
      <x:c r="AP233" s="154" t="n">
        <x:v>0.14110892884121468</x:v>
      </x:c>
      <x:c r="AQ233" s="159" t="n">
        <x:v>-33842</x:v>
      </x:c>
      <x:c r="AR233" s="147" t="str">
        <x:v>美国市场指标与CFTC数据均使用严格早于上金所交易日的最后已发布值</x:v>
      </x:c>
    </x:row>
    <x:row r="234">
      <x:c r="A234" s="155" t="n">
        <x:v>45659</x:v>
      </x:c>
      <x:c r="B234" s="153" t="n">
        <x:v>614</x:v>
      </x:c>
      <x:c r="C234" s="153" t="n">
        <x:v>622.6</x:v>
      </x:c>
      <x:c r="D234" s="153" t="n">
        <x:v>614</x:v>
      </x:c>
      <x:c r="E234" s="153" t="n">
        <x:v>621.99</x:v>
      </x:c>
      <x:c r="F234" s="154" t="n">
        <x:f>IFERROR(E234/E233-1,"")</x:f>
        <x:v>0.011694860117111405</x:v>
      </x:c>
      <x:c r="G234" s="154" t="n">
        <x:f>IFERROR((C234-D234)/E233,"")</x:f>
        <x:v>0.013988288874430746</x:v>
      </x:c>
      <x:c r="H234" s="153" t="n">
        <x:v>621.27</x:v>
      </x:c>
      <x:c r="I234" s="158" t="n">
        <x:v>12745.84</x:v>
      </x:c>
      <x:c r="J234" s="158" t="n">
        <x:v>7918685399</x:v>
      </x:c>
      <x:c r="K234" s="158"/>
      <x:c r="L234" s="153" t="n">
        <x:v>7469</x:v>
      </x:c>
      <x:c r="M234" s="153" t="n">
        <x:v>7607</x:v>
      </x:c>
      <x:c r="N234" s="153" t="n">
        <x:v>7469</x:v>
      </x:c>
      <x:c r="O234" s="153" t="n">
        <x:v>7601</x:v>
      </x:c>
      <x:c r="P234" s="154" t="n">
        <x:f>IFERROR(O234/O233-1,"")</x:f>
        <x:v>0.018764240718402325</x:v>
      </x:c>
      <x:c r="Q234" s="154" t="n">
        <x:f>IFERROR((M234-N234)/O233,"")</x:f>
        <x:v>0.018496180136710897</x:v>
      </x:c>
      <x:c r="R234" s="153" t="n">
        <x:v>7592</x:v>
      </x:c>
      <x:c r="S234" s="158" t="n">
        <x:v>284738</x:v>
      </x:c>
      <x:c r="T234" s="158" t="n">
        <x:v>2161790580</x:v>
      </x:c>
      <x:c r="U234" s="158" t="n">
        <x:v>4063372</x:v>
      </x:c>
      <x:c r="V234" s="153" t="n">
        <x:f>IFERROR(E234*1000/O234,"")</x:f>
        <x:v>81.83002236547823</x:v>
      </x:c>
      <x:c r="W234" s="153" t="n">
        <x:v>4.58</x:v>
      </x:c>
      <x:c r="X234" s="155" t="n">
        <x:v>45657</x:v>
      </x:c>
      <x:c r="Y234" s="153" t="n">
        <x:v>2.24</x:v>
      </x:c>
      <x:c r="Z234" s="155" t="n">
        <x:v>45657</x:v>
      </x:c>
      <x:c r="AA234" s="153" t="n">
        <x:f>IFERROR(Y234-Y233,"")</x:f>
        <x:v>0</x:v>
      </x:c>
      <x:c r="AB234" s="153" t="n">
        <x:v>2.34</x:v>
      </x:c>
      <x:c r="AC234" s="153" t="n">
        <x:v>129.2775</x:v>
      </x:c>
      <x:c r="AD234" s="155" t="n">
        <x:v>45657</x:v>
      </x:c>
      <x:c r="AE234" s="154" t="n">
        <x:f>IFERROR(AC234/AC233-1,"")</x:f>
        <x:v>0.0035475720091133756</x:v>
      </x:c>
      <x:c r="AF234" s="153" t="n">
        <x:v>17.35</x:v>
      </x:c>
      <x:c r="AG234" s="155" t="n">
        <x:v>45657</x:v>
      </x:c>
      <x:c r="AH234" s="153" t="n">
        <x:f>IFERROR(AF234-AF233,"")</x:f>
        <x:v>-0.04999999999999716</x:v>
      </x:c>
      <x:c r="AI234" s="153" t="n">
        <x:v>4.33</x:v>
      </x:c>
      <x:c r="AJ234" s="155" t="n">
        <x:v>45653</x:v>
      </x:c>
      <x:c r="AK234" s="159" t="n">
        <x:v>165497</x:v>
      </x:c>
      <x:c r="AL234" s="154" t="n">
        <x:v>0.3640128803508664</x:v>
      </x:c>
      <x:c r="AM234" s="159" t="n">
        <x:v>-74789</x:v>
      </x:c>
      <x:c r="AN234" s="155" t="n">
        <x:v>45653</x:v>
      </x:c>
      <x:c r="AO234" s="159" t="n">
        <x:v>20548</x:v>
      </x:c>
      <x:c r="AP234" s="154" t="n">
        <x:v>0.14110892884121468</x:v>
      </x:c>
      <x:c r="AQ234" s="159" t="n">
        <x:v>-33842</x:v>
      </x:c>
      <x:c r="AR234" s="147" t="str">
        <x:v>美国市场指标与CFTC数据均使用严格早于上金所交易日的最后已发布值</x:v>
      </x:c>
    </x:row>
    <x:row r="235">
      <x:c r="A235" s="155" t="n">
        <x:v>45660</x:v>
      </x:c>
      <x:c r="B235" s="153" t="n">
        <x:v>624.4</x:v>
      </x:c>
      <x:c r="C235" s="153" t="n">
        <x:v>627.6</x:v>
      </x:c>
      <x:c r="D235" s="153" t="n">
        <x:v>624.4</x:v>
      </x:c>
      <x:c r="E235" s="153" t="n">
        <x:v>626.87</x:v>
      </x:c>
      <x:c r="F235" s="154" t="n">
        <x:f>IFERROR(E235/E234-1,"")</x:f>
        <x:v>0.007845785302014407</x:v>
      </x:c>
      <x:c r="G235" s="154" t="n">
        <x:f>IFERROR((C235-D235)/E234,"")</x:f>
        <x:v>0.005144777247222697</x:v>
      </x:c>
      <x:c r="H235" s="153" t="n">
        <x:v>626.52</x:v>
      </x:c>
      <x:c r="I235" s="158" t="n">
        <x:v>11230.76</x:v>
      </x:c>
      <x:c r="J235" s="158" t="n">
        <x:v>7036401252.4</x:v>
      </x:c>
      <x:c r="K235" s="158"/>
      <x:c r="L235" s="153" t="n">
        <x:v>7613</x:v>
      </x:c>
      <x:c r="M235" s="153" t="n">
        <x:v>7658</x:v>
      </x:c>
      <x:c r="N235" s="153" t="n">
        <x:v>7581</x:v>
      </x:c>
      <x:c r="O235" s="153" t="n">
        <x:v>7620</x:v>
      </x:c>
      <x:c r="P235" s="154" t="n">
        <x:f>IFERROR(O235/O234-1,"")</x:f>
        <x:v>0.002499671095908429</x:v>
      </x:c>
      <x:c r="Q235" s="154" t="n">
        <x:f>IFERROR((M235-N235)/O234,"")</x:f>
        <x:v>0.010130246020260492</x:v>
      </x:c>
      <x:c r="R235" s="153" t="n">
        <x:v>7619</x:v>
      </x:c>
      <x:c r="S235" s="158" t="n">
        <x:v>331200</x:v>
      </x:c>
      <x:c r="T235" s="158" t="n">
        <x:v>2523513088</x:v>
      </x:c>
      <x:c r="U235" s="158" t="n">
        <x:v>4076050</x:v>
      </x:c>
      <x:c r="V235" s="153" t="n">
        <x:f>IFERROR(E235*1000/O235,"")</x:f>
        <x:v>82.26640419947506</x:v>
      </x:c>
      <x:c r="W235" s="153" t="n">
        <x:v>4.57</x:v>
      </x:c>
      <x:c r="X235" s="155" t="n">
        <x:v>45659</x:v>
      </x:c>
      <x:c r="Y235" s="153" t="n">
        <x:v>2.23</x:v>
      </x:c>
      <x:c r="Z235" s="155" t="n">
        <x:v>45659</x:v>
      </x:c>
      <x:c r="AA235" s="153" t="n">
        <x:f>IFERROR(Y235-Y234,"")</x:f>
        <x:v>-0.010000000000000231</x:v>
      </x:c>
      <x:c r="AB235" s="153" t="n">
        <x:v>2.34</x:v>
      </x:c>
      <x:c r="AC235" s="153" t="n">
        <x:v>129.4598</x:v>
      </x:c>
      <x:c r="AD235" s="155" t="n">
        <x:v>45659</x:v>
      </x:c>
      <x:c r="AE235" s="154" t="n">
        <x:f>IFERROR(AC235/AC234-1,"")</x:f>
        <x:v>0.0014101448434569175</x:v>
      </x:c>
      <x:c r="AF235" s="153" t="n">
        <x:v>17.93</x:v>
      </x:c>
      <x:c r="AG235" s="155" t="n">
        <x:v>45659</x:v>
      </x:c>
      <x:c r="AH235" s="153" t="n">
        <x:f>IFERROR(AF235-AF234,"")</x:f>
        <x:v>0.5799999999999983</x:v>
      </x:c>
      <x:c r="AI235" s="153" t="n">
        <x:v>4.33</x:v>
      </x:c>
      <x:c r="AJ235" s="155" t="n">
        <x:v>45653</x:v>
      </x:c>
      <x:c r="AK235" s="159" t="n">
        <x:v>165497</x:v>
      </x:c>
      <x:c r="AL235" s="154" t="n">
        <x:v>0.3640128803508664</x:v>
      </x:c>
      <x:c r="AM235" s="159" t="n">
        <x:v>-74789</x:v>
      </x:c>
      <x:c r="AN235" s="155" t="n">
        <x:v>45653</x:v>
      </x:c>
      <x:c r="AO235" s="159" t="n">
        <x:v>20548</x:v>
      </x:c>
      <x:c r="AP235" s="154" t="n">
        <x:v>0.14110892884121468</x:v>
      </x:c>
      <x:c r="AQ235" s="159" t="n">
        <x:v>-33842</x:v>
      </x:c>
      <x:c r="AR235" s="147" t="str">
        <x:v>美国市场指标与CFTC数据均使用严格早于上金所交易日的最后已发布值</x:v>
      </x:c>
    </x:row>
    <x:row r="236">
      <x:c r="A236" s="155" t="n">
        <x:v>45663</x:v>
      </x:c>
      <x:c r="B236" s="153" t="n">
        <x:v>627.5</x:v>
      </x:c>
      <x:c r="C236" s="153" t="n">
        <x:v>629</x:v>
      </x:c>
      <x:c r="D236" s="153" t="n">
        <x:v>623.9</x:v>
      </x:c>
      <x:c r="E236" s="153" t="n">
        <x:v>624.32</x:v>
      </x:c>
      <x:c r="F236" s="154" t="n">
        <x:f>IFERROR(E236/E235-1,"")</x:f>
        <x:v>-0.004067829055465988</x:v>
      </x:c>
      <x:c r="G236" s="154" t="n">
        <x:f>IFERROR((C236-D236)/E235,"")</x:f>
        <x:v>0.008135658110932127</x:v>
      </x:c>
      <x:c r="H236" s="153" t="n">
        <x:v>625.52</x:v>
      </x:c>
      <x:c r="I236" s="158" t="n">
        <x:v>14292.08</x:v>
      </x:c>
      <x:c r="J236" s="158" t="n">
        <x:v>8940101673.6</x:v>
      </x:c>
      <x:c r="K236" s="158"/>
      <x:c r="L236" s="153" t="n">
        <x:v>7671</x:v>
      </x:c>
      <x:c r="M236" s="153" t="n">
        <x:v>7703</x:v>
      </x:c>
      <x:c r="N236" s="153" t="n">
        <x:v>7587</x:v>
      </x:c>
      <x:c r="O236" s="153" t="n">
        <x:v>7623</x:v>
      </x:c>
      <x:c r="P236" s="154" t="n">
        <x:f>IFERROR(O236/O235-1,"")</x:f>
        <x:v>0.0003937007874015297</x:v>
      </x:c>
      <x:c r="Q236" s="154" t="n">
        <x:f>IFERROR((M236-N236)/O235,"")</x:f>
        <x:v>0.015223097112860892</x:v>
      </x:c>
      <x:c r="R236" s="153" t="n">
        <x:v>7643</x:v>
      </x:c>
      <x:c r="S236" s="158" t="n">
        <x:v>361714</x:v>
      </x:c>
      <x:c r="T236" s="158" t="n">
        <x:v>2764846606</x:v>
      </x:c>
      <x:c r="U236" s="158" t="n">
        <x:v>4092372</x:v>
      </x:c>
      <x:c r="V236" s="153" t="n">
        <x:f>IFERROR(E236*1000/O236,"")</x:f>
        <x:v>81.89951462678735</x:v>
      </x:c>
      <x:c r="W236" s="153" t="n">
        <x:v>4.6</x:v>
      </x:c>
      <x:c r="X236" s="155" t="n">
        <x:v>45660</x:v>
      </x:c>
      <x:c r="Y236" s="153" t="n">
        <x:v>2.26</x:v>
      </x:c>
      <x:c r="Z236" s="155" t="n">
        <x:v>45660</x:v>
      </x:c>
      <x:c r="AA236" s="153" t="n">
        <x:f>IFERROR(Y236-Y235,"")</x:f>
        <x:v>0.029999999999999805</x:v>
      </x:c>
      <x:c r="AB236" s="153" t="n">
        <x:v>2.34</x:v>
      </x:c>
      <x:c r="AC236" s="153" t="n">
        <x:v>129.4535</x:v>
      </x:c>
      <x:c r="AD236" s="155" t="n">
        <x:v>45660</x:v>
      </x:c>
      <x:c r="AE236" s="154" t="n">
        <x:f>IFERROR(AC236/AC235-1,"")</x:f>
        <x:v>-0.000048663755080835536</x:v>
      </x:c>
      <x:c r="AF236" s="153" t="n">
        <x:v>16.13</x:v>
      </x:c>
      <x:c r="AG236" s="155" t="n">
        <x:v>45660</x:v>
      </x:c>
      <x:c r="AH236" s="153" t="n">
        <x:f>IFERROR(AF236-AF235,"")</x:f>
        <x:v>-1.8000000000000007</x:v>
      </x:c>
      <x:c r="AI236" s="153" t="n">
        <x:v>4.33</x:v>
      </x:c>
      <x:c r="AJ236" s="155" t="n">
        <x:v>45660</x:v>
      </x:c>
      <x:c r="AK236" s="159" t="n">
        <x:v>166169</x:v>
      </x:c>
      <x:c r="AL236" s="154" t="n">
        <x:v>0.36235237164837847</x:v>
      </x:c>
      <x:c r="AM236" s="159" t="n">
        <x:v>-73361</x:v>
      </x:c>
      <x:c r="AN236" s="155" t="n">
        <x:v>45660</x:v>
      </x:c>
      <x:c r="AO236" s="159" t="n">
        <x:v>17170</x:v>
      </x:c>
      <x:c r="AP236" s="154" t="n">
        <x:v>0.11369882063133638</x:v>
      </x:c>
      <x:c r="AQ236" s="159" t="n">
        <x:v>-33507</x:v>
      </x:c>
      <x:c r="AR236" s="147" t="str">
        <x:v>美国市场指标与CFTC数据均使用严格早于上金所交易日的最后已发布值</x:v>
      </x:c>
    </x:row>
    <x:row r="237">
      <x:c r="A237" s="155" t="n">
        <x:v>45664</x:v>
      </x:c>
      <x:c r="B237" s="153" t="n">
        <x:v>626</x:v>
      </x:c>
      <x:c r="C237" s="153" t="n">
        <x:v>626</x:v>
      </x:c>
      <x:c r="D237" s="153" t="n">
        <x:v>619</x:v>
      </x:c>
      <x:c r="E237" s="153" t="n">
        <x:v>625</x:v>
      </x:c>
      <x:c r="F237" s="154" t="n">
        <x:f>IFERROR(E237/E236-1,"")</x:f>
        <x:v>0.0010891850333161202</x:v>
      </x:c>
      <x:c r="G237" s="154" t="n">
        <x:f>IFERROR((C237-D237)/E236,"")</x:f>
        <x:v>0.01121219887237314</x:v>
      </x:c>
      <x:c r="H237" s="153" t="n">
        <x:v>624.45</x:v>
      </x:c>
      <x:c r="I237" s="158" t="n">
        <x:v>12672.34</x:v>
      </x:c>
      <x:c r="J237" s="158" t="n">
        <x:v>7913324157</x:v>
      </x:c>
      <x:c r="K237" s="158"/>
      <x:c r="L237" s="153" t="n">
        <x:v>7748</x:v>
      </x:c>
      <x:c r="M237" s="153" t="n">
        <x:v>7769</x:v>
      </x:c>
      <x:c r="N237" s="153" t="n">
        <x:v>7614</x:v>
      </x:c>
      <x:c r="O237" s="153" t="n">
        <x:v>7733</x:v>
      </x:c>
      <x:c r="P237" s="154" t="n">
        <x:f>IFERROR(O237/O236-1,"")</x:f>
        <x:v>0.01443001443001446</x:v>
      </x:c>
      <x:c r="Q237" s="154" t="n">
        <x:f>IFERROR((M237-N237)/O236,"")</x:f>
        <x:v>0.02033320215138397</x:v>
      </x:c>
      <x:c r="R237" s="153" t="n">
        <x:v>7705</x:v>
      </x:c>
      <x:c r="S237" s="158" t="n">
        <x:v>560214</x:v>
      </x:c>
      <x:c r="T237" s="158" t="n">
        <x:v>4316662670</x:v>
      </x:c>
      <x:c r="U237" s="158" t="n">
        <x:v>4078580</x:v>
      </x:c>
      <x:c r="V237" s="153" t="n">
        <x:f>IFERROR(E237*1000/O237,"")</x:f>
        <x:v>80.82244924350188</x:v>
      </x:c>
      <x:c r="W237" s="153" t="n">
        <x:v>4.62</x:v>
      </x:c>
      <x:c r="X237" s="155" t="n">
        <x:v>45663</x:v>
      </x:c>
      <x:c r="Y237" s="153" t="n">
        <x:v>2.28</x:v>
      </x:c>
      <x:c r="Z237" s="155" t="n">
        <x:v>45663</x:v>
      </x:c>
      <x:c r="AA237" s="153" t="n">
        <x:f>IFERROR(Y237-Y236,"")</x:f>
        <x:v>0.020000000000000018</x:v>
      </x:c>
      <x:c r="AB237" s="153" t="n">
        <x:v>2.34</x:v>
      </x:c>
      <x:c r="AC237" s="153" t="n">
        <x:v>128.538</x:v>
      </x:c>
      <x:c r="AD237" s="155" t="n">
        <x:v>45663</x:v>
      </x:c>
      <x:c r="AE237" s="154" t="n">
        <x:f>IFERROR(AC237/AC236-1,"")</x:f>
        <x:v>-0.007072037449740498</x:v>
      </x:c>
      <x:c r="AF237" s="153" t="n">
        <x:v>16.04</x:v>
      </x:c>
      <x:c r="AG237" s="155" t="n">
        <x:v>45663</x:v>
      </x:c>
      <x:c r="AH237" s="153" t="n">
        <x:f>IFERROR(AF237-AF236,"")</x:f>
        <x:v>-0.08999999999999986</x:v>
      </x:c>
      <x:c r="AI237" s="153" t="n">
        <x:v>4.33</x:v>
      </x:c>
      <x:c r="AJ237" s="155" t="n">
        <x:v>45660</x:v>
      </x:c>
      <x:c r="AK237" s="159" t="n">
        <x:v>166169</x:v>
      </x:c>
      <x:c r="AL237" s="154" t="n">
        <x:v>0.36235237164837847</x:v>
      </x:c>
      <x:c r="AM237" s="159" t="n">
        <x:v>-73361</x:v>
      </x:c>
      <x:c r="AN237" s="155" t="n">
        <x:v>45660</x:v>
      </x:c>
      <x:c r="AO237" s="159" t="n">
        <x:v>17170</x:v>
      </x:c>
      <x:c r="AP237" s="154" t="n">
        <x:v>0.11369882063133638</x:v>
      </x:c>
      <x:c r="AQ237" s="159" t="n">
        <x:v>-33507</x:v>
      </x:c>
      <x:c r="AR237" s="147" t="str">
        <x:v>美国市场指标与CFTC数据均使用严格早于上金所交易日的最后已发布值</x:v>
      </x:c>
    </x:row>
    <x:row r="238">
      <x:c r="A238" s="155" t="n">
        <x:v>45665</x:v>
      </x:c>
      <x:c r="B238" s="153" t="n">
        <x:v>626</x:v>
      </x:c>
      <x:c r="C238" s="153" t="n">
        <x:v>630</x:v>
      </x:c>
      <x:c r="D238" s="153" t="n">
        <x:v>625</x:v>
      </x:c>
      <x:c r="E238" s="153" t="n">
        <x:v>628.35</x:v>
      </x:c>
      <x:c r="F238" s="154" t="n">
        <x:f>IFERROR(E238/E237-1,"")</x:f>
        <x:v>0.005360000000000031</x:v>
      </x:c>
      <x:c r="G238" s="154" t="n">
        <x:f>IFERROR((C238-D238)/E237,"")</x:f>
        <x:v>0.008</x:v>
      </x:c>
      <x:c r="H238" s="153" t="n">
        <x:v>626.42</x:v>
      </x:c>
      <x:c r="I238" s="158" t="n">
        <x:v>11148.34</x:v>
      </x:c>
      <x:c r="J238" s="158" t="n">
        <x:v>6983577124</x:v>
      </x:c>
      <x:c r="K238" s="158"/>
      <x:c r="L238" s="153" t="n">
        <x:v>7756</x:v>
      </x:c>
      <x:c r="M238" s="153" t="n">
        <x:v>7769</x:v>
      </x:c>
      <x:c r="N238" s="153" t="n">
        <x:v>7700</x:v>
      </x:c>
      <x:c r="O238" s="153" t="n">
        <x:v>7728</x:v>
      </x:c>
      <x:c r="P238" s="154" t="n">
        <x:f>IFERROR(O238/O237-1,"")</x:f>
        <x:v>-0.0006465795939479824</x:v>
      </x:c>
      <x:c r="Q238" s="154" t="n">
        <x:f>IFERROR((M238-N238)/O237,"")</x:f>
        <x:v>0.008922798396482606</x:v>
      </x:c>
      <x:c r="R238" s="153" t="n">
        <x:v>7727</x:v>
      </x:c>
      <x:c r="S238" s="158" t="n">
        <x:v>337178</x:v>
      </x:c>
      <x:c r="T238" s="158" t="n">
        <x:v>2605565704</x:v>
      </x:c>
      <x:c r="U238" s="158" t="n">
        <x:v>4056014</x:v>
      </x:c>
      <x:c r="V238" s="153" t="n">
        <x:f>IFERROR(E238*1000/O238,"")</x:f>
        <x:v>81.3082298136646</x:v>
      </x:c>
      <x:c r="W238" s="153" t="n">
        <x:v>4.67</x:v>
      </x:c>
      <x:c r="X238" s="155" t="n">
        <x:v>45664</x:v>
      </x:c>
      <x:c r="Y238" s="153" t="n">
        <x:v>2.29</x:v>
      </x:c>
      <x:c r="Z238" s="155" t="n">
        <x:v>45664</x:v>
      </x:c>
      <x:c r="AA238" s="153" t="n">
        <x:f>IFERROR(Y238-Y237,"")</x:f>
        <x:v>0.010000000000000231</x:v>
      </x:c>
      <x:c r="AB238" s="153" t="n">
        <x:v>2.38</x:v>
      </x:c>
      <x:c r="AC238" s="153" t="n">
        <x:v>128.613</x:v>
      </x:c>
      <x:c r="AD238" s="155" t="n">
        <x:v>45664</x:v>
      </x:c>
      <x:c r="AE238" s="154" t="n">
        <x:f>IFERROR(AC238/AC237-1,"")</x:f>
        <x:v>0.0005834850394434987</x:v>
      </x:c>
      <x:c r="AF238" s="153" t="n">
        <x:v>17.82</x:v>
      </x:c>
      <x:c r="AG238" s="155" t="n">
        <x:v>45664</x:v>
      </x:c>
      <x:c r="AH238" s="153" t="n">
        <x:f>IFERROR(AF238-AF237,"")</x:f>
        <x:v>1.7800000000000011</x:v>
      </x:c>
      <x:c r="AI238" s="153" t="n">
        <x:v>4.33</x:v>
      </x:c>
      <x:c r="AJ238" s="155" t="n">
        <x:v>45660</x:v>
      </x:c>
      <x:c r="AK238" s="159" t="n">
        <x:v>166169</x:v>
      </x:c>
      <x:c r="AL238" s="154" t="n">
        <x:v>0.36235237164837847</x:v>
      </x:c>
      <x:c r="AM238" s="159" t="n">
        <x:v>-73361</x:v>
      </x:c>
      <x:c r="AN238" s="155" t="n">
        <x:v>45660</x:v>
      </x:c>
      <x:c r="AO238" s="159" t="n">
        <x:v>17170</x:v>
      </x:c>
      <x:c r="AP238" s="154" t="n">
        <x:v>0.11369882063133638</x:v>
      </x:c>
      <x:c r="AQ238" s="159" t="n">
        <x:v>-33507</x:v>
      </x:c>
      <x:c r="AR238" s="147" t="str">
        <x:v>美国市场指标与CFTC数据均使用严格早于上金所交易日的最后已发布值</x:v>
      </x:c>
    </x:row>
    <x:row r="239">
      <x:c r="A239" s="155" t="n">
        <x:v>45666</x:v>
      </x:c>
      <x:c r="B239" s="153" t="n">
        <x:v>626.5</x:v>
      </x:c>
      <x:c r="C239" s="153" t="n">
        <x:v>631</x:v>
      </x:c>
      <x:c r="D239" s="153" t="n">
        <x:v>626.5</x:v>
      </x:c>
      <x:c r="E239" s="153" t="n">
        <x:v>630.37</x:v>
      </x:c>
      <x:c r="F239" s="154" t="n">
        <x:f>IFERROR(E239/E238-1,"")</x:f>
        <x:v>0.003214768839022719</x:v>
      </x:c>
      <x:c r="G239" s="154" t="n">
        <x:f>IFERROR((C239-D239)/E238,"")</x:f>
        <x:v>0.0071616137502984005</x:v>
      </x:c>
      <x:c r="H239" s="153" t="n">
        <x:v>628.64</x:v>
      </x:c>
      <x:c r="I239" s="158" t="n">
        <x:v>11930.18</x:v>
      </x:c>
      <x:c r="J239" s="158" t="n">
        <x:v>7499891258.2</x:v>
      </x:c>
      <x:c r="K239" s="158"/>
      <x:c r="L239" s="153" t="n">
        <x:v>7742</x:v>
      </x:c>
      <x:c r="M239" s="153" t="n">
        <x:v>7765</x:v>
      </x:c>
      <x:c r="N239" s="153" t="n">
        <x:v>7688</x:v>
      </x:c>
      <x:c r="O239" s="153" t="n">
        <x:v>7746</x:v>
      </x:c>
      <x:c r="P239" s="154" t="n">
        <x:f>IFERROR(O239/O238-1,"")</x:f>
        <x:v>0.0023291925465838137</x:v>
      </x:c>
      <x:c r="Q239" s="154" t="n">
        <x:f>IFERROR((M239-N239)/O238,"")</x:f>
        <x:v>0.009963768115942028</x:v>
      </x:c>
      <x:c r="R239" s="153" t="n">
        <x:v>7730</x:v>
      </x:c>
      <x:c r="S239" s="158" t="n">
        <x:v>419080</x:v>
      </x:c>
      <x:c r="T239" s="158" t="n">
        <x:v>3239875924</x:v>
      </x:c>
      <x:c r="U239" s="158" t="n">
        <x:v>3796720</x:v>
      </x:c>
      <x:c r="V239" s="153" t="n">
        <x:f>IFERROR(E239*1000/O239,"")</x:f>
        <x:v>81.38006713142266</x:v>
      </x:c>
      <x:c r="W239" s="153" t="n">
        <x:v>4.67</x:v>
      </x:c>
      <x:c r="X239" s="155" t="n">
        <x:v>45665</x:v>
      </x:c>
      <x:c r="Y239" s="153" t="n">
        <x:v>2.27</x:v>
      </x:c>
      <x:c r="Z239" s="155" t="n">
        <x:v>45665</x:v>
      </x:c>
      <x:c r="AA239" s="153" t="n">
        <x:f>IFERROR(Y239-Y238,"")</x:f>
        <x:v>-0.020000000000000018</x:v>
      </x:c>
      <x:c r="AB239" s="153" t="n">
        <x:v>2.4</x:v>
      </x:c>
      <x:c r="AC239" s="153" t="n">
        <x:v>129.0785</x:v>
      </x:c>
      <x:c r="AD239" s="155" t="n">
        <x:v>45665</x:v>
      </x:c>
      <x:c r="AE239" s="154" t="n">
        <x:f>IFERROR(AC239/AC238-1,"")</x:f>
        <x:v>0.0036193852876458266</x:v>
      </x:c>
      <x:c r="AF239" s="153" t="n">
        <x:v>17.7</x:v>
      </x:c>
      <x:c r="AG239" s="155" t="n">
        <x:v>45665</x:v>
      </x:c>
      <x:c r="AH239" s="153" t="n">
        <x:f>IFERROR(AF239-AF238,"")</x:f>
        <x:v>-0.120000000000001</x:v>
      </x:c>
      <x:c r="AI239" s="153" t="n">
        <x:v>4.33</x:v>
      </x:c>
      <x:c r="AJ239" s="155" t="n">
        <x:v>45660</x:v>
      </x:c>
      <x:c r="AK239" s="159" t="n">
        <x:v>166169</x:v>
      </x:c>
      <x:c r="AL239" s="154" t="n">
        <x:v>0.36235237164837847</x:v>
      </x:c>
      <x:c r="AM239" s="159" t="n">
        <x:v>-73361</x:v>
      </x:c>
      <x:c r="AN239" s="155" t="n">
        <x:v>45660</x:v>
      </x:c>
      <x:c r="AO239" s="159" t="n">
        <x:v>17170</x:v>
      </x:c>
      <x:c r="AP239" s="154" t="n">
        <x:v>0.11369882063133638</x:v>
      </x:c>
      <x:c r="AQ239" s="159" t="n">
        <x:v>-33507</x:v>
      </x:c>
      <x:c r="AR239" s="147" t="str">
        <x:v>美国市场指标与CFTC数据均使用严格早于上金所交易日的最后已发布值</x:v>
      </x:c>
    </x:row>
    <x:row r="240">
      <x:c r="A240" s="155" t="n">
        <x:v>45667</x:v>
      </x:c>
      <x:c r="B240" s="153" t="n">
        <x:v>632.7</x:v>
      </x:c>
      <x:c r="C240" s="153" t="n">
        <x:v>635</x:v>
      </x:c>
      <x:c r="D240" s="153" t="n">
        <x:v>631</x:v>
      </x:c>
      <x:c r="E240" s="153" t="n">
        <x:v>633.82</x:v>
      </x:c>
      <x:c r="F240" s="154" t="n">
        <x:f>IFERROR(E240/E239-1,"")</x:f>
        <x:v>0.005472976188587664</x:v>
      </x:c>
      <x:c r="G240" s="154" t="n">
        <x:f>IFERROR((C240-D240)/E239,"")</x:f>
        <x:v>0.006345479638942208</x:v>
      </x:c>
      <x:c r="H240" s="153" t="n">
        <x:v>633.18</x:v>
      </x:c>
      <x:c r="I240" s="158" t="n">
        <x:v>14013.76</x:v>
      </x:c>
      <x:c r="J240" s="158" t="n">
        <x:v>8873300389.2</x:v>
      </x:c>
      <x:c r="K240" s="158"/>
      <x:c r="L240" s="153" t="n">
        <x:v>7782</x:v>
      </x:c>
      <x:c r="M240" s="153" t="n">
        <x:v>7801</x:v>
      </x:c>
      <x:c r="N240" s="153" t="n">
        <x:v>7739</x:v>
      </x:c>
      <x:c r="O240" s="153" t="n">
        <x:v>7784</x:v>
      </x:c>
      <x:c r="P240" s="154" t="n">
        <x:f>IFERROR(O240/O239-1,"")</x:f>
        <x:v>0.004905757810482747</x:v>
      </x:c>
      <x:c r="Q240" s="154" t="n">
        <x:f>IFERROR((M240-N240)/O239,"")</x:f>
        <x:v>0.008004131164471986</x:v>
      </x:c>
      <x:c r="R240" s="153" t="n">
        <x:v>7783</x:v>
      </x:c>
      <x:c r="S240" s="158" t="n">
        <x:v>301018</x:v>
      </x:c>
      <x:c r="T240" s="158" t="n">
        <x:v>2343057938</x:v>
      </x:c>
      <x:c r="U240" s="158" t="n">
        <x:v>3703290</x:v>
      </x:c>
      <x:c r="V240" s="153" t="n">
        <x:f>IFERROR(E240*1000/O240,"")</x:f>
        <x:v>81.42600205549846</x:v>
      </x:c>
      <x:c r="W240" s="153" t="n">
        <x:v>4.68</x:v>
      </x:c>
      <x:c r="X240" s="155" t="n">
        <x:v>45666</x:v>
      </x:c>
      <x:c r="Y240" s="153" t="n">
        <x:v>2.29</x:v>
      </x:c>
      <x:c r="Z240" s="155" t="n">
        <x:v>45666</x:v>
      </x:c>
      <x:c r="AA240" s="153" t="n">
        <x:f>IFERROR(Y240-Y239,"")</x:f>
        <x:v>0.020000000000000018</x:v>
      </x:c>
      <x:c r="AB240" s="153" t="n">
        <x:v>2.39</x:v>
      </x:c>
      <x:c r="AC240" s="153" t="n">
        <x:v>129.2827</x:v>
      </x:c>
      <x:c r="AD240" s="155" t="n">
        <x:v>45666</x:v>
      </x:c>
      <x:c r="AE240" s="154" t="n">
        <x:f>IFERROR(AC240/AC239-1,"")</x:f>
        <x:v>0.0015819830568222226</x:v>
      </x:c>
      <x:c r="AF240" s="153" t="n">
        <x:v>18.07</x:v>
      </x:c>
      <x:c r="AG240" s="155" t="n">
        <x:v>45666</x:v>
      </x:c>
      <x:c r="AH240" s="153" t="n">
        <x:f>IFERROR(AF240-AF239,"")</x:f>
        <x:v>0.370000000000001</x:v>
      </x:c>
      <x:c r="AI240" s="153" t="n">
        <x:v>4.33</x:v>
      </x:c>
      <x:c r="AJ240" s="155" t="n">
        <x:v>45660</x:v>
      </x:c>
      <x:c r="AK240" s="159" t="n">
        <x:v>166169</x:v>
      </x:c>
      <x:c r="AL240" s="154" t="n">
        <x:v>0.36235237164837847</x:v>
      </x:c>
      <x:c r="AM240" s="159" t="n">
        <x:v>-73361</x:v>
      </x:c>
      <x:c r="AN240" s="155" t="n">
        <x:v>45660</x:v>
      </x:c>
      <x:c r="AO240" s="159" t="n">
        <x:v>17170</x:v>
      </x:c>
      <x:c r="AP240" s="154" t="n">
        <x:v>0.11369882063133638</x:v>
      </x:c>
      <x:c r="AQ240" s="159" t="n">
        <x:v>-33507</x:v>
      </x:c>
      <x:c r="AR240" s="147" t="str">
        <x:v>美国市场指标与CFTC数据均使用严格早于上金所交易日的最后已发布值</x:v>
      </x:c>
    </x:row>
    <x:row r="241">
      <x:c r="A241" s="155" t="n">
        <x:v>45670</x:v>
      </x:c>
      <x:c r="B241" s="153" t="n">
        <x:v>633.5</x:v>
      </x:c>
      <x:c r="C241" s="153" t="n">
        <x:v>638.98</x:v>
      </x:c>
      <x:c r="D241" s="153" t="n">
        <x:v>632.5</x:v>
      </x:c>
      <x:c r="E241" s="153" t="n">
        <x:v>636.9</x:v>
      </x:c>
      <x:c r="F241" s="154" t="n">
        <x:f>IFERROR(E241/E240-1,"")</x:f>
        <x:v>0.004859423811176544</x:v>
      </x:c>
      <x:c r="G241" s="154" t="n">
        <x:f>IFERROR((C241-D241)/E240,"")</x:f>
        <x:v>0.010223722823514591</x:v>
      </x:c>
      <x:c r="H241" s="153" t="n">
        <x:v>636.32</x:v>
      </x:c>
      <x:c r="I241" s="158" t="n">
        <x:v>15313.56</x:v>
      </x:c>
      <x:c r="J241" s="158" t="n">
        <x:v>9744385303</x:v>
      </x:c>
      <x:c r="K241" s="158"/>
      <x:c r="L241" s="153" t="n">
        <x:v>7798</x:v>
      </x:c>
      <x:c r="M241" s="153" t="n">
        <x:v>7841</x:v>
      </x:c>
      <x:c r="N241" s="153" t="n">
        <x:v>7678</x:v>
      </x:c>
      <x:c r="O241" s="153" t="n">
        <x:v>7767</x:v>
      </x:c>
      <x:c r="P241" s="154" t="n">
        <x:f>IFERROR(O241/O240-1,"")</x:f>
        <x:v>-0.0021839671120246207</x:v>
      </x:c>
      <x:c r="Q241" s="154" t="n">
        <x:f>IFERROR((M241-N241)/O240,"")</x:f>
        <x:v>0.02094039054470709</x:v>
      </x:c>
      <x:c r="R241" s="153" t="n">
        <x:v>7762</x:v>
      </x:c>
      <x:c r="S241" s="158" t="n">
        <x:v>686856</x:v>
      </x:c>
      <x:c r="T241" s="158" t="n">
        <x:v>5331571322</x:v>
      </x:c>
      <x:c r="U241" s="158" t="n">
        <x:v>3780218</x:v>
      </x:c>
      <x:c r="V241" s="153" t="n">
        <x:f>IFERROR(E241*1000/O241,"")</x:f>
        <x:v>82.00077249903438</x:v>
      </x:c>
      <x:c r="W241" s="153" t="n">
        <x:v>4.77</x:v>
      </x:c>
      <x:c r="X241" s="155" t="n">
        <x:v>45667</x:v>
      </x:c>
      <x:c r="Y241" s="153" t="n">
        <x:v>2.34</x:v>
      </x:c>
      <x:c r="Z241" s="155" t="n">
        <x:v>45667</x:v>
      </x:c>
      <x:c r="AA241" s="153" t="n">
        <x:f>IFERROR(Y241-Y240,"")</x:f>
        <x:v>0.04999999999999982</x:v>
      </x:c>
      <x:c r="AB241" s="153" t="n">
        <x:v>2.43</x:v>
      </x:c>
      <x:c r="AC241" s="153" t="n">
        <x:v>129.8664</x:v>
      </x:c>
      <x:c r="AD241" s="155" t="n">
        <x:v>45667</x:v>
      </x:c>
      <x:c r="AE241" s="154" t="n">
        <x:f>IFERROR(AC241/AC240-1,"")</x:f>
        <x:v>0.004514911894630824</x:v>
      </x:c>
      <x:c r="AF241" s="153" t="n">
        <x:v>19.54</x:v>
      </x:c>
      <x:c r="AG241" s="155" t="n">
        <x:v>45667</x:v>
      </x:c>
      <x:c r="AH241" s="153" t="n">
        <x:f>IFERROR(AF241-AF240,"")</x:f>
        <x:v>1.4699999999999989</x:v>
      </x:c>
      <x:c r="AI241" s="153" t="n">
        <x:v>4.33</x:v>
      </x:c>
      <x:c r="AJ241" s="155" t="n">
        <x:v>45667</x:v>
      </x:c>
      <x:c r="AK241" s="159" t="n">
        <x:v>177641</x:v>
      </x:c>
      <x:c r="AL241" s="154" t="n">
        <x:v>0.3723794291080678</x:v>
      </x:c>
      <x:c r="AM241" s="159" t="n">
        <x:v>-70967</x:v>
      </x:c>
      <x:c r="AN241" s="155" t="n">
        <x:v>45667</x:v>
      </x:c>
      <x:c r="AO241" s="159" t="n">
        <x:v>25439</x:v>
      </x:c>
      <x:c r="AP241" s="154" t="n">
        <x:v>0.16781449963717923</x:v>
      </x:c>
      <x:c r="AQ241" s="159" t="n">
        <x:v>-33744</x:v>
      </x:c>
      <x:c r="AR241" s="147" t="str">
        <x:v>美国市场指标与CFTC数据均使用严格早于上金所交易日的最后已发布值</x:v>
      </x:c>
    </x:row>
    <x:row r="242">
      <x:c r="A242" s="155" t="n">
        <x:v>45671</x:v>
      </x:c>
      <x:c r="B242" s="153" t="n">
        <x:v>634.5</x:v>
      </x:c>
      <x:c r="C242" s="153" t="n">
        <x:v>634.5</x:v>
      </x:c>
      <x:c r="D242" s="153" t="n">
        <x:v>630.5</x:v>
      </x:c>
      <x:c r="E242" s="153" t="n">
        <x:v>632.44</x:v>
      </x:c>
      <x:c r="F242" s="154" t="n">
        <x:f>IFERROR(E242/E241-1,"")</x:f>
        <x:v>-0.007002669178834853</x:v>
      </x:c>
      <x:c r="G242" s="154" t="n">
        <x:f>IFERROR((C242-D242)/E241,"")</x:f>
        <x:v>0.006280420788192809</x:v>
      </x:c>
      <x:c r="H242" s="153" t="n">
        <x:v>631.99</x:v>
      </x:c>
      <x:c r="I242" s="158" t="n">
        <x:v>15678.74</x:v>
      </x:c>
      <x:c r="J242" s="158" t="n">
        <x:v>9908846312.2</x:v>
      </x:c>
      <x:c r="K242" s="158"/>
      <x:c r="L242" s="153" t="n">
        <x:v>7682</x:v>
      </x:c>
      <x:c r="M242" s="153" t="n">
        <x:v>7682</x:v>
      </x:c>
      <x:c r="N242" s="153" t="n">
        <x:v>7568</x:v>
      </x:c>
      <x:c r="O242" s="153" t="n">
        <x:v>7602</x:v>
      </x:c>
      <x:c r="P242" s="154" t="n">
        <x:f>IFERROR(O242/O241-1,"")</x:f>
        <x:v>-0.02124372344534564</x:v>
      </x:c>
      <x:c r="Q242" s="154" t="n">
        <x:f>IFERROR((M242-N242)/O241,"")</x:f>
        <x:v>0.014677481653147934</x:v>
      </x:c>
      <x:c r="R242" s="153" t="n">
        <x:v>7611</x:v>
      </x:c>
      <x:c r="S242" s="158" t="n">
        <x:v>739834</x:v>
      </x:c>
      <x:c r="T242" s="158" t="n">
        <x:v>5631327080</x:v>
      </x:c>
      <x:c r="U242" s="158" t="n">
        <x:v>3859240</x:v>
      </x:c>
      <x:c r="V242" s="153" t="n">
        <x:f>IFERROR(E242*1000/O242,"")</x:f>
        <x:v>83.1938963430676</x:v>
      </x:c>
      <x:c r="W242" s="153" t="n">
        <x:v>4.79</x:v>
      </x:c>
      <x:c r="X242" s="155" t="n">
        <x:v>45670</x:v>
      </x:c>
      <x:c r="Y242" s="153" t="n">
        <x:v>2.34</x:v>
      </x:c>
      <x:c r="Z242" s="155" t="n">
        <x:v>45670</x:v>
      </x:c>
      <x:c r="AA242" s="153" t="n">
        <x:f>IFERROR(Y242-Y241,"")</x:f>
        <x:v>0</x:v>
      </x:c>
      <x:c r="AB242" s="153" t="n">
        <x:v>2.45</x:v>
      </x:c>
      <x:c r="AC242" s="153" t="n">
        <x:v>130.0413</x:v>
      </x:c>
      <x:c r="AD242" s="155" t="n">
        <x:v>45670</x:v>
      </x:c>
      <x:c r="AE242" s="154" t="n">
        <x:f>IFERROR(AC242/AC241-1,"")</x:f>
        <x:v>0.001346768679196586</x:v>
      </x:c>
      <x:c r="AF242" s="153" t="n">
        <x:v>19.19</x:v>
      </x:c>
      <x:c r="AG242" s="155" t="n">
        <x:v>45670</x:v>
      </x:c>
      <x:c r="AH242" s="153" t="n">
        <x:f>IFERROR(AF242-AF241,"")</x:f>
        <x:v>-0.34999999999999787</x:v>
      </x:c>
      <x:c r="AI242" s="153" t="n">
        <x:v>4.33</x:v>
      </x:c>
      <x:c r="AJ242" s="155" t="n">
        <x:v>45667</x:v>
      </x:c>
      <x:c r="AK242" s="159" t="n">
        <x:v>177641</x:v>
      </x:c>
      <x:c r="AL242" s="154" t="n">
        <x:v>0.3723794291080678</x:v>
      </x:c>
      <x:c r="AM242" s="159" t="n">
        <x:v>-70967</x:v>
      </x:c>
      <x:c r="AN242" s="155" t="n">
        <x:v>45667</x:v>
      </x:c>
      <x:c r="AO242" s="159" t="n">
        <x:v>25439</x:v>
      </x:c>
      <x:c r="AP242" s="154" t="n">
        <x:v>0.16781449963717923</x:v>
      </x:c>
      <x:c r="AQ242" s="159" t="n">
        <x:v>-33744</x:v>
      </x:c>
      <x:c r="AR242" s="147" t="str">
        <x:v>美国市场指标与CFTC数据均使用严格早于上金所交易日的最后已发布值</x:v>
      </x:c>
    </x:row>
    <x:row r="243">
      <x:c r="A243" s="155" t="n">
        <x:v>45672</x:v>
      </x:c>
      <x:c r="B243" s="153" t="n">
        <x:v>633</x:v>
      </x:c>
      <x:c r="C243" s="153" t="n">
        <x:v>635.9</x:v>
      </x:c>
      <x:c r="D243" s="153" t="n">
        <x:v>630</x:v>
      </x:c>
      <x:c r="E243" s="153" t="n">
        <x:v>634.5</x:v>
      </x:c>
      <x:c r="F243" s="154" t="n">
        <x:f>IFERROR(E243/E242-1,"")</x:f>
        <x:v>0.0032572259819112492</x:v>
      </x:c>
      <x:c r="G243" s="154" t="n">
        <x:f>IFERROR((C243-D243)/E242,"")</x:f>
        <x:v>0.009328948200619785</x:v>
      </x:c>
      <x:c r="H243" s="153" t="n">
        <x:v>633.68</x:v>
      </x:c>
      <x:c r="I243" s="158" t="n">
        <x:v>12568</x:v>
      </x:c>
      <x:c r="J243" s="158" t="n">
        <x:v>7964132803.6</x:v>
      </x:c>
      <x:c r="K243" s="158"/>
      <x:c r="L243" s="153" t="n">
        <x:v>7621</x:v>
      </x:c>
      <x:c r="M243" s="153" t="n">
        <x:v>7665</x:v>
      </x:c>
      <x:c r="N243" s="153" t="n">
        <x:v>7583</x:v>
      </x:c>
      <x:c r="O243" s="153" t="n">
        <x:v>7652</x:v>
      </x:c>
      <x:c r="P243" s="154" t="n">
        <x:f>IFERROR(O243/O242-1,"")</x:f>
        <x:v>0.006577216521967966</x:v>
      </x:c>
      <x:c r="Q243" s="154" t="n">
        <x:f>IFERROR((M243-N243)/O242,"")</x:f>
        <x:v>0.01078663509602736</x:v>
      </x:c>
      <x:c r="R243" s="153" t="n">
        <x:v>7624</x:v>
      </x:c>
      <x:c r="S243" s="158" t="n">
        <x:v>409720</x:v>
      </x:c>
      <x:c r="T243" s="158" t="n">
        <x:v>3123748204</x:v>
      </x:c>
      <x:c r="U243" s="158" t="n">
        <x:v>3866828</x:v>
      </x:c>
      <x:c r="V243" s="153" t="n">
        <x:f>IFERROR(E243*1000/O243,"")</x:f>
        <x:v>82.91949817041296</x:v>
      </x:c>
      <x:c r="W243" s="153" t="n">
        <x:v>4.78</x:v>
      </x:c>
      <x:c r="X243" s="155" t="n">
        <x:v>45671</x:v>
      </x:c>
      <x:c r="Y243" s="153" t="n">
        <x:v>2.34</x:v>
      </x:c>
      <x:c r="Z243" s="155" t="n">
        <x:v>45671</x:v>
      </x:c>
      <x:c r="AA243" s="153" t="n">
        <x:f>IFERROR(Y243-Y242,"")</x:f>
        <x:v>0</x:v>
      </x:c>
      <x:c r="AB243" s="153" t="n">
        <x:v>2.44</x:v>
      </x:c>
      <x:c r="AC243" s="153" t="n">
        <x:v>129.3812</x:v>
      </x:c>
      <x:c r="AD243" s="155" t="n">
        <x:v>45671</x:v>
      </x:c>
      <x:c r="AE243" s="154" t="n">
        <x:f>IFERROR(AC243/AC242-1,"")</x:f>
        <x:v>-0.00507607967622592</x:v>
      </x:c>
      <x:c r="AF243" s="153" t="n">
        <x:v>18.71</x:v>
      </x:c>
      <x:c r="AG243" s="155" t="n">
        <x:v>45671</x:v>
      </x:c>
      <x:c r="AH243" s="153" t="n">
        <x:f>IFERROR(AF243-AF242,"")</x:f>
        <x:v>-0.4800000000000004</x:v>
      </x:c>
      <x:c r="AI243" s="153" t="n">
        <x:v>4.33</x:v>
      </x:c>
      <x:c r="AJ243" s="155" t="n">
        <x:v>45667</x:v>
      </x:c>
      <x:c r="AK243" s="159" t="n">
        <x:v>177641</x:v>
      </x:c>
      <x:c r="AL243" s="154" t="n">
        <x:v>0.3723794291080678</x:v>
      </x:c>
      <x:c r="AM243" s="159" t="n">
        <x:v>-70967</x:v>
      </x:c>
      <x:c r="AN243" s="155" t="n">
        <x:v>45667</x:v>
      </x:c>
      <x:c r="AO243" s="159" t="n">
        <x:v>25439</x:v>
      </x:c>
      <x:c r="AP243" s="154" t="n">
        <x:v>0.16781449963717923</x:v>
      </x:c>
      <x:c r="AQ243" s="159" t="n">
        <x:v>-33744</x:v>
      </x:c>
      <x:c r="AR243" s="147" t="str">
        <x:v>美国市场指标与CFTC数据均使用严格早于上金所交易日的最后已发布值</x:v>
      </x:c>
    </x:row>
    <x:row r="244">
      <x:c r="A244" s="155" t="n">
        <x:v>45673</x:v>
      </x:c>
      <x:c r="B244" s="153" t="n">
        <x:v>634.7</x:v>
      </x:c>
      <x:c r="C244" s="153" t="n">
        <x:v>638.6</x:v>
      </x:c>
      <x:c r="D244" s="153" t="n">
        <x:v>634.5</x:v>
      </x:c>
      <x:c r="E244" s="153" t="n">
        <x:v>637.04</x:v>
      </x:c>
      <x:c r="F244" s="154" t="n">
        <x:f>IFERROR(E244/E243-1,"")</x:f>
        <x:v>0.00400315208825841</x:v>
      </x:c>
      <x:c r="G244" s="154" t="n">
        <x:f>IFERROR((C244-D244)/E243,"")</x:f>
        <x:v>0.0064617809298660725</x:v>
      </x:c>
      <x:c r="H244" s="153" t="n">
        <x:v>637.42</x:v>
      </x:c>
      <x:c r="I244" s="158" t="n">
        <x:v>10434.94</x:v>
      </x:c>
      <x:c r="J244" s="158" t="n">
        <x:v>6651457142</x:v>
      </x:c>
      <x:c r="K244" s="158"/>
      <x:c r="L244" s="153" t="n">
        <x:v>7682</x:v>
      </x:c>
      <x:c r="M244" s="153" t="n">
        <x:v>7853</x:v>
      </x:c>
      <x:c r="N244" s="153" t="n">
        <x:v>7659</x:v>
      </x:c>
      <x:c r="O244" s="153" t="n">
        <x:v>7839</x:v>
      </x:c>
      <x:c r="P244" s="154" t="n">
        <x:f>IFERROR(O244/O243-1,"")</x:f>
        <x:v>0.024438055410350268</x:v>
      </x:c>
      <x:c r="Q244" s="154" t="n">
        <x:f>IFERROR((M244-N244)/O243,"")</x:f>
        <x:v>0.025352848928384734</x:v>
      </x:c>
      <x:c r="R244" s="153" t="n">
        <x:v>7800</x:v>
      </x:c>
      <x:c r="S244" s="158" t="n">
        <x:v>616674</x:v>
      </x:c>
      <x:c r="T244" s="158" t="n">
        <x:v>4810275002</x:v>
      </x:c>
      <x:c r="U244" s="158" t="n">
        <x:v>3839148</x:v>
      </x:c>
      <x:c r="V244" s="153" t="n">
        <x:f>IFERROR(E244*1000/O244,"")</x:f>
        <x:v>81.26546753412426</x:v>
      </x:c>
      <x:c r="W244" s="153" t="n">
        <x:v>4.66</x:v>
      </x:c>
      <x:c r="X244" s="155" t="n">
        <x:v>45672</x:v>
      </x:c>
      <x:c r="Y244" s="153" t="n">
        <x:v>2.24</x:v>
      </x:c>
      <x:c r="Z244" s="155" t="n">
        <x:v>45672</x:v>
      </x:c>
      <x:c r="AA244" s="153" t="n">
        <x:f>IFERROR(Y244-Y243,"")</x:f>
        <x:v>-0.09999999999999964</x:v>
      </x:c>
      <x:c r="AB244" s="153" t="n">
        <x:v>2.42</x:v>
      </x:c>
      <x:c r="AC244" s="153" t="n">
        <x:v>129.2092</x:v>
      </x:c>
      <x:c r="AD244" s="155" t="n">
        <x:v>45672</x:v>
      </x:c>
      <x:c r="AE244" s="154" t="n">
        <x:f>IFERROR(AC244/AC243-1,"")</x:f>
        <x:v>-0.001329404890354935</x:v>
      </x:c>
      <x:c r="AF244" s="153" t="n">
        <x:v>16.12</x:v>
      </x:c>
      <x:c r="AG244" s="155" t="n">
        <x:v>45672</x:v>
      </x:c>
      <x:c r="AH244" s="153" t="n">
        <x:f>IFERROR(AF244-AF243,"")</x:f>
        <x:v>-2.59</x:v>
      </x:c>
      <x:c r="AI244" s="153" t="n">
        <x:v>4.33</x:v>
      </x:c>
      <x:c r="AJ244" s="155" t="n">
        <x:v>45667</x:v>
      </x:c>
      <x:c r="AK244" s="159" t="n">
        <x:v>177641</x:v>
      </x:c>
      <x:c r="AL244" s="154" t="n">
        <x:v>0.3723794291080678</x:v>
      </x:c>
      <x:c r="AM244" s="159" t="n">
        <x:v>-70967</x:v>
      </x:c>
      <x:c r="AN244" s="155" t="n">
        <x:v>45667</x:v>
      </x:c>
      <x:c r="AO244" s="159" t="n">
        <x:v>25439</x:v>
      </x:c>
      <x:c r="AP244" s="154" t="n">
        <x:v>0.16781449963717923</x:v>
      </x:c>
      <x:c r="AQ244" s="159" t="n">
        <x:v>-33744</x:v>
      </x:c>
      <x:c r="AR244" s="147" t="str">
        <x:v>美国市场指标与CFTC数据均使用严格早于上金所交易日的最后已发布值</x:v>
      </x:c>
    </x:row>
    <x:row r="245">
      <x:c r="A245" s="155" t="n">
        <x:v>45674</x:v>
      </x:c>
      <x:c r="B245" s="153" t="n">
        <x:v>638</x:v>
      </x:c>
      <x:c r="C245" s="153" t="n">
        <x:v>641.2</x:v>
      </x:c>
      <x:c r="D245" s="153" t="n">
        <x:v>637.5</x:v>
      </x:c>
      <x:c r="E245" s="153" t="n">
        <x:v>637.63</x:v>
      </x:c>
      <x:c r="F245" s="154" t="n">
        <x:f>IFERROR(E245/E244-1,"")</x:f>
        <x:v>0.0009261584829838299</x:v>
      </x:c>
      <x:c r="G245" s="154" t="n">
        <x:f>IFERROR((C245-D245)/E244,"")</x:f>
        <x:v>0.0058081125204069535</x:v>
      </x:c>
      <x:c r="H245" s="153" t="n">
        <x:v>639.85</x:v>
      </x:c>
      <x:c r="I245" s="158" t="n">
        <x:v>10660.92</x:v>
      </x:c>
      <x:c r="J245" s="158" t="n">
        <x:v>6821449173.4</x:v>
      </x:c>
      <x:c r="K245" s="158"/>
      <x:c r="L245" s="153" t="n">
        <x:v>7849</x:v>
      </x:c>
      <x:c r="M245" s="153" t="n">
        <x:v>7888</x:v>
      </x:c>
      <x:c r="N245" s="153" t="n">
        <x:v>7778</x:v>
      </x:c>
      <x:c r="O245" s="153" t="n">
        <x:v>7812</x:v>
      </x:c>
      <x:c r="P245" s="154" t="n">
        <x:f>IFERROR(O245/O244-1,"")</x:f>
        <x:v>-0.003444316877152742</x:v>
      </x:c>
      <x:c r="Q245" s="154" t="n">
        <x:f>IFERROR((M245-N245)/O244,"")</x:f>
        <x:v>0.014032402092103585</x:v>
      </x:c>
      <x:c r="R245" s="153" t="n">
        <x:v>7833</x:v>
      </x:c>
      <x:c r="S245" s="158" t="n">
        <x:v>433470</x:v>
      </x:c>
      <x:c r="T245" s="158" t="n">
        <x:v>3395376838</x:v>
      </x:c>
      <x:c r="U245" s="158" t="n">
        <x:v>3771502</x:v>
      </x:c>
      <x:c r="V245" s="153" t="n">
        <x:f>IFERROR(E245*1000/O245,"")</x:f>
        <x:v>81.62186379928315</x:v>
      </x:c>
      <x:c r="W245" s="153" t="n">
        <x:v>4.61</x:v>
      </x:c>
      <x:c r="X245" s="155" t="n">
        <x:v>45673</x:v>
      </x:c>
      <x:c r="Y245" s="153" t="n">
        <x:v>2.19</x:v>
      </x:c>
      <x:c r="Z245" s="155" t="n">
        <x:v>45673</x:v>
      </x:c>
      <x:c r="AA245" s="153" t="n">
        <x:f>IFERROR(Y245-Y244,"")</x:f>
        <x:v>-0.050000000000000266</x:v>
      </x:c>
      <x:c r="AB245" s="153" t="n">
        <x:v>2.42</x:v>
      </x:c>
      <x:c r="AC245" s="153" t="n">
        <x:v>129.436</x:v>
      </x:c>
      <x:c r="AD245" s="155" t="n">
        <x:v>45673</x:v>
      </x:c>
      <x:c r="AE245" s="154" t="n">
        <x:f>IFERROR(AC245/AC244-1,"")</x:f>
        <x:v>0.0017552929667545847</x:v>
      </x:c>
      <x:c r="AF245" s="153" t="n">
        <x:v>16.6</x:v>
      </x:c>
      <x:c r="AG245" s="155" t="n">
        <x:v>45673</x:v>
      </x:c>
      <x:c r="AH245" s="153" t="n">
        <x:f>IFERROR(AF245-AF244,"")</x:f>
        <x:v>0.4800000000000004</x:v>
      </x:c>
      <x:c r="AI245" s="153" t="n">
        <x:v>4.33</x:v>
      </x:c>
      <x:c r="AJ245" s="155" t="n">
        <x:v>45667</x:v>
      </x:c>
      <x:c r="AK245" s="159" t="n">
        <x:v>177641</x:v>
      </x:c>
      <x:c r="AL245" s="154" t="n">
        <x:v>0.3723794291080678</x:v>
      </x:c>
      <x:c r="AM245" s="159" t="n">
        <x:v>-70967</x:v>
      </x:c>
      <x:c r="AN245" s="155" t="n">
        <x:v>45667</x:v>
      </x:c>
      <x:c r="AO245" s="159" t="n">
        <x:v>25439</x:v>
      </x:c>
      <x:c r="AP245" s="154" t="n">
        <x:v>0.16781449963717923</x:v>
      </x:c>
      <x:c r="AQ245" s="159" t="n">
        <x:v>-33744</x:v>
      </x:c>
      <x:c r="AR245" s="147" t="str">
        <x:v>美国市场指标与CFTC数据均使用严格早于上金所交易日的最后已发布值</x:v>
      </x:c>
    </x:row>
    <x:row r="246">
      <x:c r="A246" s="155" t="n">
        <x:v>45677</x:v>
      </x:c>
      <x:c r="B246" s="153" t="n">
        <x:v>637.5</x:v>
      </x:c>
      <x:c r="C246" s="153" t="n">
        <x:v>640</x:v>
      </x:c>
      <x:c r="D246" s="153" t="n">
        <x:v>632.5</x:v>
      </x:c>
      <x:c r="E246" s="153" t="n">
        <x:v>637.5</x:v>
      </x:c>
      <x:c r="F246" s="154" t="n">
        <x:f>IFERROR(E246/E245-1,"")</x:f>
        <x:v>-0.00020387999309945393</x:v>
      </x:c>
      <x:c r="G246" s="154" t="n">
        <x:f>IFERROR((C246-D246)/E245,"")</x:f>
        <x:v>0.01176230729419883</x:v>
      </x:c>
      <x:c r="H246" s="153" t="n">
        <x:v>635.96</x:v>
      </x:c>
      <x:c r="I246" s="158" t="n">
        <x:v>10144.96</x:v>
      </x:c>
      <x:c r="J246" s="158" t="n">
        <x:v>6451815537.8</x:v>
      </x:c>
      <x:c r="K246" s="158"/>
      <x:c r="L246" s="153" t="n">
        <x:v>7815</x:v>
      </x:c>
      <x:c r="M246" s="153" t="n">
        <x:v>7819</x:v>
      </x:c>
      <x:c r="N246" s="153" t="n">
        <x:v>7679</x:v>
      </x:c>
      <x:c r="O246" s="153" t="n">
        <x:v>7743</x:v>
      </x:c>
      <x:c r="P246" s="154" t="n">
        <x:f>IFERROR(O246/O245-1,"")</x:f>
        <x:v>-0.008832565284178195</x:v>
      </x:c>
      <x:c r="Q246" s="154" t="n">
        <x:f>IFERROR((M246-N246)/O245,"")</x:f>
        <x:v>0.017921146953405017</x:v>
      </x:c>
      <x:c r="R246" s="153" t="n">
        <x:v>7719</x:v>
      </x:c>
      <x:c r="S246" s="158" t="n">
        <x:v>470984</x:v>
      </x:c>
      <x:c r="T246" s="158" t="n">
        <x:v>3635713050</x:v>
      </x:c>
      <x:c r="U246" s="158" t="n">
        <x:v>3841760</x:v>
      </x:c>
      <x:c r="V246" s="153" t="n">
        <x:f>IFERROR(E246*1000/O246,"")</x:f>
        <x:v>82.33242929097248</x:v>
      </x:c>
      <x:c r="W246" s="153" t="n">
        <x:v>4.61</x:v>
      </x:c>
      <x:c r="X246" s="155" t="n">
        <x:v>45674</x:v>
      </x:c>
      <x:c r="Y246" s="153" t="n">
        <x:v>2.2</x:v>
      </x:c>
      <x:c r="Z246" s="155" t="n">
        <x:v>45674</x:v>
      </x:c>
      <x:c r="AA246" s="153" t="n">
        <x:f>IFERROR(Y246-Y245,"")</x:f>
        <x:v>0.010000000000000231</x:v>
      </x:c>
      <x:c r="AB246" s="153" t="n">
        <x:v>2.41</x:v>
      </x:c>
      <x:c r="AC246" s="153" t="n">
        <x:v>129.4859</x:v>
      </x:c>
      <x:c r="AD246" s="155" t="n">
        <x:v>45674</x:v>
      </x:c>
      <x:c r="AE246" s="154" t="n">
        <x:f>IFERROR(AC246/AC245-1,"")</x:f>
        <x:v>0.0003855187119501391</x:v>
      </x:c>
      <x:c r="AF246" s="153" t="n">
        <x:v>15.97</x:v>
      </x:c>
      <x:c r="AG246" s="155" t="n">
        <x:v>45674</x:v>
      </x:c>
      <x:c r="AH246" s="153" t="n">
        <x:f>IFERROR(AF246-AF245,"")</x:f>
        <x:v>-0.6300000000000008</x:v>
      </x:c>
      <x:c r="AI246" s="153" t="n">
        <x:v>4.33</x:v>
      </x:c>
      <x:c r="AJ246" s="155" t="n">
        <x:v>45674</x:v>
      </x:c>
      <x:c r="AK246" s="159" t="n">
        <x:v>195622</x:v>
      </x:c>
      <x:c r="AL246" s="154" t="n">
        <x:v>0.3715750464891437</x:v>
      </x:c>
      <x:c r="AM246" s="159" t="n">
        <x:v>-73987</x:v>
      </x:c>
      <x:c r="AN246" s="155" t="n">
        <x:v>45674</x:v>
      </x:c>
      <x:c r="AO246" s="159" t="n">
        <x:v>29343</x:v>
      </x:c>
      <x:c r="AP246" s="154" t="n">
        <x:v>0.19514644462770345</x:v>
      </x:c>
      <x:c r="AQ246" s="159" t="n">
        <x:v>-33599</x:v>
      </x:c>
      <x:c r="AR246" s="147" t="str">
        <x:v>美国市场指标与CFTC数据均使用严格早于上金所交易日的最后已发布值</x:v>
      </x:c>
    </x:row>
    <x:row r="247">
      <x:c r="A247" s="155" t="n">
        <x:v>45678</x:v>
      </x:c>
      <x:c r="B247" s="153" t="n">
        <x:v>636.5</x:v>
      </x:c>
      <x:c r="C247" s="153" t="n">
        <x:v>640</x:v>
      </x:c>
      <x:c r="D247" s="153" t="n">
        <x:v>632</x:v>
      </x:c>
      <x:c r="E247" s="153" t="n">
        <x:v>639</x:v>
      </x:c>
      <x:c r="F247" s="154" t="n">
        <x:f>IFERROR(E247/E246-1,"")</x:f>
        <x:v>0.0023529411764706687</x:v>
      </x:c>
      <x:c r="G247" s="154" t="n">
        <x:f>IFERROR((C247-D247)/E246,"")</x:f>
        <x:v>0.012549019607843137</x:v>
      </x:c>
      <x:c r="H247" s="153" t="n">
        <x:v>637.17</x:v>
      </x:c>
      <x:c r="I247" s="158" t="n">
        <x:v>10897.08</x:v>
      </x:c>
      <x:c r="J247" s="158" t="n">
        <x:v>6943391479</x:v>
      </x:c>
      <x:c r="K247" s="158"/>
      <x:c r="L247" s="153" t="n">
        <x:v>7712</x:v>
      </x:c>
      <x:c r="M247" s="153" t="n">
        <x:v>7795</x:v>
      </x:c>
      <x:c r="N247" s="153" t="n">
        <x:v>7670</x:v>
      </x:c>
      <x:c r="O247" s="153" t="n">
        <x:v>7748</x:v>
      </x:c>
      <x:c r="P247" s="154" t="n">
        <x:f>IFERROR(O247/O246-1,"")</x:f>
        <x:v>0.0006457445434586706</x:v>
      </x:c>
      <x:c r="Q247" s="154" t="n">
        <x:f>IFERROR((M247-N247)/O246,"")</x:f>
        <x:v>0.016143613586465193</x:v>
      </x:c>
      <x:c r="R247" s="153" t="n">
        <x:v>7738</x:v>
      </x:c>
      <x:c r="S247" s="158" t="n">
        <x:v>461072</x:v>
      </x:c>
      <x:c r="T247" s="158" t="n">
        <x:v>3568181336</x:v>
      </x:c>
      <x:c r="U247" s="158" t="n">
        <x:v>3829820</x:v>
      </x:c>
      <x:c r="V247" s="153" t="n">
        <x:f>IFERROR(E247*1000/O247,"")</x:f>
        <x:v>82.47289623128549</x:v>
      </x:c>
      <x:c r="W247" s="153" t="n">
        <x:v>4.61</x:v>
      </x:c>
      <x:c r="X247" s="155" t="n">
        <x:v>45674</x:v>
      </x:c>
      <x:c r="Y247" s="153" t="n">
        <x:v>2.2</x:v>
      </x:c>
      <x:c r="Z247" s="155" t="n">
        <x:v>45674</x:v>
      </x:c>
      <x:c r="AA247" s="153" t="n">
        <x:f>IFERROR(Y247-Y246,"")</x:f>
        <x:v>0</x:v>
      </x:c>
      <x:c r="AB247" s="153" t="n">
        <x:v>2.41</x:v>
      </x:c>
      <x:c r="AC247" s="153" t="n">
        <x:v>129.4859</x:v>
      </x:c>
      <x:c r="AD247" s="155" t="n">
        <x:v>45674</x:v>
      </x:c>
      <x:c r="AE247" s="154" t="n">
        <x:f>IFERROR(AC247/AC246-1,"")</x:f>
        <x:v>0</x:v>
      </x:c>
      <x:c r="AF247" s="153" t="n">
        <x:v>15.81</x:v>
      </x:c>
      <x:c r="AG247" s="155" t="n">
        <x:v>45677</x:v>
      </x:c>
      <x:c r="AH247" s="153" t="n">
        <x:f>IFERROR(AF247-AF246,"")</x:f>
        <x:v>-0.16000000000000014</x:v>
      </x:c>
      <x:c r="AI247" s="153" t="n">
        <x:v>4.33</x:v>
      </x:c>
      <x:c r="AJ247" s="155" t="n">
        <x:v>45674</x:v>
      </x:c>
      <x:c r="AK247" s="159" t="n">
        <x:v>195622</x:v>
      </x:c>
      <x:c r="AL247" s="154" t="n">
        <x:v>0.3715750464891437</x:v>
      </x:c>
      <x:c r="AM247" s="159" t="n">
        <x:v>-73987</x:v>
      </x:c>
      <x:c r="AN247" s="155" t="n">
        <x:v>45674</x:v>
      </x:c>
      <x:c r="AO247" s="159" t="n">
        <x:v>29343</x:v>
      </x:c>
      <x:c r="AP247" s="154" t="n">
        <x:v>0.19514644462770345</x:v>
      </x:c>
      <x:c r="AQ247" s="159" t="n">
        <x:v>-33599</x:v>
      </x:c>
      <x:c r="AR247" s="147" t="str">
        <x:v>美国市场指标与CFTC数据均使用严格早于上金所交易日的最后已发布值</x:v>
      </x:c>
    </x:row>
    <x:row r="248">
      <x:c r="A248" s="155" t="n">
        <x:v>45679</x:v>
      </x:c>
      <x:c r="B248" s="153" t="n">
        <x:v>637.65</x:v>
      </x:c>
      <x:c r="C248" s="153" t="n">
        <x:v>646.4</x:v>
      </x:c>
      <x:c r="D248" s="153" t="n">
        <x:v>637.6</x:v>
      </x:c>
      <x:c r="E248" s="153" t="n">
        <x:v>643.48</x:v>
      </x:c>
      <x:c r="F248" s="154" t="n">
        <x:f>IFERROR(E248/E247-1,"")</x:f>
        <x:v>0.007010954616588405</x:v>
      </x:c>
      <x:c r="G248" s="154" t="n">
        <x:f>IFERROR((C248-D248)/E247,"")</x:f>
        <x:v>0.013771517996870038</x:v>
      </x:c>
      <x:c r="H248" s="153" t="n">
        <x:v>643.72</x:v>
      </x:c>
      <x:c r="I248" s="158" t="n">
        <x:v>8124.32</x:v>
      </x:c>
      <x:c r="J248" s="158" t="n">
        <x:v>5229837001</x:v>
      </x:c>
      <x:c r="K248" s="158"/>
      <x:c r="L248" s="153" t="n">
        <x:v>7739</x:v>
      </x:c>
      <x:c r="M248" s="153" t="n">
        <x:v>7837</x:v>
      </x:c>
      <x:c r="N248" s="153" t="n">
        <x:v>7719</x:v>
      </x:c>
      <x:c r="O248" s="153" t="n">
        <x:v>7795</x:v>
      </x:c>
      <x:c r="P248" s="154" t="n">
        <x:f>IFERROR(O248/O247-1,"")</x:f>
        <x:v>0.006066081569437332</x:v>
      </x:c>
      <x:c r="Q248" s="154" t="n">
        <x:f>IFERROR((M248-N248)/O247,"")</x:f>
        <x:v>0.015229736706246774</x:v>
      </x:c>
      <x:c r="R248" s="153" t="n">
        <x:v>7795</x:v>
      </x:c>
      <x:c r="S248" s="158" t="n">
        <x:v>434422</x:v>
      </x:c>
      <x:c r="T248" s="158" t="n">
        <x:v>3386449668</x:v>
      </x:c>
      <x:c r="U248" s="158" t="n">
        <x:v>3806828</x:v>
      </x:c>
      <x:c r="V248" s="153" t="n">
        <x:f>IFERROR(E248*1000/O248,"")</x:f>
        <x:v>82.55035279025016</x:v>
      </x:c>
      <x:c r="W248" s="153" t="n">
        <x:v>4.57</x:v>
      </x:c>
      <x:c r="X248" s="155" t="n">
        <x:v>45678</x:v>
      </x:c>
      <x:c r="Y248" s="153" t="n">
        <x:v>2.19</x:v>
      </x:c>
      <x:c r="Z248" s="155" t="n">
        <x:v>45678</x:v>
      </x:c>
      <x:c r="AA248" s="153" t="n">
        <x:f>IFERROR(Y248-Y247,"")</x:f>
        <x:v>-0.010000000000000231</x:v>
      </x:c>
      <x:c r="AB248" s="153" t="n">
        <x:v>2.38</x:v>
      </x:c>
      <x:c r="AC248" s="153" t="n">
        <x:v>128.4151</x:v>
      </x:c>
      <x:c r="AD248" s="155" t="n">
        <x:v>45678</x:v>
      </x:c>
      <x:c r="AE248" s="154" t="n">
        <x:f>IFERROR(AC248/AC247-1,"")</x:f>
        <x:v>-0.008269626268188168</x:v>
      </x:c>
      <x:c r="AF248" s="153" t="n">
        <x:v>15.06</x:v>
      </x:c>
      <x:c r="AG248" s="155" t="n">
        <x:v>45678</x:v>
      </x:c>
      <x:c r="AH248" s="153" t="n">
        <x:f>IFERROR(AF248-AF247,"")</x:f>
        <x:v>-0.75</x:v>
      </x:c>
      <x:c r="AI248" s="153" t="n">
        <x:v>4.33</x:v>
      </x:c>
      <x:c r="AJ248" s="155" t="n">
        <x:v>45674</x:v>
      </x:c>
      <x:c r="AK248" s="159" t="n">
        <x:v>195622</x:v>
      </x:c>
      <x:c r="AL248" s="154" t="n">
        <x:v>0.3715750464891437</x:v>
      </x:c>
      <x:c r="AM248" s="159" t="n">
        <x:v>-73987</x:v>
      </x:c>
      <x:c r="AN248" s="155" t="n">
        <x:v>45674</x:v>
      </x:c>
      <x:c r="AO248" s="159" t="n">
        <x:v>29343</x:v>
      </x:c>
      <x:c r="AP248" s="154" t="n">
        <x:v>0.19514644462770345</x:v>
      </x:c>
      <x:c r="AQ248" s="159" t="n">
        <x:v>-33599</x:v>
      </x:c>
      <x:c r="AR248" s="147" t="str">
        <x:v>美国市场指标与CFTC数据均使用严格早于上金所交易日的最后已发布值</x:v>
      </x:c>
    </x:row>
    <x:row r="249">
      <x:c r="A249" s="155" t="n">
        <x:v>45680</x:v>
      </x:c>
      <x:c r="B249" s="153" t="n">
        <x:v>644</x:v>
      </x:c>
      <x:c r="C249" s="153" t="n">
        <x:v>645.99</x:v>
      </x:c>
      <x:c r="D249" s="153" t="n">
        <x:v>642</x:v>
      </x:c>
      <x:c r="E249" s="153" t="n">
        <x:v>644.02</x:v>
      </x:c>
      <x:c r="F249" s="154" t="n">
        <x:f>IFERROR(E249/E248-1,"")</x:f>
        <x:v>0.0008391869211163971</x:v>
      </x:c>
      <x:c r="G249" s="154" t="n">
        <x:f>IFERROR((C249-D249)/E248,"")</x:f>
        <x:v>0.006200658917138076</x:v>
      </x:c>
      <x:c r="H249" s="153" t="n">
        <x:v>644.07</x:v>
      </x:c>
      <x:c r="I249" s="158" t="n">
        <x:v>7412.1</x:v>
      </x:c>
      <x:c r="J249" s="158" t="n">
        <x:v>4773947028.6</x:v>
      </x:c>
      <x:c r="K249" s="158"/>
      <x:c r="L249" s="153" t="n">
        <x:v>7790</x:v>
      </x:c>
      <x:c r="M249" s="153" t="n">
        <x:v>7794</x:v>
      </x:c>
      <x:c r="N249" s="153" t="n">
        <x:v>7696</x:v>
      </x:c>
      <x:c r="O249" s="153" t="n">
        <x:v>7705</x:v>
      </x:c>
      <x:c r="P249" s="154" t="n">
        <x:f>IFERROR(O249/O248-1,"")</x:f>
        <x:v>-0.011545862732520895</x:v>
      </x:c>
      <x:c r="Q249" s="154" t="n">
        <x:f>IFERROR((M249-N249)/O248,"")</x:f>
        <x:v>0.012572161642078255</x:v>
      </x:c>
      <x:c r="R249" s="153" t="n">
        <x:v>7727</x:v>
      </x:c>
      <x:c r="S249" s="158" t="n">
        <x:v>350302</x:v>
      </x:c>
      <x:c r="T249" s="158" t="n">
        <x:v>2707073248</x:v>
      </x:c>
      <x:c r="U249" s="158" t="n">
        <x:v>3823698</x:v>
      </x:c>
      <x:c r="V249" s="153" t="n">
        <x:f>IFERROR(E249*1000/O249,"")</x:f>
        <x:v>83.58468526930565</x:v>
      </x:c>
      <x:c r="W249" s="153" t="n">
        <x:v>4.6</x:v>
      </x:c>
      <x:c r="X249" s="155" t="n">
        <x:v>45679</x:v>
      </x:c>
      <x:c r="Y249" s="153" t="n">
        <x:v>2.2</x:v>
      </x:c>
      <x:c r="Z249" s="155" t="n">
        <x:v>45679</x:v>
      </x:c>
      <x:c r="AA249" s="153" t="n">
        <x:f>IFERROR(Y249-Y248,"")</x:f>
        <x:v>0.010000000000000231</x:v>
      </x:c>
      <x:c r="AB249" s="153" t="n">
        <x:v>2.4</x:v>
      </x:c>
      <x:c r="AC249" s="153" t="n">
        <x:v>128.3402</x:v>
      </x:c>
      <x:c r="AD249" s="155" t="n">
        <x:v>45679</x:v>
      </x:c>
      <x:c r="AE249" s="154" t="n">
        <x:f>IFERROR(AC249/AC248-1,"")</x:f>
        <x:v>-0.0005832647406729397</x:v>
      </x:c>
      <x:c r="AF249" s="153" t="n">
        <x:v>15.1</x:v>
      </x:c>
      <x:c r="AG249" s="155" t="n">
        <x:v>45679</x:v>
      </x:c>
      <x:c r="AH249" s="153" t="n">
        <x:f>IFERROR(AF249-AF248,"")</x:f>
        <x:v>0.03999999999999915</x:v>
      </x:c>
      <x:c r="AI249" s="153" t="n">
        <x:v>4.33</x:v>
      </x:c>
      <x:c r="AJ249" s="155" t="n">
        <x:v>45674</x:v>
      </x:c>
      <x:c r="AK249" s="159" t="n">
        <x:v>195622</x:v>
      </x:c>
      <x:c r="AL249" s="154" t="n">
        <x:v>0.3715750464891437</x:v>
      </x:c>
      <x:c r="AM249" s="159" t="n">
        <x:v>-73987</x:v>
      </x:c>
      <x:c r="AN249" s="155" t="n">
        <x:v>45674</x:v>
      </x:c>
      <x:c r="AO249" s="159" t="n">
        <x:v>29343</x:v>
      </x:c>
      <x:c r="AP249" s="154" t="n">
        <x:v>0.19514644462770345</x:v>
      </x:c>
      <x:c r="AQ249" s="159" t="n">
        <x:v>-33599</x:v>
      </x:c>
      <x:c r="AR249" s="147" t="str">
        <x:v>美国市场指标与CFTC数据均使用严格早于上金所交易日的最后已发布值</x:v>
      </x:c>
    </x:row>
    <x:row r="250">
      <x:c r="A250" s="155" t="n">
        <x:v>45681</x:v>
      </x:c>
      <x:c r="B250" s="153" t="n">
        <x:v>644</x:v>
      </x:c>
      <x:c r="C250" s="153" t="n">
        <x:v>647.98</x:v>
      </x:c>
      <x:c r="D250" s="153" t="n">
        <x:v>641.01</x:v>
      </x:c>
      <x:c r="E250" s="153" t="n">
        <x:v>645.51</x:v>
      </x:c>
      <x:c r="F250" s="154" t="n">
        <x:f>IFERROR(E250/E249-1,"")</x:f>
        <x:v>0.0023135927455668615</x:v>
      </x:c>
      <x:c r="G250" s="154" t="n">
        <x:f>IFERROR((C250-D250)/E249,"")</x:f>
        <x:v>0.010822645259464034</x:v>
      </x:c>
      <x:c r="H250" s="153" t="n">
        <x:v>646.56</x:v>
      </x:c>
      <x:c r="I250" s="158" t="n">
        <x:v>8659.9</x:v>
      </x:c>
      <x:c r="J250" s="158" t="n">
        <x:v>5599192858.8</x:v>
      </x:c>
      <x:c r="K250" s="158"/>
      <x:c r="L250" s="153" t="n">
        <x:v>7675</x:v>
      </x:c>
      <x:c r="M250" s="153" t="n">
        <x:v>7769</x:v>
      </x:c>
      <x:c r="N250" s="153" t="n">
        <x:v>7593</x:v>
      </x:c>
      <x:c r="O250" s="153" t="n">
        <x:v>7720</x:v>
      </x:c>
      <x:c r="P250" s="154" t="n">
        <x:f>IFERROR(O250/O249-1,"")</x:f>
        <x:v>0.0019467878001298011</x:v>
      </x:c>
      <x:c r="Q250" s="154" t="n">
        <x:f>IFERROR((M250-N250)/O249,"")</x:f>
        <x:v>0.022842310188189486</x:v>
      </x:c>
      <x:c r="R250" s="153" t="n">
        <x:v>7703</x:v>
      </x:c>
      <x:c r="S250" s="158" t="n">
        <x:v>472314</x:v>
      </x:c>
      <x:c r="T250" s="158" t="n">
        <x:v>3638300036</x:v>
      </x:c>
      <x:c r="U250" s="158" t="n">
        <x:v>3760950</x:v>
      </x:c>
      <x:c r="V250" s="153" t="n">
        <x:f>IFERROR(E250*1000/O250,"")</x:f>
        <x:v>83.61528497409327</x:v>
      </x:c>
      <x:c r="W250" s="153" t="n">
        <x:v>4.65</x:v>
      </x:c>
      <x:c r="X250" s="155" t="n">
        <x:v>45680</x:v>
      </x:c>
      <x:c r="Y250" s="153" t="n">
        <x:v>2.23</x:v>
      </x:c>
      <x:c r="Z250" s="155" t="n">
        <x:v>45680</x:v>
      </x:c>
      <x:c r="AA250" s="153" t="n">
        <x:f>IFERROR(Y250-Y249,"")</x:f>
        <x:v>0.029999999999999805</x:v>
      </x:c>
      <x:c r="AB250" s="153" t="n">
        <x:v>2.42</x:v>
      </x:c>
      <x:c r="AC250" s="153" t="n">
        <x:v>128.2162</x:v>
      </x:c>
      <x:c r="AD250" s="155" t="n">
        <x:v>45680</x:v>
      </x:c>
      <x:c r="AE250" s="154" t="n">
        <x:f>IFERROR(AC250/AC249-1,"")</x:f>
        <x:v>-0.0009661820692193901</x:v>
      </x:c>
      <x:c r="AF250" s="153" t="n">
        <x:v>15.02</x:v>
      </x:c>
      <x:c r="AG250" s="155" t="n">
        <x:v>45680</x:v>
      </x:c>
      <x:c r="AH250" s="153" t="n">
        <x:f>IFERROR(AF250-AF249,"")</x:f>
        <x:v>-0.08000000000000007</x:v>
      </x:c>
      <x:c r="AI250" s="153" t="n">
        <x:v>4.33</x:v>
      </x:c>
      <x:c r="AJ250" s="155" t="n">
        <x:v>45674</x:v>
      </x:c>
      <x:c r="AK250" s="159" t="n">
        <x:v>195622</x:v>
      </x:c>
      <x:c r="AL250" s="154" t="n">
        <x:v>0.3715750464891437</x:v>
      </x:c>
      <x:c r="AM250" s="159" t="n">
        <x:v>-73987</x:v>
      </x:c>
      <x:c r="AN250" s="155" t="n">
        <x:v>45674</x:v>
      </x:c>
      <x:c r="AO250" s="159" t="n">
        <x:v>29343</x:v>
      </x:c>
      <x:c r="AP250" s="154" t="n">
        <x:v>0.19514644462770345</x:v>
      </x:c>
      <x:c r="AQ250" s="159" t="n">
        <x:v>-33599</x:v>
      </x:c>
      <x:c r="AR250" s="147" t="str">
        <x:v>美国市场指标与CFTC数据均使用严格早于上金所交易日的最后已发布值</x:v>
      </x:c>
    </x:row>
    <x:row r="251">
      <x:c r="A251" s="155" t="n">
        <x:v>45684</x:v>
      </x:c>
      <x:c r="B251" s="153" t="n">
        <x:v>646.5</x:v>
      </x:c>
      <x:c r="C251" s="153" t="n">
        <x:v>650</x:v>
      </x:c>
      <x:c r="D251" s="153" t="n">
        <x:v>642.75</x:v>
      </x:c>
      <x:c r="E251" s="153" t="n">
        <x:v>643.1</x:v>
      </x:c>
      <x:c r="F251" s="154" t="n">
        <x:f>IFERROR(E251/E250-1,"")</x:f>
        <x:v>-0.003733482052950321</x:v>
      </x:c>
      <x:c r="G251" s="154" t="n">
        <x:f>IFERROR((C251-D251)/E250,"")</x:f>
        <x:v>0.011231429412402596</x:v>
      </x:c>
      <x:c r="H251" s="153" t="n">
        <x:v>645.07</x:v>
      </x:c>
      <x:c r="I251" s="158" t="n">
        <x:v>6404.84</x:v>
      </x:c>
      <x:c r="J251" s="158" t="n">
        <x:v>4131616080.2</x:v>
      </x:c>
      <x:c r="K251" s="158"/>
      <x:c r="L251" s="153" t="n">
        <x:v>7739</x:v>
      </x:c>
      <x:c r="M251" s="153" t="n">
        <x:v>7796</x:v>
      </x:c>
      <x:c r="N251" s="153" t="n">
        <x:v>7619</x:v>
      </x:c>
      <x:c r="O251" s="153" t="n">
        <x:v>7639</x:v>
      </x:c>
      <x:c r="P251" s="154" t="n">
        <x:f>IFERROR(O251/O250-1,"")</x:f>
        <x:v>-0.010492227979274626</x:v>
      </x:c>
      <x:c r="Q251" s="154" t="n">
        <x:f>IFERROR((M251-N251)/O250,"")</x:f>
        <x:v>0.022927461139896372</x:v>
      </x:c>
      <x:c r="R251" s="153" t="n">
        <x:v>7675</x:v>
      </x:c>
      <x:c r="S251" s="158" t="n">
        <x:v>298500</x:v>
      </x:c>
      <x:c r="T251" s="158" t="n">
        <x:v>2291042118</x:v>
      </x:c>
      <x:c r="U251" s="158" t="n">
        <x:v>3758326</x:v>
      </x:c>
      <x:c r="V251" s="153" t="n">
        <x:f>IFERROR(E251*1000/O251,"")</x:f>
        <x:v>84.18641183400969</x:v>
      </x:c>
      <x:c r="W251" s="153" t="n">
        <x:v>4.63</x:v>
      </x:c>
      <x:c r="X251" s="155" t="n">
        <x:v>45681</x:v>
      </x:c>
      <x:c r="Y251" s="153" t="n">
        <x:v>2.2</x:v>
      </x:c>
      <x:c r="Z251" s="155" t="n">
        <x:v>45681</x:v>
      </x:c>
      <x:c r="AA251" s="153" t="n">
        <x:f>IFERROR(Y251-Y250,"")</x:f>
        <x:v>-0.029999999999999805</x:v>
      </x:c>
      <x:c r="AB251" s="153" t="n">
        <x:v>2.43</x:v>
      </x:c>
      <x:c r="AC251" s="153" t="n">
        <x:v>127.4611</x:v>
      </x:c>
      <x:c r="AD251" s="155" t="n">
        <x:v>45681</x:v>
      </x:c>
      <x:c r="AE251" s="154" t="n">
        <x:f>IFERROR(AC251/AC250-1,"")</x:f>
        <x:v>-0.005889271402521601</x:v>
      </x:c>
      <x:c r="AF251" s="153" t="n">
        <x:v>14.85</x:v>
      </x:c>
      <x:c r="AG251" s="155" t="n">
        <x:v>45681</x:v>
      </x:c>
      <x:c r="AH251" s="153" t="n">
        <x:f>IFERROR(AF251-AF250,"")</x:f>
        <x:v>-0.16999999999999993</x:v>
      </x:c>
      <x:c r="AI251" s="153" t="n">
        <x:v>4.33</x:v>
      </x:c>
      <x:c r="AJ251" s="155" t="n">
        <x:v>45681</x:v>
      </x:c>
      <x:c r="AK251" s="159" t="n">
        <x:v>215869</x:v>
      </x:c>
      <x:c r="AL251" s="154" t="n">
        <x:v>0.37779823482158326</x:v>
      </x:c>
      <x:c r="AM251" s="159" t="n">
        <x:v>-80606</x:v>
      </x:c>
      <x:c r="AN251" s="155" t="n">
        <x:v>45681</x:v>
      </x:c>
      <x:c r="AO251" s="159" t="n">
        <x:v>29221</x:v>
      </x:c>
      <x:c r="AP251" s="154" t="n">
        <x:v>0.182746608796803</x:v>
      </x:c>
      <x:c r="AQ251" s="159" t="n">
        <x:v>-34032</x:v>
      </x:c>
      <x:c r="AR251" s="147" t="str">
        <x:v>美国市场指标与CFTC数据均使用严格早于上金所交易日的最后已发布值</x:v>
      </x:c>
    </x:row>
    <x:row r="252">
      <x:c r="A252" s="155" t="n">
        <x:v>45693</x:v>
      </x:c>
      <x:c r="B252" s="153" t="n">
        <x:v>669.21</x:v>
      </x:c>
      <x:c r="C252" s="153" t="n">
        <x:v>669.78</x:v>
      </x:c>
      <x:c r="D252" s="153" t="n">
        <x:v>660.5</x:v>
      </x:c>
      <x:c r="E252" s="153" t="n">
        <x:v>667.87</x:v>
      </x:c>
      <x:c r="F252" s="154" t="n">
        <x:f>IFERROR(E252/E251-1,"")</x:f>
        <x:v>0.03851656041051155</x:v>
      </x:c>
      <x:c r="G252" s="154" t="n">
        <x:f>IFERROR((C252-D252)/E251,"")</x:f>
        <x:v>0.014430104182864209</x:v>
      </x:c>
      <x:c r="H252" s="153" t="n">
        <x:v>667.85</x:v>
      </x:c>
      <x:c r="I252" s="158" t="n">
        <x:v>9334.18</x:v>
      </x:c>
      <x:c r="J252" s="158" t="n">
        <x:v>6233868086.4</x:v>
      </x:c>
      <x:c r="K252" s="158"/>
      <x:c r="L252" s="153" t="n">
        <x:v>7978</x:v>
      </x:c>
      <x:c r="M252" s="153" t="n">
        <x:v>8098</x:v>
      </x:c>
      <x:c r="N252" s="153" t="n">
        <x:v>7969</x:v>
      </x:c>
      <x:c r="O252" s="153" t="n">
        <x:v>8062</x:v>
      </x:c>
      <x:c r="P252" s="154" t="n">
        <x:f>IFERROR(O252/O251-1,"")</x:f>
        <x:v>0.055373740018326956</x:v>
      </x:c>
      <x:c r="Q252" s="154" t="n">
        <x:f>IFERROR((M252-N252)/O251,"")</x:f>
        <x:v>0.01688702709778767</x:v>
      </x:c>
      <x:c r="R252" s="153" t="n">
        <x:v>8056</x:v>
      </x:c>
      <x:c r="S252" s="158" t="n">
        <x:v>684068</x:v>
      </x:c>
      <x:c r="T252" s="158" t="n">
        <x:v>5510876378</x:v>
      </x:c>
      <x:c r="U252" s="158" t="n">
        <x:v>3882130</x:v>
      </x:c>
      <x:c r="V252" s="153" t="n">
        <x:f>IFERROR(E252*1000/O252,"")</x:f>
        <x:v>82.84172661870504</x:v>
      </x:c>
      <x:c r="W252" s="153" t="n">
        <x:v>4.52</x:v>
      </x:c>
      <x:c r="X252" s="155" t="n">
        <x:v>45692</x:v>
      </x:c>
      <x:c r="Y252" s="153" t="n">
        <x:v>2.08</x:v>
      </x:c>
      <x:c r="Z252" s="155" t="n">
        <x:v>45692</x:v>
      </x:c>
      <x:c r="AA252" s="153" t="n">
        <x:f>IFERROR(Y252-Y251,"")</x:f>
        <x:v>-0.1200000000000001</x:v>
      </x:c>
      <x:c r="AB252" s="153" t="n">
        <x:v>2.44</x:v>
      </x:c>
      <x:c r="AC252" s="153" t="n">
        <x:v>128.1083</x:v>
      </x:c>
      <x:c r="AD252" s="155" t="n">
        <x:v>45692</x:v>
      </x:c>
      <x:c r="AE252" s="154" t="n">
        <x:f>IFERROR(AC252/AC251-1,"")</x:f>
        <x:v>0.005077627605599044</x:v>
      </x:c>
      <x:c r="AF252" s="153" t="n">
        <x:v>17.21</x:v>
      </x:c>
      <x:c r="AG252" s="155" t="n">
        <x:v>45692</x:v>
      </x:c>
      <x:c r="AH252" s="153" t="n">
        <x:f>IFERROR(AF252-AF251,"")</x:f>
        <x:v>2.360000000000001</x:v>
      </x:c>
      <x:c r="AI252" s="153" t="n">
        <x:v>4.33</x:v>
      </x:c>
      <x:c r="AJ252" s="155" t="n">
        <x:v>45688</x:v>
      </x:c>
      <x:c r="AK252" s="159" t="n">
        <x:v>210540</x:v>
      </x:c>
      <x:c r="AL252" s="154" t="n">
        <x:v>0.364568272136172</x:v>
      </x:c>
      <x:c r="AM252" s="159" t="n">
        <x:v>-80898</x:v>
      </x:c>
      <x:c r="AN252" s="155" t="n">
        <x:v>45688</x:v>
      </x:c>
      <x:c r="AO252" s="159" t="n">
        <x:v>25950</x:v>
      </x:c>
      <x:c r="AP252" s="154" t="n">
        <x:v>0.15714415478245072</x:v>
      </x:c>
      <x:c r="AQ252" s="159" t="n">
        <x:v>-34476</x:v>
      </x:c>
      <x:c r="AR252" s="147" t="str">
        <x:v>美国市场指标与CFTC数据均使用严格早于上金所交易日的最后已发布值</x:v>
      </x:c>
    </x:row>
    <x:row r="253">
      <x:c r="A253" s="155" t="n">
        <x:v>45694</x:v>
      </x:c>
      <x:c r="B253" s="153" t="n">
        <x:v>668.88</x:v>
      </x:c>
      <x:c r="C253" s="153" t="n">
        <x:v>671.65</x:v>
      </x:c>
      <x:c r="D253" s="153" t="n">
        <x:v>666.51</x:v>
      </x:c>
      <x:c r="E253" s="153" t="n">
        <x:v>667.38</x:v>
      </x:c>
      <x:c r="F253" s="154" t="n">
        <x:f>IFERROR(E253/E252-1,"")</x:f>
        <x:v>-0.0007336757153337814</x:v>
      </x:c>
      <x:c r="G253" s="154" t="n">
        <x:f>IFERROR((C253-D253)/E252,"")</x:f>
        <x:v>0.007696108524113954</x:v>
      </x:c>
      <x:c r="H253" s="153" t="n">
        <x:v>669.94</x:v>
      </x:c>
      <x:c r="I253" s="158" t="n">
        <x:v>12427.72</x:v>
      </x:c>
      <x:c r="J253" s="158" t="n">
        <x:v>8325928369.2</x:v>
      </x:c>
      <x:c r="K253" s="158"/>
      <x:c r="L253" s="153" t="n">
        <x:v>8069</x:v>
      </x:c>
      <x:c r="M253" s="153" t="n">
        <x:v>8097</x:v>
      </x:c>
      <x:c r="N253" s="153" t="n">
        <x:v>8016</x:v>
      </x:c>
      <x:c r="O253" s="153" t="n">
        <x:v>8017</x:v>
      </x:c>
      <x:c r="P253" s="154" t="n">
        <x:f>IFERROR(O253/O252-1,"")</x:f>
        <x:v>-0.0055817415033490025</x:v>
      </x:c>
      <x:c r="Q253" s="154" t="n">
        <x:f>IFERROR((M253-N253)/O252,"")</x:f>
        <x:v>0.01004713470602828</x:v>
      </x:c>
      <x:c r="R253" s="153" t="n">
        <x:v>8056</x:v>
      </x:c>
      <x:c r="S253" s="158" t="n">
        <x:v>410534</x:v>
      </x:c>
      <x:c r="T253" s="158" t="n">
        <x:v>3307386412</x:v>
      </x:c>
      <x:c r="U253" s="158" t="n">
        <x:v>3967816</x:v>
      </x:c>
      <x:c r="V253" s="153" t="n">
        <x:f>IFERROR(E253*1000/O253,"")</x:f>
        <x:v>83.24560309342647</x:v>
      </x:c>
      <x:c r="W253" s="153" t="n">
        <x:v>4.43</x:v>
      </x:c>
      <x:c r="X253" s="155" t="n">
        <x:v>45693</x:v>
      </x:c>
      <x:c r="Y253" s="153" t="n">
        <x:v>2.01</x:v>
      </x:c>
      <x:c r="Z253" s="155" t="n">
        <x:v>45693</x:v>
      </x:c>
      <x:c r="AA253" s="153" t="n">
        <x:f>IFERROR(Y253-Y252,"")</x:f>
        <x:v>-0.07000000000000028</x:v>
      </x:c>
      <x:c r="AB253" s="153" t="n">
        <x:v>2.42</x:v>
      </x:c>
      <x:c r="AC253" s="153" t="n">
        <x:v>127.9751</x:v>
      </x:c>
      <x:c r="AD253" s="155" t="n">
        <x:v>45693</x:v>
      </x:c>
      <x:c r="AE253" s="154" t="n">
        <x:f>IFERROR(AC253/AC252-1,"")</x:f>
        <x:v>-0.0010397452780187555</x:v>
      </x:c>
      <x:c r="AF253" s="153" t="n">
        <x:v>15.77</x:v>
      </x:c>
      <x:c r="AG253" s="155" t="n">
        <x:v>45693</x:v>
      </x:c>
      <x:c r="AH253" s="153" t="n">
        <x:f>IFERROR(AF253-AF252,"")</x:f>
        <x:v>-1.4400000000000013</x:v>
      </x:c>
      <x:c r="AI253" s="153" t="n">
        <x:v>4.33</x:v>
      </x:c>
      <x:c r="AJ253" s="155" t="n">
        <x:v>45688</x:v>
      </x:c>
      <x:c r="AK253" s="159" t="n">
        <x:v>210540</x:v>
      </x:c>
      <x:c r="AL253" s="154" t="n">
        <x:v>0.364568272136172</x:v>
      </x:c>
      <x:c r="AM253" s="159" t="n">
        <x:v>-80898</x:v>
      </x:c>
      <x:c r="AN253" s="155" t="n">
        <x:v>45688</x:v>
      </x:c>
      <x:c r="AO253" s="159" t="n">
        <x:v>25950</x:v>
      </x:c>
      <x:c r="AP253" s="154" t="n">
        <x:v>0.15714415478245072</x:v>
      </x:c>
      <x:c r="AQ253" s="159" t="n">
        <x:v>-34476</x:v>
      </x:c>
      <x:c r="AR253" s="147" t="str">
        <x:v>美国市场指标与CFTC数据均使用严格早于上金所交易日的最后已发布值</x:v>
      </x:c>
    </x:row>
    <x:row r="254">
      <x:c r="A254" s="155" t="n">
        <x:v>45695</x:v>
      </x:c>
      <x:c r="B254" s="153" t="n">
        <x:v>670</x:v>
      </x:c>
      <x:c r="C254" s="153" t="n">
        <x:v>670</x:v>
      </x:c>
      <x:c r="D254" s="153" t="n">
        <x:v>663</x:v>
      </x:c>
      <x:c r="E254" s="153" t="n">
        <x:v>668.99</x:v>
      </x:c>
      <x:c r="F254" s="154" t="n">
        <x:f>IFERROR(E254/E253-1,"")</x:f>
        <x:v>0.0024124187119782814</x:v>
      </x:c>
      <x:c r="G254" s="154" t="n">
        <x:f>IFERROR((C254-D254)/E253,"")</x:f>
        <x:v>0.010488777008600797</x:v>
      </x:c>
      <x:c r="H254" s="153" t="n">
        <x:v>668.97</x:v>
      </x:c>
      <x:c r="I254" s="158" t="n">
        <x:v>8918.4</x:v>
      </x:c>
      <x:c r="J254" s="158" t="n">
        <x:v>5966147703.6</x:v>
      </x:c>
      <x:c r="K254" s="158"/>
      <x:c r="L254" s="153" t="n">
        <x:v>8010</x:v>
      </x:c>
      <x:c r="M254" s="153" t="n">
        <x:v>8065</x:v>
      </x:c>
      <x:c r="N254" s="153" t="n">
        <x:v>7955</x:v>
      </x:c>
      <x:c r="O254" s="153" t="n">
        <x:v>8019</x:v>
      </x:c>
      <x:c r="P254" s="154" t="n">
        <x:f>IFERROR(O254/O253-1,"")</x:f>
        <x:v>0.00024946987651230934</x:v>
      </x:c>
      <x:c r="Q254" s="154" t="n">
        <x:f>IFERROR((M254-N254)/O253,"")</x:f>
        <x:v>0.013720843208182612</x:v>
      </x:c>
      <x:c r="R254" s="153" t="n">
        <x:v>8032</x:v>
      </x:c>
      <x:c r="S254" s="158" t="n">
        <x:v>351322</x:v>
      </x:c>
      <x:c r="T254" s="158" t="n">
        <x:v>2822112130</x:v>
      </x:c>
      <x:c r="U254" s="158" t="n">
        <x:v>3852262</x:v>
      </x:c>
      <x:c r="V254" s="153" t="n">
        <x:f>IFERROR(E254*1000/O254,"")</x:f>
        <x:v>83.4256141663549</x:v>
      </x:c>
      <x:c r="W254" s="153" t="n">
        <x:v>4.45</x:v>
      </x:c>
      <x:c r="X254" s="155" t="n">
        <x:v>45694</x:v>
      </x:c>
      <x:c r="Y254" s="153" t="n">
        <x:v>2.03</x:v>
      </x:c>
      <x:c r="Z254" s="155" t="n">
        <x:v>45694</x:v>
      </x:c>
      <x:c r="AA254" s="153" t="n">
        <x:f>IFERROR(Y254-Y253,"")</x:f>
        <x:v>0.020000000000000018</x:v>
      </x:c>
      <x:c r="AB254" s="153" t="n">
        <x:v>2.42</x:v>
      </x:c>
      <x:c r="AC254" s="153" t="n">
        <x:v>128.2017</x:v>
      </x:c>
      <x:c r="AD254" s="155" t="n">
        <x:v>45694</x:v>
      </x:c>
      <x:c r="AE254" s="154" t="n">
        <x:f>IFERROR(AC254/AC253-1,"")</x:f>
        <x:v>0.0017706569481092949</x:v>
      </x:c>
      <x:c r="AF254" s="153" t="n">
        <x:v>15.5</x:v>
      </x:c>
      <x:c r="AG254" s="155" t="n">
        <x:v>45694</x:v>
      </x:c>
      <x:c r="AH254" s="153" t="n">
        <x:f>IFERROR(AF254-AF253,"")</x:f>
        <x:v>-0.2699999999999996</x:v>
      </x:c>
      <x:c r="AI254" s="153" t="n">
        <x:v>4.33</x:v>
      </x:c>
      <x:c r="AJ254" s="155" t="n">
        <x:v>45688</x:v>
      </x:c>
      <x:c r="AK254" s="159" t="n">
        <x:v>210540</x:v>
      </x:c>
      <x:c r="AL254" s="154" t="n">
        <x:v>0.364568272136172</x:v>
      </x:c>
      <x:c r="AM254" s="159" t="n">
        <x:v>-80898</x:v>
      </x:c>
      <x:c r="AN254" s="155" t="n">
        <x:v>45688</x:v>
      </x:c>
      <x:c r="AO254" s="159" t="n">
        <x:v>25950</x:v>
      </x:c>
      <x:c r="AP254" s="154" t="n">
        <x:v>0.15714415478245072</x:v>
      </x:c>
      <x:c r="AQ254" s="159" t="n">
        <x:v>-34476</x:v>
      </x:c>
      <x:c r="AR254" s="147" t="str">
        <x:v>美国市场指标与CFTC数据均使用严格早于上金所交易日的最后已发布值</x:v>
      </x:c>
    </x:row>
    <x:row r="255">
      <x:c r="A255" s="155" t="n">
        <x:v>45698</x:v>
      </x:c>
      <x:c r="B255" s="153" t="n">
        <x:v>669</x:v>
      </x:c>
      <x:c r="C255" s="153" t="n">
        <x:v>679.99</x:v>
      </x:c>
      <x:c r="D255" s="153" t="n">
        <x:v>666</x:v>
      </x:c>
      <x:c r="E255" s="153" t="n">
        <x:v>679.65</x:v>
      </x:c>
      <x:c r="F255" s="154" t="n">
        <x:f>IFERROR(E255/E254-1,"")</x:f>
        <x:v>0.015934468377703626</x:v>
      </x:c>
      <x:c r="G255" s="154" t="n">
        <x:f>IFERROR((C255-D255)/E254,"")</x:f>
        <x:v>0.020912121257417912</x:v>
      </x:c>
      <x:c r="H255" s="153" t="n">
        <x:v>675.4</x:v>
      </x:c>
      <x:c r="I255" s="158" t="n">
        <x:v>12495.42</x:v>
      </x:c>
      <x:c r="J255" s="158" t="n">
        <x:v>8439462975</x:v>
      </x:c>
      <x:c r="K255" s="158"/>
      <x:c r="L255" s="153" t="n">
        <x:v>8029</x:v>
      </x:c>
      <x:c r="M255" s="153" t="n">
        <x:v>8122</x:v>
      </x:c>
      <x:c r="N255" s="153" t="n">
        <x:v>7985</x:v>
      </x:c>
      <x:c r="O255" s="153" t="n">
        <x:v>8041</x:v>
      </x:c>
      <x:c r="P255" s="154" t="n">
        <x:f>IFERROR(O255/O254-1,"")</x:f>
        <x:v>0.00274348422496562</x:v>
      </x:c>
      <x:c r="Q255" s="154" t="n">
        <x:f>IFERROR((M255-N255)/O254,"")</x:f>
        <x:v>0.0170844244918319</x:v>
      </x:c>
      <x:c r="R255" s="153" t="n">
        <x:v>8033</x:v>
      </x:c>
      <x:c r="S255" s="158" t="n">
        <x:v>411582</x:v>
      </x:c>
      <x:c r="T255" s="158" t="n">
        <x:v>3306387712</x:v>
      </x:c>
      <x:c r="U255" s="158" t="n">
        <x:v>3887844</x:v>
      </x:c>
      <x:c r="V255" s="153" t="n">
        <x:f>IFERROR(E255*1000/O255,"")</x:f>
        <x:v>84.5230692699913</x:v>
      </x:c>
      <x:c r="W255" s="153" t="n">
        <x:v>4.49</x:v>
      </x:c>
      <x:c r="X255" s="155" t="n">
        <x:v>45695</x:v>
      </x:c>
      <x:c r="Y255" s="153" t="n">
        <x:v>2.07</x:v>
      </x:c>
      <x:c r="Z255" s="155" t="n">
        <x:v>45695</x:v>
      </x:c>
      <x:c r="AA255" s="153" t="n">
        <x:f>IFERROR(Y255-Y254,"")</x:f>
        <x:v>0.040000000000000036</x:v>
      </x:c>
      <x:c r="AB255" s="153" t="n">
        <x:v>2.42</x:v>
      </x:c>
      <x:c r="AC255" s="153" t="n">
        <x:v>128.4292</x:v>
      </x:c>
      <x:c r="AD255" s="155" t="n">
        <x:v>45695</x:v>
      </x:c>
      <x:c r="AE255" s="154" t="n">
        <x:f>IFERROR(AC255/AC254-1,"")</x:f>
        <x:v>0.0017745474513990445</x:v>
      </x:c>
      <x:c r="AF255" s="153" t="n">
        <x:v>16.54</x:v>
      </x:c>
      <x:c r="AG255" s="155" t="n">
        <x:v>45695</x:v>
      </x:c>
      <x:c r="AH255" s="153" t="n">
        <x:f>IFERROR(AF255-AF254,"")</x:f>
        <x:v>1.0399999999999991</x:v>
      </x:c>
      <x:c r="AI255" s="153" t="n">
        <x:v>4.33</x:v>
      </x:c>
      <x:c r="AJ255" s="155" t="n">
        <x:v>45695</x:v>
      </x:c>
      <x:c r="AK255" s="159" t="n">
        <x:v>209533</x:v>
      </x:c>
      <x:c r="AL255" s="154" t="n">
        <x:v>0.3865893978642224</x:v>
      </x:c>
      <x:c r="AM255" s="159" t="n">
        <x:v>-63444</x:v>
      </x:c>
      <x:c r="AN255" s="155" t="n">
        <x:v>45695</x:v>
      </x:c>
      <x:c r="AO255" s="159" t="n">
        <x:v>36247</x:v>
      </x:c>
      <x:c r="AP255" s="154" t="n">
        <x:v>0.2123109543947612</x:v>
      </x:c>
      <x:c r="AQ255" s="159" t="n">
        <x:v>-38487</x:v>
      </x:c>
      <x:c r="AR255" s="147" t="str">
        <x:v>美国市场指标与CFTC数据均使用严格早于上金所交易日的最后已发布值</x:v>
      </x:c>
    </x:row>
    <x:row r="256">
      <x:c r="A256" s="155" t="n">
        <x:v>45699</x:v>
      </x:c>
      <x:c r="B256" s="153" t="n">
        <x:v>682</x:v>
      </x:c>
      <x:c r="C256" s="153" t="n">
        <x:v>692</x:v>
      </x:c>
      <x:c r="D256" s="153" t="n">
        <x:v>679</x:v>
      </x:c>
      <x:c r="E256" s="153" t="n">
        <x:v>683.52</x:v>
      </x:c>
      <x:c r="F256" s="154" t="n">
        <x:f>IFERROR(E256/E255-1,"")</x:f>
        <x:v>0.00569410726109032</x:v>
      </x:c>
      <x:c r="G256" s="154" t="n">
        <x:f>IFERROR((C256-D256)/E255,"")</x:f>
        <x:v>0.019127492091517692</x:v>
      </x:c>
      <x:c r="H256" s="153" t="n">
        <x:v>686.48</x:v>
      </x:c>
      <x:c r="I256" s="158" t="n">
        <x:v>15833.22</x:v>
      </x:c>
      <x:c r="J256" s="158" t="n">
        <x:v>10869325355.2</x:v>
      </x:c>
      <x:c r="K256" s="158"/>
      <x:c r="L256" s="153" t="n">
        <x:v>8076</x:v>
      </x:c>
      <x:c r="M256" s="153" t="n">
        <x:v>8083</x:v>
      </x:c>
      <x:c r="N256" s="153" t="n">
        <x:v>7913</x:v>
      </x:c>
      <x:c r="O256" s="153" t="n">
        <x:v>7954</x:v>
      </x:c>
      <x:c r="P256" s="154" t="n">
        <x:f>IFERROR(O256/O255-1,"")</x:f>
        <x:v>-0.010819549807237872</x:v>
      </x:c>
      <x:c r="Q256" s="154" t="n">
        <x:f>IFERROR((M256-N256)/O255,"")</x:f>
        <x:v>0.021141649048625793</x:v>
      </x:c>
      <x:c r="R256" s="153" t="n">
        <x:v>8015</x:v>
      </x:c>
      <x:c r="S256" s="158" t="n">
        <x:v>520970</x:v>
      </x:c>
      <x:c r="T256" s="158" t="n">
        <x:v>4175711186</x:v>
      </x:c>
      <x:c r="U256" s="158" t="n">
        <x:v>3868912</x:v>
      </x:c>
      <x:c r="V256" s="153" t="n">
        <x:f>IFERROR(E256*1000/O256,"")</x:f>
        <x:v>85.93412119688207</x:v>
      </x:c>
      <x:c r="W256" s="153" t="n">
        <x:v>4.51</x:v>
      </x:c>
      <x:c r="X256" s="155" t="n">
        <x:v>45698</x:v>
      </x:c>
      <x:c r="Y256" s="153" t="n">
        <x:v>2.07</x:v>
      </x:c>
      <x:c r="Z256" s="155" t="n">
        <x:v>45698</x:v>
      </x:c>
      <x:c r="AA256" s="153" t="n">
        <x:f>IFERROR(Y256-Y255,"")</x:f>
        <x:v>0</x:v>
      </x:c>
      <x:c r="AB256" s="153" t="n">
        <x:v>2.44</x:v>
      </x:c>
      <x:c r="AC256" s="153" t="n">
        <x:v>128.6382</x:v>
      </x:c>
      <x:c r="AD256" s="155" t="n">
        <x:v>45698</x:v>
      </x:c>
      <x:c r="AE256" s="154" t="n">
        <x:f>IFERROR(AC256/AC255-1,"")</x:f>
        <x:v>0.001627355772674699</x:v>
      </x:c>
      <x:c r="AF256" s="153" t="n">
        <x:v>15.81</x:v>
      </x:c>
      <x:c r="AG256" s="155" t="n">
        <x:v>45698</x:v>
      </x:c>
      <x:c r="AH256" s="153" t="n">
        <x:f>IFERROR(AF256-AF255,"")</x:f>
        <x:v>-0.7299999999999986</x:v>
      </x:c>
      <x:c r="AI256" s="153" t="n">
        <x:v>4.33</x:v>
      </x:c>
      <x:c r="AJ256" s="155" t="n">
        <x:v>45695</x:v>
      </x:c>
      <x:c r="AK256" s="159" t="n">
        <x:v>209533</x:v>
      </x:c>
      <x:c r="AL256" s="154" t="n">
        <x:v>0.3865893978642224</x:v>
      </x:c>
      <x:c r="AM256" s="159" t="n">
        <x:v>-63444</x:v>
      </x:c>
      <x:c r="AN256" s="155" t="n">
        <x:v>45695</x:v>
      </x:c>
      <x:c r="AO256" s="159" t="n">
        <x:v>36247</x:v>
      </x:c>
      <x:c r="AP256" s="154" t="n">
        <x:v>0.2123109543947612</x:v>
      </x:c>
      <x:c r="AQ256" s="159" t="n">
        <x:v>-38487</x:v>
      </x:c>
      <x:c r="AR256" s="147" t="str">
        <x:v>美国市场指标与CFTC数据均使用严格早于上金所交易日的最后已发布值</x:v>
      </x:c>
    </x:row>
    <x:row r="257">
      <x:c r="A257" s="155" t="n">
        <x:v>45700</x:v>
      </x:c>
      <x:c r="B257" s="153" t="n">
        <x:v>681</x:v>
      </x:c>
      <x:c r="C257" s="153" t="n">
        <x:v>682.81</x:v>
      </x:c>
      <x:c r="D257" s="153" t="n">
        <x:v>677.5</x:v>
      </x:c>
      <x:c r="E257" s="153" t="n">
        <x:v>680.21</x:v>
      </x:c>
      <x:c r="F257" s="154" t="n">
        <x:f>IFERROR(E257/E256-1,"")</x:f>
        <x:v>-0.004842579588014928</x:v>
      </x:c>
      <x:c r="G257" s="154" t="n">
        <x:f>IFERROR((C257-D257)/E256,"")</x:f>
        <x:v>0.007768609550561718</x:v>
      </x:c>
      <x:c r="H257" s="153" t="n">
        <x:v>679.96</x:v>
      </x:c>
      <x:c r="I257" s="158" t="n">
        <x:v>12594.46</x:v>
      </x:c>
      <x:c r="J257" s="158" t="n">
        <x:v>8563831950.6</x:v>
      </x:c>
      <x:c r="K257" s="158"/>
      <x:c r="L257" s="153" t="n">
        <x:v>7964</x:v>
      </x:c>
      <x:c r="M257" s="153" t="n">
        <x:v>7975</x:v>
      </x:c>
      <x:c r="N257" s="153" t="n">
        <x:v>7825</x:v>
      </x:c>
      <x:c r="O257" s="153" t="n">
        <x:v>7956</x:v>
      </x:c>
      <x:c r="P257" s="154" t="n">
        <x:f>IFERROR(O257/O256-1,"")</x:f>
        <x:v>0.0002514458134272868</x:v>
      </x:c>
      <x:c r="Q257" s="154" t="n">
        <x:f>IFERROR((M257-N257)/O256,"")</x:f>
        <x:v>0.018858436007040482</x:v>
      </x:c>
      <x:c r="R257" s="153" t="n">
        <x:v>7914</x:v>
      </x:c>
      <x:c r="S257" s="158" t="n">
        <x:v>437050</x:v>
      </x:c>
      <x:c r="T257" s="158" t="n">
        <x:v>3459147248</x:v>
      </x:c>
      <x:c r="U257" s="158" t="n">
        <x:v>3668410</x:v>
      </x:c>
      <x:c r="V257" s="153" t="n">
        <x:f>IFERROR(E257*1000/O257,"")</x:f>
        <x:v>85.49648064353947</x:v>
      </x:c>
      <x:c r="W257" s="153" t="n">
        <x:v>4.54</x:v>
      </x:c>
      <x:c r="X257" s="155" t="n">
        <x:v>45699</x:v>
      </x:c>
      <x:c r="Y257" s="153" t="n">
        <x:v>2.08</x:v>
      </x:c>
      <x:c r="Z257" s="155" t="n">
        <x:v>45699</x:v>
      </x:c>
      <x:c r="AA257" s="153" t="n">
        <x:f>IFERROR(Y257-Y256,"")</x:f>
        <x:v>0.010000000000000231</x:v>
      </x:c>
      <x:c r="AB257" s="153" t="n">
        <x:v>2.46</x:v>
      </x:c>
      <x:c r="AC257" s="153" t="n">
        <x:v>128.4322</x:v>
      </x:c>
      <x:c r="AD257" s="155" t="n">
        <x:v>45699</x:v>
      </x:c>
      <x:c r="AE257" s="154" t="n">
        <x:f>IFERROR(AC257/AC256-1,"")</x:f>
        <x:v>-0.0016013905667213724</x:v>
      </x:c>
      <x:c r="AF257" s="153" t="n">
        <x:v>16.02</x:v>
      </x:c>
      <x:c r="AG257" s="155" t="n">
        <x:v>45699</x:v>
      </x:c>
      <x:c r="AH257" s="153" t="n">
        <x:f>IFERROR(AF257-AF256,"")</x:f>
        <x:v>0.20999999999999908</x:v>
      </x:c>
      <x:c r="AI257" s="153" t="n">
        <x:v>4.33</x:v>
      </x:c>
      <x:c r="AJ257" s="155" t="n">
        <x:v>45695</x:v>
      </x:c>
      <x:c r="AK257" s="159" t="n">
        <x:v>209533</x:v>
      </x:c>
      <x:c r="AL257" s="154" t="n">
        <x:v>0.3865893978642224</x:v>
      </x:c>
      <x:c r="AM257" s="159" t="n">
        <x:v>-63444</x:v>
      </x:c>
      <x:c r="AN257" s="155" t="n">
        <x:v>45695</x:v>
      </x:c>
      <x:c r="AO257" s="159" t="n">
        <x:v>36247</x:v>
      </x:c>
      <x:c r="AP257" s="154" t="n">
        <x:v>0.2123109543947612</x:v>
      </x:c>
      <x:c r="AQ257" s="159" t="n">
        <x:v>-38487</x:v>
      </x:c>
      <x:c r="AR257" s="147" t="str">
        <x:v>美国市场指标与CFTC数据均使用严格早于上金所交易日的最后已发布值</x:v>
      </x:c>
    </x:row>
    <x:row r="258">
      <x:c r="A258" s="155" t="n">
        <x:v>45701</x:v>
      </x:c>
      <x:c r="B258" s="153" t="n">
        <x:v>677.8</x:v>
      </x:c>
      <x:c r="C258" s="153" t="n">
        <x:v>685.47</x:v>
      </x:c>
      <x:c r="D258" s="153" t="n">
        <x:v>675</x:v>
      </x:c>
      <x:c r="E258" s="153" t="n">
        <x:v>683.86</x:v>
      </x:c>
      <x:c r="F258" s="154" t="n">
        <x:f>IFERROR(E258/E257-1,"")</x:f>
        <x:v>0.005365989914879243</x:v>
      </x:c>
      <x:c r="G258" s="154" t="n">
        <x:f>IFERROR((C258-D258)/E257,"")</x:f>
        <x:v>0.015392305317475525</x:v>
      </x:c>
      <x:c r="H258" s="153" t="n">
        <x:v>683.76</x:v>
      </x:c>
      <x:c r="I258" s="158" t="n">
        <x:v>12135.32</x:v>
      </x:c>
      <x:c r="J258" s="158" t="n">
        <x:v>8297688804</x:v>
      </x:c>
      <x:c r="K258" s="158"/>
      <x:c r="L258" s="153" t="n">
        <x:v>7946</x:v>
      </x:c>
      <x:c r="M258" s="153" t="n">
        <x:v>8037</x:v>
      </x:c>
      <x:c r="N258" s="153" t="n">
        <x:v>7883</x:v>
      </x:c>
      <x:c r="O258" s="153" t="n">
        <x:v>8019</x:v>
      </x:c>
      <x:c r="P258" s="154" t="n">
        <x:f>IFERROR(O258/O257-1,"")</x:f>
        <x:v>0.007918552036199067</x:v>
      </x:c>
      <x:c r="Q258" s="154" t="n">
        <x:f>IFERROR((M258-N258)/O257,"")</x:f>
        <x:v>0.019356460532931122</x:v>
      </x:c>
      <x:c r="R258" s="153" t="n">
        <x:v>7993</x:v>
      </x:c>
      <x:c r="S258" s="158" t="n">
        <x:v>408678</x:v>
      </x:c>
      <x:c r="T258" s="158" t="n">
        <x:v>3266916750</x:v>
      </x:c>
      <x:c r="U258" s="158" t="n">
        <x:v>3649666</x:v>
      </x:c>
      <x:c r="V258" s="153" t="n">
        <x:f>IFERROR(E258*1000/O258,"")</x:f>
        <x:v>85.2799600947749</x:v>
      </x:c>
      <x:c r="W258" s="153" t="n">
        <x:v>4.62</x:v>
      </x:c>
      <x:c r="X258" s="155" t="n">
        <x:v>45700</x:v>
      </x:c>
      <x:c r="Y258" s="153" t="n">
        <x:v>2.16</x:v>
      </x:c>
      <x:c r="Z258" s="155" t="n">
        <x:v>45700</x:v>
      </x:c>
      <x:c r="AA258" s="153" t="n">
        <x:f>IFERROR(Y258-Y257,"")</x:f>
        <x:v>0.08000000000000007</x:v>
      </x:c>
      <x:c r="AB258" s="153" t="n">
        <x:v>2.46</x:v>
      </x:c>
      <x:c r="AC258" s="153" t="n">
        <x:v>128.3288</x:v>
      </x:c>
      <x:c r="AD258" s="155" t="n">
        <x:v>45700</x:v>
      </x:c>
      <x:c r="AE258" s="154" t="n">
        <x:f>IFERROR(AC258/AC257-1,"")</x:f>
        <x:v>-0.0008050940496230341</x:v>
      </x:c>
      <x:c r="AF258" s="153" t="n">
        <x:v>15.89</x:v>
      </x:c>
      <x:c r="AG258" s="155" t="n">
        <x:v>45700</x:v>
      </x:c>
      <x:c r="AH258" s="153" t="n">
        <x:f>IFERROR(AF258-AF257,"")</x:f>
        <x:v>-0.129999999999999</x:v>
      </x:c>
      <x:c r="AI258" s="153" t="n">
        <x:v>4.33</x:v>
      </x:c>
      <x:c r="AJ258" s="155" t="n">
        <x:v>45695</x:v>
      </x:c>
      <x:c r="AK258" s="159" t="n">
        <x:v>209533</x:v>
      </x:c>
      <x:c r="AL258" s="154" t="n">
        <x:v>0.3865893978642224</x:v>
      </x:c>
      <x:c r="AM258" s="159" t="n">
        <x:v>-63444</x:v>
      </x:c>
      <x:c r="AN258" s="155" t="n">
        <x:v>45695</x:v>
      </x:c>
      <x:c r="AO258" s="159" t="n">
        <x:v>36247</x:v>
      </x:c>
      <x:c r="AP258" s="154" t="n">
        <x:v>0.2123109543947612</x:v>
      </x:c>
      <x:c r="AQ258" s="159" t="n">
        <x:v>-38487</x:v>
      </x:c>
      <x:c r="AR258" s="147" t="str">
        <x:v>美国市场指标与CFTC数据均使用严格早于上金所交易日的最后已发布值</x:v>
      </x:c>
    </x:row>
    <x:row r="259">
      <x:c r="A259" s="155" t="n">
        <x:v>45702</x:v>
      </x:c>
      <x:c r="B259" s="153" t="n">
        <x:v>684.5</x:v>
      </x:c>
      <x:c r="C259" s="153" t="n">
        <x:v>687.5</x:v>
      </x:c>
      <x:c r="D259" s="153" t="n">
        <x:v>683.5</x:v>
      </x:c>
      <x:c r="E259" s="153" t="n">
        <x:v>686.58</x:v>
      </x:c>
      <x:c r="F259" s="154" t="n">
        <x:f>IFERROR(E259/E258-1,"")</x:f>
        <x:v>0.003977422279414</x:v>
      </x:c>
      <x:c r="G259" s="154" t="n">
        <x:f>IFERROR((C259-D259)/E258,"")</x:f>
        <x:v>0.005849150410902816</x:v>
      </x:c>
      <x:c r="H259" s="153" t="n">
        <x:v>686.6</x:v>
      </x:c>
      <x:c r="I259" s="158" t="n">
        <x:v>10894.24</x:v>
      </x:c>
      <x:c r="J259" s="158" t="n">
        <x:v>7480077366.4</x:v>
      </x:c>
      <x:c r="K259" s="158"/>
      <x:c r="L259" s="153" t="n">
        <x:v>8019</x:v>
      </x:c>
      <x:c r="M259" s="153" t="n">
        <x:v>8243</x:v>
      </x:c>
      <x:c r="N259" s="153" t="n">
        <x:v>7960</x:v>
      </x:c>
      <x:c r="O259" s="153" t="n">
        <x:v>8234</x:v>
      </x:c>
      <x:c r="P259" s="154" t="n">
        <x:f>IFERROR(O259/O258-1,"")</x:f>
        <x:v>0.026811323107619467</x:v>
      </x:c>
      <x:c r="Q259" s="154" t="n">
        <x:f>IFERROR((M259-N259)/O258,"")</x:f>
        <x:v>0.03529118343933159</x:v>
      </x:c>
      <x:c r="R259" s="153" t="n">
        <x:v>8123</x:v>
      </x:c>
      <x:c r="S259" s="158" t="n">
        <x:v>714862</x:v>
      </x:c>
      <x:c r="T259" s="158" t="n">
        <x:v>5807002858</x:v>
      </x:c>
      <x:c r="U259" s="158" t="n">
        <x:v>3776960</x:v>
      </x:c>
      <x:c r="V259" s="153" t="n">
        <x:f>IFERROR(E259*1000/O259,"")</x:f>
        <x:v>83.38353169783824</x:v>
      </x:c>
      <x:c r="W259" s="153" t="n">
        <x:v>4.52</x:v>
      </x:c>
      <x:c r="X259" s="155" t="n">
        <x:v>45701</x:v>
      </x:c>
      <x:c r="Y259" s="153" t="n">
        <x:v>2.08</x:v>
      </x:c>
      <x:c r="Z259" s="155" t="n">
        <x:v>45701</x:v>
      </x:c>
      <x:c r="AA259" s="153" t="n">
        <x:f>IFERROR(Y259-Y258,"")</x:f>
        <x:v>-0.08000000000000007</x:v>
      </x:c>
      <x:c r="AB259" s="153" t="n">
        <x:v>2.44</x:v>
      </x:c>
      <x:c r="AC259" s="153" t="n">
        <x:v>127.8931</x:v>
      </x:c>
      <x:c r="AD259" s="155" t="n">
        <x:v>45701</x:v>
      </x:c>
      <x:c r="AE259" s="154" t="n">
        <x:f>IFERROR(AC259/AC258-1,"")</x:f>
        <x:v>-0.0033951848688680286</x:v>
      </x:c>
      <x:c r="AF259" s="153" t="n">
        <x:v>15.1</x:v>
      </x:c>
      <x:c r="AG259" s="155" t="n">
        <x:v>45701</x:v>
      </x:c>
      <x:c r="AH259" s="153" t="n">
        <x:f>IFERROR(AF259-AF258,"")</x:f>
        <x:v>-0.7900000000000009</x:v>
      </x:c>
      <x:c r="AI259" s="153" t="n">
        <x:v>4.33</x:v>
      </x:c>
      <x:c r="AJ259" s="155" t="n">
        <x:v>45695</x:v>
      </x:c>
      <x:c r="AK259" s="159" t="n">
        <x:v>209533</x:v>
      </x:c>
      <x:c r="AL259" s="154" t="n">
        <x:v>0.3865893978642224</x:v>
      </x:c>
      <x:c r="AM259" s="159" t="n">
        <x:v>-63444</x:v>
      </x:c>
      <x:c r="AN259" s="155" t="n">
        <x:v>45695</x:v>
      </x:c>
      <x:c r="AO259" s="159" t="n">
        <x:v>36247</x:v>
      </x:c>
      <x:c r="AP259" s="154" t="n">
        <x:v>0.2123109543947612</x:v>
      </x:c>
      <x:c r="AQ259" s="159" t="n">
        <x:v>-38487</x:v>
      </x:c>
      <x:c r="AR259" s="147" t="str">
        <x:v>美国市场指标与CFTC数据均使用严格早于上金所交易日的最后已发布值</x:v>
      </x:c>
    </x:row>
    <x:row r="260">
      <x:c r="A260" s="155" t="n">
        <x:v>45705</x:v>
      </x:c>
      <x:c r="B260" s="153" t="n">
        <x:v>686</x:v>
      </x:c>
      <x:c r="C260" s="153" t="n">
        <x:v>687</x:v>
      </x:c>
      <x:c r="D260" s="153" t="n">
        <x:v>674</x:v>
      </x:c>
      <x:c r="E260" s="153" t="n">
        <x:v>676.28</x:v>
      </x:c>
      <x:c r="F260" s="154" t="n">
        <x:f>IFERROR(E260/E259-1,"")</x:f>
        <x:v>-0.015001893442861847</x:v>
      </x:c>
      <x:c r="G260" s="154" t="n">
        <x:f>IFERROR((C260-D260)/E259,"")</x:f>
        <x:v>0.01893442861720411</x:v>
      </x:c>
      <x:c r="H260" s="153" t="n">
        <x:v>675.95</x:v>
      </x:c>
      <x:c r="I260" s="158" t="n">
        <x:v>15275.02</x:v>
      </x:c>
      <x:c r="J260" s="158" t="n">
        <x:v>10325293532.6</x:v>
      </x:c>
      <x:c r="K260" s="158"/>
      <x:c r="L260" s="153" t="n">
        <x:v>8245</x:v>
      </x:c>
      <x:c r="M260" s="153" t="n">
        <x:v>8263</x:v>
      </x:c>
      <x:c r="N260" s="153" t="n">
        <x:v>7948</x:v>
      </x:c>
      <x:c r="O260" s="153" t="n">
        <x:v>8010</x:v>
      </x:c>
      <x:c r="P260" s="154" t="n">
        <x:f>IFERROR(O260/O259-1,"")</x:f>
        <x:v>-0.027204274957493335</x:v>
      </x:c>
      <x:c r="Q260" s="154" t="n">
        <x:f>IFERROR((M260-N260)/O259,"")</x:f>
        <x:v>0.038256011658974985</x:v>
      </x:c>
      <x:c r="R260" s="153" t="n">
        <x:v>8073</x:v>
      </x:c>
      <x:c r="S260" s="158" t="n">
        <x:v>626286</x:v>
      </x:c>
      <x:c r="T260" s="158" t="n">
        <x:v>5056134808</x:v>
      </x:c>
      <x:c r="U260" s="158" t="n">
        <x:v>3781212</x:v>
      </x:c>
      <x:c r="V260" s="153" t="n">
        <x:f>IFERROR(E260*1000/O260,"")</x:f>
        <x:v>84.4294631710362</x:v>
      </x:c>
      <x:c r="W260" s="153" t="n">
        <x:v>4.47</x:v>
      </x:c>
      <x:c r="X260" s="155" t="n">
        <x:v>45702</x:v>
      </x:c>
      <x:c r="Y260" s="153" t="n">
        <x:v>2.04</x:v>
      </x:c>
      <x:c r="Z260" s="155" t="n">
        <x:v>45702</x:v>
      </x:c>
      <x:c r="AA260" s="153" t="n">
        <x:f>IFERROR(Y260-Y259,"")</x:f>
        <x:v>-0.040000000000000036</x:v>
      </x:c>
      <x:c r="AB260" s="153" t="n">
        <x:v>2.43</x:v>
      </x:c>
      <x:c r="AC260" s="153" t="n">
        <x:v>127.1491</x:v>
      </x:c>
      <x:c r="AD260" s="155" t="n">
        <x:v>45702</x:v>
      </x:c>
      <x:c r="AE260" s="154" t="n">
        <x:f>IFERROR(AC260/AC259-1,"")</x:f>
        <x:v>-0.005817358403228945</x:v>
      </x:c>
      <x:c r="AF260" s="153" t="n">
        <x:v>14.77</x:v>
      </x:c>
      <x:c r="AG260" s="155" t="n">
        <x:v>45702</x:v>
      </x:c>
      <x:c r="AH260" s="153" t="n">
        <x:f>IFERROR(AF260-AF259,"")</x:f>
        <x:v>-0.33000000000000007</x:v>
      </x:c>
      <x:c r="AI260" s="153" t="n">
        <x:v>4.33</x:v>
      </x:c>
      <x:c r="AJ260" s="155" t="n">
        <x:v>45702</x:v>
      </x:c>
      <x:c r="AK260" s="159" t="n">
        <x:v>194803</x:v>
      </x:c>
      <x:c r="AL260" s="154" t="n">
        <x:v>0.3684433508158398</x:v>
      </x:c>
      <x:c r="AM260" s="159" t="n">
        <x:v>-60901</x:v>
      </x:c>
      <x:c r="AN260" s="155" t="n">
        <x:v>45702</x:v>
      </x:c>
      <x:c r="AO260" s="159" t="n">
        <x:v>34376</x:v>
      </x:c>
      <x:c r="AP260" s="154" t="n">
        <x:v>0.2092894411601756</x:v>
      </x:c>
      <x:c r="AQ260" s="159" t="n">
        <x:v>-37306</x:v>
      </x:c>
      <x:c r="AR260" s="147" t="str">
        <x:v>美国市场指标与CFTC数据均使用严格早于上金所交易日的最后已发布值</x:v>
      </x:c>
    </x:row>
    <x:row r="261">
      <x:c r="A261" s="155" t="n">
        <x:v>45706</x:v>
      </x:c>
      <x:c r="B261" s="153" t="n">
        <x:v>677</x:v>
      </x:c>
      <x:c r="C261" s="153" t="n">
        <x:v>683.4</x:v>
      </x:c>
      <x:c r="D261" s="153" t="n">
        <x:v>676.8</x:v>
      </x:c>
      <x:c r="E261" s="153" t="n">
        <x:v>682.85</x:v>
      </x:c>
      <x:c r="F261" s="154" t="n">
        <x:f>IFERROR(E261/E260-1,"")</x:f>
        <x:v>0.00971491098361632</x:v>
      </x:c>
      <x:c r="G261" s="154" t="n">
        <x:f>IFERROR((C261-D261)/E260,"")</x:f>
        <x:v>0.009759271307742389</x:v>
      </x:c>
      <x:c r="H261" s="153" t="n">
        <x:v>680.86</x:v>
      </x:c>
      <x:c r="I261" s="158" t="n">
        <x:v>10441.16</x:v>
      </x:c>
      <x:c r="J261" s="158" t="n">
        <x:v>7109019901.2</x:v>
      </x:c>
      <x:c r="K261" s="158"/>
      <x:c r="L261" s="153" t="n">
        <x:v>8040</x:v>
      </x:c>
      <x:c r="M261" s="153" t="n">
        <x:v>8086</x:v>
      </x:c>
      <x:c r="N261" s="153" t="n">
        <x:v>7978</x:v>
      </x:c>
      <x:c r="O261" s="153" t="n">
        <x:v>8068</x:v>
      </x:c>
      <x:c r="P261" s="154" t="n">
        <x:f>IFERROR(O261/O260-1,"")</x:f>
        <x:v>0.007240948813982628</x:v>
      </x:c>
      <x:c r="Q261" s="154" t="n">
        <x:f>IFERROR((M261-N261)/O260,"")</x:f>
        <x:v>0.01348314606741573</x:v>
      </x:c>
      <x:c r="R261" s="153" t="n">
        <x:v>8040</x:v>
      </x:c>
      <x:c r="S261" s="158" t="n">
        <x:v>449730</x:v>
      </x:c>
      <x:c r="T261" s="158" t="n">
        <x:v>3616063240</x:v>
      </x:c>
      <x:c r="U261" s="158" t="n">
        <x:v>3789058</x:v>
      </x:c>
      <x:c r="V261" s="153" t="n">
        <x:f>IFERROR(E261*1000/O261,"")</x:f>
        <x:v>84.63683688646505</x:v>
      </x:c>
      <x:c r="W261" s="153" t="n">
        <x:v>4.47</x:v>
      </x:c>
      <x:c r="X261" s="155" t="n">
        <x:v>45702</x:v>
      </x:c>
      <x:c r="Y261" s="153" t="n">
        <x:v>2.04</x:v>
      </x:c>
      <x:c r="Z261" s="155" t="n">
        <x:v>45702</x:v>
      </x:c>
      <x:c r="AA261" s="153" t="n">
        <x:f>IFERROR(Y261-Y260,"")</x:f>
        <x:v>0</x:v>
      </x:c>
      <x:c r="AB261" s="153" t="n">
        <x:v>2.43</x:v>
      </x:c>
      <x:c r="AC261" s="153" t="n">
        <x:v>127.1491</x:v>
      </x:c>
      <x:c r="AD261" s="155" t="n">
        <x:v>45702</x:v>
      </x:c>
      <x:c r="AE261" s="154" t="n">
        <x:f>IFERROR(AC261/AC260-1,"")</x:f>
        <x:v>0</x:v>
      </x:c>
      <x:c r="AF261" s="153" t="n">
        <x:v>15.37</x:v>
      </x:c>
      <x:c r="AG261" s="155" t="n">
        <x:v>45705</x:v>
      </x:c>
      <x:c r="AH261" s="153" t="n">
        <x:f>IFERROR(AF261-AF260,"")</x:f>
        <x:v>0.5999999999999996</x:v>
      </x:c>
      <x:c r="AI261" s="153" t="n">
        <x:v>4.33</x:v>
      </x:c>
      <x:c r="AJ261" s="155" t="n">
        <x:v>45702</x:v>
      </x:c>
      <x:c r="AK261" s="159" t="n">
        <x:v>194803</x:v>
      </x:c>
      <x:c r="AL261" s="154" t="n">
        <x:v>0.3684433508158398</x:v>
      </x:c>
      <x:c r="AM261" s="159" t="n">
        <x:v>-60901</x:v>
      </x:c>
      <x:c r="AN261" s="155" t="n">
        <x:v>45702</x:v>
      </x:c>
      <x:c r="AO261" s="159" t="n">
        <x:v>34376</x:v>
      </x:c>
      <x:c r="AP261" s="154" t="n">
        <x:v>0.2092894411601756</x:v>
      </x:c>
      <x:c r="AQ261" s="159" t="n">
        <x:v>-37306</x:v>
      </x:c>
      <x:c r="AR261" s="147" t="str">
        <x:v>美国市场指标与CFTC数据均使用严格早于上金所交易日的最后已发布值</x:v>
      </x:c>
    </x:row>
    <x:row r="262">
      <x:c r="A262" s="155" t="n">
        <x:v>45707</x:v>
      </x:c>
      <x:c r="B262" s="153" t="n">
        <x:v>685</x:v>
      </x:c>
      <x:c r="C262" s="153" t="n">
        <x:v>689.99</x:v>
      </x:c>
      <x:c r="D262" s="153" t="n">
        <x:v>682</x:v>
      </x:c>
      <x:c r="E262" s="153" t="n">
        <x:v>686.9</x:v>
      </x:c>
      <x:c r="F262" s="154" t="n">
        <x:f>IFERROR(E262/E261-1,"")</x:f>
        <x:v>0.005931024383100114</x:v>
      </x:c>
      <x:c r="G262" s="154" t="n">
        <x:f>IFERROR((C262-D262)/E261,"")</x:f>
        <x:v>0.011700959215054563</x:v>
      </x:c>
      <x:c r="H262" s="153" t="n">
        <x:v>687.2</x:v>
      </x:c>
      <x:c r="I262" s="158" t="n">
        <x:v>9960.9</x:v>
      </x:c>
      <x:c r="J262" s="158" t="n">
        <x:v>6845156885.2</x:v>
      </x:c>
      <x:c r="K262" s="158"/>
      <x:c r="L262" s="153" t="n">
        <x:v>8068</x:v>
      </x:c>
      <x:c r="M262" s="153" t="n">
        <x:v>8144</x:v>
      </x:c>
      <x:c r="N262" s="153" t="n">
        <x:v>8048</x:v>
      </x:c>
      <x:c r="O262" s="153" t="n">
        <x:v>8109</x:v>
      </x:c>
      <x:c r="P262" s="154" t="n">
        <x:f>IFERROR(O262/O261-1,"")</x:f>
        <x:v>0.005081804660386657</x:v>
      </x:c>
      <x:c r="Q262" s="154" t="n">
        <x:f>IFERROR((M262-N262)/O261,"")</x:f>
        <x:v>0.011898859692612791</x:v>
      </x:c>
      <x:c r="R262" s="153" t="n">
        <x:v>8109</x:v>
      </x:c>
      <x:c r="S262" s="158" t="n">
        <x:v>441078</x:v>
      </x:c>
      <x:c r="T262" s="158" t="n">
        <x:v>3576797482</x:v>
      </x:c>
      <x:c r="U262" s="158" t="n">
        <x:v>3759760</x:v>
      </x:c>
      <x:c r="V262" s="153" t="n">
        <x:f>IFERROR(E262*1000/O262,"")</x:f>
        <x:v>84.70834874830436</x:v>
      </x:c>
      <x:c r="W262" s="153" t="n">
        <x:v>4.55</x:v>
      </x:c>
      <x:c r="X262" s="155" t="n">
        <x:v>45706</x:v>
      </x:c>
      <x:c r="Y262" s="153" t="n">
        <x:v>2.1</x:v>
      </x:c>
      <x:c r="Z262" s="155" t="n">
        <x:v>45706</x:v>
      </x:c>
      <x:c r="AA262" s="153" t="n">
        <x:f>IFERROR(Y262-Y261,"")</x:f>
        <x:v>0.06000000000000005</x:v>
      </x:c>
      <x:c r="AB262" s="153" t="n">
        <x:v>2.45</x:v>
      </x:c>
      <x:c r="AC262" s="153" t="n">
        <x:v>127.2906</x:v>
      </x:c>
      <x:c r="AD262" s="155" t="n">
        <x:v>45706</x:v>
      </x:c>
      <x:c r="AE262" s="154" t="n">
        <x:f>IFERROR(AC262/AC261-1,"")</x:f>
        <x:v>0.001112866705308857</x:v>
      </x:c>
      <x:c r="AF262" s="153" t="n">
        <x:v>15.35</x:v>
      </x:c>
      <x:c r="AG262" s="155" t="n">
        <x:v>45706</x:v>
      </x:c>
      <x:c r="AH262" s="153" t="n">
        <x:f>IFERROR(AF262-AF261,"")</x:f>
        <x:v>-0.019999999999999574</x:v>
      </x:c>
      <x:c r="AI262" s="153" t="n">
        <x:v>4.33</x:v>
      </x:c>
      <x:c r="AJ262" s="155" t="n">
        <x:v>45702</x:v>
      </x:c>
      <x:c r="AK262" s="159" t="n">
        <x:v>194803</x:v>
      </x:c>
      <x:c r="AL262" s="154" t="n">
        <x:v>0.3684433508158398</x:v>
      </x:c>
      <x:c r="AM262" s="159" t="n">
        <x:v>-60901</x:v>
      </x:c>
      <x:c r="AN262" s="155" t="n">
        <x:v>45702</x:v>
      </x:c>
      <x:c r="AO262" s="159" t="n">
        <x:v>34376</x:v>
      </x:c>
      <x:c r="AP262" s="154" t="n">
        <x:v>0.2092894411601756</x:v>
      </x:c>
      <x:c r="AQ262" s="159" t="n">
        <x:v>-37306</x:v>
      </x:c>
      <x:c r="AR262" s="147" t="str">
        <x:v>美国市场指标与CFTC数据均使用严格早于上金所交易日的最后已发布值</x:v>
      </x:c>
    </x:row>
    <x:row r="263">
      <x:c r="A263" s="155" t="n">
        <x:v>45708</x:v>
      </x:c>
      <x:c r="B263" s="153" t="n">
        <x:v>688</x:v>
      </x:c>
      <x:c r="C263" s="153" t="n">
        <x:v>689.49</x:v>
      </x:c>
      <x:c r="D263" s="153" t="n">
        <x:v>684</x:v>
      </x:c>
      <x:c r="E263" s="153" t="n">
        <x:v>689.18</x:v>
      </x:c>
      <x:c r="F263" s="154" t="n">
        <x:f>IFERROR(E263/E262-1,"")</x:f>
        <x:v>0.0033192604454796992</x:v>
      </x:c>
      <x:c r="G263" s="154" t="n">
        <x:f>IFERROR((C263-D263)/E262,"")</x:f>
        <x:v>0.007992429756878744</x:v>
      </x:c>
      <x:c r="H263" s="153" t="n">
        <x:v>687.95</x:v>
      </x:c>
      <x:c r="I263" s="158" t="n">
        <x:v>9567.86</x:v>
      </x:c>
      <x:c r="J263" s="158" t="n">
        <x:v>6582224119.6</x:v>
      </x:c>
      <x:c r="K263" s="158"/>
      <x:c r="L263" s="153" t="n">
        <x:v>8130</x:v>
      </x:c>
      <x:c r="M263" s="153" t="n">
        <x:v>8155</x:v>
      </x:c>
      <x:c r="N263" s="153" t="n">
        <x:v>8055</x:v>
      </x:c>
      <x:c r="O263" s="153" t="n">
        <x:v>8141</x:v>
      </x:c>
      <x:c r="P263" s="154" t="n">
        <x:f>IFERROR(O263/O262-1,"")</x:f>
        <x:v>0.0039462325810828425</x:v>
      </x:c>
      <x:c r="Q263" s="154" t="n">
        <x:f>IFERROR((M263-N263)/O262,"")</x:f>
        <x:v>0.012331976815883586</x:v>
      </x:c>
      <x:c r="R263" s="153" t="n">
        <x:v>8119</x:v>
      </x:c>
      <x:c r="S263" s="158" t="n">
        <x:v>464968</x:v>
      </x:c>
      <x:c r="T263" s="158" t="n">
        <x:v>3775157558</x:v>
      </x:c>
      <x:c r="U263" s="158" t="n">
        <x:v>3837532</x:v>
      </x:c>
      <x:c r="V263" s="153" t="n">
        <x:f>IFERROR(E263*1000/O263,"")</x:f>
        <x:v>84.65544773369365</x:v>
      </x:c>
      <x:c r="W263" s="153" t="n">
        <x:v>4.53</x:v>
      </x:c>
      <x:c r="X263" s="155" t="n">
        <x:v>45707</x:v>
      </x:c>
      <x:c r="Y263" s="153" t="n">
        <x:v>2.08</x:v>
      </x:c>
      <x:c r="Z263" s="155" t="n">
        <x:v>45707</x:v>
      </x:c>
      <x:c r="AA263" s="153" t="n">
        <x:f>IFERROR(Y263-Y262,"")</x:f>
        <x:v>-0.020000000000000018</x:v>
      </x:c>
      <x:c r="AB263" s="153" t="n">
        <x:v>2.45</x:v>
      </x:c>
      <x:c r="AC263" s="153" t="n">
        <x:v>127.7317</x:v>
      </x:c>
      <x:c r="AD263" s="155" t="n">
        <x:v>45707</x:v>
      </x:c>
      <x:c r="AE263" s="154" t="n">
        <x:f>IFERROR(AC263/AC262-1,"")</x:f>
        <x:v>0.003465299087285434</x:v>
      </x:c>
      <x:c r="AF263" s="153" t="n">
        <x:v>15.27</x:v>
      </x:c>
      <x:c r="AG263" s="155" t="n">
        <x:v>45707</x:v>
      </x:c>
      <x:c r="AH263" s="153" t="n">
        <x:f>IFERROR(AF263-AF262,"")</x:f>
        <x:v>-0.08000000000000007</x:v>
      </x:c>
      <x:c r="AI263" s="153" t="n">
        <x:v>4.33</x:v>
      </x:c>
      <x:c r="AJ263" s="155" t="n">
        <x:v>45702</x:v>
      </x:c>
      <x:c r="AK263" s="159" t="n">
        <x:v>194803</x:v>
      </x:c>
      <x:c r="AL263" s="154" t="n">
        <x:v>0.3684433508158398</x:v>
      </x:c>
      <x:c r="AM263" s="159" t="n">
        <x:v>-60901</x:v>
      </x:c>
      <x:c r="AN263" s="155" t="n">
        <x:v>45702</x:v>
      </x:c>
      <x:c r="AO263" s="159" t="n">
        <x:v>34376</x:v>
      </x:c>
      <x:c r="AP263" s="154" t="n">
        <x:v>0.2092894411601756</x:v>
      </x:c>
      <x:c r="AQ263" s="159" t="n">
        <x:v>-37306</x:v>
      </x:c>
      <x:c r="AR263" s="147" t="str">
        <x:v>美国市场指标与CFTC数据均使用严格早于上金所交易日的最后已发布值</x:v>
      </x:c>
    </x:row>
    <x:row r="264">
      <x:c r="A264" s="155" t="n">
        <x:v>45709</x:v>
      </x:c>
      <x:c r="B264" s="153" t="n">
        <x:v>688.3</x:v>
      </x:c>
      <x:c r="C264" s="153" t="n">
        <x:v>690</x:v>
      </x:c>
      <x:c r="D264" s="153" t="n">
        <x:v>681.2</x:v>
      </x:c>
      <x:c r="E264" s="153" t="n">
        <x:v>683.47</x:v>
      </x:c>
      <x:c r="F264" s="154" t="n">
        <x:f>IFERROR(E264/E263-1,"")</x:f>
        <x:v>-0.008285208508662323</x:v>
      </x:c>
      <x:c r="G264" s="154" t="n">
        <x:f>IFERROR((C264-D264)/E263,"")</x:f>
        <x:v>0.012768797701616348</x:v>
      </x:c>
      <x:c r="H264" s="153" t="n">
        <x:v>684.35</x:v>
      </x:c>
      <x:c r="I264" s="158" t="n">
        <x:v>10892.72</x:v>
      </x:c>
      <x:c r="J264" s="158" t="n">
        <x:v>7454481001.8</x:v>
      </x:c>
      <x:c r="K264" s="158"/>
      <x:c r="L264" s="153" t="n">
        <x:v>8169</x:v>
      </x:c>
      <x:c r="M264" s="153" t="n">
        <x:v>8174</x:v>
      </x:c>
      <x:c r="N264" s="153" t="n">
        <x:v>8057</x:v>
      </x:c>
      <x:c r="O264" s="153" t="n">
        <x:v>8094</x:v>
      </x:c>
      <x:c r="P264" s="154" t="n">
        <x:f>IFERROR(O264/O263-1,"")</x:f>
        <x:v>-0.005773246529910292</x:v>
      </x:c>
      <x:c r="Q264" s="154" t="n">
        <x:f>IFERROR((M264-N264)/O263,"")</x:f>
        <x:v>0.014371698808500184</x:v>
      </x:c>
      <x:c r="R264" s="153" t="n">
        <x:v>8111</x:v>
      </x:c>
      <x:c r="S264" s="158" t="n">
        <x:v>661258</x:v>
      </x:c>
      <x:c r="T264" s="158" t="n">
        <x:v>5364027202</x:v>
      </x:c>
      <x:c r="U264" s="158" t="n">
        <x:v>3802694</x:v>
      </x:c>
      <x:c r="V264" s="153" t="n">
        <x:f>IFERROR(E264*1000/O264,"")</x:f>
        <x:v>84.4415616506054</x:v>
      </x:c>
      <x:c r="W264" s="153" t="n">
        <x:v>4.5</x:v>
      </x:c>
      <x:c r="X264" s="155" t="n">
        <x:v>45708</x:v>
      </x:c>
      <x:c r="Y264" s="153" t="n">
        <x:v>2.05</x:v>
      </x:c>
      <x:c r="Z264" s="155" t="n">
        <x:v>45708</x:v>
      </x:c>
      <x:c r="AA264" s="153" t="n">
        <x:f>IFERROR(Y264-Y263,"")</x:f>
        <x:v>-0.03000000000000025</x:v>
      </x:c>
      <x:c r="AB264" s="153" t="n">
        <x:v>2.45</x:v>
      </x:c>
      <x:c r="AC264" s="153" t="n">
        <x:v>127.1126</x:v>
      </x:c>
      <x:c r="AD264" s="155" t="n">
        <x:v>45708</x:v>
      </x:c>
      <x:c r="AE264" s="154" t="n">
        <x:f>IFERROR(AC264/AC263-1,"")</x:f>
        <x:v>-0.004846878261230425</x:v>
      </x:c>
      <x:c r="AF264" s="153" t="n">
        <x:v>15.66</x:v>
      </x:c>
      <x:c r="AG264" s="155" t="n">
        <x:v>45708</x:v>
      </x:c>
      <x:c r="AH264" s="153" t="n">
        <x:f>IFERROR(AF264-AF263,"")</x:f>
        <x:v>0.39000000000000057</x:v>
      </x:c>
      <x:c r="AI264" s="153" t="n">
        <x:v>4.33</x:v>
      </x:c>
      <x:c r="AJ264" s="155" t="n">
        <x:v>45702</x:v>
      </x:c>
      <x:c r="AK264" s="159" t="n">
        <x:v>194803</x:v>
      </x:c>
      <x:c r="AL264" s="154" t="n">
        <x:v>0.3684433508158398</x:v>
      </x:c>
      <x:c r="AM264" s="159" t="n">
        <x:v>-60901</x:v>
      </x:c>
      <x:c r="AN264" s="155" t="n">
        <x:v>45702</x:v>
      </x:c>
      <x:c r="AO264" s="159" t="n">
        <x:v>34376</x:v>
      </x:c>
      <x:c r="AP264" s="154" t="n">
        <x:v>0.2092894411601756</x:v>
      </x:c>
      <x:c r="AQ264" s="159" t="n">
        <x:v>-37306</x:v>
      </x:c>
      <x:c r="AR264" s="147" t="str">
        <x:v>美国市场指标与CFTC数据均使用严格早于上金所交易日的最后已发布值</x:v>
      </x:c>
    </x:row>
    <x:row r="265">
      <x:c r="A265" s="155" t="n">
        <x:v>45712</x:v>
      </x:c>
      <x:c r="B265" s="153" t="n">
        <x:v>683</x:v>
      </x:c>
      <x:c r="C265" s="153" t="n">
        <x:v>687</x:v>
      </x:c>
      <x:c r="D265" s="153" t="n">
        <x:v>681.9</x:v>
      </x:c>
      <x:c r="E265" s="153" t="n">
        <x:v>685.58</x:v>
      </x:c>
      <x:c r="F265" s="154" t="n">
        <x:f>IFERROR(E265/E264-1,"")</x:f>
        <x:v>0.0030871874405606903</x:v>
      </x:c>
      <x:c r="G265" s="154" t="n">
        <x:f>IFERROR((C265-D265)/E264,"")</x:f>
        <x:v>0.007461922249696436</x:v>
      </x:c>
      <x:c r="H265" s="153" t="n">
        <x:v>684.63</x:v>
      </x:c>
      <x:c r="I265" s="158" t="n">
        <x:v>12291.68</x:v>
      </x:c>
      <x:c r="J265" s="158" t="n">
        <x:v>8415291486</x:v>
      </x:c>
      <x:c r="K265" s="158"/>
      <x:c r="L265" s="153" t="n">
        <x:v>8100</x:v>
      </x:c>
      <x:c r="M265" s="153" t="n">
        <x:v>8123</x:v>
      </x:c>
      <x:c r="N265" s="153" t="n">
        <x:v>8003</x:v>
      </x:c>
      <x:c r="O265" s="153" t="n">
        <x:v>8074</x:v>
      </x:c>
      <x:c r="P265" s="154" t="n">
        <x:f>IFERROR(O265/O264-1,"")</x:f>
        <x:v>-0.0024709661477637646</x:v>
      </x:c>
      <x:c r="Q265" s="154" t="n">
        <x:f>IFERROR((M265-N265)/O264,"")</x:f>
        <x:v>0.014825796886582653</x:v>
      </x:c>
      <x:c r="R265" s="153" t="n">
        <x:v>8059</x:v>
      </x:c>
      <x:c r="S265" s="158" t="n">
        <x:v>453170</x:v>
      </x:c>
      <x:c r="T265" s="158" t="n">
        <x:v>3652377478</x:v>
      </x:c>
      <x:c r="U265" s="158" t="n">
        <x:v>3796990</x:v>
      </x:c>
      <x:c r="V265" s="153" t="n">
        <x:f>IFERROR(E265*1000/O265,"")</x:f>
        <x:v>84.91206341342581</x:v>
      </x:c>
      <x:c r="W265" s="153" t="n">
        <x:v>4.42</x:v>
      </x:c>
      <x:c r="X265" s="155" t="n">
        <x:v>45709</x:v>
      </x:c>
      <x:c r="Y265" s="153" t="n">
        <x:v>2</x:v>
      </x:c>
      <x:c r="Z265" s="155" t="n">
        <x:v>45709</x:v>
      </x:c>
      <x:c r="AA265" s="153" t="n">
        <x:f>IFERROR(Y265-Y264,"")</x:f>
        <x:v>-0.04999999999999982</x:v>
      </x:c>
      <x:c r="AB265" s="153" t="n">
        <x:v>2.42</x:v>
      </x:c>
      <x:c r="AC265" s="153" t="n">
        <x:v>127.1408</x:v>
      </x:c>
      <x:c r="AD265" s="155" t="n">
        <x:v>45709</x:v>
      </x:c>
      <x:c r="AE265" s="154" t="n">
        <x:f>IFERROR(AC265/AC264-1,"")</x:f>
        <x:v>0.00022185054825407668</x:v>
      </x:c>
      <x:c r="AF265" s="153" t="n">
        <x:v>18.21</x:v>
      </x:c>
      <x:c r="AG265" s="155" t="n">
        <x:v>45709</x:v>
      </x:c>
      <x:c r="AH265" s="153" t="n">
        <x:f>IFERROR(AF265-AF264,"")</x:f>
        <x:v>2.5500000000000007</x:v>
      </x:c>
      <x:c r="AI265" s="153" t="n">
        <x:v>4.33</x:v>
      </x:c>
      <x:c r="AJ265" s="155" t="n">
        <x:v>45709</x:v>
      </x:c>
      <x:c r="AK265" s="159" t="n">
        <x:v>185329</x:v>
      </x:c>
      <x:c r="AL265" s="154" t="n">
        <x:v>0.3548120919725078</x:v>
      </x:c>
      <x:c r="AM265" s="159" t="n">
        <x:v>-60419</x:v>
      </x:c>
      <x:c r="AN265" s="155" t="n">
        <x:v>45709</x:v>
      </x:c>
      <x:c r="AO265" s="159" t="n">
        <x:v>38306</x:v>
      </x:c>
      <x:c r="AP265" s="154" t="n">
        <x:v>0.22518767599216963</x:v>
      </x:c>
      <x:c r="AQ265" s="159" t="n">
        <x:v>-39415</x:v>
      </x:c>
      <x:c r="AR265" s="147" t="str">
        <x:v>美国市场指标与CFTC数据均使用严格早于上金所交易日的最后已发布值</x:v>
      </x:c>
    </x:row>
    <x:row r="266">
      <x:c r="A266" s="155" t="n">
        <x:v>45713</x:v>
      </x:c>
      <x:c r="B266" s="153" t="n">
        <x:v>687.99</x:v>
      </x:c>
      <x:c r="C266" s="153" t="n">
        <x:v>688.59</x:v>
      </x:c>
      <x:c r="D266" s="153" t="n">
        <x:v>684</x:v>
      </x:c>
      <x:c r="E266" s="153" t="n">
        <x:v>685.17</x:v>
      </x:c>
      <x:c r="F266" s="154" t="n">
        <x:f>IFERROR(E266/E265-1,"")</x:f>
        <x:v>-0.0005980337816157144</x:v>
      </x:c>
      <x:c r="G266" s="154" t="n">
        <x:f>IFERROR((C266-D266)/E265,"")</x:f>
        <x:v>0.006695061116135289</x:v>
      </x:c>
      <x:c r="H266" s="153" t="n">
        <x:v>686.42</x:v>
      </x:c>
      <x:c r="I266" s="158" t="n">
        <x:v>9741.44</x:v>
      </x:c>
      <x:c r="J266" s="158" t="n">
        <x:v>6686803948</x:v>
      </x:c>
      <x:c r="K266" s="158"/>
      <x:c r="L266" s="153" t="n">
        <x:v>8070</x:v>
      </x:c>
      <x:c r="M266" s="153" t="n">
        <x:v>8082</x:v>
      </x:c>
      <x:c r="N266" s="153" t="n">
        <x:v>7984</x:v>
      </x:c>
      <x:c r="O266" s="153" t="n">
        <x:v>8013</x:v>
      </x:c>
      <x:c r="P266" s="154" t="n">
        <x:f>IFERROR(O266/O265-1,"")</x:f>
        <x:v>-0.007555115184542993</x:v>
      </x:c>
      <x:c r="Q266" s="154" t="n">
        <x:f>IFERROR((M266-N266)/O265,"")</x:f>
        <x:v>0.0121377260341838</x:v>
      </x:c>
      <x:c r="R266" s="153" t="n">
        <x:v>8024</x:v>
      </x:c>
      <x:c r="S266" s="158" t="n">
        <x:v>511972</x:v>
      </x:c>
      <x:c r="T266" s="158" t="n">
        <x:v>4108559522</x:v>
      </x:c>
      <x:c r="U266" s="158" t="n">
        <x:v>3804474</x:v>
      </x:c>
      <x:c r="V266" s="153" t="n">
        <x:f>IFERROR(E266*1000/O266,"")</x:f>
        <x:v>85.50730063646574</x:v>
      </x:c>
      <x:c r="W266" s="153" t="n">
        <x:v>4.4</x:v>
      </x:c>
      <x:c r="X266" s="155" t="n">
        <x:v>45712</x:v>
      </x:c>
      <x:c r="Y266" s="153" t="n">
        <x:v>1.98</x:v>
      </x:c>
      <x:c r="Z266" s="155" t="n">
        <x:v>45712</x:v>
      </x:c>
      <x:c r="AA266" s="153" t="n">
        <x:f>IFERROR(Y266-Y265,"")</x:f>
        <x:v>-0.020000000000000018</x:v>
      </x:c>
      <x:c r="AB266" s="153" t="n">
        <x:v>2.42</x:v>
      </x:c>
      <x:c r="AC266" s="153" t="n">
        <x:v>127.1921</x:v>
      </x:c>
      <x:c r="AD266" s="155" t="n">
        <x:v>45712</x:v>
      </x:c>
      <x:c r="AE266" s="154" t="n">
        <x:f>IFERROR(AC266/AC265-1,"")</x:f>
        <x:v>0.0004034896744395944</x:v>
      </x:c>
      <x:c r="AF266" s="153" t="n">
        <x:v>18.98</x:v>
      </x:c>
      <x:c r="AG266" s="155" t="n">
        <x:v>45712</x:v>
      </x:c>
      <x:c r="AH266" s="153" t="n">
        <x:f>IFERROR(AF266-AF265,"")</x:f>
        <x:v>0.7699999999999996</x:v>
      </x:c>
      <x:c r="AI266" s="153" t="n">
        <x:v>4.33</x:v>
      </x:c>
      <x:c r="AJ266" s="155" t="n">
        <x:v>45709</x:v>
      </x:c>
      <x:c r="AK266" s="159" t="n">
        <x:v>185329</x:v>
      </x:c>
      <x:c r="AL266" s="154" t="n">
        <x:v>0.3548120919725078</x:v>
      </x:c>
      <x:c r="AM266" s="159" t="n">
        <x:v>-60419</x:v>
      </x:c>
      <x:c r="AN266" s="155" t="n">
        <x:v>45709</x:v>
      </x:c>
      <x:c r="AO266" s="159" t="n">
        <x:v>38306</x:v>
      </x:c>
      <x:c r="AP266" s="154" t="n">
        <x:v>0.22518767599216963</x:v>
      </x:c>
      <x:c r="AQ266" s="159" t="n">
        <x:v>-39415</x:v>
      </x:c>
      <x:c r="AR266" s="147" t="str">
        <x:v>美国市场指标与CFTC数据均使用严格早于上金所交易日的最后已发布值</x:v>
      </x:c>
    </x:row>
    <x:row r="267">
      <x:c r="A267" s="155" t="n">
        <x:v>45714</x:v>
      </x:c>
      <x:c r="B267" s="153" t="n">
        <x:v>684</x:v>
      </x:c>
      <x:c r="C267" s="153" t="n">
        <x:v>686.99</x:v>
      </x:c>
      <x:c r="D267" s="153" t="n">
        <x:v>675</x:v>
      </x:c>
      <x:c r="E267" s="153" t="n">
        <x:v>679.3</x:v>
      </x:c>
      <x:c r="F267" s="154" t="n">
        <x:f>IFERROR(E267/E266-1,"")</x:f>
        <x:v>-0.008567216895077112</x:v>
      </x:c>
      <x:c r="G267" s="154" t="n">
        <x:f>IFERROR((C267-D267)/E266,"")</x:f>
        <x:v>0.017499306741392662</x:v>
      </x:c>
      <x:c r="H267" s="153" t="n">
        <x:v>680.94</x:v>
      </x:c>
      <x:c r="I267" s="158" t="n">
        <x:v>10195.3</x:v>
      </x:c>
      <x:c r="J267" s="158" t="n">
        <x:v>6942417783.8</x:v>
      </x:c>
      <x:c r="K267" s="158"/>
      <x:c r="L267" s="153" t="n">
        <x:v>8008</x:v>
      </x:c>
      <x:c r="M267" s="153" t="n">
        <x:v>8011</x:v>
      </x:c>
      <x:c r="N267" s="153" t="n">
        <x:v>7863</x:v>
      </x:c>
      <x:c r="O267" s="153" t="n">
        <x:v>7901</x:v>
      </x:c>
      <x:c r="P267" s="154" t="n">
        <x:f>IFERROR(O267/O266-1,"")</x:f>
        <x:v>-0.013977286908773201</x:v>
      </x:c>
      <x:c r="Q267" s="154" t="n">
        <x:f>IFERROR((M267-N267)/O266,"")</x:f>
        <x:v>0.0184699862723075</x:v>
      </x:c>
      <x:c r="R267" s="153" t="n">
        <x:v>7925</x:v>
      </x:c>
      <x:c r="S267" s="158" t="n">
        <x:v>610262</x:v>
      </x:c>
      <x:c r="T267" s="158" t="n">
        <x:v>4836749054</x:v>
      </x:c>
      <x:c r="U267" s="158" t="n">
        <x:v>3818540</x:v>
      </x:c>
      <x:c r="V267" s="153" t="n">
        <x:f>IFERROR(E267*1000/O267,"")</x:f>
        <x:v>85.97645867611695</x:v>
      </x:c>
      <x:c r="W267" s="153" t="n">
        <x:v>4.3</x:v>
      </x:c>
      <x:c r="X267" s="155" t="n">
        <x:v>45713</x:v>
      </x:c>
      <x:c r="Y267" s="153" t="n">
        <x:v>1.92</x:v>
      </x:c>
      <x:c r="Z267" s="155" t="n">
        <x:v>45713</x:v>
      </x:c>
      <x:c r="AA267" s="153" t="n">
        <x:f>IFERROR(Y267-Y266,"")</x:f>
        <x:v>-0.06000000000000005</x:v>
      </x:c>
      <x:c r="AB267" s="153" t="n">
        <x:v>2.38</x:v>
      </x:c>
      <x:c r="AC267" s="153" t="n">
        <x:v>127.3752</x:v>
      </x:c>
      <x:c r="AD267" s="155" t="n">
        <x:v>45713</x:v>
      </x:c>
      <x:c r="AE267" s="154" t="n">
        <x:f>IFERROR(AC267/AC266-1,"")</x:f>
        <x:v>0.0014395548151182602</x:v>
      </x:c>
      <x:c r="AF267" s="153" t="n">
        <x:v>19.43</x:v>
      </x:c>
      <x:c r="AG267" s="155" t="n">
        <x:v>45713</x:v>
      </x:c>
      <x:c r="AH267" s="153" t="n">
        <x:f>IFERROR(AF267-AF266,"")</x:f>
        <x:v>0.4499999999999993</x:v>
      </x:c>
      <x:c r="AI267" s="153" t="n">
        <x:v>4.33</x:v>
      </x:c>
      <x:c r="AJ267" s="155" t="n">
        <x:v>45709</x:v>
      </x:c>
      <x:c r="AK267" s="159" t="n">
        <x:v>185329</x:v>
      </x:c>
      <x:c r="AL267" s="154" t="n">
        <x:v>0.3548120919725078</x:v>
      </x:c>
      <x:c r="AM267" s="159" t="n">
        <x:v>-60419</x:v>
      </x:c>
      <x:c r="AN267" s="155" t="n">
        <x:v>45709</x:v>
      </x:c>
      <x:c r="AO267" s="159" t="n">
        <x:v>38306</x:v>
      </x:c>
      <x:c r="AP267" s="154" t="n">
        <x:v>0.22518767599216963</x:v>
      </x:c>
      <x:c r="AQ267" s="159" t="n">
        <x:v>-39415</x:v>
      </x:c>
      <x:c r="AR267" s="147" t="str">
        <x:v>美国市场指标与CFTC数据均使用严格早于上金所交易日的最后已发布值</x:v>
      </x:c>
    </x:row>
    <x:row r="268">
      <x:c r="A268" s="155" t="n">
        <x:v>45715</x:v>
      </x:c>
      <x:c r="B268" s="153" t="n">
        <x:v>680</x:v>
      </x:c>
      <x:c r="C268" s="153" t="n">
        <x:v>681.7</x:v>
      </x:c>
      <x:c r="D268" s="153" t="n">
        <x:v>675.3</x:v>
      </x:c>
      <x:c r="E268" s="153" t="n">
        <x:v>676.52</x:v>
      </x:c>
      <x:c r="F268" s="154" t="n">
        <x:f>IFERROR(E268/E267-1,"")</x:f>
        <x:v>-0.004092448108346747</x:v>
      </x:c>
      <x:c r="G268" s="154" t="n">
        <x:f>IFERROR((C268-D268)/E267,"")</x:f>
        <x:v>0.009421463271014414</x:v>
      </x:c>
      <x:c r="H268" s="153" t="n">
        <x:v>678.2</x:v>
      </x:c>
      <x:c r="I268" s="158" t="n">
        <x:v>9667.76</x:v>
      </x:c>
      <x:c r="J268" s="158" t="n">
        <x:v>6556688941.8</x:v>
      </x:c>
      <x:c r="K268" s="158"/>
      <x:c r="L268" s="153" t="n">
        <x:v>7922</x:v>
      </x:c>
      <x:c r="M268" s="153" t="n">
        <x:v>7943</x:v>
      </x:c>
      <x:c r="N268" s="153" t="n">
        <x:v>7863</x:v>
      </x:c>
      <x:c r="O268" s="153" t="n">
        <x:v>7912</x:v>
      </x:c>
      <x:c r="P268" s="154" t="n">
        <x:f>IFERROR(O268/O267-1,"")</x:f>
        <x:v>0.0013922288317933518</x:v>
      </x:c>
      <x:c r="Q268" s="154" t="n">
        <x:f>IFERROR((M268-N268)/O267,"")</x:f>
        <x:v>0.01012530059486141</x:v>
      </x:c>
      <x:c r="R268" s="153" t="n">
        <x:v>7910</x:v>
      </x:c>
      <x:c r="S268" s="158" t="n">
        <x:v>579546</x:v>
      </x:c>
      <x:c r="T268" s="158" t="n">
        <x:v>4584262302</x:v>
      </x:c>
      <x:c r="U268" s="158" t="n">
        <x:v>3855550</x:v>
      </x:c>
      <x:c r="V268" s="153" t="n">
        <x:f>IFERROR(E268*1000/O268,"")</x:f>
        <x:v>85.50556117290192</x:v>
      </x:c>
      <x:c r="W268" s="153" t="n">
        <x:v>4.25</x:v>
      </x:c>
      <x:c r="X268" s="155" t="n">
        <x:v>45714</x:v>
      </x:c>
      <x:c r="Y268" s="153" t="n">
        <x:v>1.89</x:v>
      </x:c>
      <x:c r="Z268" s="155" t="n">
        <x:v>45714</x:v>
      </x:c>
      <x:c r="AA268" s="153" t="n">
        <x:f>IFERROR(Y268-Y267,"")</x:f>
        <x:v>-0.030000000000000027</x:v>
      </x:c>
      <x:c r="AB268" s="153" t="n">
        <x:v>2.36</x:v>
      </x:c>
      <x:c r="AC268" s="153" t="n">
        <x:v>127.2822</x:v>
      </x:c>
      <x:c r="AD268" s="155" t="n">
        <x:v>45714</x:v>
      </x:c>
      <x:c r="AE268" s="154" t="n">
        <x:f>IFERROR(AC268/AC267-1,"")</x:f>
        <x:v>-0.0007301264296346588</x:v>
      </x:c>
      <x:c r="AF268" s="153" t="n">
        <x:v>19.1</x:v>
      </x:c>
      <x:c r="AG268" s="155" t="n">
        <x:v>45714</x:v>
      </x:c>
      <x:c r="AH268" s="153" t="n">
        <x:f>IFERROR(AF268-AF267,"")</x:f>
        <x:v>-0.3299999999999983</x:v>
      </x:c>
      <x:c r="AI268" s="153" t="n">
        <x:v>4.33</x:v>
      </x:c>
      <x:c r="AJ268" s="155" t="n">
        <x:v>45709</x:v>
      </x:c>
      <x:c r="AK268" s="159" t="n">
        <x:v>185329</x:v>
      </x:c>
      <x:c r="AL268" s="154" t="n">
        <x:v>0.3548120919725078</x:v>
      </x:c>
      <x:c r="AM268" s="159" t="n">
        <x:v>-60419</x:v>
      </x:c>
      <x:c r="AN268" s="155" t="n">
        <x:v>45709</x:v>
      </x:c>
      <x:c r="AO268" s="159" t="n">
        <x:v>38306</x:v>
      </x:c>
      <x:c r="AP268" s="154" t="n">
        <x:v>0.22518767599216963</x:v>
      </x:c>
      <x:c r="AQ268" s="159" t="n">
        <x:v>-39415</x:v>
      </x:c>
      <x:c r="AR268" s="147" t="str">
        <x:v>美国市场指标与CFTC数据均使用严格早于上金所交易日的最后已发布值</x:v>
      </x:c>
    </x:row>
    <x:row r="269">
      <x:c r="A269" s="155" t="n">
        <x:v>45716</x:v>
      </x:c>
      <x:c r="B269" s="153" t="n">
        <x:v>676</x:v>
      </x:c>
      <x:c r="C269" s="153" t="n">
        <x:v>677.8</x:v>
      </x:c>
      <x:c r="D269" s="153" t="n">
        <x:v>670</x:v>
      </x:c>
      <x:c r="E269" s="153" t="n">
        <x:v>670.78</x:v>
      </x:c>
      <x:c r="F269" s="154" t="n">
        <x:f>IFERROR(E269/E268-1,"")</x:f>
        <x:v>-0.008484597646780556</x:v>
      </x:c>
      <x:c r="G269" s="154" t="n">
        <x:f>IFERROR((C269-D269)/E268,"")</x:f>
        <x:v>0.011529592621060656</x:v>
      </x:c>
      <x:c r="H269" s="153" t="n">
        <x:v>673.01</x:v>
      </x:c>
      <x:c r="I269" s="158" t="n">
        <x:v>9780.24</x:v>
      </x:c>
      <x:c r="J269" s="158" t="n">
        <x:v>6582225547</x:v>
      </x:c>
      <x:c r="K269" s="158"/>
      <x:c r="L269" s="153" t="n">
        <x:v>7910</x:v>
      </x:c>
      <x:c r="M269" s="153" t="n">
        <x:v>7942</x:v>
      </x:c>
      <x:c r="N269" s="153" t="n">
        <x:v>7827</x:v>
      </x:c>
      <x:c r="O269" s="153" t="n">
        <x:v>7841</x:v>
      </x:c>
      <x:c r="P269" s="154" t="n">
        <x:f>IFERROR(O269/O268-1,"")</x:f>
        <x:v>-0.008973710819009106</x:v>
      </x:c>
      <x:c r="Q269" s="154" t="n">
        <x:f>IFERROR((M269-N269)/O268,"")</x:f>
        <x:v>0.014534883720930232</x:v>
      </x:c>
      <x:c r="R269" s="153" t="n">
        <x:v>7871</x:v>
      </x:c>
      <x:c r="S269" s="158" t="n">
        <x:v>584916</x:v>
      </x:c>
      <x:c r="T269" s="158" t="n">
        <x:v>4604089352</x:v>
      </x:c>
      <x:c r="U269" s="158" t="n">
        <x:v>3922878</x:v>
      </x:c>
      <x:c r="V269" s="153" t="n">
        <x:f>IFERROR(E269*1000/O269,"")</x:f>
        <x:v>85.54776176508098</x:v>
      </x:c>
      <x:c r="W269" s="153" t="n">
        <x:v>4.29</x:v>
      </x:c>
      <x:c r="X269" s="155" t="n">
        <x:v>45715</x:v>
      </x:c>
      <x:c r="Y269" s="153" t="n">
        <x:v>1.92</x:v>
      </x:c>
      <x:c r="Z269" s="155" t="n">
        <x:v>45715</x:v>
      </x:c>
      <x:c r="AA269" s="153" t="n">
        <x:f>IFERROR(Y269-Y268,"")</x:f>
        <x:v>0.030000000000000027</x:v>
      </x:c>
      <x:c r="AB269" s="153" t="n">
        <x:v>2.37</x:v>
      </x:c>
      <x:c r="AC269" s="153" t="n">
        <x:v>127.9704</x:v>
      </x:c>
      <x:c r="AD269" s="155" t="n">
        <x:v>45715</x:v>
      </x:c>
      <x:c r="AE269" s="154" t="n">
        <x:f>IFERROR(AC269/AC268-1,"")</x:f>
        <x:v>0.005406883287686792</x:v>
      </x:c>
      <x:c r="AF269" s="153" t="n">
        <x:v>21.13</x:v>
      </x:c>
      <x:c r="AG269" s="155" t="n">
        <x:v>45715</x:v>
      </x:c>
      <x:c r="AH269" s="153" t="n">
        <x:f>IFERROR(AF269-AF268,"")</x:f>
        <x:v>2.0299999999999976</x:v>
      </x:c>
      <x:c r="AI269" s="153" t="n">
        <x:v>4.33</x:v>
      </x:c>
      <x:c r="AJ269" s="155" t="n">
        <x:v>45709</x:v>
      </x:c>
      <x:c r="AK269" s="159" t="n">
        <x:v>185329</x:v>
      </x:c>
      <x:c r="AL269" s="154" t="n">
        <x:v>0.3548120919725078</x:v>
      </x:c>
      <x:c r="AM269" s="159" t="n">
        <x:v>-60419</x:v>
      </x:c>
      <x:c r="AN269" s="155" t="n">
        <x:v>45709</x:v>
      </x:c>
      <x:c r="AO269" s="159" t="n">
        <x:v>38306</x:v>
      </x:c>
      <x:c r="AP269" s="154" t="n">
        <x:v>0.22518767599216963</x:v>
      </x:c>
      <x:c r="AQ269" s="159" t="n">
        <x:v>-39415</x:v>
      </x:c>
      <x:c r="AR269" s="147" t="str">
        <x:v>美国市场指标与CFTC数据均使用严格早于上金所交易日的最后已发布值</x:v>
      </x:c>
    </x:row>
    <x:row r="270">
      <x:c r="A270" s="155" t="n">
        <x:v>45720</x:v>
      </x:c>
      <x:c r="B270" s="153" t="n">
        <x:v>674</x:v>
      </x:c>
      <x:c r="C270" s="153" t="n">
        <x:v>679.99</x:v>
      </x:c>
      <x:c r="D270" s="153" t="n">
        <x:v>673</x:v>
      </x:c>
      <x:c r="E270" s="153" t="n">
        <x:v>679.97</x:v>
      </x:c>
      <x:c r="F270" s="154" t="n">
        <x:f>IFERROR(E270/E269-1,"")</x:f>
        <x:v>0.013700468111750519</x:v>
      </x:c>
      <x:c r="G270" s="154" t="n">
        <x:f>IFERROR((C270-D270)/E269,"")</x:f>
        <x:v>0.010420704254748218</x:v>
      </x:c>
      <x:c r="H270" s="153" t="n">
        <x:v>676.48</x:v>
      </x:c>
      <x:c r="I270" s="158" t="n">
        <x:v>8446</x:v>
      </x:c>
      <x:c r="J270" s="158" t="n">
        <x:v>5713600125.8</x:v>
      </x:c>
      <x:c r="K270" s="158"/>
      <x:c r="L270" s="153" t="n">
        <x:v>7932</x:v>
      </x:c>
      <x:c r="M270" s="153" t="n">
        <x:v>7970</x:v>
      </x:c>
      <x:c r="N270" s="153" t="n">
        <x:v>7905</x:v>
      </x:c>
      <x:c r="O270" s="153" t="n">
        <x:v>7945</x:v>
      </x:c>
      <x:c r="P270" s="154" t="n">
        <x:f>IFERROR(O270/O269-1,"")</x:f>
        <x:v>0.013263614334906304</x:v>
      </x:c>
      <x:c r="Q270" s="154" t="n">
        <x:f>IFERROR((M270-N270)/O269,"")</x:f>
        <x:v>0.008289758959316414</x:v>
      </x:c>
      <x:c r="R270" s="153" t="n">
        <x:v>7936</x:v>
      </x:c>
      <x:c r="S270" s="158" t="n">
        <x:v>392392</x:v>
      </x:c>
      <x:c r="T270" s="158" t="n">
        <x:v>3114167782</x:v>
      </x:c>
      <x:c r="U270" s="158" t="n">
        <x:v>3757714</x:v>
      </x:c>
      <x:c r="V270" s="153" t="n">
        <x:f>IFERROR(E270*1000/O270,"")</x:f>
        <x:v>85.5846444304594</x:v>
      </x:c>
      <x:c r="W270" s="153" t="n">
        <x:v>4.16</x:v>
      </x:c>
      <x:c r="X270" s="155" t="n">
        <x:v>45719</x:v>
      </x:c>
      <x:c r="Y270" s="153" t="n">
        <x:v>1.8</x:v>
      </x:c>
      <x:c r="Z270" s="155" t="n">
        <x:v>45719</x:v>
      </x:c>
      <x:c r="AA270" s="153" t="n">
        <x:f>IFERROR(Y270-Y269,"")</x:f>
        <x:v>-0.11999999999999988</x:v>
      </x:c>
      <x:c r="AB270" s="153" t="n">
        <x:v>2.36</x:v>
      </x:c>
      <x:c r="AC270" s="153" t="n">
        <x:v>127.75</x:v>
      </x:c>
      <x:c r="AD270" s="155" t="n">
        <x:v>45719</x:v>
      </x:c>
      <x:c r="AE270" s="154" t="n">
        <x:f>IFERROR(AC270/AC269-1,"")</x:f>
        <x:v>-0.0017222732756949632</x:v>
      </x:c>
      <x:c r="AF270" s="153" t="n">
        <x:v>22.78</x:v>
      </x:c>
      <x:c r="AG270" s="155" t="n">
        <x:v>45719</x:v>
      </x:c>
      <x:c r="AH270" s="153" t="n">
        <x:f>IFERROR(AF270-AF269,"")</x:f>
        <x:v>1.6500000000000021</x:v>
      </x:c>
      <x:c r="AI270" s="153" t="n">
        <x:v>4.33</x:v>
      </x:c>
      <x:c r="AJ270" s="155" t="n">
        <x:v>45716</x:v>
      </x:c>
      <x:c r="AK270" s="159" t="n">
        <x:v>179812</x:v>
      </x:c>
      <x:c r="AL270" s="154" t="n">
        <x:v>0.35107257423674143</x:v>
      </x:c>
      <x:c r="AM270" s="159" t="n">
        <x:v>-60490</x:v>
      </x:c>
      <x:c r="AN270" s="155" t="n">
        <x:v>45716</x:v>
      </x:c>
      <x:c r="AO270" s="159" t="n">
        <x:v>32939</x:v>
      </x:c>
      <x:c r="AP270" s="154" t="n">
        <x:v>0.20123899536293155</x:v>
      </x:c>
      <x:c r="AQ270" s="159" t="n">
        <x:v>-39955</x:v>
      </x:c>
      <x:c r="AR270" s="147" t="str">
        <x:v>美国市场指标与CFTC数据均使用严格早于上金所交易日的最后已发布值</x:v>
      </x:c>
    </x:row>
    <x:row r="271">
      <x:c r="A271" s="155" t="n">
        <x:v>45721</x:v>
      </x:c>
      <x:c r="B271" s="153" t="n">
        <x:v>680</x:v>
      </x:c>
      <x:c r="C271" s="153" t="n">
        <x:v>682.47</x:v>
      </x:c>
      <x:c r="D271" s="153" t="n">
        <x:v>678.3</x:v>
      </x:c>
      <x:c r="E271" s="153" t="n">
        <x:v>681.57</x:v>
      </x:c>
      <x:c r="F271" s="154" t="n">
        <x:f>IFERROR(E271/E270-1,"")</x:f>
        <x:v>0.0023530449872788406</x:v>
      </x:c>
      <x:c r="G271" s="154" t="n">
        <x:f>IFERROR((C271-D271)/E270,"")</x:f>
        <x:v>0.006132623498095611</x:v>
      </x:c>
      <x:c r="H271" s="153" t="n">
        <x:v>680.54</x:v>
      </x:c>
      <x:c r="I271" s="158" t="n">
        <x:v>10594.5</x:v>
      </x:c>
      <x:c r="J271" s="158" t="n">
        <x:v>7210008590.2</x:v>
      </x:c>
      <x:c r="K271" s="158"/>
      <x:c r="L271" s="153" t="n">
        <x:v>7970</x:v>
      </x:c>
      <x:c r="M271" s="153" t="n">
        <x:v>8012</x:v>
      </x:c>
      <x:c r="N271" s="153" t="n">
        <x:v>7902</x:v>
      </x:c>
      <x:c r="O271" s="153" t="n">
        <x:v>8012</x:v>
      </x:c>
      <x:c r="P271" s="154" t="n">
        <x:f>IFERROR(O271/O270-1,"")</x:f>
        <x:v>0.008432976714914941</x:v>
      </x:c>
      <x:c r="Q271" s="154" t="n">
        <x:f>IFERROR((M271-N271)/O270,"")</x:f>
        <x:v>0.013845185651353053</x:v>
      </x:c>
      <x:c r="R271" s="153" t="n">
        <x:v>7968</x:v>
      </x:c>
      <x:c r="S271" s="158" t="n">
        <x:v>420232</x:v>
      </x:c>
      <x:c r="T271" s="158" t="n">
        <x:v>3348680058</x:v>
      </x:c>
      <x:c r="U271" s="158" t="n">
        <x:v>3794980</x:v>
      </x:c>
      <x:c r="V271" s="153" t="n">
        <x:f>IFERROR(E271*1000/O271,"")</x:f>
        <x:v>85.06864702945582</x:v>
      </x:c>
      <x:c r="W271" s="153" t="n">
        <x:v>4.22</x:v>
      </x:c>
      <x:c r="X271" s="155" t="n">
        <x:v>45720</x:v>
      </x:c>
      <x:c r="Y271" s="153" t="n">
        <x:v>1.87</x:v>
      </x:c>
      <x:c r="Z271" s="155" t="n">
        <x:v>45720</x:v>
      </x:c>
      <x:c r="AA271" s="153" t="n">
        <x:f>IFERROR(Y271-Y270,"")</x:f>
        <x:v>0.07000000000000006</x:v>
      </x:c>
      <x:c r="AB271" s="153" t="n">
        <x:v>2.35</x:v>
      </x:c>
      <x:c r="AC271" s="153" t="n">
        <x:v>127.9966</x:v>
      </x:c>
      <x:c r="AD271" s="155" t="n">
        <x:v>45720</x:v>
      </x:c>
      <x:c r="AE271" s="154" t="n">
        <x:f>IFERROR(AC271/AC270-1,"")</x:f>
        <x:v>0.0019303326810176102</x:v>
      </x:c>
      <x:c r="AF271" s="153" t="n">
        <x:v>23.51</x:v>
      </x:c>
      <x:c r="AG271" s="155" t="n">
        <x:v>45720</x:v>
      </x:c>
      <x:c r="AH271" s="153" t="n">
        <x:f>IFERROR(AF271-AF270,"")</x:f>
        <x:v>0.7300000000000004</x:v>
      </x:c>
      <x:c r="AI271" s="153" t="n">
        <x:v>4.33</x:v>
      </x:c>
      <x:c r="AJ271" s="155" t="n">
        <x:v>45716</x:v>
      </x:c>
      <x:c r="AK271" s="159" t="n">
        <x:v>179812</x:v>
      </x:c>
      <x:c r="AL271" s="154" t="n">
        <x:v>0.35107257423674143</x:v>
      </x:c>
      <x:c r="AM271" s="159" t="n">
        <x:v>-60490</x:v>
      </x:c>
      <x:c r="AN271" s="155" t="n">
        <x:v>45716</x:v>
      </x:c>
      <x:c r="AO271" s="159" t="n">
        <x:v>32939</x:v>
      </x:c>
      <x:c r="AP271" s="154" t="n">
        <x:v>0.20123899536293155</x:v>
      </x:c>
      <x:c r="AQ271" s="159" t="n">
        <x:v>-39955</x:v>
      </x:c>
      <x:c r="AR271" s="147" t="str">
        <x:v>美国市场指标与CFTC数据均使用严格早于上金所交易日的最后已发布值</x:v>
      </x:c>
    </x:row>
    <x:row r="272">
      <x:c r="A272" s="155" t="n">
        <x:v>45722</x:v>
      </x:c>
      <x:c r="B272" s="153" t="n">
        <x:v>681</x:v>
      </x:c>
      <x:c r="C272" s="153" t="n">
        <x:v>681.8</x:v>
      </x:c>
      <x:c r="D272" s="153" t="n">
        <x:v>677</x:v>
      </x:c>
      <x:c r="E272" s="153" t="n">
        <x:v>679.7</x:v>
      </x:c>
      <x:c r="F272" s="154" t="n">
        <x:f>IFERROR(E272/E271-1,"")</x:f>
        <x:v>-0.0027436653608580164</x:v>
      </x:c>
      <x:c r="G272" s="154" t="n">
        <x:f>IFERROR((C272-D272)/E271,"")</x:f>
        <x:v>0.007042563493111426</x:v>
      </x:c>
      <x:c r="H272" s="153" t="n">
        <x:v>680.66</x:v>
      </x:c>
      <x:c r="I272" s="158" t="n">
        <x:v>8483.4</x:v>
      </x:c>
      <x:c r="J272" s="158" t="n">
        <x:v>5774336185.4</x:v>
      </x:c>
      <x:c r="K272" s="158"/>
      <x:c r="L272" s="153" t="n">
        <x:v>8040</x:v>
      </x:c>
      <x:c r="M272" s="153" t="n">
        <x:v>8078</x:v>
      </x:c>
      <x:c r="N272" s="153" t="n">
        <x:v>7944</x:v>
      </x:c>
      <x:c r="O272" s="153" t="n">
        <x:v>8048</x:v>
      </x:c>
      <x:c r="P272" s="154" t="n">
        <x:f>IFERROR(O272/O271-1,"")</x:f>
        <x:v>0.0044932601098353064</x:v>
      </x:c>
      <x:c r="Q272" s="154" t="n">
        <x:f>IFERROR((M272-N272)/O271,"")</x:f>
        <x:v>0.01672491263105342</x:v>
      </x:c>
      <x:c r="R272" s="153" t="n">
        <x:v>8028</x:v>
      </x:c>
      <x:c r="S272" s="158" t="n">
        <x:v>516856</x:v>
      </x:c>
      <x:c r="T272" s="158" t="n">
        <x:v>4149543522</x:v>
      </x:c>
      <x:c r="U272" s="158" t="n">
        <x:v>3732934</x:v>
      </x:c>
      <x:c r="V272" s="153" t="n">
        <x:f>IFERROR(E272*1000/O272,"")</x:f>
        <x:v>84.45576540755467</x:v>
      </x:c>
      <x:c r="W272" s="153" t="n">
        <x:v>4.28</x:v>
      </x:c>
      <x:c r="X272" s="155" t="n">
        <x:v>45721</x:v>
      </x:c>
      <x:c r="Y272" s="153" t="n">
        <x:v>1.94</x:v>
      </x:c>
      <x:c r="Z272" s="155" t="n">
        <x:v>45721</x:v>
      </x:c>
      <x:c r="AA272" s="153" t="n">
        <x:f>IFERROR(Y272-Y271,"")</x:f>
        <x:v>0.06999999999999984</x:v>
      </x:c>
      <x:c r="AB272" s="153" t="n">
        <x:v>2.34</x:v>
      </x:c>
      <x:c r="AC272" s="153" t="n">
        <x:v>126.504</x:v>
      </x:c>
      <x:c r="AD272" s="155" t="n">
        <x:v>45721</x:v>
      </x:c>
      <x:c r="AE272" s="154" t="n">
        <x:f>IFERROR(AC272/AC271-1,"")</x:f>
        <x:v>-0.011661247251880114</x:v>
      </x:c>
      <x:c r="AF272" s="153" t="n">
        <x:v>21.93</x:v>
      </x:c>
      <x:c r="AG272" s="155" t="n">
        <x:v>45721</x:v>
      </x:c>
      <x:c r="AH272" s="153" t="n">
        <x:f>IFERROR(AF272-AF271,"")</x:f>
        <x:v>-1.5800000000000018</x:v>
      </x:c>
      <x:c r="AI272" s="153" t="n">
        <x:v>4.33</x:v>
      </x:c>
      <x:c r="AJ272" s="155" t="n">
        <x:v>45716</x:v>
      </x:c>
      <x:c r="AK272" s="159" t="n">
        <x:v>179812</x:v>
      </x:c>
      <x:c r="AL272" s="154" t="n">
        <x:v>0.35107257423674143</x:v>
      </x:c>
      <x:c r="AM272" s="159" t="n">
        <x:v>-60490</x:v>
      </x:c>
      <x:c r="AN272" s="155" t="n">
        <x:v>45716</x:v>
      </x:c>
      <x:c r="AO272" s="159" t="n">
        <x:v>32939</x:v>
      </x:c>
      <x:c r="AP272" s="154" t="n">
        <x:v>0.20123899536293155</x:v>
      </x:c>
      <x:c r="AQ272" s="159" t="n">
        <x:v>-39955</x:v>
      </x:c>
      <x:c r="AR272" s="147" t="str">
        <x:v>美国市场指标与CFTC数据均使用严格早于上金所交易日的最后已发布值</x:v>
      </x:c>
    </x:row>
    <x:row r="273">
      <x:c r="A273" s="155" t="n">
        <x:v>45723</x:v>
      </x:c>
      <x:c r="B273" s="153" t="n">
        <x:v>677</x:v>
      </x:c>
      <x:c r="C273" s="153" t="n">
        <x:v>680.7</x:v>
      </x:c>
      <x:c r="D273" s="153" t="n">
        <x:v>677</x:v>
      </x:c>
      <x:c r="E273" s="153" t="n">
        <x:v>679.48</x:v>
      </x:c>
      <x:c r="F273" s="154" t="n">
        <x:f>IFERROR(E273/E272-1,"")</x:f>
        <x:v>-0.00032367220832729693</x:v>
      </x:c>
      <x:c r="G273" s="154" t="n">
        <x:f>IFERROR((C273-D273)/E272,"")</x:f>
        <x:v>0.005443578049139392</x:v>
      </x:c>
      <x:c r="H273" s="153" t="n">
        <x:v>678.65</x:v>
      </x:c>
      <x:c r="I273" s="158" t="n">
        <x:v>10313.98</x:v>
      </x:c>
      <x:c r="J273" s="158" t="n">
        <x:v>6999636830</x:v>
      </x:c>
      <x:c r="K273" s="158"/>
      <x:c r="L273" s="153" t="n">
        <x:v>8027</x:v>
      </x:c>
      <x:c r="M273" s="153" t="n">
        <x:v>8073</x:v>
      </x:c>
      <x:c r="N273" s="153" t="n">
        <x:v>7999</x:v>
      </x:c>
      <x:c r="O273" s="153" t="n">
        <x:v>8060</x:v>
      </x:c>
      <x:c r="P273" s="154" t="n">
        <x:f>IFERROR(O273/O272-1,"")</x:f>
        <x:v>0.0014910536779324524</x:v>
      </x:c>
      <x:c r="Q273" s="154" t="n">
        <x:f>IFERROR((M273-N273)/O272,"")</x:f>
        <x:v>0.0091948310139165</x:v>
      </x:c>
      <x:c r="R273" s="153" t="n">
        <x:v>8043</x:v>
      </x:c>
      <x:c r="S273" s="158" t="n">
        <x:v>423426</x:v>
      </x:c>
      <x:c r="T273" s="158" t="n">
        <x:v>3405726822</x:v>
      </x:c>
      <x:c r="U273" s="158" t="n">
        <x:v>3748244</x:v>
      </x:c>
      <x:c r="V273" s="153" t="n">
        <x:f>IFERROR(E273*1000/O273,"")</x:f>
        <x:v>84.30272952853598</x:v>
      </x:c>
      <x:c r="W273" s="153" t="n">
        <x:v>4.29</x:v>
      </x:c>
      <x:c r="X273" s="155" t="n">
        <x:v>45722</x:v>
      </x:c>
      <x:c r="Y273" s="153" t="n">
        <x:v>1.95</x:v>
      </x:c>
      <x:c r="Z273" s="155" t="n">
        <x:v>45722</x:v>
      </x:c>
      <x:c r="AA273" s="153" t="n">
        <x:f>IFERROR(Y273-Y272,"")</x:f>
        <x:v>0.010000000000000009</x:v>
      </x:c>
      <x:c r="AB273" s="153" t="n">
        <x:v>2.34</x:v>
      </x:c>
      <x:c r="AC273" s="153" t="n">
        <x:v>126.1099</x:v>
      </x:c>
      <x:c r="AD273" s="155" t="n">
        <x:v>45722</x:v>
      </x:c>
      <x:c r="AE273" s="154" t="n">
        <x:f>IFERROR(AC273/AC272-1,"")</x:f>
        <x:v>-0.0031153165117309145</x:v>
      </x:c>
      <x:c r="AF273" s="153" t="n">
        <x:v>24.87</x:v>
      </x:c>
      <x:c r="AG273" s="155" t="n">
        <x:v>45722</x:v>
      </x:c>
      <x:c r="AH273" s="153" t="n">
        <x:f>IFERROR(AF273-AF272,"")</x:f>
        <x:v>2.9400000000000013</x:v>
      </x:c>
      <x:c r="AI273" s="153" t="n">
        <x:v>4.33</x:v>
      </x:c>
      <x:c r="AJ273" s="155" t="n">
        <x:v>45716</x:v>
      </x:c>
      <x:c r="AK273" s="159" t="n">
        <x:v>179812</x:v>
      </x:c>
      <x:c r="AL273" s="154" t="n">
        <x:v>0.35107257423674143</x:v>
      </x:c>
      <x:c r="AM273" s="159" t="n">
        <x:v>-60490</x:v>
      </x:c>
      <x:c r="AN273" s="155" t="n">
        <x:v>45716</x:v>
      </x:c>
      <x:c r="AO273" s="159" t="n">
        <x:v>32939</x:v>
      </x:c>
      <x:c r="AP273" s="154" t="n">
        <x:v>0.20123899536293155</x:v>
      </x:c>
      <x:c r="AQ273" s="159" t="n">
        <x:v>-39955</x:v>
      </x:c>
      <x:c r="AR273" s="147" t="str">
        <x:v>美国市场指标与CFTC数据均使用严格早于上金所交易日的最后已发布值</x:v>
      </x:c>
    </x:row>
    <x:row r="274">
      <x:c r="A274" s="155" t="n">
        <x:v>45726</x:v>
      </x:c>
      <x:c r="B274" s="153" t="n">
        <x:v>680</x:v>
      </x:c>
      <x:c r="C274" s="153" t="n">
        <x:v>684</x:v>
      </x:c>
      <x:c r="D274" s="153" t="n">
        <x:v>678.5</x:v>
      </x:c>
      <x:c r="E274" s="153" t="n">
        <x:v>681.99</x:v>
      </x:c>
      <x:c r="F274" s="154" t="n">
        <x:f>IFERROR(E274/E273-1,"")</x:f>
        <x:v>0.003694001295108107</x:v>
      </x:c>
      <x:c r="G274" s="154" t="n">
        <x:f>IFERROR((C274-D274)/E273,"")</x:f>
        <x:v>0.00809442514864308</x:v>
      </x:c>
      <x:c r="H274" s="153" t="n">
        <x:v>680.6</x:v>
      </x:c>
      <x:c r="I274" s="158" t="n">
        <x:v>11337.64</x:v>
      </x:c>
      <x:c r="J274" s="158" t="n">
        <x:v>7716508400.6</x:v>
      </x:c>
      <x:c r="K274" s="158"/>
      <x:c r="L274" s="153" t="n">
        <x:v>8045</x:v>
      </x:c>
      <x:c r="M274" s="153" t="n">
        <x:v>8078</x:v>
      </x:c>
      <x:c r="N274" s="153" t="n">
        <x:v>7984</x:v>
      </x:c>
      <x:c r="O274" s="153" t="n">
        <x:v>8071</x:v>
      </x:c>
      <x:c r="P274" s="154" t="n">
        <x:f>IFERROR(O274/O273-1,"")</x:f>
        <x:v>0.0013647642679901484</x:v>
      </x:c>
      <x:c r="Q274" s="154" t="n">
        <x:f>IFERROR((M274-N274)/O273,"")</x:f>
        <x:v>0.011662531017369727</x:v>
      </x:c>
      <x:c r="R274" s="153" t="n">
        <x:v>8041</x:v>
      </x:c>
      <x:c r="S274" s="158" t="n">
        <x:v>442126</x:v>
      </x:c>
      <x:c r="T274" s="158" t="n">
        <x:v>3555169880</x:v>
      </x:c>
      <x:c r="U274" s="158" t="n">
        <x:v>3747740</x:v>
      </x:c>
      <x:c r="V274" s="153" t="n">
        <x:f>IFERROR(E274*1000/O274,"")</x:f>
        <x:v>84.49882294635114</x:v>
      </x:c>
      <x:c r="W274" s="153" t="n">
        <x:v>4.32</x:v>
      </x:c>
      <x:c r="X274" s="155" t="n">
        <x:v>45723</x:v>
      </x:c>
      <x:c r="Y274" s="153" t="n">
        <x:v>1.99</x:v>
      </x:c>
      <x:c r="Z274" s="155" t="n">
        <x:v>45723</x:v>
      </x:c>
      <x:c r="AA274" s="153" t="n">
        <x:f>IFERROR(Y274-Y273,"")</x:f>
        <x:v>0.040000000000000036</x:v>
      </x:c>
      <x:c r="AB274" s="153" t="n">
        <x:v>2.33</x:v>
      </x:c>
      <x:c r="AC274" s="153" t="n">
        <x:v>125.9814</x:v>
      </x:c>
      <x:c r="AD274" s="155" t="n">
        <x:v>45723</x:v>
      </x:c>
      <x:c r="AE274" s="154" t="n">
        <x:f>IFERROR(AC274/AC273-1,"")</x:f>
        <x:v>-0.0010189525168127211</x:v>
      </x:c>
      <x:c r="AF274" s="153" t="n">
        <x:v>23.37</x:v>
      </x:c>
      <x:c r="AG274" s="155" t="n">
        <x:v>45723</x:v>
      </x:c>
      <x:c r="AH274" s="153" t="n">
        <x:f>IFERROR(AF274-AF273,"")</x:f>
        <x:v>-1.5</x:v>
      </x:c>
      <x:c r="AI274" s="153" t="n">
        <x:v>4.33</x:v>
      </x:c>
      <x:c r="AJ274" s="155" t="n">
        <x:v>45723</x:v>
      </x:c>
      <x:c r="AK274" s="159" t="n">
        <x:v>166658</x:v>
      </x:c>
      <x:c r="AL274" s="154" t="n">
        <x:v>0.34062583031863797</x:v>
      </x:c>
      <x:c r="AM274" s="159" t="n">
        <x:v>-58579</x:v>
      </x:c>
      <x:c r="AN274" s="155" t="n">
        <x:v>45723</x:v>
      </x:c>
      <x:c r="AO274" s="159" t="n">
        <x:v>34098</x:v>
      </x:c>
      <x:c r="AP274" s="154" t="n">
        <x:v>0.2336519683420701</x:v>
      </x:c>
      <x:c r="AQ274" s="159" t="n">
        <x:v>-31626</x:v>
      </x:c>
      <x:c r="AR274" s="147" t="str">
        <x:v>美国市场指标与CFTC数据均使用严格早于上金所交易日的最后已发布值</x:v>
      </x:c>
    </x:row>
    <x:row r="275">
      <x:c r="A275" s="155" t="n">
        <x:v>45727</x:v>
      </x:c>
      <x:c r="B275" s="153" t="n">
        <x:v>680.9</x:v>
      </x:c>
      <x:c r="C275" s="153" t="n">
        <x:v>680.9</x:v>
      </x:c>
      <x:c r="D275" s="153" t="n">
        <x:v>675</x:v>
      </x:c>
      <x:c r="E275" s="153" t="n">
        <x:v>676.71</x:v>
      </x:c>
      <x:c r="F275" s="154" t="n">
        <x:f>IFERROR(E275/E274-1,"")</x:f>
        <x:v>-0.0077420490036510525</x:v>
      </x:c>
      <x:c r="G275" s="154" t="n">
        <x:f>IFERROR((C275-D275)/E274,"")</x:f>
        <x:v>0.008651153242716135</x:v>
      </x:c>
      <x:c r="H275" s="153" t="n">
        <x:v>676.38</x:v>
      </x:c>
      <x:c r="I275" s="158" t="n">
        <x:v>10158.12</x:v>
      </x:c>
      <x:c r="J275" s="158" t="n">
        <x:v>6870797225.6</x:v>
      </x:c>
      <x:c r="K275" s="158"/>
      <x:c r="L275" s="153" t="n">
        <x:v>8052</x:v>
      </x:c>
      <x:c r="M275" s="153" t="n">
        <x:v>8068</x:v>
      </x:c>
      <x:c r="N275" s="153" t="n">
        <x:v>7925</x:v>
      </x:c>
      <x:c r="O275" s="153" t="n">
        <x:v>7989</x:v>
      </x:c>
      <x:c r="P275" s="154" t="n">
        <x:f>IFERROR(O275/O274-1,"")</x:f>
        <x:v>-0.010159831495477611</x:v>
      </x:c>
      <x:c r="Q275" s="154" t="n">
        <x:f>IFERROR((M275-N275)/O274,"")</x:f>
        <x:v>0.01771775492504027</x:v>
      </x:c>
      <x:c r="R275" s="153" t="n">
        <x:v>7982</x:v>
      </x:c>
      <x:c r="S275" s="158" t="n">
        <x:v>584906</x:v>
      </x:c>
      <x:c r="T275" s="158" t="n">
        <x:v>4668910224</x:v>
      </x:c>
      <x:c r="U275" s="158" t="n">
        <x:v>3667766</x:v>
      </x:c>
      <x:c r="V275" s="153" t="n">
        <x:f>IFERROR(E275*1000/O275,"")</x:f>
        <x:v>84.70521967705595</x:v>
      </x:c>
      <x:c r="W275" s="153" t="n">
        <x:v>4.22</x:v>
      </x:c>
      <x:c r="X275" s="155" t="n">
        <x:v>45726</x:v>
      </x:c>
      <x:c r="Y275" s="153" t="n">
        <x:v>1.91</x:v>
      </x:c>
      <x:c r="Z275" s="155" t="n">
        <x:v>45726</x:v>
      </x:c>
      <x:c r="AA275" s="153" t="n">
        <x:f>IFERROR(Y275-Y274,"")</x:f>
        <x:v>-0.08000000000000007</x:v>
      </x:c>
      <x:c r="AB275" s="153" t="n">
        <x:v>2.31</x:v>
      </x:c>
      <x:c r="AC275" s="153" t="n">
        <x:v>126.268</x:v>
      </x:c>
      <x:c r="AD275" s="155" t="n">
        <x:v>45726</x:v>
      </x:c>
      <x:c r="AE275" s="154" t="n">
        <x:f>IFERROR(AC275/AC274-1,"")</x:f>
        <x:v>0.0022749389989316082</x:v>
      </x:c>
      <x:c r="AF275" s="153" t="n">
        <x:v>27.86</x:v>
      </x:c>
      <x:c r="AG275" s="155" t="n">
        <x:v>45726</x:v>
      </x:c>
      <x:c r="AH275" s="153" t="n">
        <x:f>IFERROR(AF275-AF274,"")</x:f>
        <x:v>4.489999999999998</x:v>
      </x:c>
      <x:c r="AI275" s="153" t="n">
        <x:v>4.33</x:v>
      </x:c>
      <x:c r="AJ275" s="155" t="n">
        <x:v>45723</x:v>
      </x:c>
      <x:c r="AK275" s="159" t="n">
        <x:v>166658</x:v>
      </x:c>
      <x:c r="AL275" s="154" t="n">
        <x:v>0.34062583031863797</x:v>
      </x:c>
      <x:c r="AM275" s="159" t="n">
        <x:v>-58579</x:v>
      </x:c>
      <x:c r="AN275" s="155" t="n">
        <x:v>45723</x:v>
      </x:c>
      <x:c r="AO275" s="159" t="n">
        <x:v>34098</x:v>
      </x:c>
      <x:c r="AP275" s="154" t="n">
        <x:v>0.2336519683420701</x:v>
      </x:c>
      <x:c r="AQ275" s="159" t="n">
        <x:v>-31626</x:v>
      </x:c>
      <x:c r="AR275" s="147" t="str">
        <x:v>美国市场指标与CFTC数据均使用严格早于上金所交易日的最后已发布值</x:v>
      </x:c>
    </x:row>
    <x:row r="276">
      <x:c r="A276" s="155" t="n">
        <x:v>45728</x:v>
      </x:c>
      <x:c r="B276" s="153" t="n">
        <x:v>679</x:v>
      </x:c>
      <x:c r="C276" s="153" t="n">
        <x:v>680.4</x:v>
      </x:c>
      <x:c r="D276" s="153" t="n">
        <x:v>678</x:v>
      </x:c>
      <x:c r="E276" s="153" t="n">
        <x:v>679.43</x:v>
      </x:c>
      <x:c r="F276" s="154" t="n">
        <x:f>IFERROR(E276/E275-1,"")</x:f>
        <x:v>0.004019447030485512</x:v>
      </x:c>
      <x:c r="G276" s="154" t="n">
        <x:f>IFERROR((C276-D276)/E275,"")</x:f>
        <x:v>0.003546570909252083</x:v>
      </x:c>
      <x:c r="H276" s="153" t="n">
        <x:v>679.04</x:v>
      </x:c>
      <x:c r="I276" s="158" t="n">
        <x:v>9461.1</x:v>
      </x:c>
      <x:c r="J276" s="158" t="n">
        <x:v>6424513538.2</x:v>
      </x:c>
      <x:c r="K276" s="158"/>
      <x:c r="L276" s="153" t="n">
        <x:v>8045</x:v>
      </x:c>
      <x:c r="M276" s="153" t="n">
        <x:v>8104</x:v>
      </x:c>
      <x:c r="N276" s="153" t="n">
        <x:v>8025</x:v>
      </x:c>
      <x:c r="O276" s="153" t="n">
        <x:v>8078</x:v>
      </x:c>
      <x:c r="P276" s="154" t="n">
        <x:f>IFERROR(O276/O275-1,"")</x:f>
        <x:v>0.011140317937163635</x:v>
      </x:c>
      <x:c r="Q276" s="154" t="n">
        <x:f>IFERROR((M276-N276)/O275,"")</x:f>
        <x:v>0.009888596820628363</x:v>
      </x:c>
      <x:c r="R276" s="153" t="n">
        <x:v>8071</x:v>
      </x:c>
      <x:c r="S276" s="158" t="n">
        <x:v>730142</x:v>
      </x:c>
      <x:c r="T276" s="158" t="n">
        <x:v>5893291418</x:v>
      </x:c>
      <x:c r="U276" s="158" t="n">
        <x:v>3660582</x:v>
      </x:c>
      <x:c r="V276" s="153" t="n">
        <x:f>IFERROR(E276*1000/O276,"")</x:f>
        <x:v>84.10869026986877</x:v>
      </x:c>
      <x:c r="W276" s="153" t="n">
        <x:v>4.28</x:v>
      </x:c>
      <x:c r="X276" s="155" t="n">
        <x:v>45727</x:v>
      </x:c>
      <x:c r="Y276" s="153" t="n">
        <x:v>1.97</x:v>
      </x:c>
      <x:c r="Z276" s="155" t="n">
        <x:v>45727</x:v>
      </x:c>
      <x:c r="AA276" s="153" t="n">
        <x:f>IFERROR(Y276-Y275,"")</x:f>
        <x:v>0.06000000000000005</x:v>
      </x:c>
      <x:c r="AB276" s="153" t="n">
        <x:v>2.31</x:v>
      </x:c>
      <x:c r="AC276" s="153" t="n">
        <x:v>126.0457</x:v>
      </x:c>
      <x:c r="AD276" s="155" t="n">
        <x:v>45727</x:v>
      </x:c>
      <x:c r="AE276" s="154" t="n">
        <x:f>IFERROR(AC276/AC275-1,"")</x:f>
        <x:v>-0.0017605410713720238</x:v>
      </x:c>
      <x:c r="AF276" s="153" t="n">
        <x:v>26.92</x:v>
      </x:c>
      <x:c r="AG276" s="155" t="n">
        <x:v>45727</x:v>
      </x:c>
      <x:c r="AH276" s="153" t="n">
        <x:f>IFERROR(AF276-AF275,"")</x:f>
        <x:v>-0.9399999999999977</x:v>
      </x:c>
      <x:c r="AI276" s="153" t="n">
        <x:v>4.33</x:v>
      </x:c>
      <x:c r="AJ276" s="155" t="n">
        <x:v>45723</x:v>
      </x:c>
      <x:c r="AK276" s="159" t="n">
        <x:v>166658</x:v>
      </x:c>
      <x:c r="AL276" s="154" t="n">
        <x:v>0.34062583031863797</x:v>
      </x:c>
      <x:c r="AM276" s="159" t="n">
        <x:v>-58579</x:v>
      </x:c>
      <x:c r="AN276" s="155" t="n">
        <x:v>45723</x:v>
      </x:c>
      <x:c r="AO276" s="159" t="n">
        <x:v>34098</x:v>
      </x:c>
      <x:c r="AP276" s="154" t="n">
        <x:v>0.2336519683420701</x:v>
      </x:c>
      <x:c r="AQ276" s="159" t="n">
        <x:v>-31626</x:v>
      </x:c>
      <x:c r="AR276" s="147" t="str">
        <x:v>美国市场指标与CFTC数据均使用严格早于上金所交易日的最后已发布值</x:v>
      </x:c>
    </x:row>
    <x:row r="277">
      <x:c r="A277" s="155" t="n">
        <x:v>45729</x:v>
      </x:c>
      <x:c r="B277" s="153" t="n">
        <x:v>680</x:v>
      </x:c>
      <x:c r="C277" s="153" t="n">
        <x:v>685.89</x:v>
      </x:c>
      <x:c r="D277" s="153" t="n">
        <x:v>679</x:v>
      </x:c>
      <x:c r="E277" s="153" t="n">
        <x:v>683.77</x:v>
      </x:c>
      <x:c r="F277" s="154" t="n">
        <x:f>IFERROR(E277/E276-1,"")</x:f>
        <x:v>0.006387707342919935</x:v>
      </x:c>
      <x:c r="G277" s="154" t="n">
        <x:f>IFERROR((C277-D277)/E276,"")</x:f>
        <x:v>0.010140853362377267</x:v>
      </x:c>
      <x:c r="H277" s="153" t="n">
        <x:v>684.56</x:v>
      </x:c>
      <x:c r="I277" s="158" t="n">
        <x:v>6326.66</x:v>
      </x:c>
      <x:c r="J277" s="158" t="n">
        <x:v>4331022913</x:v>
      </x:c>
      <x:c r="K277" s="158"/>
      <x:c r="L277" s="153" t="n">
        <x:v>8131</x:v>
      </x:c>
      <x:c r="M277" s="153" t="n">
        <x:v>8177</x:v>
      </x:c>
      <x:c r="N277" s="153" t="n">
        <x:v>8090</x:v>
      </x:c>
      <x:c r="O277" s="153" t="n">
        <x:v>8140</x:v>
      </x:c>
      <x:c r="P277" s="154" t="n">
        <x:f>IFERROR(O277/O276-1,"")</x:f>
        <x:v>0.0076751671205743666</x:v>
      </x:c>
      <x:c r="Q277" s="154" t="n">
        <x:f>IFERROR((M277-N277)/O276,"")</x:f>
        <x:v>0.010769992572418915</x:v>
      </x:c>
      <x:c r="R277" s="153" t="n">
        <x:v>8137</x:v>
      </x:c>
      <x:c r="S277" s="158" t="n">
        <x:v>664602</x:v>
      </x:c>
      <x:c r="T277" s="158" t="n">
        <x:v>5408203106</x:v>
      </x:c>
      <x:c r="U277" s="158" t="n">
        <x:v>3628884</x:v>
      </x:c>
      <x:c r="V277" s="153" t="n">
        <x:f>IFERROR(E277*1000/O277,"")</x:f>
        <x:v>84.0012285012285</x:v>
      </x:c>
      <x:c r="W277" s="153" t="n">
        <x:v>4.32</x:v>
      </x:c>
      <x:c r="X277" s="155" t="n">
        <x:v>45728</x:v>
      </x:c>
      <x:c r="Y277" s="153" t="n">
        <x:v>1.99</x:v>
      </x:c>
      <x:c r="Z277" s="155" t="n">
        <x:v>45728</x:v>
      </x:c>
      <x:c r="AA277" s="153" t="n">
        <x:f>IFERROR(Y277-Y276,"")</x:f>
        <x:v>0.020000000000000018</x:v>
      </x:c>
      <x:c r="AB277" s="153" t="n">
        <x:v>2.33</x:v>
      </x:c>
      <x:c r="AC277" s="153" t="n">
        <x:v>125.8664</x:v>
      </x:c>
      <x:c r="AD277" s="155" t="n">
        <x:v>45728</x:v>
      </x:c>
      <x:c r="AE277" s="154" t="n">
        <x:f>IFERROR(AC277/AC276-1,"")</x:f>
        <x:v>-0.001422499934547572</x:v>
      </x:c>
      <x:c r="AF277" s="153" t="n">
        <x:v>24.23</x:v>
      </x:c>
      <x:c r="AG277" s="155" t="n">
        <x:v>45728</x:v>
      </x:c>
      <x:c r="AH277" s="153" t="n">
        <x:f>IFERROR(AF277-AF276,"")</x:f>
        <x:v>-2.6900000000000013</x:v>
      </x:c>
      <x:c r="AI277" s="153" t="n">
        <x:v>4.33</x:v>
      </x:c>
      <x:c r="AJ277" s="155" t="n">
        <x:v>45723</x:v>
      </x:c>
      <x:c r="AK277" s="159" t="n">
        <x:v>166658</x:v>
      </x:c>
      <x:c r="AL277" s="154" t="n">
        <x:v>0.34062583031863797</x:v>
      </x:c>
      <x:c r="AM277" s="159" t="n">
        <x:v>-58579</x:v>
      </x:c>
      <x:c r="AN277" s="155" t="n">
        <x:v>45723</x:v>
      </x:c>
      <x:c r="AO277" s="159" t="n">
        <x:v>34098</x:v>
      </x:c>
      <x:c r="AP277" s="154" t="n">
        <x:v>0.2336519683420701</x:v>
      </x:c>
      <x:c r="AQ277" s="159" t="n">
        <x:v>-31626</x:v>
      </x:c>
      <x:c r="AR277" s="147" t="str">
        <x:v>美国市场指标与CFTC数据均使用严格早于上金所交易日的最后已发布值</x:v>
      </x:c>
    </x:row>
    <x:row r="278">
      <x:c r="A278" s="155" t="n">
        <x:v>45730</x:v>
      </x:c>
      <x:c r="B278" s="153" t="n">
        <x:v>685.5</x:v>
      </x:c>
      <x:c r="C278" s="153" t="n">
        <x:v>697.79</x:v>
      </x:c>
      <x:c r="D278" s="153" t="n">
        <x:v>685.5</x:v>
      </x:c>
      <x:c r="E278" s="153" t="n">
        <x:v>692.67</x:v>
      </x:c>
      <x:c r="F278" s="154" t="n">
        <x:f>IFERROR(E278/E277-1,"")</x:f>
        <x:v>0.013016072656010014</x:v>
      </x:c>
      <x:c r="G278" s="154" t="n">
        <x:f>IFERROR((C278-D278)/E277,"")</x:f>
        <x:v>0.017973880105883504</x:v>
      </x:c>
      <x:c r="H278" s="153" t="n">
        <x:v>694.65</x:v>
      </x:c>
      <x:c r="I278" s="158" t="n">
        <x:v>7907.52</x:v>
      </x:c>
      <x:c r="J278" s="158" t="n">
        <x:v>5492994326.8</x:v>
      </x:c>
      <x:c r="K278" s="158"/>
      <x:c r="L278" s="153" t="n">
        <x:v>8154</x:v>
      </x:c>
      <x:c r="M278" s="153" t="n">
        <x:v>8378</x:v>
      </x:c>
      <x:c r="N278" s="153" t="n">
        <x:v>8124</x:v>
      </x:c>
      <x:c r="O278" s="153" t="n">
        <x:v>8348</x:v>
      </x:c>
      <x:c r="P278" s="154" t="n">
        <x:f>IFERROR(O278/O277-1,"")</x:f>
        <x:v>0.025552825552825453</x:v>
      </x:c>
      <x:c r="Q278" s="154" t="n">
        <x:f>IFERROR((M278-N278)/O277,"")</x:f>
        <x:v>0.031203931203931203</x:v>
      </x:c>
      <x:c r="R278" s="153" t="n">
        <x:v>8282</x:v>
      </x:c>
      <x:c r="S278" s="158" t="n">
        <x:v>750634</x:v>
      </x:c>
      <x:c r="T278" s="158" t="n">
        <x:v>6217228854</x:v>
      </x:c>
      <x:c r="U278" s="158" t="n">
        <x:v>3651702</x:v>
      </x:c>
      <x:c r="V278" s="153" t="n">
        <x:f>IFERROR(E278*1000/O278,"")</x:f>
        <x:v>82.97436511739339</x:v>
      </x:c>
      <x:c r="W278" s="153" t="n">
        <x:v>4.27</x:v>
      </x:c>
      <x:c r="X278" s="155" t="n">
        <x:v>45729</x:v>
      </x:c>
      <x:c r="Y278" s="153" t="n">
        <x:v>1.98</x:v>
      </x:c>
      <x:c r="Z278" s="155" t="n">
        <x:v>45729</x:v>
      </x:c>
      <x:c r="AA278" s="153" t="n">
        <x:f>IFERROR(Y278-Y277,"")</x:f>
        <x:v>-0.010000000000000009</x:v>
      </x:c>
      <x:c r="AB278" s="153" t="n">
        <x:v>2.29</x:v>
      </x:c>
      <x:c r="AC278" s="153" t="n">
        <x:v>126.0031</x:v>
      </x:c>
      <x:c r="AD278" s="155" t="n">
        <x:v>45729</x:v>
      </x:c>
      <x:c r="AE278" s="154" t="n">
        <x:f>IFERROR(AC278/AC277-1,"")</x:f>
        <x:v>0.0010860722162546743</x:v>
      </x:c>
      <x:c r="AF278" s="153" t="n">
        <x:v>24.66</x:v>
      </x:c>
      <x:c r="AG278" s="155" t="n">
        <x:v>45729</x:v>
      </x:c>
      <x:c r="AH278" s="153" t="n">
        <x:f>IFERROR(AF278-AF277,"")</x:f>
        <x:v>0.4299999999999997</x:v>
      </x:c>
      <x:c r="AI278" s="153" t="n">
        <x:v>4.33</x:v>
      </x:c>
      <x:c r="AJ278" s="155" t="n">
        <x:v>45723</x:v>
      </x:c>
      <x:c r="AK278" s="159" t="n">
        <x:v>166658</x:v>
      </x:c>
      <x:c r="AL278" s="154" t="n">
        <x:v>0.34062583031863797</x:v>
      </x:c>
      <x:c r="AM278" s="159" t="n">
        <x:v>-58579</x:v>
      </x:c>
      <x:c r="AN278" s="155" t="n">
        <x:v>45723</x:v>
      </x:c>
      <x:c r="AO278" s="159" t="n">
        <x:v>34098</x:v>
      </x:c>
      <x:c r="AP278" s="154" t="n">
        <x:v>0.2336519683420701</x:v>
      </x:c>
      <x:c r="AQ278" s="159" t="n">
        <x:v>-31626</x:v>
      </x:c>
      <x:c r="AR278" s="147" t="str">
        <x:v>美国市场指标与CFTC数据均使用严格早于上金所交易日的最后已发布值</x:v>
      </x:c>
    </x:row>
    <x:row r="279">
      <x:c r="A279" s="155" t="n">
        <x:v>45733</x:v>
      </x:c>
      <x:c r="B279" s="153" t="n">
        <x:v>698</x:v>
      </x:c>
      <x:c r="C279" s="153" t="n">
        <x:v>698</x:v>
      </x:c>
      <x:c r="D279" s="153" t="n">
        <x:v>693.8</x:v>
      </x:c>
      <x:c r="E279" s="153" t="n">
        <x:v>695.4</x:v>
      </x:c>
      <x:c r="F279" s="154" t="n">
        <x:f>IFERROR(E279/E278-1,"")</x:f>
        <x:v>0.003941270734981961</x:v>
      </x:c>
      <x:c r="G279" s="154" t="n">
        <x:f>IFERROR((C279-D279)/E278,"")</x:f>
        <x:v>0.006063493438433952</x:v>
      </x:c>
      <x:c r="H279" s="153" t="n">
        <x:v>695.08</x:v>
      </x:c>
      <x:c r="I279" s="158" t="n">
        <x:v>8427.84</x:v>
      </x:c>
      <x:c r="J279" s="158" t="n">
        <x:v>5858079008.6</x:v>
      </x:c>
      <x:c r="K279" s="158"/>
      <x:c r="L279" s="153" t="n">
        <x:v>8354</x:v>
      </x:c>
      <x:c r="M279" s="153" t="n">
        <x:v>8382</x:v>
      </x:c>
      <x:c r="N279" s="153" t="n">
        <x:v>8285</x:v>
      </x:c>
      <x:c r="O279" s="153" t="n">
        <x:v>8325</x:v>
      </x:c>
      <x:c r="P279" s="154" t="n">
        <x:f>IFERROR(O279/O278-1,"")</x:f>
        <x:v>-0.0027551509343555214</x:v>
      </x:c>
      <x:c r="Q279" s="154" t="n">
        <x:f>IFERROR((M279-N279)/O278,"")</x:f>
        <x:v>0.011619549592716818</x:v>
      </x:c>
      <x:c r="R279" s="153" t="n">
        <x:v>8322</x:v>
      </x:c>
      <x:c r="S279" s="158" t="n">
        <x:v>389854</x:v>
      </x:c>
      <x:c r="T279" s="158" t="n">
        <x:v>3244507958</x:v>
      </x:c>
      <x:c r="U279" s="158" t="n">
        <x:v>3634194</x:v>
      </x:c>
      <x:c r="V279" s="153" t="n">
        <x:f>IFERROR(E279*1000/O279,"")</x:f>
        <x:v>83.53153153153153</x:v>
      </x:c>
      <x:c r="W279" s="153" t="n">
        <x:v>4.31</x:v>
      </x:c>
      <x:c r="X279" s="155" t="n">
        <x:v>45730</x:v>
      </x:c>
      <x:c r="Y279" s="153" t="n">
        <x:v>2.01</x:v>
      </x:c>
      <x:c r="Z279" s="155" t="n">
        <x:v>45730</x:v>
      </x:c>
      <x:c r="AA279" s="153" t="n">
        <x:f>IFERROR(Y279-Y278,"")</x:f>
        <x:v>0.029999999999999805</x:v>
      </x:c>
      <x:c r="AB279" s="153" t="n">
        <x:v>2.3</x:v>
      </x:c>
      <x:c r="AC279" s="153" t="n">
        <x:v>125.6942</x:v>
      </x:c>
      <x:c r="AD279" s="155" t="n">
        <x:v>45730</x:v>
      </x:c>
      <x:c r="AE279" s="154" t="n">
        <x:f>IFERROR(AC279/AC278-1,"")</x:f>
        <x:v>-0.0024515269862408484</x:v>
      </x:c>
      <x:c r="AF279" s="153" t="n">
        <x:v>21.77</x:v>
      </x:c>
      <x:c r="AG279" s="155" t="n">
        <x:v>45730</x:v>
      </x:c>
      <x:c r="AH279" s="153" t="n">
        <x:f>IFERROR(AF279-AF278,"")</x:f>
        <x:v>-2.8900000000000006</x:v>
      </x:c>
      <x:c r="AI279" s="153" t="n">
        <x:v>4.33</x:v>
      </x:c>
      <x:c r="AJ279" s="155" t="n">
        <x:v>45730</x:v>
      </x:c>
      <x:c r="AK279" s="159" t="n">
        <x:v>167576</x:v>
      </x:c>
      <x:c r="AL279" s="154" t="n">
        <x:v>0.3277603486179676</x:v>
      </x:c>
      <x:c r="AM279" s="159" t="n">
        <x:v>-57259</x:v>
      </x:c>
      <x:c r="AN279" s="155" t="n">
        <x:v>45730</x:v>
      </x:c>
      <x:c r="AO279" s="159" t="n">
        <x:v>41977</x:v>
      </x:c>
      <x:c r="AP279" s="154" t="n">
        <x:v>0.27036061392604804</x:v>
      </x:c>
      <x:c r="AQ279" s="159" t="n">
        <x:v>-35240</x:v>
      </x:c>
      <x:c r="AR279" s="147" t="str">
        <x:v>美国市场指标与CFTC数据均使用严格早于上金所交易日的最后已发布值</x:v>
      </x:c>
    </x:row>
    <x:row r="280">
      <x:c r="A280" s="155" t="n">
        <x:v>45734</x:v>
      </x:c>
      <x:c r="B280" s="153" t="n">
        <x:v>696</x:v>
      </x:c>
      <x:c r="C280" s="153" t="n">
        <x:v>701.35</x:v>
      </x:c>
      <x:c r="D280" s="153" t="n">
        <x:v>695</x:v>
      </x:c>
      <x:c r="E280" s="153" t="n">
        <x:v>700.8</x:v>
      </x:c>
      <x:c r="F280" s="154" t="n">
        <x:f>IFERROR(E280/E279-1,"")</x:f>
        <x:v>0.007765314926660771</x:v>
      </x:c>
      <x:c r="G280" s="154" t="n">
        <x:f>IFERROR((C280-D280)/E279,"")</x:f>
        <x:v>0.009131435145240183</x:v>
      </x:c>
      <x:c r="H280" s="153" t="n">
        <x:v>699.81</x:v>
      </x:c>
      <x:c r="I280" s="158" t="n">
        <x:v>8643.04</x:v>
      </x:c>
      <x:c r="J280" s="158" t="n">
        <x:v>6048533956.4</x:v>
      </x:c>
      <x:c r="K280" s="158"/>
      <x:c r="L280" s="153" t="n">
        <x:v>8328</x:v>
      </x:c>
      <x:c r="M280" s="153" t="n">
        <x:v>8357</x:v>
      </x:c>
      <x:c r="N280" s="153" t="n">
        <x:v>8254</x:v>
      </x:c>
      <x:c r="O280" s="153" t="n">
        <x:v>8345</x:v>
      </x:c>
      <x:c r="P280" s="154" t="n">
        <x:f>IFERROR(O280/O279-1,"")</x:f>
        <x:v>0.002402402402402304</x:v>
      </x:c>
      <x:c r="Q280" s="154" t="n">
        <x:f>IFERROR((M280-N280)/O279,"")</x:f>
        <x:v>0.012372372372372372</x:v>
      </x:c>
      <x:c r="R280" s="153" t="n">
        <x:v>8322</x:v>
      </x:c>
      <x:c r="S280" s="158" t="n">
        <x:v>401274</x:v>
      </x:c>
      <x:c r="T280" s="158" t="n">
        <x:v>3339757882</x:v>
      </x:c>
      <x:c r="U280" s="158" t="n">
        <x:v>3625522</x:v>
      </x:c>
      <x:c r="V280" s="153" t="n">
        <x:f>IFERROR(E280*1000/O280,"")</x:f>
        <x:v>83.97843019772318</x:v>
      </x:c>
      <x:c r="W280" s="153" t="n">
        <x:v>4.31</x:v>
      </x:c>
      <x:c r="X280" s="155" t="n">
        <x:v>45733</x:v>
      </x:c>
      <x:c r="Y280" s="153" t="n">
        <x:v>2.02</x:v>
      </x:c>
      <x:c r="Z280" s="155" t="n">
        <x:v>45733</x:v>
      </x:c>
      <x:c r="AA280" s="153" t="n">
        <x:f>IFERROR(Y280-Y279,"")</x:f>
        <x:v>0.010000000000000231</x:v>
      </x:c>
      <x:c r="AB280" s="153" t="n">
        <x:v>2.29</x:v>
      </x:c>
      <x:c r="AC280" s="153" t="n">
        <x:v>125.3688</x:v>
      </x:c>
      <x:c r="AD280" s="155" t="n">
        <x:v>45733</x:v>
      </x:c>
      <x:c r="AE280" s="154" t="n">
        <x:f>IFERROR(AC280/AC279-1,"")</x:f>
        <x:v>-0.002588822714174599</x:v>
      </x:c>
      <x:c r="AF280" s="153" t="n">
        <x:v>20.51</x:v>
      </x:c>
      <x:c r="AG280" s="155" t="n">
        <x:v>45733</x:v>
      </x:c>
      <x:c r="AH280" s="153" t="n">
        <x:f>IFERROR(AF280-AF279,"")</x:f>
        <x:v>-1.259999999999998</x:v>
      </x:c>
      <x:c r="AI280" s="153" t="n">
        <x:v>4.33</x:v>
      </x:c>
      <x:c r="AJ280" s="155" t="n">
        <x:v>45730</x:v>
      </x:c>
      <x:c r="AK280" s="159" t="n">
        <x:v>167576</x:v>
      </x:c>
      <x:c r="AL280" s="154" t="n">
        <x:v>0.3277603486179676</x:v>
      </x:c>
      <x:c r="AM280" s="159" t="n">
        <x:v>-57259</x:v>
      </x:c>
      <x:c r="AN280" s="155" t="n">
        <x:v>45730</x:v>
      </x:c>
      <x:c r="AO280" s="159" t="n">
        <x:v>41977</x:v>
      </x:c>
      <x:c r="AP280" s="154" t="n">
        <x:v>0.27036061392604804</x:v>
      </x:c>
      <x:c r="AQ280" s="159" t="n">
        <x:v>-35240</x:v>
      </x:c>
      <x:c r="AR280" s="147" t="str">
        <x:v>美国市场指标与CFTC数据均使用严格早于上金所交易日的最后已发布值</x:v>
      </x:c>
    </x:row>
    <x:row r="281">
      <x:c r="A281" s="155" t="n">
        <x:v>45735</x:v>
      </x:c>
      <x:c r="B281" s="153" t="n">
        <x:v>702</x:v>
      </x:c>
      <x:c r="C281" s="153" t="n">
        <x:v>708.5</x:v>
      </x:c>
      <x:c r="D281" s="153" t="n">
        <x:v>702</x:v>
      </x:c>
      <x:c r="E281" s="153" t="n">
        <x:v>707.7</x:v>
      </x:c>
      <x:c r="F281" s="154" t="n">
        <x:f>IFERROR(E281/E280-1,"")</x:f>
        <x:v>0.009845890410959068</x:v>
      </x:c>
      <x:c r="G281" s="154" t="n">
        <x:f>IFERROR((C281-D281)/E280,"")</x:f>
        <x:v>0.009275114155251143</x:v>
      </x:c>
      <x:c r="H281" s="153" t="n">
        <x:v>706.1</x:v>
      </x:c>
      <x:c r="I281" s="158" t="n">
        <x:v>9087.16</x:v>
      </x:c>
      <x:c r="J281" s="158" t="n">
        <x:v>6416500143</x:v>
      </x:c>
      <x:c r="K281" s="158"/>
      <x:c r="L281" s="153" t="n">
        <x:v>8371</x:v>
      </x:c>
      <x:c r="M281" s="153" t="n">
        <x:v>8415</x:v>
      </x:c>
      <x:c r="N281" s="153" t="n">
        <x:v>8335</x:v>
      </x:c>
      <x:c r="O281" s="153" t="n">
        <x:v>8353</x:v>
      </x:c>
      <x:c r="P281" s="154" t="n">
        <x:f>IFERROR(O281/O280-1,"")</x:f>
        <x:v>0.0009586578789695377</x:v>
      </x:c>
      <x:c r="Q281" s="154" t="n">
        <x:f>IFERROR((M281-N281)/O280,"")</x:f>
        <x:v>0.009586578789694428</x:v>
      </x:c>
      <x:c r="R281" s="153" t="n">
        <x:v>8364</x:v>
      </x:c>
      <x:c r="S281" s="158" t="n">
        <x:v>596332</x:v>
      </x:c>
      <x:c r="T281" s="158" t="n">
        <x:v>4988101254</x:v>
      </x:c>
      <x:c r="U281" s="158" t="n">
        <x:v>3733166</x:v>
      </x:c>
      <x:c r="V281" s="153" t="n">
        <x:f>IFERROR(E281*1000/O281,"")</x:f>
        <x:v>84.72405123907578</x:v>
      </x:c>
      <x:c r="W281" s="153" t="n">
        <x:v>4.29</x:v>
      </x:c>
      <x:c r="X281" s="155" t="n">
        <x:v>45734</x:v>
      </x:c>
      <x:c r="Y281" s="153" t="n">
        <x:v>1.99</x:v>
      </x:c>
      <x:c r="Z281" s="155" t="n">
        <x:v>45734</x:v>
      </x:c>
      <x:c r="AA281" s="153" t="n">
        <x:f>IFERROR(Y281-Y280,"")</x:f>
        <x:v>-0.030000000000000027</x:v>
      </x:c>
      <x:c r="AB281" s="153" t="n">
        <x:v>2.3</x:v>
      </x:c>
      <x:c r="AC281" s="153" t="n">
        <x:v>125.488</x:v>
      </x:c>
      <x:c r="AD281" s="155" t="n">
        <x:v>45734</x:v>
      </x:c>
      <x:c r="AE281" s="154" t="n">
        <x:f>IFERROR(AC281/AC280-1,"")</x:f>
        <x:v>0.0009507947750955204</x:v>
      </x:c>
      <x:c r="AF281" s="153" t="n">
        <x:v>21.7</x:v>
      </x:c>
      <x:c r="AG281" s="155" t="n">
        <x:v>45734</x:v>
      </x:c>
      <x:c r="AH281" s="153" t="n">
        <x:f>IFERROR(AF281-AF280,"")</x:f>
        <x:v>1.1899999999999977</x:v>
      </x:c>
      <x:c r="AI281" s="153" t="n">
        <x:v>4.33</x:v>
      </x:c>
      <x:c r="AJ281" s="155" t="n">
        <x:v>45730</x:v>
      </x:c>
      <x:c r="AK281" s="159" t="n">
        <x:v>167576</x:v>
      </x:c>
      <x:c r="AL281" s="154" t="n">
        <x:v>0.3277603486179676</x:v>
      </x:c>
      <x:c r="AM281" s="159" t="n">
        <x:v>-57259</x:v>
      </x:c>
      <x:c r="AN281" s="155" t="n">
        <x:v>45730</x:v>
      </x:c>
      <x:c r="AO281" s="159" t="n">
        <x:v>41977</x:v>
      </x:c>
      <x:c r="AP281" s="154" t="n">
        <x:v>0.27036061392604804</x:v>
      </x:c>
      <x:c r="AQ281" s="159" t="n">
        <x:v>-35240</x:v>
      </x:c>
      <x:c r="AR281" s="147" t="str">
        <x:v>美国市场指标与CFTC数据均使用严格早于上金所交易日的最后已发布值</x:v>
      </x:c>
    </x:row>
    <x:row r="282">
      <x:c r="A282" s="155" t="n">
        <x:v>45736</x:v>
      </x:c>
      <x:c r="B282" s="153" t="n">
        <x:v>701.5</x:v>
      </x:c>
      <x:c r="C282" s="153" t="n">
        <x:v>710.89</x:v>
      </x:c>
      <x:c r="D282" s="153" t="n">
        <x:v>701.5</x:v>
      </x:c>
      <x:c r="E282" s="153" t="n">
        <x:v>709.09</x:v>
      </x:c>
      <x:c r="F282" s="154" t="n">
        <x:f>IFERROR(E282/E281-1,"")</x:f>
        <x:v>0.0019641090857707155</x:v>
      </x:c>
      <x:c r="G282" s="154" t="n">
        <x:f>IFERROR((C282-D282)/E281,"")</x:f>
        <x:v>0.013268334039847373</x:v>
      </x:c>
      <x:c r="H282" s="153" t="n">
        <x:v>709.16</x:v>
      </x:c>
      <x:c r="I282" s="158" t="n">
        <x:v>8900.02</x:v>
      </x:c>
      <x:c r="J282" s="158" t="n">
        <x:v>6311611683.6</x:v>
      </x:c>
      <x:c r="K282" s="158"/>
      <x:c r="L282" s="153" t="n">
        <x:v>8357</x:v>
      </x:c>
      <x:c r="M282" s="153" t="n">
        <x:v>8362</x:v>
      </x:c>
      <x:c r="N282" s="153" t="n">
        <x:v>8282</x:v>
      </x:c>
      <x:c r="O282" s="153" t="n">
        <x:v>8317</x:v>
      </x:c>
      <x:c r="P282" s="154" t="n">
        <x:f>IFERROR(O282/O281-1,"")</x:f>
        <x:v>-0.004309828804022531</x:v>
      </x:c>
      <x:c r="Q282" s="154" t="n">
        <x:f>IFERROR((M282-N282)/O281,"")</x:f>
        <x:v>0.009577397342272238</x:v>
      </x:c>
      <x:c r="R282" s="153" t="n">
        <x:v>8329</x:v>
      </x:c>
      <x:c r="S282" s="158" t="n">
        <x:v>496502</x:v>
      </x:c>
      <x:c r="T282" s="158" t="n">
        <x:v>4135417002</x:v>
      </x:c>
      <x:c r="U282" s="158" t="n">
        <x:v>3816004</x:v>
      </x:c>
      <x:c r="V282" s="153" t="n">
        <x:f>IFERROR(E282*1000/O282,"")</x:f>
        <x:v>85.25790549476974</x:v>
      </x:c>
      <x:c r="W282" s="153" t="n">
        <x:v>4.25</x:v>
      </x:c>
      <x:c r="X282" s="155" t="n">
        <x:v>45735</x:v>
      </x:c>
      <x:c r="Y282" s="153" t="n">
        <x:v>1.94</x:v>
      </x:c>
      <x:c r="Z282" s="155" t="n">
        <x:v>45735</x:v>
      </x:c>
      <x:c r="AA282" s="153" t="n">
        <x:f>IFERROR(Y282-Y281,"")</x:f>
        <x:v>-0.050000000000000044</x:v>
      </x:c>
      <x:c r="AB282" s="153" t="n">
        <x:v>2.31</x:v>
      </x:c>
      <x:c r="AC282" s="153" t="n">
        <x:v>125.8006</x:v>
      </x:c>
      <x:c r="AD282" s="155" t="n">
        <x:v>45735</x:v>
      </x:c>
      <x:c r="AE282" s="154" t="n">
        <x:f>IFERROR(AC282/AC281-1,"")</x:f>
        <x:v>0.0024910748438098373</x:v>
      </x:c>
      <x:c r="AF282" s="153" t="n">
        <x:v>19.9</x:v>
      </x:c>
      <x:c r="AG282" s="155" t="n">
        <x:v>45735</x:v>
      </x:c>
      <x:c r="AH282" s="153" t="n">
        <x:f>IFERROR(AF282-AF281,"")</x:f>
        <x:v>-1.8000000000000007</x:v>
      </x:c>
      <x:c r="AI282" s="153" t="n">
        <x:v>4.33</x:v>
      </x:c>
      <x:c r="AJ282" s="155" t="n">
        <x:v>45730</x:v>
      </x:c>
      <x:c r="AK282" s="159" t="n">
        <x:v>167576</x:v>
      </x:c>
      <x:c r="AL282" s="154" t="n">
        <x:v>0.3277603486179676</x:v>
      </x:c>
      <x:c r="AM282" s="159" t="n">
        <x:v>-57259</x:v>
      </x:c>
      <x:c r="AN282" s="155" t="n">
        <x:v>45730</x:v>
      </x:c>
      <x:c r="AO282" s="159" t="n">
        <x:v>41977</x:v>
      </x:c>
      <x:c r="AP282" s="154" t="n">
        <x:v>0.27036061392604804</x:v>
      </x:c>
      <x:c r="AQ282" s="159" t="n">
        <x:v>-35240</x:v>
      </x:c>
      <x:c r="AR282" s="147" t="str">
        <x:v>美国市场指标与CFTC数据均使用严格早于上金所交易日的最后已发布值</x:v>
      </x:c>
    </x:row>
    <x:row r="283">
      <x:c r="A283" s="155" t="n">
        <x:v>45737</x:v>
      </x:c>
      <x:c r="B283" s="153" t="n">
        <x:v>707.55</x:v>
      </x:c>
      <x:c r="C283" s="153" t="n">
        <x:v>710</x:v>
      </x:c>
      <x:c r="D283" s="153" t="n">
        <x:v>704.39</x:v>
      </x:c>
      <x:c r="E283" s="153" t="n">
        <x:v>706.55</x:v>
      </x:c>
      <x:c r="F283" s="154" t="n">
        <x:f>IFERROR(E283/E282-1,"")</x:f>
        <x:v>-0.003582055874430723</x:v>
      </x:c>
      <x:c r="G283" s="154" t="n">
        <x:f>IFERROR((C283-D283)/E282,"")</x:f>
        <x:v>0.007911548604549512</x:v>
      </x:c>
      <x:c r="H283" s="153" t="n">
        <x:v>706.81</x:v>
      </x:c>
      <x:c r="I283" s="158" t="n">
        <x:v>8901.22</x:v>
      </x:c>
      <x:c r="J283" s="158" t="n">
        <x:v>6291546630.8</x:v>
      </x:c>
      <x:c r="K283" s="158"/>
      <x:c r="L283" s="153" t="n">
        <x:v>8275</x:v>
      </x:c>
      <x:c r="M283" s="153" t="n">
        <x:v>8297</x:v>
      </x:c>
      <x:c r="N283" s="153" t="n">
        <x:v>8150</x:v>
      </x:c>
      <x:c r="O283" s="153" t="n">
        <x:v>8190</x:v>
      </x:c>
      <x:c r="P283" s="154" t="n">
        <x:f>IFERROR(O283/O282-1,"")</x:f>
        <x:v>-0.015269929060959475</x:v>
      </x:c>
      <x:c r="Q283" s="154" t="n">
        <x:f>IFERROR((M283-N283)/O282,"")</x:f>
        <x:v>0.017674642298905856</x:v>
      </x:c>
      <x:c r="R283" s="153" t="n">
        <x:v>8229</x:v>
      </x:c>
      <x:c r="S283" s="158" t="n">
        <x:v>869066</x:v>
      </x:c>
      <x:c r="T283" s="158" t="n">
        <x:v>7151807724</x:v>
      </x:c>
      <x:c r="U283" s="158" t="n">
        <x:v>3853064</x:v>
      </x:c>
      <x:c r="V283" s="153" t="n">
        <x:f>IFERROR(E283*1000/O283,"")</x:f>
        <x:v>86.26984126984127</x:v>
      </x:c>
      <x:c r="W283" s="153" t="n">
        <x:v>4.24</x:v>
      </x:c>
      <x:c r="X283" s="155" t="n">
        <x:v>45736</x:v>
      </x:c>
      <x:c r="Y283" s="153" t="n">
        <x:v>1.93</x:v>
      </x:c>
      <x:c r="Z283" s="155" t="n">
        <x:v>45736</x:v>
      </x:c>
      <x:c r="AA283" s="153" t="n">
        <x:f>IFERROR(Y283-Y282,"")</x:f>
        <x:v>-0.010000000000000009</x:v>
      </x:c>
      <x:c r="AB283" s="153" t="n">
        <x:v>2.31</x:v>
      </x:c>
      <x:c r="AC283" s="153" t="n">
        <x:v>125.985</x:v>
      </x:c>
      <x:c r="AD283" s="155" t="n">
        <x:v>45736</x:v>
      </x:c>
      <x:c r="AE283" s="154" t="n">
        <x:f>IFERROR(AC283/AC282-1,"")</x:f>
        <x:v>0.0014658117687833538</x:v>
      </x:c>
      <x:c r="AF283" s="153" t="n">
        <x:v>19.8</x:v>
      </x:c>
      <x:c r="AG283" s="155" t="n">
        <x:v>45736</x:v>
      </x:c>
      <x:c r="AH283" s="153" t="n">
        <x:f>IFERROR(AF283-AF282,"")</x:f>
        <x:v>-0.09999999999999787</x:v>
      </x:c>
      <x:c r="AI283" s="153" t="n">
        <x:v>4.33</x:v>
      </x:c>
      <x:c r="AJ283" s="155" t="n">
        <x:v>45730</x:v>
      </x:c>
      <x:c r="AK283" s="159" t="n">
        <x:v>167576</x:v>
      </x:c>
      <x:c r="AL283" s="154" t="n">
        <x:v>0.3277603486179676</x:v>
      </x:c>
      <x:c r="AM283" s="159" t="n">
        <x:v>-57259</x:v>
      </x:c>
      <x:c r="AN283" s="155" t="n">
        <x:v>45730</x:v>
      </x:c>
      <x:c r="AO283" s="159" t="n">
        <x:v>41977</x:v>
      </x:c>
      <x:c r="AP283" s="154" t="n">
        <x:v>0.27036061392604804</x:v>
      </x:c>
      <x:c r="AQ283" s="159" t="n">
        <x:v>-35240</x:v>
      </x:c>
      <x:c r="AR283" s="147" t="str">
        <x:v>美国市场指标与CFTC数据均使用严格早于上金所交易日的最后已发布值</x:v>
      </x:c>
    </x:row>
    <x:row r="284">
      <x:c r="A284" s="155" t="n">
        <x:v>45740</x:v>
      </x:c>
      <x:c r="B284" s="153" t="n">
        <x:v>706.5</x:v>
      </x:c>
      <x:c r="C284" s="153" t="n">
        <x:v>707</x:v>
      </x:c>
      <x:c r="D284" s="153" t="n">
        <x:v>701</x:v>
      </x:c>
      <x:c r="E284" s="153" t="n">
        <x:v>705.92</x:v>
      </x:c>
      <x:c r="F284" s="154" t="n">
        <x:f>IFERROR(E284/E283-1,"")</x:f>
        <x:v>-0.0008916566414266525</x:v>
      </x:c>
      <x:c r="G284" s="154" t="n">
        <x:f>IFERROR((C284-D284)/E283,"")</x:f>
        <x:v>0.00849196801358715</x:v>
      </x:c>
      <x:c r="H284" s="153" t="n">
        <x:v>705.46</x:v>
      </x:c>
      <x:c r="I284" s="158" t="n">
        <x:v>11652.5</x:v>
      </x:c>
      <x:c r="J284" s="158" t="n">
        <x:v>8220427135.6</x:v>
      </x:c>
      <x:c r="K284" s="158"/>
      <x:c r="L284" s="153" t="n">
        <x:v>8190</x:v>
      </x:c>
      <x:c r="M284" s="153" t="n">
        <x:v>8227</x:v>
      </x:c>
      <x:c r="N284" s="153" t="n">
        <x:v>8123</x:v>
      </x:c>
      <x:c r="O284" s="153" t="n">
        <x:v>8224</x:v>
      </x:c>
      <x:c r="P284" s="154" t="n">
        <x:f>IFERROR(O284/O283-1,"")</x:f>
        <x:v>0.004151404151404137</x:v>
      </x:c>
      <x:c r="Q284" s="154" t="n">
        <x:f>IFERROR((M284-N284)/O283,"")</x:f>
        <x:v>0.012698412698412698</x:v>
      </x:c>
      <x:c r="R284" s="153" t="n">
        <x:v>8194</x:v>
      </x:c>
      <x:c r="S284" s="158" t="n">
        <x:v>519846</x:v>
      </x:c>
      <x:c r="T284" s="158" t="n">
        <x:v>4259994852</x:v>
      </x:c>
      <x:c r="U284" s="158" t="n">
        <x:v>3868146</x:v>
      </x:c>
      <x:c r="V284" s="153" t="n">
        <x:f>IFERROR(E284*1000/O284,"")</x:f>
        <x:v>85.83657587548637</x:v>
      </x:c>
      <x:c r="W284" s="153" t="n">
        <x:v>4.25</x:v>
      </x:c>
      <x:c r="X284" s="155" t="n">
        <x:v>45737</x:v>
      </x:c>
      <x:c r="Y284" s="153" t="n">
        <x:v>1.92</x:v>
      </x:c>
      <x:c r="Z284" s="155" t="n">
        <x:v>45737</x:v>
      </x:c>
      <x:c r="AA284" s="153" t="n">
        <x:f>IFERROR(Y284-Y283,"")</x:f>
        <x:v>-0.010000000000000009</x:v>
      </x:c>
      <x:c r="AB284" s="153" t="n">
        <x:v>2.33</x:v>
      </x:c>
      <x:c r="AC284" s="153" t="n">
        <x:v>126.2679</x:v>
      </x:c>
      <x:c r="AD284" s="155" t="n">
        <x:v>45737</x:v>
      </x:c>
      <x:c r="AE284" s="154" t="n">
        <x:f>IFERROR(AC284/AC283-1,"")</x:f>
        <x:v>0.0022455054173116107</x:v>
      </x:c>
      <x:c r="AF284" s="153" t="n">
        <x:v>19.28</x:v>
      </x:c>
      <x:c r="AG284" s="155" t="n">
        <x:v>45737</x:v>
      </x:c>
      <x:c r="AH284" s="153" t="n">
        <x:f>IFERROR(AF284-AF283,"")</x:f>
        <x:v>-0.5199999999999996</x:v>
      </x:c>
      <x:c r="AI284" s="153" t="n">
        <x:v>4.33</x:v>
      </x:c>
      <x:c r="AJ284" s="155" t="n">
        <x:v>45737</x:v>
      </x:c>
      <x:c r="AK284" s="159" t="n">
        <x:v>183834</x:v>
      </x:c>
      <x:c r="AL284" s="154" t="n">
        <x:v>0.34453844510332365</x:v>
      </x:c>
      <x:c r="AM284" s="159" t="n">
        <x:v>-64380</x:v>
      </x:c>
      <x:c r="AN284" s="155" t="n">
        <x:v>45737</x:v>
      </x:c>
      <x:c r="AO284" s="159" t="n">
        <x:v>49488</x:v>
      </x:c>
      <x:c r="AP284" s="154" t="n">
        <x:v>0.29013988719909006</x:v>
      </x:c>
      <x:c r="AQ284" s="159" t="n">
        <x:v>-37072</x:v>
      </x:c>
      <x:c r="AR284" s="147" t="str">
        <x:v>美国市场指标与CFTC数据均使用严格早于上金所交易日的最后已发布值</x:v>
      </x:c>
    </x:row>
    <x:row r="285">
      <x:c r="A285" s="155" t="n">
        <x:v>45741</x:v>
      </x:c>
      <x:c r="B285" s="153" t="n">
        <x:v>705.41</x:v>
      </x:c>
      <x:c r="C285" s="153" t="n">
        <x:v>705.8</x:v>
      </x:c>
      <x:c r="D285" s="153" t="n">
        <x:v>703</x:v>
      </x:c>
      <x:c r="E285" s="153" t="n">
        <x:v>704.56</x:v>
      </x:c>
      <x:c r="F285" s="154" t="n">
        <x:f>IFERROR(E285/E284-1,"")</x:f>
        <x:v>-0.001926563916591184</x:v>
      </x:c>
      <x:c r="G285" s="154" t="n">
        <x:f>IFERROR((C285-D285)/E284,"")</x:f>
        <x:v>0.003966455122393409</x:v>
      </x:c>
      <x:c r="H285" s="153" t="n">
        <x:v>704.54</x:v>
      </x:c>
      <x:c r="I285" s="158" t="n">
        <x:v>10436.74</x:v>
      </x:c>
      <x:c r="J285" s="158" t="n">
        <x:v>7353173787.4</x:v>
      </x:c>
      <x:c r="K285" s="158"/>
      <x:c r="L285" s="153" t="n">
        <x:v>8219</x:v>
      </x:c>
      <x:c r="M285" s="153" t="n">
        <x:v>8233</x:v>
      </x:c>
      <x:c r="N285" s="153" t="n">
        <x:v>8175</x:v>
      </x:c>
      <x:c r="O285" s="153" t="n">
        <x:v>8219</x:v>
      </x:c>
      <x:c r="P285" s="154" t="n">
        <x:f>IFERROR(O285/O284-1,"")</x:f>
        <x:v>-0.0006079766536964959</x:v>
      </x:c>
      <x:c r="Q285" s="154" t="n">
        <x:f>IFERROR((M285-N285)/O284,"")</x:f>
        <x:v>0.0070525291828793775</x:v>
      </x:c>
      <x:c r="R285" s="153" t="n">
        <x:v>8209</x:v>
      </x:c>
      <x:c r="S285" s="158" t="n">
        <x:v>366590</x:v>
      </x:c>
      <x:c r="T285" s="158" t="n">
        <x:v>3009455158</x:v>
      </x:c>
      <x:c r="U285" s="158" t="n">
        <x:v>3890578</x:v>
      </x:c>
      <x:c r="V285" s="153" t="n">
        <x:f>IFERROR(E285*1000/O285,"")</x:f>
        <x:v>85.72332400535345</x:v>
      </x:c>
      <x:c r="W285" s="153" t="n">
        <x:v>4.34</x:v>
      </x:c>
      <x:c r="X285" s="155" t="n">
        <x:v>45740</x:v>
      </x:c>
      <x:c r="Y285" s="153" t="n">
        <x:v>1.98</x:v>
      </x:c>
      <x:c r="Z285" s="155" t="n">
        <x:v>45740</x:v>
      </x:c>
      <x:c r="AA285" s="153" t="n">
        <x:f>IFERROR(Y285-Y284,"")</x:f>
        <x:v>0.06000000000000005</x:v>
      </x:c>
      <x:c r="AB285" s="153" t="n">
        <x:v>2.36</x:v>
      </x:c>
      <x:c r="AC285" s="153" t="n">
        <x:v>126.1956</x:v>
      </x:c>
      <x:c r="AD285" s="155" t="n">
        <x:v>45740</x:v>
      </x:c>
      <x:c r="AE285" s="154" t="n">
        <x:f>IFERROR(AC285/AC284-1,"")</x:f>
        <x:v>-0.0005725920839738663</x:v>
      </x:c>
      <x:c r="AF285" s="153" t="n">
        <x:v>17.48</x:v>
      </x:c>
      <x:c r="AG285" s="155" t="n">
        <x:v>45740</x:v>
      </x:c>
      <x:c r="AH285" s="153" t="n">
        <x:f>IFERROR(AF285-AF284,"")</x:f>
        <x:v>-1.8000000000000007</x:v>
      </x:c>
      <x:c r="AI285" s="153" t="n">
        <x:v>4.33</x:v>
      </x:c>
      <x:c r="AJ285" s="155" t="n">
        <x:v>45737</x:v>
      </x:c>
      <x:c r="AK285" s="159" t="n">
        <x:v>183834</x:v>
      </x:c>
      <x:c r="AL285" s="154" t="n">
        <x:v>0.34453844510332365</x:v>
      </x:c>
      <x:c r="AM285" s="159" t="n">
        <x:v>-64380</x:v>
      </x:c>
      <x:c r="AN285" s="155" t="n">
        <x:v>45737</x:v>
      </x:c>
      <x:c r="AO285" s="159" t="n">
        <x:v>49488</x:v>
      </x:c>
      <x:c r="AP285" s="154" t="n">
        <x:v>0.29013988719909006</x:v>
      </x:c>
      <x:c r="AQ285" s="159" t="n">
        <x:v>-37072</x:v>
      </x:c>
      <x:c r="AR285" s="147" t="str">
        <x:v>美国市场指标与CFTC数据均使用严格早于上金所交易日的最后已发布值</x:v>
      </x:c>
    </x:row>
    <x:row r="286">
      <x:c r="A286" s="155" t="n">
        <x:v>45742</x:v>
      </x:c>
      <x:c r="B286" s="153" t="n">
        <x:v>705</x:v>
      </x:c>
      <x:c r="C286" s="153" t="n">
        <x:v>708</x:v>
      </x:c>
      <x:c r="D286" s="153" t="n">
        <x:v>705</x:v>
      </x:c>
      <x:c r="E286" s="153" t="n">
        <x:v>707.79</x:v>
      </x:c>
      <x:c r="F286" s="154" t="n">
        <x:f>IFERROR(E286/E285-1,"")</x:f>
        <x:v>0.004584421482911383</x:v>
      </x:c>
      <x:c r="G286" s="154" t="n">
        <x:f>IFERROR((C286-D286)/E285,"")</x:f>
        <x:v>0.004257976609515159</x:v>
      </x:c>
      <x:c r="H286" s="153" t="n">
        <x:v>706.66</x:v>
      </x:c>
      <x:c r="I286" s="158" t="n">
        <x:v>11755.56</x:v>
      </x:c>
      <x:c r="J286" s="158" t="n">
        <x:v>8307265165.8</x:v>
      </x:c>
      <x:c r="K286" s="158"/>
      <x:c r="L286" s="153" t="n">
        <x:v>8278</x:v>
      </x:c>
      <x:c r="M286" s="153" t="n">
        <x:v>8359</x:v>
      </x:c>
      <x:c r="N286" s="153" t="n">
        <x:v>8260</x:v>
      </x:c>
      <x:c r="O286" s="153" t="n">
        <x:v>8334</x:v>
      </x:c>
      <x:c r="P286" s="154" t="n">
        <x:f>IFERROR(O286/O285-1,"")</x:f>
        <x:v>0.013991969826012918</x:v>
      </x:c>
      <x:c r="Q286" s="154" t="n">
        <x:f>IFERROR((M286-N286)/O285,"")</x:f>
        <x:v>0.01204526098065458</x:v>
      </x:c>
      <x:c r="R286" s="153" t="n">
        <x:v>8321</x:v>
      </x:c>
      <x:c r="S286" s="158" t="n">
        <x:v>594004</x:v>
      </x:c>
      <x:c r="T286" s="158" t="n">
        <x:v>4942754268</x:v>
      </x:c>
      <x:c r="U286" s="158" t="n">
        <x:v>3929172</x:v>
      </x:c>
      <x:c r="V286" s="153" t="n">
        <x:f>IFERROR(E286*1000/O286,"")</x:f>
        <x:v>84.92800575953923</x:v>
      </x:c>
      <x:c r="W286" s="153" t="n">
        <x:v>4.31</x:v>
      </x:c>
      <x:c r="X286" s="155" t="n">
        <x:v>45741</x:v>
      </x:c>
      <x:c r="Y286" s="153" t="n">
        <x:v>1.96</x:v>
      </x:c>
      <x:c r="Z286" s="155" t="n">
        <x:v>45741</x:v>
      </x:c>
      <x:c r="AA286" s="153" t="n">
        <x:f>IFERROR(Y286-Y285,"")</x:f>
        <x:v>-0.020000000000000018</x:v>
      </x:c>
      <x:c r="AB286" s="153" t="n">
        <x:v>2.35</x:v>
      </x:c>
      <x:c r="AC286" s="153" t="n">
        <x:v>126.0535</x:v>
      </x:c>
      <x:c r="AD286" s="155" t="n">
        <x:v>45741</x:v>
      </x:c>
      <x:c r="AE286" s="154" t="n">
        <x:f>IFERROR(AC286/AC285-1,"")</x:f>
        <x:v>-0.0011260297506410222</x:v>
      </x:c>
      <x:c r="AF286" s="153" t="n">
        <x:v>17.15</x:v>
      </x:c>
      <x:c r="AG286" s="155" t="n">
        <x:v>45741</x:v>
      </x:c>
      <x:c r="AH286" s="153" t="n">
        <x:f>IFERROR(AF286-AF285,"")</x:f>
        <x:v>-0.33000000000000185</x:v>
      </x:c>
      <x:c r="AI286" s="153" t="n">
        <x:v>4.33</x:v>
      </x:c>
      <x:c r="AJ286" s="155" t="n">
        <x:v>45737</x:v>
      </x:c>
      <x:c r="AK286" s="159" t="n">
        <x:v>183834</x:v>
      </x:c>
      <x:c r="AL286" s="154" t="n">
        <x:v>0.34453844510332365</x:v>
      </x:c>
      <x:c r="AM286" s="159" t="n">
        <x:v>-64380</x:v>
      </x:c>
      <x:c r="AN286" s="155" t="n">
        <x:v>45737</x:v>
      </x:c>
      <x:c r="AO286" s="159" t="n">
        <x:v>49488</x:v>
      </x:c>
      <x:c r="AP286" s="154" t="n">
        <x:v>0.29013988719909006</x:v>
      </x:c>
      <x:c r="AQ286" s="159" t="n">
        <x:v>-37072</x:v>
      </x:c>
      <x:c r="AR286" s="147" t="str">
        <x:v>美国市场指标与CFTC数据均使用严格早于上金所交易日的最后已发布值</x:v>
      </x:c>
    </x:row>
    <x:row r="287">
      <x:c r="A287" s="155" t="n">
        <x:v>45743</x:v>
      </x:c>
      <x:c r="B287" s="153" t="n">
        <x:v>706.5</x:v>
      </x:c>
      <x:c r="C287" s="153" t="n">
        <x:v>709.7</x:v>
      </x:c>
      <x:c r="D287" s="153" t="n">
        <x:v>705.5</x:v>
      </x:c>
      <x:c r="E287" s="153" t="n">
        <x:v>709.29</x:v>
      </x:c>
      <x:c r="F287" s="154" t="n">
        <x:f>IFERROR(E287/E286-1,"")</x:f>
        <x:v>0.0021192726656211747</x:v>
      </x:c>
      <x:c r="G287" s="154" t="n">
        <x:f>IFERROR((C287-D287)/E286,"")</x:f>
        <x:v>0.0059339634637393095</x:v>
      </x:c>
      <x:c r="H287" s="153" t="n">
        <x:v>708.52</x:v>
      </x:c>
      <x:c r="I287" s="158" t="n">
        <x:v>12609.4</x:v>
      </x:c>
      <x:c r="J287" s="158" t="n">
        <x:v>8934036997.6</x:v>
      </x:c>
      <x:c r="K287" s="158"/>
      <x:c r="L287" s="153" t="n">
        <x:v>8349</x:v>
      </x:c>
      <x:c r="M287" s="153" t="n">
        <x:v>8375</x:v>
      </x:c>
      <x:c r="N287" s="153" t="n">
        <x:v>8309</x:v>
      </x:c>
      <x:c r="O287" s="153" t="n">
        <x:v>8348</x:v>
      </x:c>
      <x:c r="P287" s="154" t="n">
        <x:f>IFERROR(O287/O286-1,"")</x:f>
        <x:v>0.0016798656107510634</x:v>
      </x:c>
      <x:c r="Q287" s="154" t="n">
        <x:f>IFERROR((M287-N287)/O286,"")</x:f>
        <x:v>0.007919366450683946</x:v>
      </x:c>
      <x:c r="R287" s="153" t="n">
        <x:v>8338</x:v>
      </x:c>
      <x:c r="S287" s="158" t="n">
        <x:v>418402</x:v>
      </x:c>
      <x:c r="T287" s="158" t="n">
        <x:v>3488761050</x:v>
      </x:c>
      <x:c r="U287" s="158" t="n">
        <x:v>3999614</x:v>
      </x:c>
      <x:c r="V287" s="153" t="n">
        <x:f>IFERROR(E287*1000/O287,"")</x:f>
        <x:v>84.96526114039291</x:v>
      </x:c>
      <x:c r="W287" s="153" t="n">
        <x:v>4.35</x:v>
      </x:c>
      <x:c r="X287" s="155" t="n">
        <x:v>45742</x:v>
      </x:c>
      <x:c r="Y287" s="153" t="n">
        <x:v>1.98</x:v>
      </x:c>
      <x:c r="Z287" s="155" t="n">
        <x:v>45742</x:v>
      </x:c>
      <x:c r="AA287" s="153" t="n">
        <x:f>IFERROR(Y287-Y286,"")</x:f>
        <x:v>0.020000000000000018</x:v>
      </x:c>
      <x:c r="AB287" s="153" t="n">
        <x:v>2.37</x:v>
      </x:c>
      <x:c r="AC287" s="153" t="n">
        <x:v>126.2364</x:v>
      </x:c>
      <x:c r="AD287" s="155" t="n">
        <x:v>45742</x:v>
      </x:c>
      <x:c r="AE287" s="154" t="n">
        <x:f>IFERROR(AC287/AC286-1,"")</x:f>
        <x:v>0.0014509712146033582</x:v>
      </x:c>
      <x:c r="AF287" s="153" t="n">
        <x:v>18.33</x:v>
      </x:c>
      <x:c r="AG287" s="155" t="n">
        <x:v>45742</x:v>
      </x:c>
      <x:c r="AH287" s="153" t="n">
        <x:f>IFERROR(AF287-AF286,"")</x:f>
        <x:v>1.1799999999999997</x:v>
      </x:c>
      <x:c r="AI287" s="153" t="n">
        <x:v>4.33</x:v>
      </x:c>
      <x:c r="AJ287" s="155" t="n">
        <x:v>45737</x:v>
      </x:c>
      <x:c r="AK287" s="159" t="n">
        <x:v>183834</x:v>
      </x:c>
      <x:c r="AL287" s="154" t="n">
        <x:v>0.34453844510332365</x:v>
      </x:c>
      <x:c r="AM287" s="159" t="n">
        <x:v>-64380</x:v>
      </x:c>
      <x:c r="AN287" s="155" t="n">
        <x:v>45737</x:v>
      </x:c>
      <x:c r="AO287" s="159" t="n">
        <x:v>49488</x:v>
      </x:c>
      <x:c r="AP287" s="154" t="n">
        <x:v>0.29013988719909006</x:v>
      </x:c>
      <x:c r="AQ287" s="159" t="n">
        <x:v>-37072</x:v>
      </x:c>
      <x:c r="AR287" s="147" t="str">
        <x:v>美国市场指标与CFTC数据均使用严格早于上金所交易日的最后已发布值</x:v>
      </x:c>
    </x:row>
    <x:row r="288">
      <x:c r="A288" s="155" t="n">
        <x:v>45744</x:v>
      </x:c>
      <x:c r="B288" s="153" t="n">
        <x:v>714</x:v>
      </x:c>
      <x:c r="C288" s="153" t="n">
        <x:v>722</x:v>
      </x:c>
      <x:c r="D288" s="153" t="n">
        <x:v>711.1</x:v>
      </x:c>
      <x:c r="E288" s="153" t="n">
        <x:v>721.03</x:v>
      </x:c>
      <x:c r="F288" s="154" t="n">
        <x:f>IFERROR(E288/E287-1,"")</x:f>
        <x:v>0.016551763030636213</x:v>
      </x:c>
      <x:c r="G288" s="154" t="n">
        <x:f>IFERROR((C288-D288)/E287,"")</x:f>
        <x:v>0.01536748015621252</x:v>
      </x:c>
      <x:c r="H288" s="153" t="n">
        <x:v>719.56</x:v>
      </x:c>
      <x:c r="I288" s="158" t="n">
        <x:v>14237.02</x:v>
      </x:c>
      <x:c r="J288" s="158" t="n">
        <x:v>10244480730.8</x:v>
      </x:c>
      <x:c r="K288" s="158"/>
      <x:c r="L288" s="153" t="n">
        <x:v>8416</x:v>
      </x:c>
      <x:c r="M288" s="153" t="n">
        <x:v>8517</x:v>
      </x:c>
      <x:c r="N288" s="153" t="n">
        <x:v>8355</x:v>
      </x:c>
      <x:c r="O288" s="153" t="n">
        <x:v>8483</x:v>
      </x:c>
      <x:c r="P288" s="154" t="n">
        <x:f>IFERROR(O288/O287-1,"")</x:f>
        <x:v>0.01617153809295635</x:v>
      </x:c>
      <x:c r="Q288" s="154" t="n">
        <x:f>IFERROR((M288-N288)/O287,"")</x:f>
        <x:v>0.019405845711547676</x:v>
      </x:c>
      <x:c r="R288" s="153" t="n">
        <x:v>8459</x:v>
      </x:c>
      <x:c r="S288" s="158" t="n">
        <x:v>809190</x:v>
      </x:c>
      <x:c r="T288" s="158" t="n">
        <x:v>6845590566</x:v>
      </x:c>
      <x:c r="U288" s="158" t="n">
        <x:v>3980970</x:v>
      </x:c>
      <x:c r="V288" s="153" t="n">
        <x:f>IFERROR(E288*1000/O288,"")</x:f>
        <x:v>84.99705292938819</x:v>
      </x:c>
      <x:c r="W288" s="153" t="n">
        <x:v>4.38</x:v>
      </x:c>
      <x:c r="X288" s="155" t="n">
        <x:v>45743</x:v>
      </x:c>
      <x:c r="Y288" s="153" t="n">
        <x:v>1.99</x:v>
      </x:c>
      <x:c r="Z288" s="155" t="n">
        <x:v>45743</x:v>
      </x:c>
      <x:c r="AA288" s="153" t="n">
        <x:f>IFERROR(Y288-Y287,"")</x:f>
        <x:v>0.010000000000000009</x:v>
      </x:c>
      <x:c r="AB288" s="153" t="n">
        <x:v>2.39</x:v>
      </x:c>
      <x:c r="AC288" s="153" t="n">
        <x:v>126.3626</x:v>
      </x:c>
      <x:c r="AD288" s="155" t="n">
        <x:v>45743</x:v>
      </x:c>
      <x:c r="AE288" s="154" t="n">
        <x:f>IFERROR(AC288/AC287-1,"")</x:f>
        <x:v>0.0009997116521065497</x:v>
      </x:c>
      <x:c r="AF288" s="153" t="n">
        <x:v>18.69</x:v>
      </x:c>
      <x:c r="AG288" s="155" t="n">
        <x:v>45743</x:v>
      </x:c>
      <x:c r="AH288" s="153" t="n">
        <x:f>IFERROR(AF288-AF287,"")</x:f>
        <x:v>0.360000000000003</x:v>
      </x:c>
      <x:c r="AI288" s="153" t="n">
        <x:v>4.33</x:v>
      </x:c>
      <x:c r="AJ288" s="155" t="n">
        <x:v>45737</x:v>
      </x:c>
      <x:c r="AK288" s="159" t="n">
        <x:v>183834</x:v>
      </x:c>
      <x:c r="AL288" s="154" t="n">
        <x:v>0.34453844510332365</x:v>
      </x:c>
      <x:c r="AM288" s="159" t="n">
        <x:v>-64380</x:v>
      </x:c>
      <x:c r="AN288" s="155" t="n">
        <x:v>45737</x:v>
      </x:c>
      <x:c r="AO288" s="159" t="n">
        <x:v>49488</x:v>
      </x:c>
      <x:c r="AP288" s="154" t="n">
        <x:v>0.29013988719909006</x:v>
      </x:c>
      <x:c r="AQ288" s="159" t="n">
        <x:v>-37072</x:v>
      </x:c>
      <x:c r="AR288" s="147" t="str">
        <x:v>美国市场指标与CFTC数据均使用严格早于上金所交易日的最后已发布值</x:v>
      </x:c>
    </x:row>
    <x:row r="289">
      <x:c r="A289" s="155" t="n">
        <x:v>45747</x:v>
      </x:c>
      <x:c r="B289" s="153" t="n">
        <x:v>721.5</x:v>
      </x:c>
      <x:c r="C289" s="153" t="n">
        <x:v>730.9</x:v>
      </x:c>
      <x:c r="D289" s="153" t="n">
        <x:v>719</x:v>
      </x:c>
      <x:c r="E289" s="153" t="n">
        <x:v>730.8</x:v>
      </x:c>
      <x:c r="F289" s="154" t="n">
        <x:f>IFERROR(E289/E288-1,"")</x:f>
        <x:v>0.013550060330360658</x:v>
      </x:c>
      <x:c r="G289" s="154" t="n">
        <x:f>IFERROR((C289-D289)/E288,"")</x:f>
        <x:v>0.016504167649057568</x:v>
      </x:c>
      <x:c r="H289" s="153" t="n">
        <x:v>726.52</x:v>
      </x:c>
      <x:c r="I289" s="158" t="n">
        <x:v>19696.52</x:v>
      </x:c>
      <x:c r="J289" s="158" t="n">
        <x:v>14309994562.2</x:v>
      </x:c>
      <x:c r="K289" s="158"/>
      <x:c r="L289" s="153" t="n">
        <x:v>8471</x:v>
      </x:c>
      <x:c r="M289" s="153" t="n">
        <x:v>8495</x:v>
      </x:c>
      <x:c r="N289" s="153" t="n">
        <x:v>8406</x:v>
      </x:c>
      <x:c r="O289" s="153" t="n">
        <x:v>8485</x:v>
      </x:c>
      <x:c r="P289" s="154" t="n">
        <x:f>IFERROR(O289/O288-1,"")</x:f>
        <x:v>0.0002357656489448967</x:v>
      </x:c>
      <x:c r="Q289" s="154" t="n">
        <x:f>IFERROR((M289-N289)/O288,"")</x:f>
        <x:v>0.010491571378050218</x:v>
      </x:c>
      <x:c r="R289" s="153" t="n">
        <x:v>8456</x:v>
      </x:c>
      <x:c r="S289" s="158" t="n">
        <x:v>420312</x:v>
      </x:c>
      <x:c r="T289" s="158" t="n">
        <x:v>3554440256</x:v>
      </x:c>
      <x:c r="U289" s="158" t="n">
        <x:v>3940286</x:v>
      </x:c>
      <x:c r="V289" s="153" t="n">
        <x:f>IFERROR(E289*1000/O289,"")</x:f>
        <x:v>86.12846199175014</x:v>
      </x:c>
      <x:c r="W289" s="153" t="n">
        <x:v>4.27</x:v>
      </x:c>
      <x:c r="X289" s="155" t="n">
        <x:v>45744</x:v>
      </x:c>
      <x:c r="Y289" s="153" t="n">
        <x:v>1.9</x:v>
      </x:c>
      <x:c r="Z289" s="155" t="n">
        <x:v>45744</x:v>
      </x:c>
      <x:c r="AA289" s="153" t="n">
        <x:f>IFERROR(Y289-Y288,"")</x:f>
        <x:v>-0.09000000000000008</x:v>
      </x:c>
      <x:c r="AB289" s="153" t="n">
        <x:v>2.37</x:v>
      </x:c>
      <x:c r="AC289" s="153" t="n">
        <x:v>126.4187</x:v>
      </x:c>
      <x:c r="AD289" s="155" t="n">
        <x:v>45744</x:v>
      </x:c>
      <x:c r="AE289" s="154" t="n">
        <x:f>IFERROR(AC289/AC288-1,"")</x:f>
        <x:v>0.00044396047564698726</x:v>
      </x:c>
      <x:c r="AF289" s="153" t="n">
        <x:v>21.65</x:v>
      </x:c>
      <x:c r="AG289" s="155" t="n">
        <x:v>45744</x:v>
      </x:c>
      <x:c r="AH289" s="153" t="n">
        <x:f>IFERROR(AF289-AF288,"")</x:f>
        <x:v>2.9599999999999973</x:v>
      </x:c>
      <x:c r="AI289" s="153" t="n">
        <x:v>4.33</x:v>
      </x:c>
      <x:c r="AJ289" s="155" t="n">
        <x:v>45744</x:v>
      </x:c>
      <x:c r="AK289" s="159" t="n">
        <x:v>174732</x:v>
      </x:c>
      <x:c r="AL289" s="154" t="n">
        <x:v>0.3416190599082666</x:v>
      </x:c>
      <x:c r="AM289" s="159" t="n">
        <x:v>-62757</x:v>
      </x:c>
      <x:c r="AN289" s="155" t="n">
        <x:v>45744</x:v>
      </x:c>
      <x:c r="AO289" s="159" t="n">
        <x:v>45392</x:v>
      </x:c>
      <x:c r="AP289" s="154" t="n">
        <x:v>0.26759733062937724</x:v>
      </x:c>
      <x:c r="AQ289" s="159" t="n">
        <x:v>-37594</x:v>
      </x:c>
      <x:c r="AR289" s="147" t="str">
        <x:v>美国市场指标与CFTC数据均使用严格早于上金所交易日的最后已发布值</x:v>
      </x:c>
    </x:row>
    <x:row r="290">
      <x:c r="A290" s="155" t="n">
        <x:v>45749</x:v>
      </x:c>
      <x:c r="B290" s="153" t="n">
        <x:v>738.1</x:v>
      </x:c>
      <x:c r="C290" s="153" t="n">
        <x:v>738.1</x:v>
      </x:c>
      <x:c r="D290" s="153" t="n">
        <x:v>730</x:v>
      </x:c>
      <x:c r="E290" s="153" t="n">
        <x:v>732.5</x:v>
      </x:c>
      <x:c r="F290" s="154" t="n">
        <x:f>IFERROR(E290/E289-1,"")</x:f>
        <x:v>0.0023262178434593217</x:v>
      </x:c>
      <x:c r="G290" s="154" t="n">
        <x:f>IFERROR((C290-D290)/E289,"")</x:f>
        <x:v>0.011083743842364564</x:v>
      </x:c>
      <x:c r="H290" s="153" t="n">
        <x:v>734.45</x:v>
      </x:c>
      <x:c r="I290" s="158" t="n">
        <x:v>16407.04</x:v>
      </x:c>
      <x:c r="J290" s="158" t="n">
        <x:v>12050153001.8</x:v>
      </x:c>
      <x:c r="K290" s="158"/>
      <x:c r="L290" s="153" t="n">
        <x:v>8406</x:v>
      </x:c>
      <x:c r="M290" s="153" t="n">
        <x:v>8426</x:v>
      </x:c>
      <x:c r="N290" s="153" t="n">
        <x:v>8344</x:v>
      </x:c>
      <x:c r="O290" s="153" t="n">
        <x:v>8386</x:v>
      </x:c>
      <x:c r="P290" s="154" t="n">
        <x:f>IFERROR(O290/O289-1,"")</x:f>
        <x:v>-0.011667648791985896</x:v>
      </x:c>
      <x:c r="Q290" s="154" t="n">
        <x:f>IFERROR((M290-N290)/O289,"")</x:f>
        <x:v>0.009664113140836771</x:v>
      </x:c>
      <x:c r="R290" s="153" t="n">
        <x:v>8390</x:v>
      </x:c>
      <x:c r="S290" s="158" t="n">
        <x:v>545812</x:v>
      </x:c>
      <x:c r="T290" s="158" t="n">
        <x:v>4579771244</x:v>
      </x:c>
      <x:c r="U290" s="158" t="n">
        <x:v>3858832</x:v>
      </x:c>
      <x:c r="V290" s="153" t="n">
        <x:f>IFERROR(E290*1000/O290,"")</x:f>
        <x:v>87.34796088719294</x:v>
      </x:c>
      <x:c r="W290" s="153" t="n">
        <x:v>4.17</x:v>
      </x:c>
      <x:c r="X290" s="155" t="n">
        <x:v>45748</x:v>
      </x:c>
      <x:c r="Y290" s="153" t="n">
        <x:v>1.84</x:v>
      </x:c>
      <x:c r="Z290" s="155" t="n">
        <x:v>45748</x:v>
      </x:c>
      <x:c r="AA290" s="153" t="n">
        <x:f>IFERROR(Y290-Y289,"")</x:f>
        <x:v>-0.05999999999999983</x:v>
      </x:c>
      <x:c r="AB290" s="153" t="n">
        <x:v>2.33</x:v>
      </x:c>
      <x:c r="AC290" s="153" t="n">
        <x:v>126.4338</x:v>
      </x:c>
      <x:c r="AD290" s="155" t="n">
        <x:v>45748</x:v>
      </x:c>
      <x:c r="AE290" s="154" t="n">
        <x:f>IFERROR(AC290/AC289-1,"")</x:f>
        <x:v>0.00011944435435573553</x:v>
      </x:c>
      <x:c r="AF290" s="153" t="n">
        <x:v>21.77</x:v>
      </x:c>
      <x:c r="AG290" s="155" t="n">
        <x:v>45748</x:v>
      </x:c>
      <x:c r="AH290" s="153" t="n">
        <x:f>IFERROR(AF290-AF289,"")</x:f>
        <x:v>0.120000000000001</x:v>
      </x:c>
      <x:c r="AI290" s="153" t="n">
        <x:v>4.33</x:v>
      </x:c>
      <x:c r="AJ290" s="155" t="n">
        <x:v>45744</x:v>
      </x:c>
      <x:c r="AK290" s="159" t="n">
        <x:v>174732</x:v>
      </x:c>
      <x:c r="AL290" s="154" t="n">
        <x:v>0.3416190599082666</x:v>
      </x:c>
      <x:c r="AM290" s="159" t="n">
        <x:v>-62757</x:v>
      </x:c>
      <x:c r="AN290" s="155" t="n">
        <x:v>45744</x:v>
      </x:c>
      <x:c r="AO290" s="159" t="n">
        <x:v>45392</x:v>
      </x:c>
      <x:c r="AP290" s="154" t="n">
        <x:v>0.26759733062937724</x:v>
      </x:c>
      <x:c r="AQ290" s="159" t="n">
        <x:v>-37594</x:v>
      </x:c>
      <x:c r="AR290" s="147" t="str">
        <x:v>美国市场指标与CFTC数据均使用严格早于上金所交易日的最后已发布值</x:v>
      </x:c>
    </x:row>
    <x:row r="291">
      <x:c r="A291" s="155" t="n">
        <x:v>45750</x:v>
      </x:c>
      <x:c r="B291" s="153" t="n">
        <x:v>735.9</x:v>
      </x:c>
      <x:c r="C291" s="153" t="n">
        <x:v>747.5</x:v>
      </x:c>
      <x:c r="D291" s="153" t="n">
        <x:v>732</x:v>
      </x:c>
      <x:c r="E291" s="153" t="n">
        <x:v>738.94</x:v>
      </x:c>
      <x:c r="F291" s="154" t="n">
        <x:f>IFERROR(E291/E290-1,"")</x:f>
        <x:v>0.00879180887372022</x:v>
      </x:c>
      <x:c r="G291" s="154" t="n">
        <x:f>IFERROR((C291-D291)/E290,"")</x:f>
        <x:v>0.021160409556313993</x:v>
      </x:c>
      <x:c r="H291" s="153" t="n">
        <x:v>741.01</x:v>
      </x:c>
      <x:c r="I291" s="158" t="n">
        <x:v>18626.88</x:v>
      </x:c>
      <x:c r="J291" s="158" t="n">
        <x:v>13802749820.4</x:v>
      </x:c>
      <x:c r="K291" s="158"/>
      <x:c r="L291" s="153" t="n">
        <x:v>8415</x:v>
      </x:c>
      <x:c r="M291" s="153" t="n">
        <x:v>8440</x:v>
      </x:c>
      <x:c r="N291" s="153" t="n">
        <x:v>8255</x:v>
      </x:c>
      <x:c r="O291" s="153" t="n">
        <x:v>8263</x:v>
      </x:c>
      <x:c r="P291" s="154" t="n">
        <x:f>IFERROR(O291/O290-1,"")</x:f>
        <x:v>-0.014667302647269231</x:v>
      </x:c>
      <x:c r="Q291" s="154" t="n">
        <x:f>IFERROR((M291-N291)/O290,"")</x:f>
        <x:v>0.022060577152396853</x:v>
      </x:c>
      <x:c r="R291" s="153" t="n">
        <x:v>8348</x:v>
      </x:c>
      <x:c r="S291" s="158" t="n">
        <x:v>1002632</x:v>
      </x:c>
      <x:c r="T291" s="158" t="n">
        <x:v>8370514264</x:v>
      </x:c>
      <x:c r="U291" s="158" t="n">
        <x:v>3874412</x:v>
      </x:c>
      <x:c r="V291" s="153" t="n">
        <x:f>IFERROR(E291*1000/O291,"")</x:f>
        <x:v>89.4275686796563</x:v>
      </x:c>
      <x:c r="W291" s="153" t="n">
        <x:v>4.2</x:v>
      </x:c>
      <x:c r="X291" s="155" t="n">
        <x:v>45749</x:v>
      </x:c>
      <x:c r="Y291" s="153" t="n">
        <x:v>1.88</x:v>
      </x:c>
      <x:c r="Z291" s="155" t="n">
        <x:v>45749</x:v>
      </x:c>
      <x:c r="AA291" s="153" t="n">
        <x:f>IFERROR(Y291-Y290,"")</x:f>
        <x:v>0.039999999999999813</x:v>
      </x:c>
      <x:c r="AB291" s="153" t="n">
        <x:v>2.32</x:v>
      </x:c>
      <x:c r="AC291" s="153" t="n">
        <x:v>126.3811</x:v>
      </x:c>
      <x:c r="AD291" s="155" t="n">
        <x:v>45749</x:v>
      </x:c>
      <x:c r="AE291" s="154" t="n">
        <x:f>IFERROR(AC291/AC290-1,"")</x:f>
        <x:v>-0.00041681892025713374</x:v>
      </x:c>
      <x:c r="AF291" s="153" t="n">
        <x:v>21.51</x:v>
      </x:c>
      <x:c r="AG291" s="155" t="n">
        <x:v>45749</x:v>
      </x:c>
      <x:c r="AH291" s="153" t="n">
        <x:f>IFERROR(AF291-AF290,"")</x:f>
        <x:v>-0.259999999999998</x:v>
      </x:c>
      <x:c r="AI291" s="153" t="n">
        <x:v>4.33</x:v>
      </x:c>
      <x:c r="AJ291" s="155" t="n">
        <x:v>45744</x:v>
      </x:c>
      <x:c r="AK291" s="159" t="n">
        <x:v>174732</x:v>
      </x:c>
      <x:c r="AL291" s="154" t="n">
        <x:v>0.3416190599082666</x:v>
      </x:c>
      <x:c r="AM291" s="159" t="n">
        <x:v>-62757</x:v>
      </x:c>
      <x:c r="AN291" s="155" t="n">
        <x:v>45744</x:v>
      </x:c>
      <x:c r="AO291" s="159" t="n">
        <x:v>45392</x:v>
      </x:c>
      <x:c r="AP291" s="154" t="n">
        <x:v>0.26759733062937724</x:v>
      </x:c>
      <x:c r="AQ291" s="159" t="n">
        <x:v>-37594</x:v>
      </x:c>
      <x:c r="AR291" s="147" t="str">
        <x:v>美国市场指标与CFTC数据均使用严格早于上金所交易日的最后已发布值</x:v>
      </x:c>
    </x:row>
    <x:row r="292">
      <x:c r="A292" s="155" t="n">
        <x:v>45754</x:v>
      </x:c>
      <x:c r="B292" s="153" t="n">
        <x:v>705</x:v>
      </x:c>
      <x:c r="C292" s="153" t="n">
        <x:v>727</x:v>
      </x:c>
      <x:c r="D292" s="153" t="n">
        <x:v>703.31</x:v>
      </x:c>
      <x:c r="E292" s="153" t="n">
        <x:v>713.98</x:v>
      </x:c>
      <x:c r="F292" s="154" t="n">
        <x:f>IFERROR(E292/E291-1,"")</x:f>
        <x:v>-0.03377811459658431</x:v>
      </x:c>
      <x:c r="G292" s="154" t="n">
        <x:f>IFERROR((C292-D292)/E291,"")</x:f>
        <x:v>0.03205943649010752</x:v>
      </x:c>
      <x:c r="H292" s="153" t="n">
        <x:v>717.29</x:v>
      </x:c>
      <x:c r="I292" s="158" t="n">
        <x:v>21418.3</x:v>
      </x:c>
      <x:c r="J292" s="158" t="n">
        <x:v>15363158745.4</x:v>
      </x:c>
      <x:c r="K292" s="158"/>
      <x:c r="L292" s="153" t="n">
        <x:v>7346</x:v>
      </x:c>
      <x:c r="M292" s="153" t="n">
        <x:v>7805</x:v>
      </x:c>
      <x:c r="N292" s="153" t="n">
        <x:v>7346</x:v>
      </x:c>
      <x:c r="O292" s="153" t="n">
        <x:v>7606</x:v>
      </x:c>
      <x:c r="P292" s="154" t="n">
        <x:f>IFERROR(O292/O291-1,"")</x:f>
        <x:v>-0.07951107346000241</x:v>
      </x:c>
      <x:c r="Q292" s="154" t="n">
        <x:f>IFERROR((M292-N292)/O291,"")</x:f>
        <x:v>0.05554883214328936</x:v>
      </x:c>
      <x:c r="R292" s="153" t="n">
        <x:v>7619</x:v>
      </x:c>
      <x:c r="S292" s="158" t="n">
        <x:v>1548034</x:v>
      </x:c>
      <x:c r="T292" s="158" t="n">
        <x:v>11794520578</x:v>
      </x:c>
      <x:c r="U292" s="158" t="n">
        <x:v>3960914</x:v>
      </x:c>
      <x:c r="V292" s="153" t="n">
        <x:f>IFERROR(E292*1000/O292,"")</x:f>
        <x:v>93.87062845122271</x:v>
      </x:c>
      <x:c r="W292" s="153" t="n">
        <x:v>4.01</x:v>
      </x:c>
      <x:c r="X292" s="155" t="n">
        <x:v>45751</x:v>
      </x:c>
      <x:c r="Y292" s="153" t="n">
        <x:v>1.83</x:v>
      </x:c>
      <x:c r="Z292" s="155" t="n">
        <x:v>45751</x:v>
      </x:c>
      <x:c r="AA292" s="153" t="n">
        <x:f>IFERROR(Y292-Y291,"")</x:f>
        <x:v>-0.04999999999999982</x:v>
      </x:c>
      <x:c r="AB292" s="153" t="n">
        <x:v>2.18</x:v>
      </x:c>
      <x:c r="AC292" s="153" t="n">
        <x:v>125.8129</x:v>
      </x:c>
      <x:c r="AD292" s="155" t="n">
        <x:v>45751</x:v>
      </x:c>
      <x:c r="AE292" s="154" t="n">
        <x:f>IFERROR(AC292/AC291-1,"")</x:f>
        <x:v>-0.004495925419228053</x:v>
      </x:c>
      <x:c r="AF292" s="153" t="n">
        <x:v>45.31</x:v>
      </x:c>
      <x:c r="AG292" s="155" t="n">
        <x:v>45751</x:v>
      </x:c>
      <x:c r="AH292" s="153" t="n">
        <x:f>IFERROR(AF292-AF291,"")</x:f>
        <x:v>23.8</x:v>
      </x:c>
      <x:c r="AI292" s="153" t="n">
        <x:v>4.33</x:v>
      </x:c>
      <x:c r="AJ292" s="155" t="n">
        <x:v>45751</x:v>
      </x:c>
      <x:c r="AK292" s="159" t="n">
        <x:v>141999</x:v>
      </x:c>
      <x:c r="AL292" s="154" t="n">
        <x:v>0.2847120578410654</x:v>
      </x:c>
      <x:c r="AM292" s="159" t="n">
        <x:v>-62315</x:v>
      </x:c>
      <x:c r="AN292" s="155" t="n">
        <x:v>45751</x:v>
      </x:c>
      <x:c r="AO292" s="159" t="n">
        <x:v>41019</x:v>
      </x:c>
      <x:c r="AP292" s="154" t="n">
        <x:v>0.24100894845385054</x:v>
      </x:c>
      <x:c r="AQ292" s="159" t="n">
        <x:v>-37362</x:v>
      </x:c>
      <x:c r="AR292" s="147" t="str">
        <x:v>美国市场指标与CFTC数据均使用严格早于上金所交易日的最后已发布值</x:v>
      </x:c>
    </x:row>
    <x:row r="293">
      <x:c r="A293" s="155" t="n">
        <x:v>45755</x:v>
      </x:c>
      <x:c r="B293" s="153" t="n">
        <x:v>718.9</x:v>
      </x:c>
      <x:c r="C293" s="153" t="n">
        <x:v>719.9</x:v>
      </x:c>
      <x:c r="D293" s="153" t="n">
        <x:v>710</x:v>
      </x:c>
      <x:c r="E293" s="153" t="n">
        <x:v>717.5</x:v>
      </x:c>
      <x:c r="F293" s="154" t="n">
        <x:f>IFERROR(E293/E292-1,"")</x:f>
        <x:v>0.004930110087117301</x:v>
      </x:c>
      <x:c r="G293" s="154" t="n">
        <x:f>IFERROR((C293-D293)/E292,"")</x:f>
        <x:v>0.013865934620017336</x:v>
      </x:c>
      <x:c r="H293" s="153" t="n">
        <x:v>715.77</x:v>
      </x:c>
      <x:c r="I293" s="158" t="n">
        <x:v>16656.36</x:v>
      </x:c>
      <x:c r="J293" s="158" t="n">
        <x:v>11922180768.4</x:v>
      </x:c>
      <x:c r="K293" s="158"/>
      <x:c r="L293" s="153" t="n">
        <x:v>7621</x:v>
      </x:c>
      <x:c r="M293" s="153" t="n">
        <x:v>7732</x:v>
      </x:c>
      <x:c r="N293" s="153" t="n">
        <x:v>7610</x:v>
      </x:c>
      <x:c r="O293" s="153" t="n">
        <x:v>7689</x:v>
      </x:c>
      <x:c r="P293" s="154" t="n">
        <x:f>IFERROR(O293/O292-1,"")</x:f>
        <x:v>0.010912437549303267</x:v>
      </x:c>
      <x:c r="Q293" s="154" t="n">
        <x:f>IFERROR((M293-N293)/O292,"")</x:f>
        <x:v>0.016039968445963712</x:v>
      </x:c>
      <x:c r="R293" s="153" t="n">
        <x:v>7661</x:v>
      </x:c>
      <x:c r="S293" s="158" t="n">
        <x:v>996322</x:v>
      </x:c>
      <x:c r="T293" s="158" t="n">
        <x:v>7633156080</x:v>
      </x:c>
      <x:c r="U293" s="158" t="n">
        <x:v>4047788</x:v>
      </x:c>
      <x:c r="V293" s="153" t="n">
        <x:f>IFERROR(E293*1000/O293,"")</x:f>
        <x:v>93.31512550396671</x:v>
      </x:c>
      <x:c r="W293" s="153" t="n">
        <x:v>4.15</x:v>
      </x:c>
      <x:c r="X293" s="155" t="n">
        <x:v>45754</x:v>
      </x:c>
      <x:c r="Y293" s="153" t="n">
        <x:v>1.96</x:v>
      </x:c>
      <x:c r="Z293" s="155" t="n">
        <x:v>45754</x:v>
      </x:c>
      <x:c r="AA293" s="153" t="n">
        <x:f>IFERROR(Y293-Y292,"")</x:f>
        <x:v>0.1299999999999999</x:v>
      </x:c>
      <x:c r="AB293" s="153" t="n">
        <x:v>2.19</x:v>
      </x:c>
      <x:c r="AC293" s="153" t="n">
        <x:v>126.8282</x:v>
      </x:c>
      <x:c r="AD293" s="155" t="n">
        <x:v>45754</x:v>
      </x:c>
      <x:c r="AE293" s="154" t="n">
        <x:f>IFERROR(AC293/AC292-1,"")</x:f>
        <x:v>0.008069919698218575</x:v>
      </x:c>
      <x:c r="AF293" s="153" t="n">
        <x:v>46.98</x:v>
      </x:c>
      <x:c r="AG293" s="155" t="n">
        <x:v>45754</x:v>
      </x:c>
      <x:c r="AH293" s="153" t="n">
        <x:f>IFERROR(AF293-AF292,"")</x:f>
        <x:v>1.6699999999999946</x:v>
      </x:c>
      <x:c r="AI293" s="153" t="n">
        <x:v>4.33</x:v>
      </x:c>
      <x:c r="AJ293" s="155" t="n">
        <x:v>45751</x:v>
      </x:c>
      <x:c r="AK293" s="159" t="n">
        <x:v>141999</x:v>
      </x:c>
      <x:c r="AL293" s="154" t="n">
        <x:v>0.2847120578410654</x:v>
      </x:c>
      <x:c r="AM293" s="159" t="n">
        <x:v>-62315</x:v>
      </x:c>
      <x:c r="AN293" s="155" t="n">
        <x:v>45751</x:v>
      </x:c>
      <x:c r="AO293" s="159" t="n">
        <x:v>41019</x:v>
      </x:c>
      <x:c r="AP293" s="154" t="n">
        <x:v>0.24100894845385054</x:v>
      </x:c>
      <x:c r="AQ293" s="159" t="n">
        <x:v>-37362</x:v>
      </x:c>
      <x:c r="AR293" s="147" t="str">
        <x:v>美国市场指标与CFTC数据均使用严格早于上金所交易日的最后已发布值</x:v>
      </x:c>
    </x:row>
    <x:row r="294">
      <x:c r="A294" s="155" t="n">
        <x:v>45756</x:v>
      </x:c>
      <x:c r="B294" s="153" t="n">
        <x:v>718</x:v>
      </x:c>
      <x:c r="C294" s="153" t="n">
        <x:v>729</x:v>
      </x:c>
      <x:c r="D294" s="153" t="n">
        <x:v>713</x:v>
      </x:c>
      <x:c r="E294" s="153" t="n">
        <x:v>728.88</x:v>
      </x:c>
      <x:c r="F294" s="154" t="n">
        <x:f>IFERROR(E294/E293-1,"")</x:f>
        <x:v>0.015860627177700426</x:v>
      </x:c>
      <x:c r="G294" s="154" t="n">
        <x:f>IFERROR((C294-D294)/E293,"")</x:f>
        <x:v>0.02229965156794425</x:v>
      </x:c>
      <x:c r="H294" s="153" t="n">
        <x:v>720.32</x:v>
      </x:c>
      <x:c r="I294" s="158" t="n">
        <x:v>19055.22</x:v>
      </x:c>
      <x:c r="J294" s="158" t="n">
        <x:v>13726033545.8</x:v>
      </x:c>
      <x:c r="K294" s="158"/>
      <x:c r="L294" s="153" t="n">
        <x:v>7720</x:v>
      </x:c>
      <x:c r="M294" s="153" t="n">
        <x:v>7765</x:v>
      </x:c>
      <x:c r="N294" s="153" t="n">
        <x:v>7591</x:v>
      </x:c>
      <x:c r="O294" s="153" t="n">
        <x:v>7746</x:v>
      </x:c>
      <x:c r="P294" s="154" t="n">
        <x:f>IFERROR(O294/O293-1,"")</x:f>
        <x:v>0.007413187670698429</x:v>
      </x:c>
      <x:c r="Q294" s="154" t="n">
        <x:f>IFERROR((M294-N294)/O293,"")</x:f>
        <x:v>0.02262973078423722</x:v>
      </x:c>
      <x:c r="R294" s="153" t="n">
        <x:v>7680</x:v>
      </x:c>
      <x:c r="S294" s="158" t="n">
        <x:v>778144</x:v>
      </x:c>
      <x:c r="T294" s="158" t="n">
        <x:v>5976864828</x:v>
      </x:c>
      <x:c r="U294" s="158" t="n">
        <x:v>4023610</x:v>
      </x:c>
      <x:c r="V294" s="153" t="n">
        <x:f>IFERROR(E294*1000/O294,"")</x:f>
        <x:v>94.09759876065065</x:v>
      </x:c>
      <x:c r="W294" s="153" t="n">
        <x:v>4.26</x:v>
      </x:c>
      <x:c r="X294" s="155" t="n">
        <x:v>45755</x:v>
      </x:c>
      <x:c r="Y294" s="153" t="n">
        <x:v>2.04</x:v>
      </x:c>
      <x:c r="Z294" s="155" t="n">
        <x:v>45755</x:v>
      </x:c>
      <x:c r="AA294" s="153" t="n">
        <x:f>IFERROR(Y294-Y293,"")</x:f>
        <x:v>0.08000000000000007</x:v>
      </x:c>
      <x:c r="AB294" s="153" t="n">
        <x:v>2.22</x:v>
      </x:c>
      <x:c r="AC294" s="153" t="n">
        <x:v>126.8668</x:v>
      </x:c>
      <x:c r="AD294" s="155" t="n">
        <x:v>45755</x:v>
      </x:c>
      <x:c r="AE294" s="154" t="n">
        <x:f>IFERROR(AC294/AC293-1,"")</x:f>
        <x:v>0.00030434871739881686</x:v>
      </x:c>
      <x:c r="AF294" s="153" t="n">
        <x:v>52.33</x:v>
      </x:c>
      <x:c r="AG294" s="155" t="n">
        <x:v>45755</x:v>
      </x:c>
      <x:c r="AH294" s="153" t="n">
        <x:f>IFERROR(AF294-AF293,"")</x:f>
        <x:v>5.350000000000001</x:v>
      </x:c>
      <x:c r="AI294" s="153" t="n">
        <x:v>4.33</x:v>
      </x:c>
      <x:c r="AJ294" s="155" t="n">
        <x:v>45751</x:v>
      </x:c>
      <x:c r="AK294" s="159" t="n">
        <x:v>141999</x:v>
      </x:c>
      <x:c r="AL294" s="154" t="n">
        <x:v>0.2847120578410654</x:v>
      </x:c>
      <x:c r="AM294" s="159" t="n">
        <x:v>-62315</x:v>
      </x:c>
      <x:c r="AN294" s="155" t="n">
        <x:v>45751</x:v>
      </x:c>
      <x:c r="AO294" s="159" t="n">
        <x:v>41019</x:v>
      </x:c>
      <x:c r="AP294" s="154" t="n">
        <x:v>0.24100894845385054</x:v>
      </x:c>
      <x:c r="AQ294" s="159" t="n">
        <x:v>-37362</x:v>
      </x:c>
      <x:c r="AR294" s="147" t="str">
        <x:v>美国市场指标与CFTC数据均使用严格早于上金所交易日的最后已发布值</x:v>
      </x:c>
    </x:row>
    <x:row r="295">
      <x:c r="A295" s="155" t="n">
        <x:v>45757</x:v>
      </x:c>
      <x:c r="B295" s="153" t="n">
        <x:v>732</x:v>
      </x:c>
      <x:c r="C295" s="153" t="n">
        <x:v>744.99</x:v>
      </x:c>
      <x:c r="D295" s="153" t="n">
        <x:v>728</x:v>
      </x:c>
      <x:c r="E295" s="153" t="n">
        <x:v>741.26</x:v>
      </x:c>
      <x:c r="F295" s="154" t="n">
        <x:f>IFERROR(E295/E294-1,"")</x:f>
        <x:v>0.016984963231258865</x:v>
      </x:c>
      <x:c r="G295" s="154" t="n">
        <x:f>IFERROR((C295-D295)/E294,"")</x:f>
        <x:v>0.023309735484579094</x:v>
      </x:c>
      <x:c r="H295" s="153" t="n">
        <x:v>741.45</x:v>
      </x:c>
      <x:c r="I295" s="158" t="n">
        <x:v>16472.68</x:v>
      </x:c>
      <x:c r="J295" s="158" t="n">
        <x:v>12213676815.4</x:v>
      </x:c>
      <x:c r="K295" s="158"/>
      <x:c r="L295" s="153" t="n">
        <x:v>7790</x:v>
      </x:c>
      <x:c r="M295" s="153" t="n">
        <x:v>7975</x:v>
      </x:c>
      <x:c r="N295" s="153" t="n">
        <x:v>7728</x:v>
      </x:c>
      <x:c r="O295" s="153" t="n">
        <x:v>7939</x:v>
      </x:c>
      <x:c r="P295" s="154" t="n">
        <x:f>IFERROR(O295/O294-1,"")</x:f>
        <x:v>0.024916085721662817</x:v>
      </x:c>
      <x:c r="Q295" s="154" t="n">
        <x:f>IFERROR((M295-N295)/O294,"")</x:f>
        <x:v>0.0318874257681384</x:v>
      </x:c>
      <x:c r="R295" s="153" t="n">
        <x:v>7898</x:v>
      </x:c>
      <x:c r="S295" s="158" t="n">
        <x:v>594864</x:v>
      </x:c>
      <x:c r="T295" s="158" t="n">
        <x:v>4698289160</x:v>
      </x:c>
      <x:c r="U295" s="158" t="n">
        <x:v>4063294</x:v>
      </x:c>
      <x:c r="V295" s="153" t="n">
        <x:f>IFERROR(E295*1000/O295,"")</x:f>
        <x:v>93.3694419952135</x:v>
      </x:c>
      <x:c r="W295" s="153" t="n">
        <x:v>4.34</x:v>
      </x:c>
      <x:c r="X295" s="155" t="n">
        <x:v>45756</x:v>
      </x:c>
      <x:c r="Y295" s="153" t="n">
        <x:v>2.07</x:v>
      </x:c>
      <x:c r="Z295" s="155" t="n">
        <x:v>45756</x:v>
      </x:c>
      <x:c r="AA295" s="153" t="n">
        <x:f>IFERROR(Y295-Y294,"")</x:f>
        <x:v>0.029999999999999805</x:v>
      </x:c>
      <x:c r="AB295" s="153" t="n">
        <x:v>2.27</x:v>
      </x:c>
      <x:c r="AC295" s="153" t="n">
        <x:v>126.628</x:v>
      </x:c>
      <x:c r="AD295" s="155" t="n">
        <x:v>45756</x:v>
      </x:c>
      <x:c r="AE295" s="154" t="n">
        <x:f>IFERROR(AC295/AC294-1,"")</x:f>
        <x:v>-0.0018822891410518183</x:v>
      </x:c>
      <x:c r="AF295" s="153" t="n">
        <x:v>33.62</x:v>
      </x:c>
      <x:c r="AG295" s="155" t="n">
        <x:v>45756</x:v>
      </x:c>
      <x:c r="AH295" s="153" t="n">
        <x:f>IFERROR(AF295-AF294,"")</x:f>
        <x:v>-18.71</x:v>
      </x:c>
      <x:c r="AI295" s="153" t="n">
        <x:v>4.33</x:v>
      </x:c>
      <x:c r="AJ295" s="155" t="n">
        <x:v>45751</x:v>
      </x:c>
      <x:c r="AK295" s="159" t="n">
        <x:v>141999</x:v>
      </x:c>
      <x:c r="AL295" s="154" t="n">
        <x:v>0.2847120578410654</x:v>
      </x:c>
      <x:c r="AM295" s="159" t="n">
        <x:v>-62315</x:v>
      </x:c>
      <x:c r="AN295" s="155" t="n">
        <x:v>45751</x:v>
      </x:c>
      <x:c r="AO295" s="159" t="n">
        <x:v>41019</x:v>
      </x:c>
      <x:c r="AP295" s="154" t="n">
        <x:v>0.24100894845385054</x:v>
      </x:c>
      <x:c r="AQ295" s="159" t="n">
        <x:v>-37362</x:v>
      </x:c>
      <x:c r="AR295" s="147" t="str">
        <x:v>美国市场指标与CFTC数据均使用严格早于上金所交易日的最后已发布值</x:v>
      </x:c>
    </x:row>
    <x:row r="296">
      <x:c r="A296" s="155" t="n">
        <x:v>45758</x:v>
      </x:c>
      <x:c r="B296" s="153" t="n">
        <x:v>743.5</x:v>
      </x:c>
      <x:c r="C296" s="153" t="n">
        <x:v>762</x:v>
      </x:c>
      <x:c r="D296" s="153" t="n">
        <x:v>740.5</x:v>
      </x:c>
      <x:c r="E296" s="153" t="n">
        <x:v>757.1</x:v>
      </x:c>
      <x:c r="F296" s="154" t="n">
        <x:f>IFERROR(E296/E295-1,"")</x:f>
        <x:v>0.021369020316758025</x:v>
      </x:c>
      <x:c r="G296" s="154" t="n">
        <x:f>IFERROR((C296-D296)/E295,"")</x:f>
        <x:v>0.029004667727922727</x:v>
      </x:c>
      <x:c r="H296" s="153" t="n">
        <x:v>759.26</x:v>
      </x:c>
      <x:c r="I296" s="158" t="n">
        <x:v>17310.22</x:v>
      </x:c>
      <x:c r="J296" s="158" t="n">
        <x:v>13143016321.8</x:v>
      </x:c>
      <x:c r="K296" s="158"/>
      <x:c r="L296" s="153" t="n">
        <x:v>7899</x:v>
      </x:c>
      <x:c r="M296" s="153" t="n">
        <x:v>7996</x:v>
      </x:c>
      <x:c r="N296" s="153" t="n">
        <x:v>7850</x:v>
      </x:c>
      <x:c r="O296" s="153" t="n">
        <x:v>7984</x:v>
      </x:c>
      <x:c r="P296" s="154" t="n">
        <x:f>IFERROR(O296/O295-1,"")</x:f>
        <x:v>0.005668220178863814</x:v>
      </x:c>
      <x:c r="Q296" s="154" t="n">
        <x:f>IFERROR((M296-N296)/O295,"")</x:f>
        <x:v>0.01839022546920267</x:v>
      </x:c>
      <x:c r="R296" s="153" t="n">
        <x:v>7929</x:v>
      </x:c>
      <x:c r="S296" s="158" t="n">
        <x:v>834808</x:v>
      </x:c>
      <x:c r="T296" s="158" t="n">
        <x:v>6619904408</x:v>
      </x:c>
      <x:c r="U296" s="158" t="n">
        <x:v>3897306</x:v>
      </x:c>
      <x:c r="V296" s="153" t="n">
        <x:f>IFERROR(E296*1000/O296,"")</x:f>
        <x:v>94.82715430861724</x:v>
      </x:c>
      <x:c r="W296" s="153" t="n">
        <x:v>4.4</x:v>
      </x:c>
      <x:c r="X296" s="155" t="n">
        <x:v>45757</x:v>
      </x:c>
      <x:c r="Y296" s="153" t="n">
        <x:v>2.21</x:v>
      </x:c>
      <x:c r="Z296" s="155" t="n">
        <x:v>45757</x:v>
      </x:c>
      <x:c r="AA296" s="153" t="n">
        <x:f>IFERROR(Y296-Y295,"")</x:f>
        <x:v>0.14000000000000012</x:v>
      </x:c>
      <x:c r="AB296" s="153" t="n">
        <x:v>2.19</x:v>
      </x:c>
      <x:c r="AC296" s="153" t="n">
        <x:v>125.089</x:v>
      </x:c>
      <x:c r="AD296" s="155" t="n">
        <x:v>45757</x:v>
      </x:c>
      <x:c r="AE296" s="154" t="n">
        <x:f>IFERROR(AC296/AC295-1,"")</x:f>
        <x:v>-0.012153710079919167</x:v>
      </x:c>
      <x:c r="AF296" s="153" t="n">
        <x:v>40.72</x:v>
      </x:c>
      <x:c r="AG296" s="155" t="n">
        <x:v>45757</x:v>
      </x:c>
      <x:c r="AH296" s="153" t="n">
        <x:f>IFERROR(AF296-AF295,"")</x:f>
        <x:v>7.100000000000001</x:v>
      </x:c>
      <x:c r="AI296" s="153" t="n">
        <x:v>4.33</x:v>
      </x:c>
      <x:c r="AJ296" s="155" t="n">
        <x:v>45751</x:v>
      </x:c>
      <x:c r="AK296" s="159" t="n">
        <x:v>141999</x:v>
      </x:c>
      <x:c r="AL296" s="154" t="n">
        <x:v>0.2847120578410654</x:v>
      </x:c>
      <x:c r="AM296" s="159" t="n">
        <x:v>-62315</x:v>
      </x:c>
      <x:c r="AN296" s="155" t="n">
        <x:v>45751</x:v>
      </x:c>
      <x:c r="AO296" s="159" t="n">
        <x:v>41019</x:v>
      </x:c>
      <x:c r="AP296" s="154" t="n">
        <x:v>0.24100894845385054</x:v>
      </x:c>
      <x:c r="AQ296" s="159" t="n">
        <x:v>-37362</x:v>
      </x:c>
      <x:c r="AR296" s="147" t="str">
        <x:v>美国市场指标与CFTC数据均使用严格早于上金所交易日的最后已发布值</x:v>
      </x:c>
    </x:row>
    <x:row r="297">
      <x:c r="A297" s="155" t="n">
        <x:v>45761</x:v>
      </x:c>
      <x:c r="B297" s="153" t="n">
        <x:v>757</x:v>
      </x:c>
      <x:c r="C297" s="153" t="n">
        <x:v>765.5</x:v>
      </x:c>
      <x:c r="D297" s="153" t="n">
        <x:v>756.31</x:v>
      </x:c>
      <x:c r="E297" s="153" t="n">
        <x:v>762.47</x:v>
      </x:c>
      <x:c r="F297" s="154" t="n">
        <x:f>IFERROR(E297/E296-1,"")</x:f>
        <x:v>0.007092854312508168</x:v>
      </x:c>
      <x:c r="G297" s="154" t="n">
        <x:f>IFERROR((C297-D297)/E296,"")</x:f>
        <x:v>0.01213842292959986</x:v>
      </x:c>
      <x:c r="H297" s="153" t="n">
        <x:v>763.08</x:v>
      </x:c>
      <x:c r="I297" s="158" t="n">
        <x:v>16882.5</x:v>
      </x:c>
      <x:c r="J297" s="158" t="n">
        <x:v>12882724165.8</x:v>
      </x:c>
      <x:c r="K297" s="158"/>
      <x:c r="L297" s="153" t="n">
        <x:v>7995</x:v>
      </x:c>
      <x:c r="M297" s="153" t="n">
        <x:v>8164</x:v>
      </x:c>
      <x:c r="N297" s="153" t="n">
        <x:v>7975</x:v>
      </x:c>
      <x:c r="O297" s="153" t="n">
        <x:v>8107</x:v>
      </x:c>
      <x:c r="P297" s="154" t="n">
        <x:f>IFERROR(O297/O296-1,"")</x:f>
        <x:v>0.015405811623246501</x:v>
      </x:c>
      <x:c r="Q297" s="154" t="n">
        <x:f>IFERROR((M297-N297)/O296,"")</x:f>
        <x:v>0.023672344689378757</x:v>
      </x:c>
      <x:c r="R297" s="153" t="n">
        <x:v>8065</x:v>
      </x:c>
      <x:c r="S297" s="158" t="n">
        <x:v>562266</x:v>
      </x:c>
      <x:c r="T297" s="158" t="n">
        <x:v>4534737024</x:v>
      </x:c>
      <x:c r="U297" s="158" t="n">
        <x:v>3914410</x:v>
      </x:c>
      <x:c r="V297" s="153" t="n">
        <x:f>IFERROR(E297*1000/O297,"")</x:f>
        <x:v>94.05082027877143</x:v>
      </x:c>
      <x:c r="W297" s="153" t="n">
        <x:v>4.48</x:v>
      </x:c>
      <x:c r="X297" s="155" t="n">
        <x:v>45758</x:v>
      </x:c>
      <x:c r="Y297" s="153" t="n">
        <x:v>2.28</x:v>
      </x:c>
      <x:c r="Z297" s="155" t="n">
        <x:v>45758</x:v>
      </x:c>
      <x:c r="AA297" s="153" t="n">
        <x:f>IFERROR(Y297-Y296,"")</x:f>
        <x:v>0.06999999999999984</x:v>
      </x:c>
      <x:c r="AB297" s="153" t="n">
        <x:v>2.2</x:v>
      </x:c>
      <x:c r="AC297" s="153" t="n">
        <x:v>124.0163</x:v>
      </x:c>
      <x:c r="AD297" s="155" t="n">
        <x:v>45758</x:v>
      </x:c>
      <x:c r="AE297" s="154" t="n">
        <x:f>IFERROR(AC297/AC296-1,"")</x:f>
        <x:v>-0.008575494248095339</x:v>
      </x:c>
      <x:c r="AF297" s="153" t="n">
        <x:v>37.56</x:v>
      </x:c>
      <x:c r="AG297" s="155" t="n">
        <x:v>45758</x:v>
      </x:c>
      <x:c r="AH297" s="153" t="n">
        <x:f>IFERROR(AF297-AF296,"")</x:f>
        <x:v>-3.1599999999999966</x:v>
      </x:c>
      <x:c r="AI297" s="153" t="n">
        <x:v>4.33</x:v>
      </x:c>
      <x:c r="AJ297" s="155" t="n">
        <x:v>45758</x:v>
      </x:c>
      <x:c r="AK297" s="159" t="n">
        <x:v>130986</x:v>
      </x:c>
      <x:c r="AL297" s="154" t="n">
        <x:v>0.2940413228335144</x:v>
      </x:c>
      <x:c r="AM297" s="159" t="n">
        <x:v>-52647</x:v>
      </x:c>
      <x:c r="AN297" s="155" t="n">
        <x:v>45758</x:v>
      </x:c>
      <x:c r="AO297" s="159" t="n">
        <x:v>22685</x:v>
      </x:c>
      <x:c r="AP297" s="154" t="n">
        <x:v>0.1470292762283766</x:v>
      </x:c>
      <x:c r="AQ297" s="159" t="n">
        <x:v>-32142</x:v>
      </x:c>
      <x:c r="AR297" s="147" t="str">
        <x:v>美国市场指标与CFTC数据均使用严格早于上金所交易日的最后已发布值</x:v>
      </x:c>
    </x:row>
    <x:row r="298">
      <x:c r="A298" s="155" t="n">
        <x:v>45762</x:v>
      </x:c>
      <x:c r="B298" s="153" t="n">
        <x:v>765.3</x:v>
      </x:c>
      <x:c r="C298" s="153" t="n">
        <x:v>765.3</x:v>
      </x:c>
      <x:c r="D298" s="153" t="n">
        <x:v>757</x:v>
      </x:c>
      <x:c r="E298" s="153" t="n">
        <x:v>762.9</x:v>
      </x:c>
      <x:c r="F298" s="154" t="n">
        <x:f>IFERROR(E298/E297-1,"")</x:f>
        <x:v>0.000563956614686445</x:v>
      </x:c>
      <x:c r="G298" s="154" t="n">
        <x:f>IFERROR((C298-D298)/E297,"")</x:f>
        <x:v>0.010885674190459892</x:v>
      </x:c>
      <x:c r="H298" s="153" t="n">
        <x:v>762.65</x:v>
      </x:c>
      <x:c r="I298" s="158" t="n">
        <x:v>12864.42</x:v>
      </x:c>
      <x:c r="J298" s="158" t="n">
        <x:v>9811120229</x:v>
      </x:c>
      <x:c r="K298" s="158"/>
      <x:c r="L298" s="153" t="n">
        <x:v>8120</x:v>
      </x:c>
      <x:c r="M298" s="153" t="n">
        <x:v>8153</x:v>
      </x:c>
      <x:c r="N298" s="153" t="n">
        <x:v>8042</x:v>
      </x:c>
      <x:c r="O298" s="153" t="n">
        <x:v>8139</x:v>
      </x:c>
      <x:c r="P298" s="154" t="n">
        <x:f>IFERROR(O298/O297-1,"")</x:f>
        <x:v>0.003947206118169566</x:v>
      </x:c>
      <x:c r="Q298" s="154" t="n">
        <x:f>IFERROR((M298-N298)/O297,"")</x:f>
        <x:v>0.013691871222400395</x:v>
      </x:c>
      <x:c r="R298" s="153" t="n">
        <x:v>8114</x:v>
      </x:c>
      <x:c r="S298" s="158" t="n">
        <x:v>497504</x:v>
      </x:c>
      <x:c r="T298" s="158" t="n">
        <x:v>4036950086</x:v>
      </x:c>
      <x:c r="U298" s="158" t="n">
        <x:v>3892336</x:v>
      </x:c>
      <x:c r="V298" s="153" t="n">
        <x:f>IFERROR(E298*1000/O298,"")</x:f>
        <x:v>93.73387394028751</x:v>
      </x:c>
      <x:c r="W298" s="153" t="n">
        <x:v>4.38</x:v>
      </x:c>
      <x:c r="X298" s="155" t="n">
        <x:v>45761</x:v>
      </x:c>
      <x:c r="Y298" s="153" t="n">
        <x:v>2.15</x:v>
      </x:c>
      <x:c r="Z298" s="155" t="n">
        <x:v>45761</x:v>
      </x:c>
      <x:c r="AA298" s="153" t="n">
        <x:f>IFERROR(Y298-Y297,"")</x:f>
        <x:v>-0.1299999999999999</x:v>
      </x:c>
      <x:c r="AB298" s="153" t="n">
        <x:v>2.23</x:v>
      </x:c>
      <x:c r="AC298" s="153" t="n">
        <x:v>123.6598</x:v>
      </x:c>
      <x:c r="AD298" s="155" t="n">
        <x:v>45761</x:v>
      </x:c>
      <x:c r="AE298" s="154" t="n">
        <x:f>IFERROR(AC298/AC297-1,"")</x:f>
        <x:v>-0.002874622126284976</x:v>
      </x:c>
      <x:c r="AF298" s="153" t="n">
        <x:v>30.89</x:v>
      </x:c>
      <x:c r="AG298" s="155" t="n">
        <x:v>45761</x:v>
      </x:c>
      <x:c r="AH298" s="153" t="n">
        <x:f>IFERROR(AF298-AF297,"")</x:f>
        <x:v>-6.670000000000002</x:v>
      </x:c>
      <x:c r="AI298" s="153" t="n">
        <x:v>4.33</x:v>
      </x:c>
      <x:c r="AJ298" s="155" t="n">
        <x:v>45758</x:v>
      </x:c>
      <x:c r="AK298" s="159" t="n">
        <x:v>130986</x:v>
      </x:c>
      <x:c r="AL298" s="154" t="n">
        <x:v>0.2940413228335144</x:v>
      </x:c>
      <x:c r="AM298" s="159" t="n">
        <x:v>-52647</x:v>
      </x:c>
      <x:c r="AN298" s="155" t="n">
        <x:v>45758</x:v>
      </x:c>
      <x:c r="AO298" s="159" t="n">
        <x:v>22685</x:v>
      </x:c>
      <x:c r="AP298" s="154" t="n">
        <x:v>0.1470292762283766</x:v>
      </x:c>
      <x:c r="AQ298" s="159" t="n">
        <x:v>-32142</x:v>
      </x:c>
      <x:c r="AR298" s="147" t="str">
        <x:v>美国市场指标与CFTC数据均使用严格早于上金所交易日的最后已发布值</x:v>
      </x:c>
    </x:row>
    <x:row r="299">
      <x:c r="A299" s="155" t="n">
        <x:v>45763</x:v>
      </x:c>
      <x:c r="B299" s="153" t="n">
        <x:v>762</x:v>
      </x:c>
      <x:c r="C299" s="153" t="n">
        <x:v>781.9</x:v>
      </x:c>
      <x:c r="D299" s="153" t="n">
        <x:v>761.5</x:v>
      </x:c>
      <x:c r="E299" s="153" t="n">
        <x:v>781.62</x:v>
      </x:c>
      <x:c r="F299" s="154" t="n">
        <x:f>IFERROR(E299/E298-1,"")</x:f>
        <x:v>0.024537947306331187</x:v>
      </x:c>
      <x:c r="G299" s="154" t="n">
        <x:f>IFERROR((C299-D299)/E298,"")</x:f>
        <x:v>0.026740070782540277</x:v>
      </x:c>
      <x:c r="H299" s="153" t="n">
        <x:v>777.08</x:v>
      </x:c>
      <x:c r="I299" s="158" t="n">
        <x:v>14001.56</x:v>
      </x:c>
      <x:c r="J299" s="158" t="n">
        <x:v>10880388039</x:v>
      </x:c>
      <x:c r="K299" s="158"/>
      <x:c r="L299" s="153" t="n">
        <x:v>8130</x:v>
      </x:c>
      <x:c r="M299" s="153" t="n">
        <x:v>8236</x:v>
      </x:c>
      <x:c r="N299" s="153" t="n">
        <x:v>8107</x:v>
      </x:c>
      <x:c r="O299" s="153" t="n">
        <x:v>8230</x:v>
      </x:c>
      <x:c r="P299" s="154" t="n">
        <x:f>IFERROR(O299/O298-1,"")</x:f>
        <x:v>0.011180734733996722</x:v>
      </x:c>
      <x:c r="Q299" s="154" t="n">
        <x:f>IFERROR((M299-N299)/O298,"")</x:f>
        <x:v>0.0158496129745669</x:v>
      </x:c>
      <x:c r="R299" s="153" t="n">
        <x:v>8180</x:v>
      </x:c>
      <x:c r="S299" s="158" t="n">
        <x:v>548378</x:v>
      </x:c>
      <x:c r="T299" s="158" t="n">
        <x:v>4485769548</x:v>
      </x:c>
      <x:c r="U299" s="158" t="n">
        <x:v>3806108</x:v>
      </x:c>
      <x:c r="V299" s="153" t="n">
        <x:f>IFERROR(E299*1000/O299,"")</x:f>
        <x:v>94.97205346294047</x:v>
      </x:c>
      <x:c r="W299" s="153" t="n">
        <x:v>4.35</x:v>
      </x:c>
      <x:c r="X299" s="155" t="n">
        <x:v>45762</x:v>
      </x:c>
      <x:c r="Y299" s="153" t="n">
        <x:v>2.16</x:v>
      </x:c>
      <x:c r="Z299" s="155" t="n">
        <x:v>45762</x:v>
      </x:c>
      <x:c r="AA299" s="153" t="n">
        <x:f>IFERROR(Y299-Y298,"")</x:f>
        <x:v>0.010000000000000231</x:v>
      </x:c>
      <x:c r="AB299" s="153" t="n">
        <x:v>2.19</x:v>
      </x:c>
      <x:c r="AC299" s="153" t="n">
        <x:v>123.776</x:v>
      </x:c>
      <x:c r="AD299" s="155" t="n">
        <x:v>45762</x:v>
      </x:c>
      <x:c r="AE299" s="154" t="n">
        <x:f>IFERROR(AC299/AC298-1,"")</x:f>
        <x:v>0.0009396748175234393</x:v>
      </x:c>
      <x:c r="AF299" s="153" t="n">
        <x:v>30.12</x:v>
      </x:c>
      <x:c r="AG299" s="155" t="n">
        <x:v>45762</x:v>
      </x:c>
      <x:c r="AH299" s="153" t="n">
        <x:f>IFERROR(AF299-AF298,"")</x:f>
        <x:v>-0.7699999999999996</x:v>
      </x:c>
      <x:c r="AI299" s="153" t="n">
        <x:v>4.33</x:v>
      </x:c>
      <x:c r="AJ299" s="155" t="n">
        <x:v>45758</x:v>
      </x:c>
      <x:c r="AK299" s="159" t="n">
        <x:v>130986</x:v>
      </x:c>
      <x:c r="AL299" s="154" t="n">
        <x:v>0.2940413228335144</x:v>
      </x:c>
      <x:c r="AM299" s="159" t="n">
        <x:v>-52647</x:v>
      </x:c>
      <x:c r="AN299" s="155" t="n">
        <x:v>45758</x:v>
      </x:c>
      <x:c r="AO299" s="159" t="n">
        <x:v>22685</x:v>
      </x:c>
      <x:c r="AP299" s="154" t="n">
        <x:v>0.1470292762283766</x:v>
      </x:c>
      <x:c r="AQ299" s="159" t="n">
        <x:v>-32142</x:v>
      </x:c>
      <x:c r="AR299" s="147" t="str">
        <x:v>美国市场指标与CFTC数据均使用严格早于上金所交易日的最后已发布值</x:v>
      </x:c>
    </x:row>
    <x:row r="300">
      <x:c r="A300" s="155" t="n">
        <x:v>45764</x:v>
      </x:c>
      <x:c r="B300" s="153" t="n">
        <x:v>782</x:v>
      </x:c>
      <x:c r="C300" s="153" t="n">
        <x:v>795.36</x:v>
      </x:c>
      <x:c r="D300" s="153" t="n">
        <x:v>780</x:v>
      </x:c>
      <x:c r="E300" s="153" t="n">
        <x:v>786</x:v>
      </x:c>
      <x:c r="F300" s="154" t="n">
        <x:f>IFERROR(E300/E299-1,"")</x:f>
        <x:v>0.005603746065863113</x:v>
      </x:c>
      <x:c r="G300" s="154" t="n">
        <x:f>IFERROR((C300-D300)/E299,"")</x:f>
        <x:v>0.019651493052890167</x:v>
      </x:c>
      <x:c r="H300" s="153" t="n">
        <x:v>789.47</x:v>
      </x:c>
      <x:c r="I300" s="158" t="n">
        <x:v>26860.66</x:v>
      </x:c>
      <x:c r="J300" s="158" t="n">
        <x:v>21205807805.8</x:v>
      </x:c>
      <x:c r="K300" s="158"/>
      <x:c r="L300" s="153" t="n">
        <x:v>8271</x:v>
      </x:c>
      <x:c r="M300" s="153" t="n">
        <x:v>8290</x:v>
      </x:c>
      <x:c r="N300" s="153" t="n">
        <x:v>8098</x:v>
      </x:c>
      <x:c r="O300" s="153" t="n">
        <x:v>8143</x:v>
      </x:c>
      <x:c r="P300" s="154" t="n">
        <x:f>IFERROR(O300/O299-1,"")</x:f>
        <x:v>-0.01057108140947749</x:v>
      </x:c>
      <x:c r="Q300" s="154" t="n">
        <x:f>IFERROR((M300-N300)/O299,"")</x:f>
        <x:v>0.023329283110571083</x:v>
      </x:c>
      <x:c r="R300" s="153" t="n">
        <x:v>8172</x:v>
      </x:c>
      <x:c r="S300" s="158" t="n">
        <x:v>629680</x:v>
      </x:c>
      <x:c r="T300" s="158" t="n">
        <x:v>5145902268</x:v>
      </x:c>
      <x:c r="U300" s="158" t="n">
        <x:v>3864370</x:v>
      </x:c>
      <x:c r="V300" s="153" t="n">
        <x:f>IFERROR(E300*1000/O300,"")</x:f>
        <x:v>96.52462237504605</x:v>
      </x:c>
      <x:c r="W300" s="153" t="n">
        <x:v>4.29</x:v>
      </x:c>
      <x:c r="X300" s="155" t="n">
        <x:v>45763</x:v>
      </x:c>
      <x:c r="Y300" s="153" t="n">
        <x:v>2.12</x:v>
      </x:c>
      <x:c r="Z300" s="155" t="n">
        <x:v>45763</x:v>
      </x:c>
      <x:c r="AA300" s="153" t="n">
        <x:f>IFERROR(Y300-Y299,"")</x:f>
        <x:v>-0.040000000000000036</x:v>
      </x:c>
      <x:c r="AB300" s="153" t="n">
        <x:v>2.17</x:v>
      </x:c>
      <x:c r="AC300" s="153" t="n">
        <x:v>123.2724</x:v>
      </x:c>
      <x:c r="AD300" s="155" t="n">
        <x:v>45763</x:v>
      </x:c>
      <x:c r="AE300" s="154" t="n">
        <x:f>IFERROR(AC300/AC299-1,"")</x:f>
        <x:v>-0.004068640124095024</x:v>
      </x:c>
      <x:c r="AF300" s="153" t="n">
        <x:v>32.64</x:v>
      </x:c>
      <x:c r="AG300" s="155" t="n">
        <x:v>45763</x:v>
      </x:c>
      <x:c r="AH300" s="153" t="n">
        <x:f>IFERROR(AF300-AF299,"")</x:f>
        <x:v>2.5199999999999996</x:v>
      </x:c>
      <x:c r="AI300" s="153" t="n">
        <x:v>4.33</x:v>
      </x:c>
      <x:c r="AJ300" s="155" t="n">
        <x:v>45758</x:v>
      </x:c>
      <x:c r="AK300" s="159" t="n">
        <x:v>130986</x:v>
      </x:c>
      <x:c r="AL300" s="154" t="n">
        <x:v>0.2940413228335144</x:v>
      </x:c>
      <x:c r="AM300" s="159" t="n">
        <x:v>-52647</x:v>
      </x:c>
      <x:c r="AN300" s="155" t="n">
        <x:v>45758</x:v>
      </x:c>
      <x:c r="AO300" s="159" t="n">
        <x:v>22685</x:v>
      </x:c>
      <x:c r="AP300" s="154" t="n">
        <x:v>0.1470292762283766</x:v>
      </x:c>
      <x:c r="AQ300" s="159" t="n">
        <x:v>-32142</x:v>
      </x:c>
      <x:c r="AR300" s="147" t="str">
        <x:v>美国市场指标与CFTC数据均使用严格早于上金所交易日的最后已发布值</x:v>
      </x:c>
    </x:row>
    <x:row r="301">
      <x:c r="A301" s="155" t="n">
        <x:v>45765</x:v>
      </x:c>
      <x:c r="B301" s="153" t="n">
        <x:v>788.5</x:v>
      </x:c>
      <x:c r="C301" s="153" t="n">
        <x:v>790.49</x:v>
      </x:c>
      <x:c r="D301" s="153" t="n">
        <x:v>778</x:v>
      </x:c>
      <x:c r="E301" s="153" t="n">
        <x:v>788.62</x:v>
      </x:c>
      <x:c r="F301" s="154" t="n">
        <x:f>IFERROR(E301/E300-1,"")</x:f>
        <x:v>0.0033333333333334103</x:v>
      </x:c>
      <x:c r="G301" s="154" t="n">
        <x:f>IFERROR((C301-D301)/E300,"")</x:f>
        <x:v>0.01589058524173029</x:v>
      </x:c>
      <x:c r="H301" s="153" t="n">
        <x:v>788.6</x:v>
      </x:c>
      <x:c r="I301" s="158" t="n">
        <x:v>15482.78</x:v>
      </x:c>
      <x:c r="J301" s="158" t="n">
        <x:v>12209805089</x:v>
      </x:c>
      <x:c r="K301" s="158"/>
      <x:c r="L301" s="153" t="n">
        <x:v>8143</x:v>
      </x:c>
      <x:c r="M301" s="153" t="n">
        <x:v>8170</x:v>
      </x:c>
      <x:c r="N301" s="153" t="n">
        <x:v>8060</x:v>
      </x:c>
      <x:c r="O301" s="153" t="n">
        <x:v>8142</x:v>
      </x:c>
      <x:c r="P301" s="154" t="n">
        <x:f>IFERROR(O301/O300-1,"")</x:f>
        <x:v>-0.00012280486307258975</x:v>
      </x:c>
      <x:c r="Q301" s="154" t="n">
        <x:f>IFERROR((M301-N301)/O300,"")</x:f>
        <x:v>0.013508534937983544</x:v>
      </x:c>
      <x:c r="R301" s="153" t="n">
        <x:v>8135</x:v>
      </x:c>
      <x:c r="S301" s="158" t="n">
        <x:v>483736</x:v>
      </x:c>
      <x:c r="T301" s="158" t="n">
        <x:v>3935640198</x:v>
      </x:c>
      <x:c r="U301" s="158" t="n">
        <x:v>3857518</x:v>
      </x:c>
      <x:c r="V301" s="153" t="n">
        <x:f>IFERROR(E301*1000/O301,"")</x:f>
        <x:v>96.85826578236306</x:v>
      </x:c>
      <x:c r="W301" s="153" t="n">
        <x:v>4.34</x:v>
      </x:c>
      <x:c r="X301" s="155" t="n">
        <x:v>45764</x:v>
      </x:c>
      <x:c r="Y301" s="153" t="n">
        <x:v>2.11</x:v>
      </x:c>
      <x:c r="Z301" s="155" t="n">
        <x:v>45764</x:v>
      </x:c>
      <x:c r="AA301" s="153" t="n">
        <x:f>IFERROR(Y301-Y300,"")</x:f>
        <x:v>-0.010000000000000231</x:v>
      </x:c>
      <x:c r="AB301" s="153" t="n">
        <x:v>2.23</x:v>
      </x:c>
      <x:c r="AC301" s="153" t="n">
        <x:v>123.1298</x:v>
      </x:c>
      <x:c r="AD301" s="155" t="n">
        <x:v>45764</x:v>
      </x:c>
      <x:c r="AE301" s="154" t="n">
        <x:f>IFERROR(AC301/AC300-1,"")</x:f>
        <x:v>-0.0011567877318848785</x:v>
      </x:c>
      <x:c r="AF301" s="153" t="n">
        <x:v>29.65</x:v>
      </x:c>
      <x:c r="AG301" s="155" t="n">
        <x:v>45764</x:v>
      </x:c>
      <x:c r="AH301" s="153" t="n">
        <x:f>IFERROR(AF301-AF300,"")</x:f>
        <x:v>-2.990000000000002</x:v>
      </x:c>
      <x:c r="AI301" s="153" t="n">
        <x:v>4.33</x:v>
      </x:c>
      <x:c r="AJ301" s="155" t="n">
        <x:v>45758</x:v>
      </x:c>
      <x:c r="AK301" s="159" t="n">
        <x:v>130986</x:v>
      </x:c>
      <x:c r="AL301" s="154" t="n">
        <x:v>0.2940413228335144</x:v>
      </x:c>
      <x:c r="AM301" s="159" t="n">
        <x:v>-52647</x:v>
      </x:c>
      <x:c r="AN301" s="155" t="n">
        <x:v>45758</x:v>
      </x:c>
      <x:c r="AO301" s="159" t="n">
        <x:v>22685</x:v>
      </x:c>
      <x:c r="AP301" s="154" t="n">
        <x:v>0.1470292762283766</x:v>
      </x:c>
      <x:c r="AQ301" s="159" t="n">
        <x:v>-32142</x:v>
      </x:c>
      <x:c r="AR301" s="147" t="str">
        <x:v>美国市场指标与CFTC数据均使用严格早于上金所交易日的最后已发布值</x:v>
      </x:c>
    </x:row>
    <x:row r="302">
      <x:c r="A302" s="155" t="n">
        <x:v>45768</x:v>
      </x:c>
      <x:c r="B302" s="153" t="n">
        <x:v>790</x:v>
      </x:c>
      <x:c r="C302" s="153" t="n">
        <x:v>806</x:v>
      </x:c>
      <x:c r="D302" s="153" t="n">
        <x:v>787</x:v>
      </x:c>
      <x:c r="E302" s="153" t="n">
        <x:v>804.11</x:v>
      </x:c>
      <x:c r="F302" s="154" t="n">
        <x:f>IFERROR(E302/E301-1,"")</x:f>
        <x:v>0.019641906114478358</x:v>
      </x:c>
      <x:c r="G302" s="154" t="n">
        <x:f>IFERROR((C302-D302)/E301,"")</x:f>
        <x:v>0.024092718926732773</x:v>
      </x:c>
      <x:c r="H302" s="153" t="n">
        <x:v>801.02</x:v>
      </x:c>
      <x:c r="I302" s="158" t="n">
        <x:v>26503</x:v>
      </x:c>
      <x:c r="J302" s="158" t="n">
        <x:v>21229533675.6</x:v>
      </x:c>
      <x:c r="K302" s="158"/>
      <x:c r="L302" s="153" t="n">
        <x:v>8133</x:v>
      </x:c>
      <x:c r="M302" s="153" t="n">
        <x:v>8238</x:v>
      </x:c>
      <x:c r="N302" s="153" t="n">
        <x:v>8114</x:v>
      </x:c>
      <x:c r="O302" s="153" t="n">
        <x:v>8227</x:v>
      </x:c>
      <x:c r="P302" s="154" t="n">
        <x:f>IFERROR(O302/O301-1,"")</x:f>
        <x:v>0.010439695406534</x:v>
      </x:c>
      <x:c r="Q302" s="154" t="n">
        <x:f>IFERROR((M302-N302)/O301,"")</x:f>
        <x:v>0.015229673298943749</x:v>
      </x:c>
      <x:c r="R302" s="153" t="n">
        <x:v>8202</x:v>
      </x:c>
      <x:c r="S302" s="158" t="n">
        <x:v>497806</x:v>
      </x:c>
      <x:c r="T302" s="158" t="n">
        <x:v>4083118802</x:v>
      </x:c>
      <x:c r="U302" s="158" t="n">
        <x:v>3736054</x:v>
      </x:c>
      <x:c r="V302" s="153" t="n">
        <x:f>IFERROR(E302*1000/O302,"")</x:f>
        <x:v>97.74036708399173</x:v>
      </x:c>
      <x:c r="W302" s="153" t="n">
        <x:v>4.34</x:v>
      </x:c>
      <x:c r="X302" s="155" t="n">
        <x:v>45764</x:v>
      </x:c>
      <x:c r="Y302" s="153" t="n">
        <x:v>2.11</x:v>
      </x:c>
      <x:c r="Z302" s="155" t="n">
        <x:v>45764</x:v>
      </x:c>
      <x:c r="AA302" s="153" t="n">
        <x:f>IFERROR(Y302-Y301,"")</x:f>
        <x:v>0</x:v>
      </x:c>
      <x:c r="AB302" s="153" t="n">
        <x:v>2.23</x:v>
      </x:c>
      <x:c r="AC302" s="153" t="n">
        <x:v>122.9865</x:v>
      </x:c>
      <x:c r="AD302" s="155" t="n">
        <x:v>45765</x:v>
      </x:c>
      <x:c r="AE302" s="154" t="n">
        <x:f>IFERROR(AC302/AC301-1,"")</x:f>
        <x:v>-0.0011638124970558827</x:v>
      </x:c>
      <x:c r="AF302" s="153" t="n">
        <x:v>29.65</x:v>
      </x:c>
      <x:c r="AG302" s="155" t="n">
        <x:v>45764</x:v>
      </x:c>
      <x:c r="AH302" s="153" t="n">
        <x:f>IFERROR(AF302-AF301,"")</x:f>
        <x:v>0</x:v>
      </x:c>
      <x:c r="AI302" s="153" t="n">
        <x:v>4.33</x:v>
      </x:c>
      <x:c r="AJ302" s="155" t="n">
        <x:v>45765</x:v>
      </x:c>
      <x:c r="AK302" s="159" t="n">
        <x:v>124854</x:v>
      </x:c>
      <x:c r="AL302" s="154" t="n">
        <x:v>0.27342607111259054</x:v>
      </x:c>
      <x:c r="AM302" s="159" t="n">
        <x:v>-51605</x:v>
      </x:c>
      <x:c r="AN302" s="155" t="n">
        <x:v>45765</x:v>
      </x:c>
      <x:c r="AO302" s="159" t="n">
        <x:v>23552</x:v>
      </x:c>
      <x:c r="AP302" s="154" t="n">
        <x:v>0.16310249307479224</x:v>
      </x:c>
      <x:c r="AQ302" s="159" t="n">
        <x:v>-32227</x:v>
      </x:c>
      <x:c r="AR302" s="147" t="str">
        <x:v>美国市场指标与CFTC数据均使用严格早于上金所交易日的最后已发布值</x:v>
      </x:c>
    </x:row>
    <x:row r="303">
      <x:c r="A303" s="155" t="n">
        <x:v>45769</x:v>
      </x:c>
      <x:c r="B303" s="153" t="n">
        <x:v>808.2</x:v>
      </x:c>
      <x:c r="C303" s="153" t="n">
        <x:v>834.6</x:v>
      </x:c>
      <x:c r="D303" s="153" t="n">
        <x:v>805</x:v>
      </x:c>
      <x:c r="E303" s="153" t="n">
        <x:v>825.8</x:v>
      </x:c>
      <x:c r="F303" s="154" t="n">
        <x:f>IFERROR(E303/E302-1,"")</x:f>
        <x:v>0.026973921478404606</x:v>
      </x:c>
      <x:c r="G303" s="154" t="n">
        <x:f>IFERROR((C303-D303)/E302,"")</x:f>
        <x:v>0.03681088408302349</x:v>
      </x:c>
      <x:c r="H303" s="153" t="n">
        <x:v>825.06</x:v>
      </x:c>
      <x:c r="I303" s="158" t="n">
        <x:v>33896.18</x:v>
      </x:c>
      <x:c r="J303" s="158" t="n">
        <x:v>27966684715.2</x:v>
      </x:c>
      <x:c r="K303" s="158"/>
      <x:c r="L303" s="153" t="n">
        <x:v>8244</x:v>
      </x:c>
      <x:c r="M303" s="153" t="n">
        <x:v>8265</x:v>
      </x:c>
      <x:c r="N303" s="153" t="n">
        <x:v>8126</x:v>
      </x:c>
      <x:c r="O303" s="153" t="n">
        <x:v>8154</x:v>
      </x:c>
      <x:c r="P303" s="154" t="n">
        <x:f>IFERROR(O303/O302-1,"")</x:f>
        <x:v>-0.008873222316761908</x:v>
      </x:c>
      <x:c r="Q303" s="154" t="n">
        <x:f>IFERROR((M303-N303)/O302,"")</x:f>
        <x:v>0.016895587699039746</x:v>
      </x:c>
      <x:c r="R303" s="153" t="n">
        <x:v>8182</x:v>
      </x:c>
      <x:c r="S303" s="158" t="n">
        <x:v>778868</x:v>
      </x:c>
      <x:c r="T303" s="158" t="n">
        <x:v>6373292366</x:v>
      </x:c>
      <x:c r="U303" s="158" t="n">
        <x:v>3682262</x:v>
      </x:c>
      <x:c r="V303" s="153" t="n">
        <x:f>IFERROR(E303*1000/O303,"")</x:f>
        <x:v>101.27544763306352</x:v>
      </x:c>
      <x:c r="W303" s="153" t="n">
        <x:v>4.42</x:v>
      </x:c>
      <x:c r="X303" s="155" t="n">
        <x:v>45768</x:v>
      </x:c>
      <x:c r="Y303" s="153" t="n">
        <x:v>2.2</x:v>
      </x:c>
      <x:c r="Z303" s="155" t="n">
        <x:v>45768</x:v>
      </x:c>
      <x:c r="AA303" s="153" t="n">
        <x:f>IFERROR(Y303-Y302,"")</x:f>
        <x:v>0.0900000000000003</x:v>
      </x:c>
      <x:c r="AB303" s="153" t="n">
        <x:v>2.22</x:v>
      </x:c>
      <x:c r="AC303" s="153" t="n">
        <x:v>122.3145</x:v>
      </x:c>
      <x:c r="AD303" s="155" t="n">
        <x:v>45768</x:v>
      </x:c>
      <x:c r="AE303" s="154" t="n">
        <x:f>IFERROR(AC303/AC302-1,"")</x:f>
        <x:v>-0.005464014343037782</x:v>
      </x:c>
      <x:c r="AF303" s="153" t="n">
        <x:v>33.82</x:v>
      </x:c>
      <x:c r="AG303" s="155" t="n">
        <x:v>45768</x:v>
      </x:c>
      <x:c r="AH303" s="153" t="n">
        <x:f>IFERROR(AF303-AF302,"")</x:f>
        <x:v>4.170000000000002</x:v>
      </x:c>
      <x:c r="AI303" s="153" t="n">
        <x:v>4.33</x:v>
      </x:c>
      <x:c r="AJ303" s="155" t="n">
        <x:v>45765</x:v>
      </x:c>
      <x:c r="AK303" s="159" t="n">
        <x:v>124854</x:v>
      </x:c>
      <x:c r="AL303" s="154" t="n">
        <x:v>0.27342607111259054</x:v>
      </x:c>
      <x:c r="AM303" s="159" t="n">
        <x:v>-51605</x:v>
      </x:c>
      <x:c r="AN303" s="155" t="n">
        <x:v>45765</x:v>
      </x:c>
      <x:c r="AO303" s="159" t="n">
        <x:v>23552</x:v>
      </x:c>
      <x:c r="AP303" s="154" t="n">
        <x:v>0.16310249307479224</x:v>
      </x:c>
      <x:c r="AQ303" s="159" t="n">
        <x:v>-32227</x:v>
      </x:c>
      <x:c r="AR303" s="147" t="str">
        <x:v>美国市场指标与CFTC数据均使用严格早于上金所交易日的最后已发布值</x:v>
      </x:c>
    </x:row>
    <x:row r="304">
      <x:c r="A304" s="155" t="n">
        <x:v>45770</x:v>
      </x:c>
      <x:c r="B304" s="153" t="n">
        <x:v>829</x:v>
      </x:c>
      <x:c r="C304" s="153" t="n">
        <x:v>829</x:v>
      </x:c>
      <x:c r="D304" s="153" t="n">
        <x:v>780.55</x:v>
      </x:c>
      <x:c r="E304" s="153" t="n">
        <x:v>786.99</x:v>
      </x:c>
      <x:c r="F304" s="154" t="n">
        <x:f>IFERROR(E304/E303-1,"")</x:f>
        <x:v>-0.04699685153790256</x:v>
      </x:c>
      <x:c r="G304" s="154" t="n">
        <x:f>IFERROR((C304-D304)/E303,"")</x:f>
        <x:v>0.058670380237345665</x:v>
      </x:c>
      <x:c r="H304" s="153" t="n">
        <x:v>797.36</x:v>
      </x:c>
      <x:c r="I304" s="158" t="n">
        <x:v>27249.28</x:v>
      </x:c>
      <x:c r="J304" s="158" t="n">
        <x:v>21727670791.8</x:v>
      </x:c>
      <x:c r="K304" s="158"/>
      <x:c r="L304" s="153" t="n">
        <x:v>8190</x:v>
      </x:c>
      <x:c r="M304" s="153" t="n">
        <x:v>8280</x:v>
      </x:c>
      <x:c r="N304" s="153" t="n">
        <x:v>8128</x:v>
      </x:c>
      <x:c r="O304" s="153" t="n">
        <x:v>8191</x:v>
      </x:c>
      <x:c r="P304" s="154" t="n">
        <x:f>IFERROR(O304/O303-1,"")</x:f>
        <x:v>0.004537650233014556</x:v>
      </x:c>
      <x:c r="Q304" s="154" t="n">
        <x:f>IFERROR((M304-N304)/O303,"")</x:f>
        <x:v>0.018641157714005395</x:v>
      </x:c>
      <x:c r="R304" s="153" t="n">
        <x:v>8197</x:v>
      </x:c>
      <x:c r="S304" s="158" t="n">
        <x:v>661984</x:v>
      </x:c>
      <x:c r="T304" s="158" t="n">
        <x:v>5426382872</x:v>
      </x:c>
      <x:c r="U304" s="158" t="n">
        <x:v>3664940</x:v>
      </x:c>
      <x:c r="V304" s="153" t="n">
        <x:f>IFERROR(E304*1000/O304,"")</x:f>
        <x:v>96.07984373092418</x:v>
      </x:c>
      <x:c r="W304" s="153" t="n">
        <x:v>4.41</x:v>
      </x:c>
      <x:c r="X304" s="155" t="n">
        <x:v>45769</x:v>
      </x:c>
      <x:c r="Y304" s="153" t="n">
        <x:v>2.14</x:v>
      </x:c>
      <x:c r="Z304" s="155" t="n">
        <x:v>45769</x:v>
      </x:c>
      <x:c r="AA304" s="153" t="n">
        <x:f>IFERROR(Y304-Y303,"")</x:f>
        <x:v>-0.06000000000000005</x:v>
      </x:c>
      <x:c r="AB304" s="153" t="n">
        <x:v>2.27</x:v>
      </x:c>
      <x:c r="AC304" s="153" t="n">
        <x:v>122.4175</x:v>
      </x:c>
      <x:c r="AD304" s="155" t="n">
        <x:v>45769</x:v>
      </x:c>
      <x:c r="AE304" s="154" t="n">
        <x:f>IFERROR(AC304/AC303-1,"")</x:f>
        <x:v>0.0008420914936495549</x:v>
      </x:c>
      <x:c r="AF304" s="153" t="n">
        <x:v>30.57</x:v>
      </x:c>
      <x:c r="AG304" s="155" t="n">
        <x:v>45769</x:v>
      </x:c>
      <x:c r="AH304" s="153" t="n">
        <x:f>IFERROR(AF304-AF303,"")</x:f>
        <x:v>-3.25</x:v>
      </x:c>
      <x:c r="AI304" s="153" t="n">
        <x:v>4.33</x:v>
      </x:c>
      <x:c r="AJ304" s="155" t="n">
        <x:v>45765</x:v>
      </x:c>
      <x:c r="AK304" s="159" t="n">
        <x:v>124854</x:v>
      </x:c>
      <x:c r="AL304" s="154" t="n">
        <x:v>0.27342607111259054</x:v>
      </x:c>
      <x:c r="AM304" s="159" t="n">
        <x:v>-51605</x:v>
      </x:c>
      <x:c r="AN304" s="155" t="n">
        <x:v>45765</x:v>
      </x:c>
      <x:c r="AO304" s="159" t="n">
        <x:v>23552</x:v>
      </x:c>
      <x:c r="AP304" s="154" t="n">
        <x:v>0.16310249307479224</x:v>
      </x:c>
      <x:c r="AQ304" s="159" t="n">
        <x:v>-32227</x:v>
      </x:c>
      <x:c r="AR304" s="147" t="str">
        <x:v>美国市场指标与CFTC数据均使用严格早于上金所交易日的最后已发布值</x:v>
      </x:c>
    </x:row>
    <x:row r="305">
      <x:c r="A305" s="155" t="n">
        <x:v>45771</x:v>
      </x:c>
      <x:c r="B305" s="153" t="n">
        <x:v>787</x:v>
      </x:c>
      <x:c r="C305" s="153" t="n">
        <x:v>802.3</x:v>
      </x:c>
      <x:c r="D305" s="153" t="n">
        <x:v>775</x:v>
      </x:c>
      <x:c r="E305" s="153" t="n">
        <x:v>792.47</x:v>
      </x:c>
      <x:c r="F305" s="154" t="n">
        <x:f>IFERROR(E305/E304-1,"")</x:f>
        <x:v>0.006963239685383593</x:v>
      </x:c>
      <x:c r="G305" s="154" t="n">
        <x:f>IFERROR((C305-D305)/E304,"")</x:f>
        <x:v>0.0346891320093012</x:v>
      </x:c>
      <x:c r="H305" s="153" t="n">
        <x:v>793.75</x:v>
      </x:c>
      <x:c r="I305" s="158" t="n">
        <x:v>22494.66</x:v>
      </x:c>
      <x:c r="J305" s="158" t="n">
        <x:v>17855297242</x:v>
      </x:c>
      <x:c r="K305" s="158"/>
      <x:c r="L305" s="153" t="n">
        <x:v>8189</x:v>
      </x:c>
      <x:c r="M305" s="153" t="n">
        <x:v>8351</x:v>
      </x:c>
      <x:c r="N305" s="153" t="n">
        <x:v>8168</x:v>
      </x:c>
      <x:c r="O305" s="153" t="n">
        <x:v>8295</x:v>
      </x:c>
      <x:c r="P305" s="154" t="n">
        <x:f>IFERROR(O305/O304-1,"")</x:f>
        <x:v>0.01269686240996215</x:v>
      </x:c>
      <x:c r="Q305" s="154" t="n">
        <x:f>IFERROR((M305-N305)/O304,"")</x:f>
        <x:v>0.022341594432914173</x:v>
      </x:c>
      <x:c r="R305" s="153" t="n">
        <x:v>8283</x:v>
      </x:c>
      <x:c r="S305" s="158" t="n">
        <x:v>699388</x:v>
      </x:c>
      <x:c r="T305" s="158" t="n">
        <x:v>5793241732</x:v>
      </x:c>
      <x:c r="U305" s="158" t="n">
        <x:v>3625908</x:v>
      </x:c>
      <x:c r="V305" s="153" t="n">
        <x:f>IFERROR(E305*1000/O305,"")</x:f>
        <x:v>95.53586497890295</x:v>
      </x:c>
      <x:c r="W305" s="153" t="n">
        <x:v>4.4</x:v>
      </x:c>
      <x:c r="X305" s="155" t="n">
        <x:v>45770</x:v>
      </x:c>
      <x:c r="Y305" s="153" t="n">
        <x:v>2.11</x:v>
      </x:c>
      <x:c r="Z305" s="155" t="n">
        <x:v>45770</x:v>
      </x:c>
      <x:c r="AA305" s="153" t="n">
        <x:f>IFERROR(Y305-Y304,"")</x:f>
        <x:v>-0.03000000000000025</x:v>
      </x:c>
      <x:c r="AB305" s="153" t="n">
        <x:v>2.29</x:v>
      </x:c>
      <x:c r="AC305" s="153" t="n">
        <x:v>123.0252</x:v>
      </x:c>
      <x:c r="AD305" s="155" t="n">
        <x:v>45770</x:v>
      </x:c>
      <x:c r="AE305" s="154" t="n">
        <x:f>IFERROR(AC305/AC304-1,"")</x:f>
        <x:v>0.0049641595360139235</x:v>
      </x:c>
      <x:c r="AF305" s="153" t="n">
        <x:v>28.45</x:v>
      </x:c>
      <x:c r="AG305" s="155" t="n">
        <x:v>45770</x:v>
      </x:c>
      <x:c r="AH305" s="153" t="n">
        <x:f>IFERROR(AF305-AF304,"")</x:f>
        <x:v>-2.120000000000001</x:v>
      </x:c>
      <x:c r="AI305" s="153" t="n">
        <x:v>4.33</x:v>
      </x:c>
      <x:c r="AJ305" s="155" t="n">
        <x:v>45765</x:v>
      </x:c>
      <x:c r="AK305" s="159" t="n">
        <x:v>124854</x:v>
      </x:c>
      <x:c r="AL305" s="154" t="n">
        <x:v>0.27342607111259054</x:v>
      </x:c>
      <x:c r="AM305" s="159" t="n">
        <x:v>-51605</x:v>
      </x:c>
      <x:c r="AN305" s="155" t="n">
        <x:v>45765</x:v>
      </x:c>
      <x:c r="AO305" s="159" t="n">
        <x:v>23552</x:v>
      </x:c>
      <x:c r="AP305" s="154" t="n">
        <x:v>0.16310249307479224</x:v>
      </x:c>
      <x:c r="AQ305" s="159" t="n">
        <x:v>-32227</x:v>
      </x:c>
      <x:c r="AR305" s="147" t="str">
        <x:v>美国市场指标与CFTC数据均使用严格早于上金所交易日的最后已发布值</x:v>
      </x:c>
    </x:row>
    <x:row r="306">
      <x:c r="A306" s="155" t="n">
        <x:v>45772</x:v>
      </x:c>
      <x:c r="B306" s="153" t="n">
        <x:v>792.47</x:v>
      </x:c>
      <x:c r="C306" s="153" t="n">
        <x:v>803</x:v>
      </x:c>
      <x:c r="D306" s="153" t="n">
        <x:v>780.5</x:v>
      </x:c>
      <x:c r="E306" s="153" t="n">
        <x:v>785.6</x:v>
      </x:c>
      <x:c r="F306" s="154" t="n">
        <x:f>IFERROR(E306/E305-1,"")</x:f>
        <x:v>-0.008669097883831522</x:v>
      </x:c>
      <x:c r="G306" s="154" t="n">
        <x:f>IFERROR((C306-D306)/E305,"")</x:f>
        <x:v>0.028392241977614294</x:v>
      </x:c>
      <x:c r="H306" s="153" t="n">
        <x:v>789.17</x:v>
      </x:c>
      <x:c r="I306" s="158" t="n">
        <x:v>14161.08</x:v>
      </x:c>
      <x:c r="J306" s="158" t="n">
        <x:v>11175627119</x:v>
      </x:c>
      <x:c r="K306" s="158"/>
      <x:c r="L306" s="153" t="n">
        <x:v>8306</x:v>
      </x:c>
      <x:c r="M306" s="153" t="n">
        <x:v>8328</x:v>
      </x:c>
      <x:c r="N306" s="153" t="n">
        <x:v>8231</x:v>
      </x:c>
      <x:c r="O306" s="153" t="n">
        <x:v>8270</x:v>
      </x:c>
      <x:c r="P306" s="154" t="n">
        <x:f>IFERROR(O306/O305-1,"")</x:f>
        <x:v>-0.003013863773357439</x:v>
      </x:c>
      <x:c r="Q306" s="154" t="n">
        <x:f>IFERROR((M306-N306)/O305,"")</x:f>
        <x:v>0.011693791440626884</x:v>
      </x:c>
      <x:c r="R306" s="153" t="n">
        <x:v>8280</x:v>
      </x:c>
      <x:c r="S306" s="158" t="n">
        <x:v>421174</x:v>
      </x:c>
      <x:c r="T306" s="158" t="n">
        <x:v>3487511326</x:v>
      </x:c>
      <x:c r="U306" s="158" t="n">
        <x:v>3574040</x:v>
      </x:c>
      <x:c r="V306" s="153" t="n">
        <x:f>IFERROR(E306*1000/O306,"")</x:f>
        <x:v>94.99395405078597</x:v>
      </x:c>
      <x:c r="W306" s="153" t="n">
        <x:v>4.32</x:v>
      </x:c>
      <x:c r="X306" s="155" t="n">
        <x:v>45771</x:v>
      </x:c>
      <x:c r="Y306" s="153" t="n">
        <x:v>2.02</x:v>
      </x:c>
      <x:c r="Z306" s="155" t="n">
        <x:v>45771</x:v>
      </x:c>
      <x:c r="AA306" s="153" t="n">
        <x:f>IFERROR(Y306-Y305,"")</x:f>
        <x:v>-0.08999999999999986</x:v>
      </x:c>
      <x:c r="AB306" s="153" t="n">
        <x:v>2.3</x:v>
      </x:c>
      <x:c r="AC306" s="153" t="n">
        <x:v>122.9251</x:v>
      </x:c>
      <x:c r="AD306" s="155" t="n">
        <x:v>45771</x:v>
      </x:c>
      <x:c r="AE306" s="154" t="n">
        <x:f>IFERROR(AC306/AC305-1,"")</x:f>
        <x:v>-0.0008136544382776334</x:v>
      </x:c>
      <x:c r="AF306" s="153" t="n">
        <x:v>26.47</x:v>
      </x:c>
      <x:c r="AG306" s="155" t="n">
        <x:v>45771</x:v>
      </x:c>
      <x:c r="AH306" s="153" t="n">
        <x:f>IFERROR(AF306-AF305,"")</x:f>
        <x:v>-1.9800000000000004</x:v>
      </x:c>
      <x:c r="AI306" s="153" t="n">
        <x:v>4.33</x:v>
      </x:c>
      <x:c r="AJ306" s="155" t="n">
        <x:v>45765</x:v>
      </x:c>
      <x:c r="AK306" s="159" t="n">
        <x:v>124854</x:v>
      </x:c>
      <x:c r="AL306" s="154" t="n">
        <x:v>0.27342607111259054</x:v>
      </x:c>
      <x:c r="AM306" s="159" t="n">
        <x:v>-51605</x:v>
      </x:c>
      <x:c r="AN306" s="155" t="n">
        <x:v>45765</x:v>
      </x:c>
      <x:c r="AO306" s="159" t="n">
        <x:v>23552</x:v>
      </x:c>
      <x:c r="AP306" s="154" t="n">
        <x:v>0.16310249307479224</x:v>
      </x:c>
      <x:c r="AQ306" s="159" t="n">
        <x:v>-32227</x:v>
      </x:c>
      <x:c r="AR306" s="147" t="str">
        <x:v>美国市场指标与CFTC数据均使用严格早于上金所交易日的最后已发布值</x:v>
      </x:c>
    </x:row>
    <x:row r="307">
      <x:c r="A307" s="155" t="n">
        <x:v>45775</x:v>
      </x:c>
      <x:c r="B307" s="153" t="n">
        <x:v>787.6</x:v>
      </x:c>
      <x:c r="C307" s="153" t="n">
        <x:v>788</x:v>
      </x:c>
      <x:c r="D307" s="153" t="n">
        <x:v>776.01</x:v>
      </x:c>
      <x:c r="E307" s="153" t="n">
        <x:v>778.4</x:v>
      </x:c>
      <x:c r="F307" s="154" t="n">
        <x:f>IFERROR(E307/E306-1,"")</x:f>
        <x:v>-0.009164969450101923</x:v>
      </x:c>
      <x:c r="G307" s="154" t="n">
        <x:f>IFERROR((C307-D307)/E306,"")</x:f>
        <x:v>0.015262219959266814</x:v>
      </x:c>
      <x:c r="H307" s="153" t="n">
        <x:v>780.17</x:v>
      </x:c>
      <x:c r="I307" s="158" t="n">
        <x:v>12972.42</x:v>
      </x:c>
      <x:c r="J307" s="158" t="n">
        <x:v>10120727694.2</x:v>
      </x:c>
      <x:c r="K307" s="158"/>
      <x:c r="L307" s="153" t="n">
        <x:v>8256</x:v>
      </x:c>
      <x:c r="M307" s="153" t="n">
        <x:v>8263</x:v>
      </x:c>
      <x:c r="N307" s="153" t="n">
        <x:v>8151</x:v>
      </x:c>
      <x:c r="O307" s="153" t="n">
        <x:v>8173</x:v>
      </x:c>
      <x:c r="P307" s="154" t="n">
        <x:f>IFERROR(O307/O306-1,"")</x:f>
        <x:v>-0.011729141475211646</x:v>
      </x:c>
      <x:c r="Q307" s="154" t="n">
        <x:f>IFERROR((M307-N307)/O306,"")</x:f>
        <x:v>0.013542926239419589</x:v>
      </x:c>
      <x:c r="R307" s="153" t="n">
        <x:v>8179</x:v>
      </x:c>
      <x:c r="S307" s="158" t="n">
        <x:v>471636</x:v>
      </x:c>
      <x:c r="T307" s="158" t="n">
        <x:v>3857556844</x:v>
      </x:c>
      <x:c r="U307" s="158" t="n">
        <x:v>3578110</x:v>
      </x:c>
      <x:c r="V307" s="153" t="n">
        <x:f>IFERROR(E307*1000/O307,"")</x:f>
        <x:v>95.24042579224275</x:v>
      </x:c>
      <x:c r="W307" s="153" t="n">
        <x:v>4.29</x:v>
      </x:c>
      <x:c r="X307" s="155" t="n">
        <x:v>45772</x:v>
      </x:c>
      <x:c r="Y307" s="153" t="n">
        <x:v>2.02</x:v>
      </x:c>
      <x:c r="Z307" s="155" t="n">
        <x:v>45772</x:v>
      </x:c>
      <x:c r="AA307" s="153" t="n">
        <x:f>IFERROR(Y307-Y306,"")</x:f>
        <x:v>0</x:v>
      </x:c>
      <x:c r="AB307" s="153" t="n">
        <x:v>2.27</x:v>
      </x:c>
      <x:c r="AC307" s="153" t="n">
        <x:v>122.8858</x:v>
      </x:c>
      <x:c r="AD307" s="155" t="n">
        <x:v>45772</x:v>
      </x:c>
      <x:c r="AE307" s="154" t="n">
        <x:f>IFERROR(AC307/AC306-1,"")</x:f>
        <x:v>-0.0003197068784162038</x:v>
      </x:c>
      <x:c r="AF307" s="153" t="n">
        <x:v>24.84</x:v>
      </x:c>
      <x:c r="AG307" s="155" t="n">
        <x:v>45772</x:v>
      </x:c>
      <x:c r="AH307" s="153" t="n">
        <x:f>IFERROR(AF307-AF306,"")</x:f>
        <x:v>-1.629999999999999</x:v>
      </x:c>
      <x:c r="AI307" s="153" t="n">
        <x:v>4.33</x:v>
      </x:c>
      <x:c r="AJ307" s="155" t="n">
        <x:v>45772</x:v>
      </x:c>
      <x:c r="AK307" s="159" t="n">
        <x:v>120902</x:v>
      </x:c>
      <x:c r="AL307" s="154" t="n">
        <x:v>0.2598081877980277</x:v>
      </x:c>
      <x:c r="AM307" s="159" t="n">
        <x:v>-45310</x:v>
      </x:c>
      <x:c r="AN307" s="155" t="n">
        <x:v>45772</x:v>
      </x:c>
      <x:c r="AO307" s="159" t="n">
        <x:v>25891</x:v>
      </x:c>
      <x:c r="AP307" s="154" t="n">
        <x:v>0.17622155823118232</x:v>
      </x:c>
      <x:c r="AQ307" s="159" t="n">
        <x:v>-30927</x:v>
      </x:c>
      <x:c r="AR307" s="147" t="str">
        <x:v>美国市场指标与CFTC数据均使用严格早于上金所交易日的最后已发布值</x:v>
      </x:c>
    </x:row>
    <x:row r="308">
      <x:c r="A308" s="155" t="n">
        <x:v>45776</x:v>
      </x:c>
      <x:c r="B308" s="153" t="n">
        <x:v>781</x:v>
      </x:c>
      <x:c r="C308" s="153" t="n">
        <x:v>791</x:v>
      </x:c>
      <x:c r="D308" s="153" t="n">
        <x:v>780</x:v>
      </x:c>
      <x:c r="E308" s="153" t="n">
        <x:v>780.05</x:v>
      </x:c>
      <x:c r="F308" s="154" t="n">
        <x:f>IFERROR(E308/E307-1,"")</x:f>
        <x:v>0.002119732785200279</x:v>
      </x:c>
      <x:c r="G308" s="154" t="n">
        <x:f>IFERROR((C308-D308)/E307,"")</x:f>
        <x:v>0.014131551901336074</x:v>
      </x:c>
      <x:c r="H308" s="153" t="n">
        <x:v>784.04</x:v>
      </x:c>
      <x:c r="I308" s="158" t="n">
        <x:v>12034.16</x:v>
      </x:c>
      <x:c r="J308" s="158" t="n">
        <x:v>9435271280.4</x:v>
      </x:c>
      <x:c r="K308" s="158"/>
      <x:c r="L308" s="153" t="n">
        <x:v>8195</x:v>
      </x:c>
      <x:c r="M308" s="153" t="n">
        <x:v>8239</x:v>
      </x:c>
      <x:c r="N308" s="153" t="n">
        <x:v>8165</x:v>
      </x:c>
      <x:c r="O308" s="153" t="n">
        <x:v>8197</x:v>
      </x:c>
      <x:c r="P308" s="154" t="n">
        <x:f>IFERROR(O308/O307-1,"")</x:f>
        <x:v>0.0029364982258657246</x:v>
      </x:c>
      <x:c r="Q308" s="154" t="n">
        <x:f>IFERROR((M308-N308)/O307,"")</x:f>
        <x:v>0.00905420286308577</x:v>
      </x:c>
      <x:c r="R308" s="153" t="n">
        <x:v>8202</x:v>
      </x:c>
      <x:c r="S308" s="158" t="n">
        <x:v>349058</x:v>
      </x:c>
      <x:c r="T308" s="158" t="n">
        <x:v>2863148398</x:v>
      </x:c>
      <x:c r="U308" s="158" t="n">
        <x:v>3581790</x:v>
      </x:c>
      <x:c r="V308" s="153" t="n">
        <x:f>IFERROR(E308*1000/O308,"")</x:f>
        <x:v>95.16286446260827</x:v>
      </x:c>
      <x:c r="W308" s="153" t="n">
        <x:v>4.23</x:v>
      </x:c>
      <x:c r="X308" s="155" t="n">
        <x:v>45775</x:v>
      </x:c>
      <x:c r="Y308" s="153" t="n">
        <x:v>1.98</x:v>
      </x:c>
      <x:c r="Z308" s="155" t="n">
        <x:v>45775</x:v>
      </x:c>
      <x:c r="AA308" s="153" t="n">
        <x:f>IFERROR(Y308-Y307,"")</x:f>
        <x:v>-0.040000000000000036</x:v>
      </x:c>
      <x:c r="AB308" s="153" t="n">
        <x:v>2.25</x:v>
      </x:c>
      <x:c r="AC308" s="153" t="n">
        <x:v>122.7176</x:v>
      </x:c>
      <x:c r="AD308" s="155" t="n">
        <x:v>45775</x:v>
      </x:c>
      <x:c r="AE308" s="154" t="n">
        <x:f>IFERROR(AC308/AC307-1,"")</x:f>
        <x:v>-0.0013687504984302157</x:v>
      </x:c>
      <x:c r="AF308" s="153" t="n">
        <x:v>25.15</x:v>
      </x:c>
      <x:c r="AG308" s="155" t="n">
        <x:v>45775</x:v>
      </x:c>
      <x:c r="AH308" s="153" t="n">
        <x:f>IFERROR(AF308-AF307,"")</x:f>
        <x:v>0.3099999999999987</x:v>
      </x:c>
      <x:c r="AI308" s="153" t="n">
        <x:v>4.33</x:v>
      </x:c>
      <x:c r="AJ308" s="155" t="n">
        <x:v>45772</x:v>
      </x:c>
      <x:c r="AK308" s="159" t="n">
        <x:v>120902</x:v>
      </x:c>
      <x:c r="AL308" s="154" t="n">
        <x:v>0.2598081877980277</x:v>
      </x:c>
      <x:c r="AM308" s="159" t="n">
        <x:v>-45310</x:v>
      </x:c>
      <x:c r="AN308" s="155" t="n">
        <x:v>45772</x:v>
      </x:c>
      <x:c r="AO308" s="159" t="n">
        <x:v>25891</x:v>
      </x:c>
      <x:c r="AP308" s="154" t="n">
        <x:v>0.17622155823118232</x:v>
      </x:c>
      <x:c r="AQ308" s="159" t="n">
        <x:v>-30927</x:v>
      </x:c>
      <x:c r="AR308" s="147" t="str">
        <x:v>美国市场指标与CFTC数据均使用严格早于上金所交易日的最后已发布值</x:v>
      </x:c>
    </x:row>
    <x:row r="309">
      <x:c r="A309" s="155" t="n">
        <x:v>45777</x:v>
      </x:c>
      <x:c r="B309" s="153" t="n">
        <x:v>783</x:v>
      </x:c>
      <x:c r="C309" s="153" t="n">
        <x:v>784.76</x:v>
      </x:c>
      <x:c r="D309" s="153" t="n">
        <x:v>778.01</x:v>
      </x:c>
      <x:c r="E309" s="153" t="n">
        <x:v>780.19</x:v>
      </x:c>
      <x:c r="F309" s="154" t="n">
        <x:f>IFERROR(E309/E308-1,"")</x:f>
        <x:v>0.00017947567463627578</x:v>
      </x:c>
      <x:c r="G309" s="154" t="n">
        <x:f>IFERROR((C309-D309)/E308,"")</x:f>
        <x:v>0.00865329145567592</x:v>
      </x:c>
      <x:c r="H309" s="153" t="n">
        <x:v>780.97</x:v>
      </x:c>
      <x:c r="I309" s="158" t="n">
        <x:v>8343.96</x:v>
      </x:c>
      <x:c r="J309" s="158" t="n">
        <x:v>6516398728.8</x:v>
      </x:c>
      <x:c r="K309" s="158"/>
      <x:c r="L309" s="153" t="n">
        <x:v>8210</x:v>
      </x:c>
      <x:c r="M309" s="153" t="n">
        <x:v>8272</x:v>
      </x:c>
      <x:c r="N309" s="153" t="n">
        <x:v>8150</x:v>
      </x:c>
      <x:c r="O309" s="153" t="n">
        <x:v>8163</x:v>
      </x:c>
      <x:c r="P309" s="154" t="n">
        <x:f>IFERROR(O309/O308-1,"")</x:f>
        <x:v>-0.0041478589727949045</x:v>
      </x:c>
      <x:c r="Q309" s="154" t="n">
        <x:f>IFERROR((M309-N309)/O308,"")</x:f>
        <x:v>0.01488349396120532</x:v>
      </x:c>
      <x:c r="R309" s="153" t="n">
        <x:v>8201</x:v>
      </x:c>
      <x:c r="S309" s="158" t="n">
        <x:v>358256</x:v>
      </x:c>
      <x:c r="T309" s="158" t="n">
        <x:v>2938140444</x:v>
      </x:c>
      <x:c r="U309" s="158" t="n">
        <x:v>3499912</x:v>
      </x:c>
      <x:c r="V309" s="153" t="n">
        <x:f>IFERROR(E309*1000/O309,"")</x:f>
        <x:v>95.57638123239005</x:v>
      </x:c>
      <x:c r="W309" s="153" t="n">
        <x:v>4.19</x:v>
      </x:c>
      <x:c r="X309" s="155" t="n">
        <x:v>45776</x:v>
      </x:c>
      <x:c r="Y309" s="153" t="n">
        <x:v>1.96</x:v>
      </x:c>
      <x:c r="Z309" s="155" t="n">
        <x:v>45776</x:v>
      </x:c>
      <x:c r="AA309" s="153" t="n">
        <x:f>IFERROR(Y309-Y308,"")</x:f>
        <x:v>-0.020000000000000018</x:v>
      </x:c>
      <x:c r="AB309" s="153" t="n">
        <x:v>2.23</x:v>
      </x:c>
      <x:c r="AC309" s="153" t="n">
        <x:v>122.5944</x:v>
      </x:c>
      <x:c r="AD309" s="155" t="n">
        <x:v>45776</x:v>
      </x:c>
      <x:c r="AE309" s="154" t="n">
        <x:f>IFERROR(AC309/AC308-1,"")</x:f>
        <x:v>-0.0010039309764859894</x:v>
      </x:c>
      <x:c r="AF309" s="153" t="n">
        <x:v>24.17</x:v>
      </x:c>
      <x:c r="AG309" s="155" t="n">
        <x:v>45776</x:v>
      </x:c>
      <x:c r="AH309" s="153" t="n">
        <x:f>IFERROR(AF309-AF308,"")</x:f>
        <x:v>-0.9799999999999969</x:v>
      </x:c>
      <x:c r="AI309" s="153" t="n">
        <x:v>4.33</x:v>
      </x:c>
      <x:c r="AJ309" s="155" t="n">
        <x:v>45772</x:v>
      </x:c>
      <x:c r="AK309" s="159" t="n">
        <x:v>120902</x:v>
      </x:c>
      <x:c r="AL309" s="154" t="n">
        <x:v>0.2598081877980277</x:v>
      </x:c>
      <x:c r="AM309" s="159" t="n">
        <x:v>-45310</x:v>
      </x:c>
      <x:c r="AN309" s="155" t="n">
        <x:v>45772</x:v>
      </x:c>
      <x:c r="AO309" s="159" t="n">
        <x:v>25891</x:v>
      </x:c>
      <x:c r="AP309" s="154" t="n">
        <x:v>0.17622155823118232</x:v>
      </x:c>
      <x:c r="AQ309" s="159" t="n">
        <x:v>-30927</x:v>
      </x:c>
      <x:c r="AR309" s="147" t="str">
        <x:v>美国市场指标与CFTC数据均使用严格早于上金所交易日的最后已发布值</x:v>
      </x:c>
    </x:row>
    <x:row r="310">
      <x:c r="A310" s="155" t="n">
        <x:v>45783</x:v>
      </x:c>
      <x:c r="B310" s="153" t="n">
        <x:v>785</x:v>
      </x:c>
      <x:c r="C310" s="153" t="n">
        <x:v>797.5</x:v>
      </x:c>
      <x:c r="D310" s="153" t="n">
        <x:v>785</x:v>
      </x:c>
      <x:c r="E310" s="153" t="n">
        <x:v>792.2</x:v>
      </x:c>
      <x:c r="F310" s="154" t="n">
        <x:f>IFERROR(E310/E309-1,"")</x:f>
        <x:v>0.015393686153372776</x:v>
      </x:c>
      <x:c r="G310" s="154" t="n">
        <x:f>IFERROR((C310-D310)/E309,"")</x:f>
        <x:v>0.016021738294518</x:v>
      </x:c>
      <x:c r="H310" s="153" t="n">
        <x:v>792.54</x:v>
      </x:c>
      <x:c r="I310" s="158" t="n">
        <x:v>12694.96</x:v>
      </x:c>
      <x:c r="J310" s="158" t="n">
        <x:v>10061300840.8</x:v>
      </x:c>
      <x:c r="K310" s="158"/>
      <x:c r="L310" s="153" t="n">
        <x:v>8115</x:v>
      </x:c>
      <x:c r="M310" s="153" t="n">
        <x:v>8255</x:v>
      </x:c>
      <x:c r="N310" s="153" t="n">
        <x:v>8115</x:v>
      </x:c>
      <x:c r="O310" s="153" t="n">
        <x:v>8221</x:v>
      </x:c>
      <x:c r="P310" s="154" t="n">
        <x:f>IFERROR(O310/O309-1,"")</x:f>
        <x:v>0.0071052309200048125</x:v>
      </x:c>
      <x:c r="Q310" s="154" t="n">
        <x:f>IFERROR((M310-N310)/O309,"")</x:f>
        <x:v>0.017150557393115277</x:v>
      </x:c>
      <x:c r="R310" s="153" t="n">
        <x:v>8224</x:v>
      </x:c>
      <x:c r="S310" s="158" t="n">
        <x:v>410108</x:v>
      </x:c>
      <x:c r="T310" s="158" t="n">
        <x:v>3373107680</x:v>
      </x:c>
      <x:c r="U310" s="158" t="n">
        <x:v>3542778</x:v>
      </x:c>
      <x:c r="V310" s="153" t="n">
        <x:f>IFERROR(E310*1000/O310,"")</x:f>
        <x:v>96.36297287434618</x:v>
      </x:c>
      <x:c r="W310" s="153" t="n">
        <x:v>4.36</x:v>
      </x:c>
      <x:c r="X310" s="155" t="n">
        <x:v>45782</x:v>
      </x:c>
      <x:c r="Y310" s="153" t="n">
        <x:v>2.08</x:v>
      </x:c>
      <x:c r="Z310" s="155" t="n">
        <x:v>45782</x:v>
      </x:c>
      <x:c r="AA310" s="153" t="n">
        <x:f>IFERROR(Y310-Y309,"")</x:f>
        <x:v>0.1200000000000001</x:v>
      </x:c>
      <x:c r="AB310" s="153" t="n">
        <x:v>2.28</x:v>
      </x:c>
      <x:c r="AC310" s="153" t="n">
        <x:v>122.2613</x:v>
      </x:c>
      <x:c r="AD310" s="155" t="n">
        <x:v>45782</x:v>
      </x:c>
      <x:c r="AE310" s="154" t="n">
        <x:f>IFERROR(AC310/AC309-1,"")</x:f>
        <x:v>-0.002717089850759802</x:v>
      </x:c>
      <x:c r="AF310" s="153" t="n">
        <x:v>23.64</x:v>
      </x:c>
      <x:c r="AG310" s="155" t="n">
        <x:v>45782</x:v>
      </x:c>
      <x:c r="AH310" s="153" t="n">
        <x:f>IFERROR(AF310-AF309,"")</x:f>
        <x:v>-0.5300000000000011</x:v>
      </x:c>
      <x:c r="AI310" s="153" t="n">
        <x:v>4.33</x:v>
      </x:c>
      <x:c r="AJ310" s="155" t="n">
        <x:v>45779</x:v>
      </x:c>
      <x:c r="AK310" s="159" t="n">
        <x:v>105895</x:v>
      </x:c>
      <x:c r="AL310" s="154" t="n">
        <x:v>0.23434941177512017</x:v>
      </x:c>
      <x:c r="AM310" s="159" t="n">
        <x:v>-45074</x:v>
      </x:c>
      <x:c r="AN310" s="155" t="n">
        <x:v>45779</x:v>
      </x:c>
      <x:c r="AO310" s="159" t="n">
        <x:v>30738</x:v>
      </x:c>
      <x:c r="AP310" s="154" t="n">
        <x:v>0.20133753414249128</x:v>
      </x:c>
      <x:c r="AQ310" s="159" t="n">
        <x:v>-30999</x:v>
      </x:c>
      <x:c r="AR310" s="147" t="str">
        <x:v>美国市场指标与CFTC数据均使用严格早于上金所交易日的最后已发布值</x:v>
      </x:c>
    </x:row>
    <x:row r="311">
      <x:c r="A311" s="155" t="n">
        <x:v>45784</x:v>
      </x:c>
      <x:c r="B311" s="153" t="n">
        <x:v>792.9</x:v>
      </x:c>
      <x:c r="C311" s="153" t="n">
        <x:v>801</x:v>
      </x:c>
      <x:c r="D311" s="153" t="n">
        <x:v>791.8</x:v>
      </x:c>
      <x:c r="E311" s="153" t="n">
        <x:v>798.51</x:v>
      </x:c>
      <x:c r="F311" s="154" t="n">
        <x:f>IFERROR(E311/E310-1,"")</x:f>
        <x:v>0.007965160313052166</x:v>
      </x:c>
      <x:c r="G311" s="154" t="n">
        <x:f>IFERROR((C311-D311)/E310,"")</x:f>
        <x:v>0.011613228982580213</x:v>
      </x:c>
      <x:c r="H311" s="153" t="n">
        <x:v>797.44</x:v>
      </x:c>
      <x:c r="I311" s="158" t="n">
        <x:v>12151.2</x:v>
      </x:c>
      <x:c r="J311" s="158" t="n">
        <x:v>9689878552</x:v>
      </x:c>
      <x:c r="K311" s="158"/>
      <x:c r="L311" s="153" t="n">
        <x:v>8221</x:v>
      </x:c>
      <x:c r="M311" s="153" t="n">
        <x:v>8259</x:v>
      </x:c>
      <x:c r="N311" s="153" t="n">
        <x:v>8166</x:v>
      </x:c>
      <x:c r="O311" s="153" t="n">
        <x:v>8229</x:v>
      </x:c>
      <x:c r="P311" s="154" t="n">
        <x:f>IFERROR(O311/O310-1,"")</x:f>
        <x:v>0.0009731176255929341</x:v>
      </x:c>
      <x:c r="Q311" s="154" t="n">
        <x:f>IFERROR((M311-N311)/O310,"")</x:f>
        <x:v>0.01131249239751855</x:v>
      </x:c>
      <x:c r="R311" s="153" t="n">
        <x:v>8222</x:v>
      </x:c>
      <x:c r="S311" s="158" t="n">
        <x:v>442110</x:v>
      </x:c>
      <x:c r="T311" s="158" t="n">
        <x:v>3635078870</x:v>
      </x:c>
      <x:c r="U311" s="158" t="n">
        <x:v>3494546</x:v>
      </x:c>
      <x:c r="V311" s="153" t="n">
        <x:f>IFERROR(E311*1000/O311,"")</x:f>
        <x:v>97.03609187021509</x:v>
      </x:c>
      <x:c r="W311" s="153" t="n">
        <x:v>4.3</x:v>
      </x:c>
      <x:c r="X311" s="155" t="n">
        <x:v>45783</x:v>
      </x:c>
      <x:c r="Y311" s="153" t="n">
        <x:v>2.04</x:v>
      </x:c>
      <x:c r="Z311" s="155" t="n">
        <x:v>45783</x:v>
      </x:c>
      <x:c r="AA311" s="153" t="n">
        <x:f>IFERROR(Y311-Y310,"")</x:f>
        <x:v>-0.040000000000000036</x:v>
      </x:c>
      <x:c r="AB311" s="153" t="n">
        <x:v>2.26</x:v>
      </x:c>
      <x:c r="AC311" s="153" t="n">
        <x:v>122.0417</x:v>
      </x:c>
      <x:c r="AD311" s="155" t="n">
        <x:v>45783</x:v>
      </x:c>
      <x:c r="AE311" s="154" t="n">
        <x:f>IFERROR(AC311/AC310-1,"")</x:f>
        <x:v>-0.0017961529936292298</x:v>
      </x:c>
      <x:c r="AF311" s="153" t="n">
        <x:v>24.76</x:v>
      </x:c>
      <x:c r="AG311" s="155" t="n">
        <x:v>45783</x:v>
      </x:c>
      <x:c r="AH311" s="153" t="n">
        <x:f>IFERROR(AF311-AF310,"")</x:f>
        <x:v>1.120000000000001</x:v>
      </x:c>
      <x:c r="AI311" s="153" t="n">
        <x:v>4.33</x:v>
      </x:c>
      <x:c r="AJ311" s="155" t="n">
        <x:v>45779</x:v>
      </x:c>
      <x:c r="AK311" s="159" t="n">
        <x:v>105895</x:v>
      </x:c>
      <x:c r="AL311" s="154" t="n">
        <x:v>0.23434941177512017</x:v>
      </x:c>
      <x:c r="AM311" s="159" t="n">
        <x:v>-45074</x:v>
      </x:c>
      <x:c r="AN311" s="155" t="n">
        <x:v>45779</x:v>
      </x:c>
      <x:c r="AO311" s="159" t="n">
        <x:v>30738</x:v>
      </x:c>
      <x:c r="AP311" s="154" t="n">
        <x:v>0.20133753414249128</x:v>
      </x:c>
      <x:c r="AQ311" s="159" t="n">
        <x:v>-30999</x:v>
      </x:c>
      <x:c r="AR311" s="147" t="str">
        <x:v>美国市场指标与CFTC数据均使用严格早于上金所交易日的最后已发布值</x:v>
      </x:c>
    </x:row>
    <x:row r="312">
      <x:c r="A312" s="155" t="n">
        <x:v>45785</x:v>
      </x:c>
      <x:c r="B312" s="153" t="n">
        <x:v>789</x:v>
      </x:c>
      <x:c r="C312" s="153" t="n">
        <x:v>807.9</x:v>
      </x:c>
      <x:c r="D312" s="153" t="n">
        <x:v>785</x:v>
      </x:c>
      <x:c r="E312" s="153" t="n">
        <x:v>786.5</x:v>
      </x:c>
      <x:c r="F312" s="154" t="n">
        <x:f>IFERROR(E312/E311-1,"")</x:f>
        <x:v>-0.015040512955379337</x:v>
      </x:c>
      <x:c r="G312" s="154" t="n">
        <x:f>IFERROR((C312-D312)/E311,"")</x:f>
        <x:v>0.02867841354522796</x:v>
      </x:c>
      <x:c r="H312" s="153" t="n">
        <x:v>794.3</x:v>
      </x:c>
      <x:c r="I312" s="158" t="n">
        <x:v>15787.08</x:v>
      </x:c>
      <x:c r="J312" s="158" t="n">
        <x:v>12539687708.2</x:v>
      </x:c>
      <x:c r="K312" s="158"/>
      <x:c r="L312" s="153" t="n">
        <x:v>8215</x:v>
      </x:c>
      <x:c r="M312" s="153" t="n">
        <x:v>8225</x:v>
      </x:c>
      <x:c r="N312" s="153" t="n">
        <x:v>8069</x:v>
      </x:c>
      <x:c r="O312" s="153" t="n">
        <x:v>8100</x:v>
      </x:c>
      <x:c r="P312" s="154" t="n">
        <x:f>IFERROR(O312/O311-1,"")</x:f>
        <x:v>-0.015676266861101018</x:v>
      </x:c>
      <x:c r="Q312" s="154" t="n">
        <x:f>IFERROR((M312-N312)/O311,"")</x:f>
        <x:v>0.018957345971563982</x:v>
      </x:c>
      <x:c r="R312" s="153" t="n">
        <x:v>8155</x:v>
      </x:c>
      <x:c r="S312" s="158" t="n">
        <x:v>663978</x:v>
      </x:c>
      <x:c r="T312" s="158" t="n">
        <x:v>5414810980</x:v>
      </x:c>
      <x:c r="U312" s="158" t="n">
        <x:v>3362624</x:v>
      </x:c>
      <x:c r="V312" s="153" t="n">
        <x:f>IFERROR(E312*1000/O312,"")</x:f>
        <x:v>97.09876543209876</x:v>
      </x:c>
      <x:c r="W312" s="153" t="n">
        <x:v>4.26</x:v>
      </x:c>
      <x:c r="X312" s="155" t="n">
        <x:v>45784</x:v>
      </x:c>
      <x:c r="Y312" s="153" t="n">
        <x:v>2.01</x:v>
      </x:c>
      <x:c r="Z312" s="155" t="n">
        <x:v>45784</x:v>
      </x:c>
      <x:c r="AA312" s="153" t="n">
        <x:f>IFERROR(Y312-Y311,"")</x:f>
        <x:v>-0.03000000000000025</x:v>
      </x:c>
      <x:c r="AB312" s="153" t="n">
        <x:v>2.25</x:v>
      </x:c>
      <x:c r="AC312" s="153" t="n">
        <x:v>122.117</x:v>
      </x:c>
      <x:c r="AD312" s="155" t="n">
        <x:v>45784</x:v>
      </x:c>
      <x:c r="AE312" s="154" t="n">
        <x:f>IFERROR(AC312/AC311-1,"")</x:f>
        <x:v>0.0006170022213718429</x:v>
      </x:c>
      <x:c r="AF312" s="153" t="n">
        <x:v>23.55</x:v>
      </x:c>
      <x:c r="AG312" s="155" t="n">
        <x:v>45784</x:v>
      </x:c>
      <x:c r="AH312" s="153" t="n">
        <x:f>IFERROR(AF312-AF311,"")</x:f>
        <x:v>-1.2100000000000009</x:v>
      </x:c>
      <x:c r="AI312" s="153" t="n">
        <x:v>4.33</x:v>
      </x:c>
      <x:c r="AJ312" s="155" t="n">
        <x:v>45779</x:v>
      </x:c>
      <x:c r="AK312" s="159" t="n">
        <x:v>105895</x:v>
      </x:c>
      <x:c r="AL312" s="154" t="n">
        <x:v>0.23434941177512017</x:v>
      </x:c>
      <x:c r="AM312" s="159" t="n">
        <x:v>-45074</x:v>
      </x:c>
      <x:c r="AN312" s="155" t="n">
        <x:v>45779</x:v>
      </x:c>
      <x:c r="AO312" s="159" t="n">
        <x:v>30738</x:v>
      </x:c>
      <x:c r="AP312" s="154" t="n">
        <x:v>0.20133753414249128</x:v>
      </x:c>
      <x:c r="AQ312" s="159" t="n">
        <x:v>-30999</x:v>
      </x:c>
      <x:c r="AR312" s="147" t="str">
        <x:v>美国市场指标与CFTC数据均使用严格早于上金所交易日的最后已发布值</x:v>
      </x:c>
    </x:row>
    <x:row r="313">
      <x:c r="A313" s="155" t="n">
        <x:v>45786</x:v>
      </x:c>
      <x:c r="B313" s="153" t="n">
        <x:v>792</x:v>
      </x:c>
      <x:c r="C313" s="153" t="n">
        <x:v>799</x:v>
      </x:c>
      <x:c r="D313" s="153" t="n">
        <x:v>774.05</x:v>
      </x:c>
      <x:c r="E313" s="153" t="n">
        <x:v>785.5</x:v>
      </x:c>
      <x:c r="F313" s="154" t="n">
        <x:f>IFERROR(E313/E312-1,"")</x:f>
        <x:v>-0.0012714558169103496</x:v>
      </x:c>
      <x:c r="G313" s="154" t="n">
        <x:f>IFERROR((C313-D313)/E312,"")</x:f>
        <x:v>0.031722822631913596</x:v>
      </x:c>
      <x:c r="H313" s="153" t="n">
        <x:v>781.66</x:v>
      </x:c>
      <x:c r="I313" s="158" t="n">
        <x:v>12024.8</x:v>
      </x:c>
      <x:c r="J313" s="158" t="n">
        <x:v>9399392753.4</x:v>
      </x:c>
      <x:c r="K313" s="158"/>
      <x:c r="L313" s="153" t="n">
        <x:v>8109</x:v>
      </x:c>
      <x:c r="M313" s="153" t="n">
        <x:v>8170</x:v>
      </x:c>
      <x:c r="N313" s="153" t="n">
        <x:v>8098</x:v>
      </x:c>
      <x:c r="O313" s="153" t="n">
        <x:v>8150</x:v>
      </x:c>
      <x:c r="P313" s="154" t="n">
        <x:f>IFERROR(O313/O312-1,"")</x:f>
        <x:v>0.006172839506172867</x:v>
      </x:c>
      <x:c r="Q313" s="154" t="n">
        <x:f>IFERROR((M313-N313)/O312,"")</x:f>
        <x:v>0.008888888888888889</x:v>
      </x:c>
      <x:c r="R313" s="153" t="n">
        <x:v>8137</x:v>
      </x:c>
      <x:c r="S313" s="158" t="n">
        <x:v>464634</x:v>
      </x:c>
      <x:c r="T313" s="158" t="n">
        <x:v>3781115518</x:v>
      </x:c>
      <x:c r="U313" s="158" t="n">
        <x:v>3342648</x:v>
      </x:c>
      <x:c r="V313" s="153" t="n">
        <x:f>IFERROR(E313*1000/O313,"")</x:f>
        <x:v>96.38036809815951</x:v>
      </x:c>
      <x:c r="W313" s="153" t="n">
        <x:v>4.37</x:v>
      </x:c>
      <x:c r="X313" s="155" t="n">
        <x:v>45785</x:v>
      </x:c>
      <x:c r="Y313" s="153" t="n">
        <x:v>2.08</x:v>
      </x:c>
      <x:c r="Z313" s="155" t="n">
        <x:v>45785</x:v>
      </x:c>
      <x:c r="AA313" s="153" t="n">
        <x:f>IFERROR(Y313-Y312,"")</x:f>
        <x:v>0.07000000000000028</x:v>
      </x:c>
      <x:c r="AB313" s="153" t="n">
        <x:v>2.29</x:v>
      </x:c>
      <x:c r="AC313" s="153" t="n">
        <x:v>122.7568</x:v>
      </x:c>
      <x:c r="AD313" s="155" t="n">
        <x:v>45785</x:v>
      </x:c>
      <x:c r="AE313" s="154" t="n">
        <x:f>IFERROR(AC313/AC312-1,"")</x:f>
        <x:v>0.005239237780161554</x:v>
      </x:c>
      <x:c r="AF313" s="153" t="n">
        <x:v>22.48</x:v>
      </x:c>
      <x:c r="AG313" s="155" t="n">
        <x:v>45785</x:v>
      </x:c>
      <x:c r="AH313" s="153" t="n">
        <x:f>IFERROR(AF313-AF312,"")</x:f>
        <x:v>-1.0700000000000003</x:v>
      </x:c>
      <x:c r="AI313" s="153" t="n">
        <x:v>4.33</x:v>
      </x:c>
      <x:c r="AJ313" s="155" t="n">
        <x:v>45779</x:v>
      </x:c>
      <x:c r="AK313" s="159" t="n">
        <x:v>105895</x:v>
      </x:c>
      <x:c r="AL313" s="154" t="n">
        <x:v>0.23434941177512017</x:v>
      </x:c>
      <x:c r="AM313" s="159" t="n">
        <x:v>-45074</x:v>
      </x:c>
      <x:c r="AN313" s="155" t="n">
        <x:v>45779</x:v>
      </x:c>
      <x:c r="AO313" s="159" t="n">
        <x:v>30738</x:v>
      </x:c>
      <x:c r="AP313" s="154" t="n">
        <x:v>0.20133753414249128</x:v>
      </x:c>
      <x:c r="AQ313" s="159" t="n">
        <x:v>-30999</x:v>
      </x:c>
      <x:c r="AR313" s="147" t="str">
        <x:v>美国市场指标与CFTC数据均使用严格早于上金所交易日的最后已发布值</x:v>
      </x:c>
    </x:row>
    <x:row r="314">
      <x:c r="A314" s="155" t="n">
        <x:v>45789</x:v>
      </x:c>
      <x:c r="B314" s="153" t="n">
        <x:v>787</x:v>
      </x:c>
      <x:c r="C314" s="153" t="n">
        <x:v>788</x:v>
      </x:c>
      <x:c r="D314" s="153" t="n">
        <x:v>755</x:v>
      </x:c>
      <x:c r="E314" s="153" t="n">
        <x:v>759</x:v>
      </x:c>
      <x:c r="F314" s="154" t="n">
        <x:f>IFERROR(E314/E313-1,"")</x:f>
        <x:v>-0.033736473583704685</x:v>
      </x:c>
      <x:c r="G314" s="154" t="n">
        <x:f>IFERROR((C314-D314)/E313,"")</x:f>
        <x:v>0.042011457670273714</x:v>
      </x:c>
      <x:c r="H314" s="153" t="n">
        <x:v>768.3</x:v>
      </x:c>
      <x:c r="I314" s="158" t="n">
        <x:v>11552.36</x:v>
      </x:c>
      <x:c r="J314" s="158" t="n">
        <x:v>8875768682.8</x:v>
      </x:c>
      <x:c r="K314" s="158"/>
      <x:c r="L314" s="153" t="n">
        <x:v>8155</x:v>
      </x:c>
      <x:c r="M314" s="153" t="n">
        <x:v>8218</x:v>
      </x:c>
      <x:c r="N314" s="153" t="n">
        <x:v>8112</x:v>
      </x:c>
      <x:c r="O314" s="153" t="n">
        <x:v>8124</x:v>
      </x:c>
      <x:c r="P314" s="154" t="n">
        <x:f>IFERROR(O314/O313-1,"")</x:f>
        <x:v>-0.0031901840490797806</x:v>
      </x:c>
      <x:c r="Q314" s="154" t="n">
        <x:f>IFERROR((M314-N314)/O313,"")</x:f>
        <x:v>0.013006134969325154</x:v>
      </x:c>
      <x:c r="R314" s="153" t="n">
        <x:v>8169</x:v>
      </x:c>
      <x:c r="S314" s="158" t="n">
        <x:v>477976</x:v>
      </x:c>
      <x:c r="T314" s="158" t="n">
        <x:v>3904750620</x:v>
      </x:c>
      <x:c r="U314" s="158" t="n">
        <x:v>3383242</x:v>
      </x:c>
      <x:c r="V314" s="153" t="n">
        <x:f>IFERROR(E314*1000/O314,"")</x:f>
        <x:v>93.42688330871492</x:v>
      </x:c>
      <x:c r="W314" s="153" t="n">
        <x:v>4.37</x:v>
      </x:c>
      <x:c r="X314" s="155" t="n">
        <x:v>45786</x:v>
      </x:c>
      <x:c r="Y314" s="153" t="n">
        <x:v>2.08</x:v>
      </x:c>
      <x:c r="Z314" s="155" t="n">
        <x:v>45786</x:v>
      </x:c>
      <x:c r="AA314" s="153" t="n">
        <x:f>IFERROR(Y314-Y313,"")</x:f>
        <x:v>0</x:v>
      </x:c>
      <x:c r="AB314" s="153" t="n">
        <x:v>2.29</x:v>
      </x:c>
      <x:c r="AC314" s="153" t="n">
        <x:v>122.5191</x:v>
      </x:c>
      <x:c r="AD314" s="155" t="n">
        <x:v>45786</x:v>
      </x:c>
      <x:c r="AE314" s="154" t="n">
        <x:f>IFERROR(AC314/AC313-1,"")</x:f>
        <x:v>-0.001936348943602395</x:v>
      </x:c>
      <x:c r="AF314" s="153" t="n">
        <x:v>21.9</x:v>
      </x:c>
      <x:c r="AG314" s="155" t="n">
        <x:v>45786</x:v>
      </x:c>
      <x:c r="AH314" s="153" t="n">
        <x:f>IFERROR(AF314-AF313,"")</x:f>
        <x:v>-0.5800000000000018</x:v>
      </x:c>
      <x:c r="AI314" s="153" t="n">
        <x:v>4.33</x:v>
      </x:c>
      <x:c r="AJ314" s="155" t="n">
        <x:v>45786</x:v>
      </x:c>
      <x:c r="AK314" s="159" t="n">
        <x:v>102091</x:v>
      </x:c>
      <x:c r="AL314" s="154" t="n">
        <x:v>0.22565835716843421</x:v>
      </x:c>
      <x:c r="AM314" s="159" t="n">
        <x:v>-45285</x:v>
      </x:c>
      <x:c r="AN314" s="155" t="n">
        <x:v>45786</x:v>
      </x:c>
      <x:c r="AO314" s="159" t="n">
        <x:v>29882</x:v>
      </x:c>
      <x:c r="AP314" s="154" t="n">
        <x:v>0.2130456791267708</x:v>
      </x:c>
      <x:c r="AQ314" s="159" t="n">
        <x:v>-30699</x:v>
      </x:c>
      <x:c r="AR314" s="147" t="str">
        <x:v>美国市场指标与CFTC数据均使用严格早于上金所交易日的最后已发布值</x:v>
      </x:c>
    </x:row>
    <x:row r="315">
      <x:c r="A315" s="155" t="n">
        <x:v>45790</x:v>
      </x:c>
      <x:c r="B315" s="153" t="n">
        <x:v>743</x:v>
      </x:c>
      <x:c r="C315" s="153" t="n">
        <x:v>765.8</x:v>
      </x:c>
      <x:c r="D315" s="153" t="n">
        <x:v>742</x:v>
      </x:c>
      <x:c r="E315" s="153" t="n">
        <x:v>763.9</x:v>
      </x:c>
      <x:c r="F315" s="154" t="n">
        <x:f>IFERROR(E315/E314-1,"")</x:f>
        <x:v>0.006455862977602145</x:v>
      </x:c>
      <x:c r="G315" s="154" t="n">
        <x:f>IFERROR((C315-D315)/E314,"")</x:f>
        <x:v>0.03135704874835304</x:v>
      </x:c>
      <x:c r="H315" s="153" t="n">
        <x:v>759.71</x:v>
      </x:c>
      <x:c r="I315" s="158" t="n">
        <x:v>9024.62</x:v>
      </x:c>
      <x:c r="J315" s="158" t="n">
        <x:v>6856111553.8</x:v>
      </x:c>
      <x:c r="K315" s="158"/>
      <x:c r="L315" s="153" t="n">
        <x:v>8107</x:v>
      </x:c>
      <x:c r="M315" s="153" t="n">
        <x:v>8222</x:v>
      </x:c>
      <x:c r="N315" s="153" t="n">
        <x:v>8064</x:v>
      </x:c>
      <x:c r="O315" s="153" t="n">
        <x:v>8214</x:v>
      </x:c>
      <x:c r="P315" s="154" t="n">
        <x:f>IFERROR(O315/O314-1,"")</x:f>
        <x:v>0.01107828655834564</x:v>
      </x:c>
      <x:c r="Q315" s="154" t="n">
        <x:f>IFERROR((M315-N315)/O314,"")</x:f>
        <x:v>0.019448547513540127</x:v>
      </x:c>
      <x:c r="R315" s="153" t="n">
        <x:v>8151</x:v>
      </x:c>
      <x:c r="S315" s="158" t="n">
        <x:v>522642</x:v>
      </x:c>
      <x:c r="T315" s="158" t="n">
        <x:v>4260151850</x:v>
      </x:c>
      <x:c r="U315" s="158" t="n">
        <x:v>3392760</x:v>
      </x:c>
      <x:c r="V315" s="153" t="n">
        <x:f>IFERROR(E315*1000/O315,"")</x:f>
        <x:v>92.99975651327003</x:v>
      </x:c>
      <x:c r="W315" s="153" t="n">
        <x:v>4.45</x:v>
      </x:c>
      <x:c r="X315" s="155" t="n">
        <x:v>45789</x:v>
      </x:c>
      <x:c r="Y315" s="153" t="n">
        <x:v>2.16</x:v>
      </x:c>
      <x:c r="Z315" s="155" t="n">
        <x:v>45789</x:v>
      </x:c>
      <x:c r="AA315" s="153" t="n">
        <x:f>IFERROR(Y315-Y314,"")</x:f>
        <x:v>0.08000000000000007</x:v>
      </x:c>
      <x:c r="AB315" s="153" t="n">
        <x:v>2.29</x:v>
      </x:c>
      <x:c r="AC315" s="153" t="n">
        <x:v>123.4863</x:v>
      </x:c>
      <x:c r="AD315" s="155" t="n">
        <x:v>45789</x:v>
      </x:c>
      <x:c r="AE315" s="154" t="n">
        <x:f>IFERROR(AC315/AC314-1,"")</x:f>
        <x:v>0.007894279340935562</x:v>
      </x:c>
      <x:c r="AF315" s="153" t="n">
        <x:v>18.39</x:v>
      </x:c>
      <x:c r="AG315" s="155" t="n">
        <x:v>45789</x:v>
      </x:c>
      <x:c r="AH315" s="153" t="n">
        <x:f>IFERROR(AF315-AF314,"")</x:f>
        <x:v>-3.509999999999998</x:v>
      </x:c>
      <x:c r="AI315" s="153" t="n">
        <x:v>4.33</x:v>
      </x:c>
      <x:c r="AJ315" s="155" t="n">
        <x:v>45786</x:v>
      </x:c>
      <x:c r="AK315" s="159" t="n">
        <x:v>102091</x:v>
      </x:c>
      <x:c r="AL315" s="154" t="n">
        <x:v>0.22565835716843421</x:v>
      </x:c>
      <x:c r="AM315" s="159" t="n">
        <x:v>-45285</x:v>
      </x:c>
      <x:c r="AN315" s="155" t="n">
        <x:v>45786</x:v>
      </x:c>
      <x:c r="AO315" s="159" t="n">
        <x:v>29882</x:v>
      </x:c>
      <x:c r="AP315" s="154" t="n">
        <x:v>0.2130456791267708</x:v>
      </x:c>
      <x:c r="AQ315" s="159" t="n">
        <x:v>-30699</x:v>
      </x:c>
      <x:c r="AR315" s="147" t="str">
        <x:v>美国市场指标与CFTC数据均使用严格早于上金所交易日的最后已发布值</x:v>
      </x:c>
    </x:row>
    <x:row r="316">
      <x:c r="A316" s="155" t="n">
        <x:v>45791</x:v>
      </x:c>
      <x:c r="B316" s="153" t="n">
        <x:v>760</x:v>
      </x:c>
      <x:c r="C316" s="153" t="n">
        <x:v>764</x:v>
      </x:c>
      <x:c r="D316" s="153" t="n">
        <x:v>757.05</x:v>
      </x:c>
      <x:c r="E316" s="153" t="n">
        <x:v>758.38</x:v>
      </x:c>
      <x:c r="F316" s="154" t="n">
        <x:f>IFERROR(E316/E315-1,"")</x:f>
        <x:v>-0.007226076711611462</x:v>
      </x:c>
      <x:c r="G316" s="154" t="n">
        <x:f>IFERROR((C316-D316)/E315,"")</x:f>
        <x:v>0.009098049482916672</x:v>
      </x:c>
      <x:c r="H316" s="153" t="n">
        <x:v>759.49</x:v>
      </x:c>
      <x:c r="I316" s="158" t="n">
        <x:v>8915.2</x:v>
      </x:c>
      <x:c r="J316" s="158" t="n">
        <x:v>6771072653.8</x:v>
      </x:c>
      <x:c r="K316" s="158"/>
      <x:c r="L316" s="153" t="n">
        <x:v>8166</x:v>
      </x:c>
      <x:c r="M316" s="153" t="n">
        <x:v>8205</x:v>
      </x:c>
      <x:c r="N316" s="153" t="n">
        <x:v>8121</x:v>
      </x:c>
      <x:c r="O316" s="153" t="n">
        <x:v>8172</x:v>
      </x:c>
      <x:c r="P316" s="154" t="n">
        <x:f>IFERROR(O316/O315-1,"")</x:f>
        <x:v>-0.0051132213294375894</x:v>
      </x:c>
      <x:c r="Q316" s="154" t="n">
        <x:f>IFERROR((M316-N316)/O315,"")</x:f>
        <x:v>0.010226442658875092</x:v>
      </x:c>
      <x:c r="R316" s="153" t="n">
        <x:v>8157</x:v>
      </x:c>
      <x:c r="S316" s="158" t="n">
        <x:v>398728</x:v>
      </x:c>
      <x:c r="T316" s="158" t="n">
        <x:v>3252648310</x:v>
      </x:c>
      <x:c r="U316" s="158" t="n">
        <x:v>3391270</x:v>
      </x:c>
      <x:c r="V316" s="153" t="n">
        <x:f>IFERROR(E316*1000/O316,"")</x:f>
        <x:v>92.80225159079785</x:v>
      </x:c>
      <x:c r="W316" s="153" t="n">
        <x:v>4.49</x:v>
      </x:c>
      <x:c r="X316" s="155" t="n">
        <x:v>45790</x:v>
      </x:c>
      <x:c r="Y316" s="153" t="n">
        <x:v>2.17</x:v>
      </x:c>
      <x:c r="Z316" s="155" t="n">
        <x:v>45790</x:v>
      </x:c>
      <x:c r="AA316" s="153" t="n">
        <x:f>IFERROR(Y316-Y315,"")</x:f>
        <x:v>0.009999999999999787</x:v>
      </x:c>
      <x:c r="AB316" s="153" t="n">
        <x:v>2.32</x:v>
      </x:c>
      <x:c r="AC316" s="153" t="n">
        <x:v>122.9583</x:v>
      </x:c>
      <x:c r="AD316" s="155" t="n">
        <x:v>45790</x:v>
      </x:c>
      <x:c r="AE316" s="154" t="n">
        <x:f>IFERROR(AC316/AC315-1,"")</x:f>
        <x:v>-0.004275777960794036</x:v>
      </x:c>
      <x:c r="AF316" s="153" t="n">
        <x:v>18.22</x:v>
      </x:c>
      <x:c r="AG316" s="155" t="n">
        <x:v>45790</x:v>
      </x:c>
      <x:c r="AH316" s="153" t="n">
        <x:f>IFERROR(AF316-AF315,"")</x:f>
        <x:v>-0.1700000000000017</x:v>
      </x:c>
      <x:c r="AI316" s="153" t="n">
        <x:v>4.33</x:v>
      </x:c>
      <x:c r="AJ316" s="155" t="n">
        <x:v>45786</x:v>
      </x:c>
      <x:c r="AK316" s="159" t="n">
        <x:v>102091</x:v>
      </x:c>
      <x:c r="AL316" s="154" t="n">
        <x:v>0.22565835716843421</x:v>
      </x:c>
      <x:c r="AM316" s="159" t="n">
        <x:v>-45285</x:v>
      </x:c>
      <x:c r="AN316" s="155" t="n">
        <x:v>45786</x:v>
      </x:c>
      <x:c r="AO316" s="159" t="n">
        <x:v>29882</x:v>
      </x:c>
      <x:c r="AP316" s="154" t="n">
        <x:v>0.2130456791267708</x:v>
      </x:c>
      <x:c r="AQ316" s="159" t="n">
        <x:v>-30699</x:v>
      </x:c>
      <x:c r="AR316" s="147" t="str">
        <x:v>美国市场指标与CFTC数据均使用严格早于上金所交易日的最后已发布值</x:v>
      </x:c>
    </x:row>
    <x:row r="317">
      <x:c r="A317" s="155" t="n">
        <x:v>45792</x:v>
      </x:c>
      <x:c r="B317" s="153" t="n">
        <x:v>753.8</x:v>
      </x:c>
      <x:c r="C317" s="153" t="n">
        <x:v>755</x:v>
      </x:c>
      <x:c r="D317" s="153" t="n">
        <x:v>729</x:v>
      </x:c>
      <x:c r="E317" s="153" t="n">
        <x:v>735.86</x:v>
      </x:c>
      <x:c r="F317" s="154" t="n">
        <x:f>IFERROR(E317/E316-1,"")</x:f>
        <x:v>-0.02969487591972364</x:v>
      </x:c>
      <x:c r="G317" s="154" t="n">
        <x:f>IFERROR((C317-D317)/E316,"")</x:f>
        <x:v>0.034283604525435794</x:v>
      </x:c>
      <x:c r="H317" s="153" t="n">
        <x:v>736.17</x:v>
      </x:c>
      <x:c r="I317" s="158" t="n">
        <x:v>10512.94</x:v>
      </x:c>
      <x:c r="J317" s="158" t="n">
        <x:v>7739314769</x:v>
      </x:c>
      <x:c r="K317" s="158"/>
      <x:c r="L317" s="153" t="n">
        <x:v>8184</x:v>
      </x:c>
      <x:c r="M317" s="153" t="n">
        <x:v>8190</x:v>
      </x:c>
      <x:c r="N317" s="153" t="n">
        <x:v>7923</x:v>
      </x:c>
      <x:c r="O317" s="153" t="n">
        <x:v>7967</x:v>
      </x:c>
      <x:c r="P317" s="154" t="n">
        <x:f>IFERROR(O317/O316-1,"")</x:f>
        <x:v>-0.025085658345570194</x:v>
      </x:c>
      <x:c r="Q317" s="154" t="n">
        <x:f>IFERROR((M317-N317)/O316,"")</x:f>
        <x:v>0.03267254038179148</x:v>
      </x:c>
      <x:c r="R317" s="153" t="n">
        <x:v>8020</x:v>
      </x:c>
      <x:c r="S317" s="158" t="n">
        <x:v>974352</x:v>
      </x:c>
      <x:c r="T317" s="158" t="n">
        <x:v>7815186122</x:v>
      </x:c>
      <x:c r="U317" s="158" t="n">
        <x:v>3485954</x:v>
      </x:c>
      <x:c r="V317" s="153" t="n">
        <x:f>IFERROR(E317*1000/O317,"")</x:f>
        <x:v>92.36349943517007</x:v>
      </x:c>
      <x:c r="W317" s="153" t="n">
        <x:v>4.53</x:v>
      </x:c>
      <x:c r="X317" s="155" t="n">
        <x:v>45791</x:v>
      </x:c>
      <x:c r="Y317" s="153" t="n">
        <x:v>2.16</x:v>
      </x:c>
      <x:c r="Z317" s="155" t="n">
        <x:v>45791</x:v>
      </x:c>
      <x:c r="AA317" s="153" t="n">
        <x:f>IFERROR(Y317-Y316,"")</x:f>
        <x:v>-0.009999999999999787</x:v>
      </x:c>
      <x:c r="AB317" s="153" t="n">
        <x:v>2.37</x:v>
      </x:c>
      <x:c r="AC317" s="153" t="n">
        <x:v>122.6746</x:v>
      </x:c>
      <x:c r="AD317" s="155" t="n">
        <x:v>45791</x:v>
      </x:c>
      <x:c r="AE317" s="154" t="n">
        <x:f>IFERROR(AC317/AC316-1,"")</x:f>
        <x:v>-0.002307286291368671</x:v>
      </x:c>
      <x:c r="AF317" s="153" t="n">
        <x:v>18.62</x:v>
      </x:c>
      <x:c r="AG317" s="155" t="n">
        <x:v>45791</x:v>
      </x:c>
      <x:c r="AH317" s="153" t="n">
        <x:f>IFERROR(AF317-AF316,"")</x:f>
        <x:v>0.40000000000000213</x:v>
      </x:c>
      <x:c r="AI317" s="153" t="n">
        <x:v>4.33</x:v>
      </x:c>
      <x:c r="AJ317" s="155" t="n">
        <x:v>45786</x:v>
      </x:c>
      <x:c r="AK317" s="159" t="n">
        <x:v>102091</x:v>
      </x:c>
      <x:c r="AL317" s="154" t="n">
        <x:v>0.22565835716843421</x:v>
      </x:c>
      <x:c r="AM317" s="159" t="n">
        <x:v>-45285</x:v>
      </x:c>
      <x:c r="AN317" s="155" t="n">
        <x:v>45786</x:v>
      </x:c>
      <x:c r="AO317" s="159" t="n">
        <x:v>29882</x:v>
      </x:c>
      <x:c r="AP317" s="154" t="n">
        <x:v>0.2130456791267708</x:v>
      </x:c>
      <x:c r="AQ317" s="159" t="n">
        <x:v>-30699</x:v>
      </x:c>
      <x:c r="AR317" s="147" t="str">
        <x:v>美国市场指标与CFTC数据均使用严格早于上金所交易日的最后已发布值</x:v>
      </x:c>
    </x:row>
    <x:row r="318">
      <x:c r="A318" s="155" t="n">
        <x:v>45793</x:v>
      </x:c>
      <x:c r="B318" s="153" t="n">
        <x:v>743.5</x:v>
      </x:c>
      <x:c r="C318" s="153" t="n">
        <x:v>755</x:v>
      </x:c>
      <x:c r="D318" s="153" t="n">
        <x:v>739</x:v>
      </x:c>
      <x:c r="E318" s="153" t="n">
        <x:v>746.4</x:v>
      </x:c>
      <x:c r="F318" s="154" t="n">
        <x:f>IFERROR(E318/E317-1,"")</x:f>
        <x:v>0.0143233767292692</x:v>
      </x:c>
      <x:c r="G318" s="154" t="n">
        <x:f>IFERROR((C318-D318)/E317,"")</x:f>
        <x:v>0.021743266382192265</x:v>
      </x:c>
      <x:c r="H318" s="153" t="n">
        <x:v>748.78</x:v>
      </x:c>
      <x:c r="I318" s="158" t="n">
        <x:v>12330.58</x:v>
      </x:c>
      <x:c r="J318" s="158" t="n">
        <x:v>9232900774.4</x:v>
      </x:c>
      <x:c r="K318" s="158"/>
      <x:c r="L318" s="153" t="n">
        <x:v>8020</x:v>
      </x:c>
      <x:c r="M318" s="153" t="n">
        <x:v>8126</x:v>
      </x:c>
      <x:c r="N318" s="153" t="n">
        <x:v>8008</x:v>
      </x:c>
      <x:c r="O318" s="153" t="n">
        <x:v>8062</x:v>
      </x:c>
      <x:c r="P318" s="154" t="n">
        <x:f>IFERROR(O318/O317-1,"")</x:f>
        <x:v>0.01192418727249911</x:v>
      </x:c>
      <x:c r="Q318" s="154" t="n">
        <x:f>IFERROR((M318-N318)/O317,"")</x:f>
        <x:v>0.014811095770051462</x:v>
      </x:c>
      <x:c r="R318" s="153" t="n">
        <x:v>8073</x:v>
      </x:c>
      <x:c r="S318" s="158" t="n">
        <x:v>330838</x:v>
      </x:c>
      <x:c r="T318" s="158" t="n">
        <x:v>2671063446</x:v>
      </x:c>
      <x:c r="U318" s="158" t="n">
        <x:v>3424700</x:v>
      </x:c>
      <x:c r="V318" s="153" t="n">
        <x:f>IFERROR(E318*1000/O318,"")</x:f>
        <x:v>92.5824857355495</x:v>
      </x:c>
      <x:c r="W318" s="153" t="n">
        <x:v>4.45</x:v>
      </x:c>
      <x:c r="X318" s="155" t="n">
        <x:v>45792</x:v>
      </x:c>
      <x:c r="Y318" s="153" t="n">
        <x:v>2.11</x:v>
      </x:c>
      <x:c r="Z318" s="155" t="n">
        <x:v>45792</x:v>
      </x:c>
      <x:c r="AA318" s="153" t="n">
        <x:f>IFERROR(Y318-Y317,"")</x:f>
        <x:v>-0.050000000000000266</x:v>
      </x:c>
      <x:c r="AB318" s="153" t="n">
        <x:v>2.34</x:v>
      </x:c>
      <x:c r="AC318" s="153" t="n">
        <x:v>122.8174</x:v>
      </x:c>
      <x:c r="AD318" s="155" t="n">
        <x:v>45792</x:v>
      </x:c>
      <x:c r="AE318" s="154" t="n">
        <x:f>IFERROR(AC318/AC317-1,"")</x:f>
        <x:v>0.001164055150780996</x:v>
      </x:c>
      <x:c r="AF318" s="153" t="n">
        <x:v>17.83</x:v>
      </x:c>
      <x:c r="AG318" s="155" t="n">
        <x:v>45792</x:v>
      </x:c>
      <x:c r="AH318" s="153" t="n">
        <x:f>IFERROR(AF318-AF317,"")</x:f>
        <x:v>-0.7900000000000027</x:v>
      </x:c>
      <x:c r="AI318" s="153" t="n">
        <x:v>4.33</x:v>
      </x:c>
      <x:c r="AJ318" s="155" t="n">
        <x:v>45786</x:v>
      </x:c>
      <x:c r="AK318" s="159" t="n">
        <x:v>102091</x:v>
      </x:c>
      <x:c r="AL318" s="154" t="n">
        <x:v>0.22565835716843421</x:v>
      </x:c>
      <x:c r="AM318" s="159" t="n">
        <x:v>-45285</x:v>
      </x:c>
      <x:c r="AN318" s="155" t="n">
        <x:v>45786</x:v>
      </x:c>
      <x:c r="AO318" s="159" t="n">
        <x:v>29882</x:v>
      </x:c>
      <x:c r="AP318" s="154" t="n">
        <x:v>0.2130456791267708</x:v>
      </x:c>
      <x:c r="AQ318" s="159" t="n">
        <x:v>-30699</x:v>
      </x:c>
      <x:c r="AR318" s="147" t="str">
        <x:v>美国市场指标与CFTC数据均使用严格早于上金所交易日的最后已发布值</x:v>
      </x:c>
    </x:row>
    <x:row r="319">
      <x:c r="A319" s="155" t="n">
        <x:v>45796</x:v>
      </x:c>
      <x:c r="B319" s="153" t="n">
        <x:v>735</x:v>
      </x:c>
      <x:c r="C319" s="153" t="n">
        <x:v>756.79</x:v>
      </x:c>
      <x:c r="D319" s="153" t="n">
        <x:v>735</x:v>
      </x:c>
      <x:c r="E319" s="153" t="n">
        <x:v>754.5</x:v>
      </x:c>
      <x:c r="F319" s="154" t="n">
        <x:f>IFERROR(E319/E318-1,"")</x:f>
        <x:v>0.010852090032154482</x:v>
      </x:c>
      <x:c r="G319" s="154" t="n">
        <x:f>IFERROR((C319-D319)/E318,"")</x:f>
        <x:v>0.02919346195069663</x:v>
      </x:c>
      <x:c r="H319" s="153" t="n">
        <x:v>752.55</x:v>
      </x:c>
      <x:c r="I319" s="158" t="n">
        <x:v>8373.96</x:v>
      </x:c>
      <x:c r="J319" s="158" t="n">
        <x:v>6301860575.2</x:v>
      </x:c>
      <x:c r="K319" s="158"/>
      <x:c r="L319" s="153" t="n">
        <x:v>8008</x:v>
      </x:c>
      <x:c r="M319" s="153" t="n">
        <x:v>8121</x:v>
      </x:c>
      <x:c r="N319" s="153" t="n">
        <x:v>7985</x:v>
      </x:c>
      <x:c r="O319" s="153" t="n">
        <x:v>8113</x:v>
      </x:c>
      <x:c r="P319" s="154" t="n">
        <x:f>IFERROR(O319/O318-1,"")</x:f>
        <x:v>0.006325973703795507</x:v>
      </x:c>
      <x:c r="Q319" s="154" t="n">
        <x:f>IFERROR((M319-N319)/O318,"")</x:f>
        <x:v>0.016869263210121558</x:v>
      </x:c>
      <x:c r="R319" s="153" t="n">
        <x:v>8077</x:v>
      </x:c>
      <x:c r="S319" s="158" t="n">
        <x:v>450380</x:v>
      </x:c>
      <x:c r="T319" s="158" t="n">
        <x:v>3637857188</x:v>
      </x:c>
      <x:c r="U319" s="158" t="n">
        <x:v>3453580</x:v>
      </x:c>
      <x:c r="V319" s="153" t="n">
        <x:f>IFERROR(E319*1000/O319,"")</x:f>
        <x:v>92.99889066929619</x:v>
      </x:c>
      <x:c r="W319" s="153" t="n">
        <x:v>4.43</x:v>
      </x:c>
      <x:c r="X319" s="155" t="n">
        <x:v>45793</x:v>
      </x:c>
      <x:c r="Y319" s="153" t="n">
        <x:v>2.09</x:v>
      </x:c>
      <x:c r="Z319" s="155" t="n">
        <x:v>45793</x:v>
      </x:c>
      <x:c r="AA319" s="153" t="n">
        <x:f>IFERROR(Y319-Y318,"")</x:f>
        <x:v>-0.020000000000000018</x:v>
      </x:c>
      <x:c r="AB319" s="153" t="n">
        <x:v>2.34</x:v>
      </x:c>
      <x:c r="AC319" s="153" t="n">
        <x:v>123.0737</x:v>
      </x:c>
      <x:c r="AD319" s="155" t="n">
        <x:v>45793</x:v>
      </x:c>
      <x:c r="AE319" s="154" t="n">
        <x:f>IFERROR(AC319/AC318-1,"")</x:f>
        <x:v>0.0020868378584792957</x:v>
      </x:c>
      <x:c r="AF319" s="153" t="n">
        <x:v>17.24</x:v>
      </x:c>
      <x:c r="AG319" s="155" t="n">
        <x:v>45793</x:v>
      </x:c>
      <x:c r="AH319" s="153" t="n">
        <x:f>IFERROR(AF319-AF318,"")</x:f>
        <x:v>-0.5899999999999999</x:v>
      </x:c>
      <x:c r="AI319" s="153" t="n">
        <x:v>4.33</x:v>
      </x:c>
      <x:c r="AJ319" s="155" t="n">
        <x:v>45793</x:v>
      </x:c>
      <x:c r="AK319" s="159" t="n">
        <x:v>101227</x:v>
      </x:c>
      <x:c r="AL319" s="154" t="n">
        <x:v>0.2296219507215737</x:v>
      </x:c>
      <x:c r="AM319" s="159" t="n">
        <x:v>-41533</x:v>
      </x:c>
      <x:c r="AN319" s="155" t="n">
        <x:v>45793</x:v>
      </x:c>
      <x:c r="AO319" s="159" t="n">
        <x:v>28333</x:v>
      </x:c>
      <x:c r="AP319" s="154" t="n">
        <x:v>0.20492253836918314</x:v>
      </x:c>
      <x:c r="AQ319" s="159" t="n">
        <x:v>-30447</x:v>
      </x:c>
      <x:c r="AR319" s="147" t="str">
        <x:v>美国市场指标与CFTC数据均使用严格早于上金所交易日的最后已发布值</x:v>
      </x:c>
    </x:row>
    <x:row r="320">
      <x:c r="A320" s="155" t="n">
        <x:v>45797</x:v>
      </x:c>
      <x:c r="B320" s="153" t="n">
        <x:v>747</x:v>
      </x:c>
      <x:c r="C320" s="153" t="n">
        <x:v>756</x:v>
      </x:c>
      <x:c r="D320" s="153" t="n">
        <x:v>747</x:v>
      </x:c>
      <x:c r="E320" s="153" t="n">
        <x:v>753.49</x:v>
      </x:c>
      <x:c r="F320" s="154" t="n">
        <x:f>IFERROR(E320/E319-1,"")</x:f>
        <x:v>-0.0013386348575215035</x:v>
      </x:c>
      <x:c r="G320" s="154" t="n">
        <x:f>IFERROR((C320-D320)/E319,"")</x:f>
        <x:v>0.011928429423459244</x:v>
      </x:c>
      <x:c r="H320" s="153" t="n">
        <x:v>752.19</x:v>
      </x:c>
      <x:c r="I320" s="158" t="n">
        <x:v>10329.54</x:v>
      </x:c>
      <x:c r="J320" s="158" t="n">
        <x:v>7769819605.8</x:v>
      </x:c>
      <x:c r="K320" s="158"/>
      <x:c r="L320" s="153" t="n">
        <x:v>8122</x:v>
      </x:c>
      <x:c r="M320" s="153" t="n">
        <x:v>8130</x:v>
      </x:c>
      <x:c r="N320" s="153" t="n">
        <x:v>8050</x:v>
      </x:c>
      <x:c r="O320" s="153" t="n">
        <x:v>8057</x:v>
      </x:c>
      <x:c r="P320" s="154" t="n">
        <x:f>IFERROR(O320/O319-1,"")</x:f>
        <x:v>-0.00690250215703192</x:v>
      </x:c>
      <x:c r="Q320" s="154" t="n">
        <x:f>IFERROR((M320-N320)/O319,"")</x:f>
        <x:v>0.009860717367188463</x:v>
      </x:c>
      <x:c r="R320" s="153" t="n">
        <x:v>8072</x:v>
      </x:c>
      <x:c r="S320" s="158" t="n">
        <x:v>359242</x:v>
      </x:c>
      <x:c r="T320" s="158" t="n">
        <x:v>2899960782</x:v>
      </x:c>
      <x:c r="U320" s="158" t="n">
        <x:v>3390360</x:v>
      </x:c>
      <x:c r="V320" s="153" t="n">
        <x:f>IFERROR(E320*1000/O320,"")</x:f>
        <x:v>93.51992056596748</x:v>
      </x:c>
      <x:c r="W320" s="153" t="n">
        <x:v>4.46</x:v>
      </x:c>
      <x:c r="X320" s="155" t="n">
        <x:v>45796</x:v>
      </x:c>
      <x:c r="Y320" s="153" t="n">
        <x:v>2.1</x:v>
      </x:c>
      <x:c r="Z320" s="155" t="n">
        <x:v>45796</x:v>
      </x:c>
      <x:c r="AA320" s="153" t="n">
        <x:f>IFERROR(Y320-Y319,"")</x:f>
        <x:v>0.010000000000000231</x:v>
      </x:c>
      <x:c r="AB320" s="153" t="n">
        <x:v>2.36</x:v>
      </x:c>
      <x:c r="AC320" s="153" t="n">
        <x:v>122.4186</x:v>
      </x:c>
      <x:c r="AD320" s="155" t="n">
        <x:v>45796</x:v>
      </x:c>
      <x:c r="AE320" s="154" t="n">
        <x:f>IFERROR(AC320/AC319-1,"")</x:f>
        <x:v>-0.0053228268915292976</x:v>
      </x:c>
      <x:c r="AF320" s="153" t="n">
        <x:v>18.14</x:v>
      </x:c>
      <x:c r="AG320" s="155" t="n">
        <x:v>45796</x:v>
      </x:c>
      <x:c r="AH320" s="153" t="n">
        <x:f>IFERROR(AF320-AF319,"")</x:f>
        <x:v>0.9000000000000021</x:v>
      </x:c>
      <x:c r="AI320" s="153" t="n">
        <x:v>4.33</x:v>
      </x:c>
      <x:c r="AJ320" s="155" t="n">
        <x:v>45793</x:v>
      </x:c>
      <x:c r="AK320" s="159" t="n">
        <x:v>101227</x:v>
      </x:c>
      <x:c r="AL320" s="154" t="n">
        <x:v>0.2296219507215737</x:v>
      </x:c>
      <x:c r="AM320" s="159" t="n">
        <x:v>-41533</x:v>
      </x:c>
      <x:c r="AN320" s="155" t="n">
        <x:v>45793</x:v>
      </x:c>
      <x:c r="AO320" s="159" t="n">
        <x:v>28333</x:v>
      </x:c>
      <x:c r="AP320" s="154" t="n">
        <x:v>0.20492253836918314</x:v>
      </x:c>
      <x:c r="AQ320" s="159" t="n">
        <x:v>-30447</x:v>
      </x:c>
      <x:c r="AR320" s="147" t="str">
        <x:v>美国市场指标与CFTC数据均使用严格早于上金所交易日的最后已发布值</x:v>
      </x:c>
    </x:row>
    <x:row r="321">
      <x:c r="A321" s="155" t="n">
        <x:v>45798</x:v>
      </x:c>
      <x:c r="B321" s="153" t="n">
        <x:v>757</x:v>
      </x:c>
      <x:c r="C321" s="153" t="n">
        <x:v>775.79</x:v>
      </x:c>
      <x:c r="D321" s="153" t="n">
        <x:v>757</x:v>
      </x:c>
      <x:c r="E321" s="153" t="n">
        <x:v>773.82</x:v>
      </x:c>
      <x:c r="F321" s="154" t="n">
        <x:f>IFERROR(E321/E320-1,"")</x:f>
        <x:v>0.026981114546974716</x:v>
      </x:c>
      <x:c r="G321" s="154" t="n">
        <x:f>IFERROR((C321-D321)/E320,"")</x:f>
        <x:v>0.024937291802147293</x:v>
      </x:c>
      <x:c r="H321" s="153" t="n">
        <x:v>772.89</x:v>
      </x:c>
      <x:c r="I321" s="158" t="n">
        <x:v>8872.48</x:v>
      </x:c>
      <x:c r="J321" s="158" t="n">
        <x:v>6857486828.2</x:v>
      </x:c>
      <x:c r="K321" s="158"/>
      <x:c r="L321" s="153" t="n">
        <x:v>8117</x:v>
      </x:c>
      <x:c r="M321" s="153" t="n">
        <x:v>8244</x:v>
      </x:c>
      <x:c r="N321" s="153" t="n">
        <x:v>8102</x:v>
      </x:c>
      <x:c r="O321" s="153" t="n">
        <x:v>8237</x:v>
      </x:c>
      <x:c r="P321" s="154" t="n">
        <x:f>IFERROR(O321/O320-1,"")</x:f>
        <x:v>0.02234082164577389</x:v>
      </x:c>
      <x:c r="Q321" s="154" t="n">
        <x:f>IFERROR((M321-N321)/O320,"")</x:f>
        <x:v>0.017624425964999378</x:v>
      </x:c>
      <x:c r="R321" s="153" t="n">
        <x:v>8199</x:v>
      </x:c>
      <x:c r="S321" s="158" t="n">
        <x:v>547816</x:v>
      </x:c>
      <x:c r="T321" s="158" t="n">
        <x:v>4491582962</x:v>
      </x:c>
      <x:c r="U321" s="158" t="n">
        <x:v>3441648</x:v>
      </x:c>
      <x:c r="V321" s="153" t="n">
        <x:f>IFERROR(E321*1000/O321,"")</x:f>
        <x:v>93.94439723200195</x:v>
      </x:c>
      <x:c r="W321" s="153" t="n">
        <x:v>4.48</x:v>
      </x:c>
      <x:c r="X321" s="155" t="n">
        <x:v>45797</x:v>
      </x:c>
      <x:c r="Y321" s="153" t="n">
        <x:v>2.13</x:v>
      </x:c>
      <x:c r="Z321" s="155" t="n">
        <x:v>45797</x:v>
      </x:c>
      <x:c r="AA321" s="153" t="n">
        <x:f>IFERROR(Y321-Y320,"")</x:f>
        <x:v>0.029999999999999805</x:v>
      </x:c>
      <x:c r="AB321" s="153" t="n">
        <x:v>2.35</x:v>
      </x:c>
      <x:c r="AC321" s="153" t="n">
        <x:v>122.3199</x:v>
      </x:c>
      <x:c r="AD321" s="155" t="n">
        <x:v>45797</x:v>
      </x:c>
      <x:c r="AE321" s="154" t="n">
        <x:f>IFERROR(AC321/AC320-1,"")</x:f>
        <x:v>-0.0008062500306325049</x:v>
      </x:c>
      <x:c r="AF321" s="153" t="n">
        <x:v>18.09</x:v>
      </x:c>
      <x:c r="AG321" s="155" t="n">
        <x:v>45797</x:v>
      </x:c>
      <x:c r="AH321" s="153" t="n">
        <x:f>IFERROR(AF321-AF320,"")</x:f>
        <x:v>-0.05000000000000071</x:v>
      </x:c>
      <x:c r="AI321" s="153" t="n">
        <x:v>4.33</x:v>
      </x:c>
      <x:c r="AJ321" s="155" t="n">
        <x:v>45793</x:v>
      </x:c>
      <x:c r="AK321" s="159" t="n">
        <x:v>101227</x:v>
      </x:c>
      <x:c r="AL321" s="154" t="n">
        <x:v>0.2296219507215737</x:v>
      </x:c>
      <x:c r="AM321" s="159" t="n">
        <x:v>-41533</x:v>
      </x:c>
      <x:c r="AN321" s="155" t="n">
        <x:v>45793</x:v>
      </x:c>
      <x:c r="AO321" s="159" t="n">
        <x:v>28333</x:v>
      </x:c>
      <x:c r="AP321" s="154" t="n">
        <x:v>0.20492253836918314</x:v>
      </x:c>
      <x:c r="AQ321" s="159" t="n">
        <x:v>-30447</x:v>
      </x:c>
      <x:c r="AR321" s="147" t="str">
        <x:v>美国市场指标与CFTC数据均使用严格早于上金所交易日的最后已发布值</x:v>
      </x:c>
    </x:row>
    <x:row r="322">
      <x:c r="A322" s="155" t="n">
        <x:v>45799</x:v>
      </x:c>
      <x:c r="B322" s="153" t="n">
        <x:v>768.5</x:v>
      </x:c>
      <x:c r="C322" s="153" t="n">
        <x:v>782.3</x:v>
      </x:c>
      <x:c r="D322" s="153" t="n">
        <x:v>768.5</x:v>
      </x:c>
      <x:c r="E322" s="153" t="n">
        <x:v>778.36</x:v>
      </x:c>
      <x:c r="F322" s="154" t="n">
        <x:f>IFERROR(E322/E321-1,"")</x:f>
        <x:v>0.005866997492957049</x:v>
      </x:c>
      <x:c r="G322" s="154" t="n">
        <x:f>IFERROR((C322-D322)/E321,"")</x:f>
        <x:v>0.017833604714274576</x:v>
      </x:c>
      <x:c r="H322" s="153" t="n">
        <x:v>778.99</x:v>
      </x:c>
      <x:c r="I322" s="158" t="n">
        <x:v>8502.62</x:v>
      </x:c>
      <x:c r="J322" s="158" t="n">
        <x:v>6623492689.2</x:v>
      </x:c>
      <x:c r="K322" s="158"/>
      <x:c r="L322" s="153" t="n">
        <x:v>8223</x:v>
      </x:c>
      <x:c r="M322" s="153" t="n">
        <x:v>8311</x:v>
      </x:c>
      <x:c r="N322" s="153" t="n">
        <x:v>8210</x:v>
      </x:c>
      <x:c r="O322" s="153" t="n">
        <x:v>8268</x:v>
      </x:c>
      <x:c r="P322" s="154" t="n">
        <x:f>IFERROR(O322/O321-1,"")</x:f>
        <x:v>0.003763506130872951</x:v>
      </x:c>
      <x:c r="Q322" s="154" t="n">
        <x:f>IFERROR((M322-N322)/O321,"")</x:f>
        <x:v>0.01226174578123103</x:v>
      </x:c>
      <x:c r="R322" s="153" t="n">
        <x:v>8276</x:v>
      </x:c>
      <x:c r="S322" s="158" t="n">
        <x:v>330696</x:v>
      </x:c>
      <x:c r="T322" s="158" t="n">
        <x:v>2736978382</x:v>
      </x:c>
      <x:c r="U322" s="158" t="n">
        <x:v>3440368</x:v>
      </x:c>
      <x:c r="V322" s="153" t="n">
        <x:f>IFERROR(E322*1000/O322,"")</x:f>
        <x:v>94.14126753749396</x:v>
      </x:c>
      <x:c r="W322" s="153" t="n">
        <x:v>4.58</x:v>
      </x:c>
      <x:c r="X322" s="155" t="n">
        <x:v>45798</x:v>
      </x:c>
      <x:c r="Y322" s="153" t="n">
        <x:v>2.23</x:v>
      </x:c>
      <x:c r="Z322" s="155" t="n">
        <x:v>45798</x:v>
      </x:c>
      <x:c r="AA322" s="153" t="n">
        <x:f>IFERROR(Y322-Y321,"")</x:f>
        <x:v>0.10000000000000009</x:v>
      </x:c>
      <x:c r="AB322" s="153" t="n">
        <x:v>2.35</x:v>
      </x:c>
      <x:c r="AC322" s="153" t="n">
        <x:v>121.7496</x:v>
      </x:c>
      <x:c r="AD322" s="155" t="n">
        <x:v>45798</x:v>
      </x:c>
      <x:c r="AE322" s="154" t="n">
        <x:f>IFERROR(AC322/AC321-1,"")</x:f>
        <x:v>-0.004662364831887533</x:v>
      </x:c>
      <x:c r="AF322" s="153" t="n">
        <x:v>20.87</x:v>
      </x:c>
      <x:c r="AG322" s="155" t="n">
        <x:v>45798</x:v>
      </x:c>
      <x:c r="AH322" s="153" t="n">
        <x:f>IFERROR(AF322-AF321,"")</x:f>
        <x:v>2.780000000000001</x:v>
      </x:c>
      <x:c r="AI322" s="153" t="n">
        <x:v>4.33</x:v>
      </x:c>
      <x:c r="AJ322" s="155" t="n">
        <x:v>45793</x:v>
      </x:c>
      <x:c r="AK322" s="159" t="n">
        <x:v>101227</x:v>
      </x:c>
      <x:c r="AL322" s="154" t="n">
        <x:v>0.2296219507215737</x:v>
      </x:c>
      <x:c r="AM322" s="159" t="n">
        <x:v>-41533</x:v>
      </x:c>
      <x:c r="AN322" s="155" t="n">
        <x:v>45793</x:v>
      </x:c>
      <x:c r="AO322" s="159" t="n">
        <x:v>28333</x:v>
      </x:c>
      <x:c r="AP322" s="154" t="n">
        <x:v>0.20492253836918314</x:v>
      </x:c>
      <x:c r="AQ322" s="159" t="n">
        <x:v>-30447</x:v>
      </x:c>
      <x:c r="AR322" s="147" t="str">
        <x:v>美国市场指标与CFTC数据均使用严格早于上金所交易日的最后已发布值</x:v>
      </x:c>
    </x:row>
    <x:row r="323">
      <x:c r="A323" s="155" t="n">
        <x:v>45800</x:v>
      </x:c>
      <x:c r="B323" s="153" t="n">
        <x:v>774.9</x:v>
      </x:c>
      <x:c r="C323" s="153" t="n">
        <x:v>778.5</x:v>
      </x:c>
      <x:c r="D323" s="153" t="n">
        <x:v>768</x:v>
      </x:c>
      <x:c r="E323" s="153" t="n">
        <x:v>776.4</x:v>
      </x:c>
      <x:c r="F323" s="154" t="n">
        <x:f>IFERROR(E323/E322-1,"")</x:f>
        <x:v>-0.002518115011048927</x:v>
      </x:c>
      <x:c r="G323" s="154" t="n">
        <x:f>IFERROR((C323-D323)/E322,"")</x:f>
        <x:v>0.01348990184490467</x:v>
      </x:c>
      <x:c r="H323" s="153" t="n">
        <x:v>773.07</x:v>
      </x:c>
      <x:c r="I323" s="158" t="n">
        <x:v>8357.1</x:v>
      </x:c>
      <x:c r="J323" s="158" t="n">
        <x:v>6460691577.8</x:v>
      </x:c>
      <x:c r="K323" s="158"/>
      <x:c r="L323" s="153" t="n">
        <x:v>8140</x:v>
      </x:c>
      <x:c r="M323" s="153" t="n">
        <x:v>8252</x:v>
      </x:c>
      <x:c r="N323" s="153" t="n">
        <x:v>8140</x:v>
      </x:c>
      <x:c r="O323" s="153" t="n">
        <x:v>8244</x:v>
      </x:c>
      <x:c r="P323" s="154" t="n">
        <x:f>IFERROR(O323/O322-1,"")</x:f>
        <x:v>-0.002902757619738794</x:v>
      </x:c>
      <x:c r="Q323" s="154" t="n">
        <x:f>IFERROR((M323-N323)/O322,"")</x:f>
        <x:v>0.013546202225447508</x:v>
      </x:c>
      <x:c r="R323" s="153" t="n">
        <x:v>8209</x:v>
      </x:c>
      <x:c r="S323" s="158" t="n">
        <x:v>372524</x:v>
      </x:c>
      <x:c r="T323" s="158" t="n">
        <x:v>3058373522</x:v>
      </x:c>
      <x:c r="U323" s="158" t="n">
        <x:v>3454112</x:v>
      </x:c>
      <x:c r="V323" s="153" t="n">
        <x:f>IFERROR(E323*1000/O323,"")</x:f>
        <x:v>94.17758369723435</x:v>
      </x:c>
      <x:c r="W323" s="153" t="n">
        <x:v>4.54</x:v>
      </x:c>
      <x:c r="X323" s="155" t="n">
        <x:v>45799</x:v>
      </x:c>
      <x:c r="Y323" s="153" t="n">
        <x:v>2.2</x:v>
      </x:c>
      <x:c r="Z323" s="155" t="n">
        <x:v>45799</x:v>
      </x:c>
      <x:c r="AA323" s="153" t="n">
        <x:f>IFERROR(Y323-Y322,"")</x:f>
        <x:v>-0.029999999999999805</x:v>
      </x:c>
      <x:c r="AB323" s="153" t="n">
        <x:v>2.34</x:v>
      </x:c>
      <x:c r="AC323" s="153" t="n">
        <x:v>122.0429</x:v>
      </x:c>
      <x:c r="AD323" s="155" t="n">
        <x:v>45799</x:v>
      </x:c>
      <x:c r="AE323" s="154" t="n">
        <x:f>IFERROR(AC323/AC322-1,"")</x:f>
        <x:v>0.0024090428223173532</x:v>
      </x:c>
      <x:c r="AF323" s="153" t="n">
        <x:v>20.28</x:v>
      </x:c>
      <x:c r="AG323" s="155" t="n">
        <x:v>45799</x:v>
      </x:c>
      <x:c r="AH323" s="153" t="n">
        <x:f>IFERROR(AF323-AF322,"")</x:f>
        <x:v>-0.5899999999999999</x:v>
      </x:c>
      <x:c r="AI323" s="153" t="n">
        <x:v>4.33</x:v>
      </x:c>
      <x:c r="AJ323" s="155" t="n">
        <x:v>45793</x:v>
      </x:c>
      <x:c r="AK323" s="159" t="n">
        <x:v>101227</x:v>
      </x:c>
      <x:c r="AL323" s="154" t="n">
        <x:v>0.2296219507215737</x:v>
      </x:c>
      <x:c r="AM323" s="159" t="n">
        <x:v>-41533</x:v>
      </x:c>
      <x:c r="AN323" s="155" t="n">
        <x:v>45793</x:v>
      </x:c>
      <x:c r="AO323" s="159" t="n">
        <x:v>28333</x:v>
      </x:c>
      <x:c r="AP323" s="154" t="n">
        <x:v>0.20492253836918314</x:v>
      </x:c>
      <x:c r="AQ323" s="159" t="n">
        <x:v>-30447</x:v>
      </x:c>
      <x:c r="AR323" s="147" t="str">
        <x:v>美国市场指标与CFTC数据均使用严格早于上金所交易日的最后已发布值</x:v>
      </x:c>
    </x:row>
    <x:row r="324">
      <x:c r="A324" s="155" t="n">
        <x:v>45803</x:v>
      </x:c>
      <x:c r="B324" s="153" t="n">
        <x:v>779.5</x:v>
      </x:c>
      <x:c r="C324" s="153" t="n">
        <x:v>782</x:v>
      </x:c>
      <x:c r="D324" s="153" t="n">
        <x:v>773.51</x:v>
      </x:c>
      <x:c r="E324" s="153" t="n">
        <x:v>773.94</x:v>
      </x:c>
      <x:c r="F324" s="154" t="n">
        <x:f>IFERROR(E324/E323-1,"")</x:f>
        <x:v>-0.0031684698608963613</x:v>
      </x:c>
      <x:c r="G324" s="154" t="n">
        <x:f>IFERROR((C324-D324)/E323,"")</x:f>
        <x:v>0.010935085007727987</x:v>
      </x:c>
      <x:c r="H324" s="153" t="n">
        <x:v>776.29</x:v>
      </x:c>
      <x:c r="I324" s="158" t="n">
        <x:v>6914.3</x:v>
      </x:c>
      <x:c r="J324" s="158" t="n">
        <x:v>5367532686.2</x:v>
      </x:c>
      <x:c r="K324" s="158"/>
      <x:c r="L324" s="153" t="n">
        <x:v>8221</x:v>
      </x:c>
      <x:c r="M324" s="153" t="n">
        <x:v>8277</x:v>
      </x:c>
      <x:c r="N324" s="153" t="n">
        <x:v>8182</x:v>
      </x:c>
      <x:c r="O324" s="153" t="n">
        <x:v>8239</x:v>
      </x:c>
      <x:c r="P324" s="154" t="n">
        <x:f>IFERROR(O324/O323-1,"")</x:f>
        <x:v>-0.0006065016982047533</x:v>
      </x:c>
      <x:c r="Q324" s="154" t="n">
        <x:f>IFERROR((M324-N324)/O323,"")</x:f>
        <x:v>0.011523532265890344</x:v>
      </x:c>
      <x:c r="R324" s="153" t="n">
        <x:v>8244</x:v>
      </x:c>
      <x:c r="S324" s="158" t="n">
        <x:v>325264</x:v>
      </x:c>
      <x:c r="T324" s="158" t="n">
        <x:v>2681526478</x:v>
      </x:c>
      <x:c r="U324" s="158" t="n">
        <x:v>3448390</x:v>
      </x:c>
      <x:c r="V324" s="153" t="n">
        <x:f>IFERROR(E324*1000/O324,"")</x:f>
        <x:v>93.93615730064329</x:v>
      </x:c>
      <x:c r="W324" s="153" t="n">
        <x:v>4.51</x:v>
      </x:c>
      <x:c r="X324" s="155" t="n">
        <x:v>45800</x:v>
      </x:c>
      <x:c r="Y324" s="153" t="n">
        <x:v>2.18</x:v>
      </x:c>
      <x:c r="Z324" s="155" t="n">
        <x:v>45800</x:v>
      </x:c>
      <x:c r="AA324" s="153" t="n">
        <x:f>IFERROR(Y324-Y323,"")</x:f>
        <x:v>-0.020000000000000018</x:v>
      </x:c>
      <x:c r="AB324" s="153" t="n">
        <x:v>2.33</x:v>
      </x:c>
      <x:c r="AC324" s="153" t="n">
        <x:v>121.3837</x:v>
      </x:c>
      <x:c r="AD324" s="155" t="n">
        <x:v>45800</x:v>
      </x:c>
      <x:c r="AE324" s="154" t="n">
        <x:f>IFERROR(AC324/AC323-1,"")</x:f>
        <x:v>-0.005401379351031466</x:v>
      </x:c>
      <x:c r="AF324" s="153" t="n">
        <x:v>22.29</x:v>
      </x:c>
      <x:c r="AG324" s="155" t="n">
        <x:v>45800</x:v>
      </x:c>
      <x:c r="AH324" s="153" t="n">
        <x:f>IFERROR(AF324-AF323,"")</x:f>
        <x:v>2.009999999999998</x:v>
      </x:c>
      <x:c r="AI324" s="153" t="n">
        <x:v>4.33</x:v>
      </x:c>
      <x:c r="AJ324" s="155" t="n">
        <x:v>45800</x:v>
      </x:c>
      <x:c r="AK324" s="159" t="n">
        <x:v>107629</x:v>
      </x:c>
      <x:c r="AL324" s="154" t="n">
        <x:v>0.24024330357142856</x:v>
      </x:c>
      <x:c r="AM324" s="159" t="n">
        <x:v>-38817</x:v>
      </x:c>
      <x:c r="AN324" s="155" t="n">
        <x:v>45800</x:v>
      </x:c>
      <x:c r="AO324" s="159" t="n">
        <x:v>30445</x:v>
      </x:c>
      <x:c r="AP324" s="154" t="n">
        <x:v>0.21523354377134132</x:v>
      </x:c>
      <x:c r="AQ324" s="159" t="n">
        <x:v>-30792</x:v>
      </x:c>
      <x:c r="AR324" s="147" t="str">
        <x:v>美国市场指标与CFTC数据均使用严格早于上金所交易日的最后已发布值</x:v>
      </x:c>
    </x:row>
    <x:row r="325">
      <x:c r="A325" s="155" t="n">
        <x:v>45804</x:v>
      </x:c>
      <x:c r="B325" s="153" t="n">
        <x:v>774.2</x:v>
      </x:c>
      <x:c r="C325" s="153" t="n">
        <x:v>777.29</x:v>
      </x:c>
      <x:c r="D325" s="153" t="n">
        <x:v>767.3</x:v>
      </x:c>
      <x:c r="E325" s="153" t="n">
        <x:v>768.75</x:v>
      </x:c>
      <x:c r="F325" s="154" t="n">
        <x:f>IFERROR(E325/E324-1,"")</x:f>
        <x:v>-0.006705946197379742</x:v>
      </x:c>
      <x:c r="G325" s="154" t="n">
        <x:f>IFERROR((C325-D325)/E324,"")</x:f>
        <x:v>0.012907977362586257</x:v>
      </x:c>
      <x:c r="H325" s="153" t="n">
        <x:v>773.36</x:v>
      </x:c>
      <x:c r="I325" s="158" t="n">
        <x:v>7447</x:v>
      </x:c>
      <x:c r="J325" s="158" t="n">
        <x:v>5759250821.8</x:v>
      </x:c>
      <x:c r="K325" s="158"/>
      <x:c r="L325" s="153" t="n">
        <x:v>8238</x:v>
      </x:c>
      <x:c r="M325" s="153" t="n">
        <x:v>8281</x:v>
      </x:c>
      <x:c r="N325" s="153" t="n">
        <x:v>8175</x:v>
      </x:c>
      <x:c r="O325" s="153" t="n">
        <x:v>8189</x:v>
      </x:c>
      <x:c r="P325" s="154" t="n">
        <x:f>IFERROR(O325/O324-1,"")</x:f>
        <x:v>-0.006068697657482747</x:v>
      </x:c>
      <x:c r="Q325" s="154" t="n">
        <x:f>IFERROR((M325-N325)/O324,"")</x:f>
        <x:v>0.012865639033863332</x:v>
      </x:c>
      <x:c r="R325" s="153" t="n">
        <x:v>8219</x:v>
      </x:c>
      <x:c r="S325" s="158" t="n">
        <x:v>428606</x:v>
      </x:c>
      <x:c r="T325" s="158" t="n">
        <x:v>3522957486</x:v>
      </x:c>
      <x:c r="U325" s="158" t="n">
        <x:v>3350256</x:v>
      </x:c>
      <x:c r="V325" s="153" t="n">
        <x:f>IFERROR(E325*1000/O325,"")</x:f>
        <x:v>93.87593112712175</x:v>
      </x:c>
      <x:c r="W325" s="153" t="n">
        <x:v>4.51</x:v>
      </x:c>
      <x:c r="X325" s="155" t="n">
        <x:v>45800</x:v>
      </x:c>
      <x:c r="Y325" s="153" t="n">
        <x:v>2.18</x:v>
      </x:c>
      <x:c r="Z325" s="155" t="n">
        <x:v>45800</x:v>
      </x:c>
      <x:c r="AA325" s="153" t="n">
        <x:f>IFERROR(Y325-Y324,"")</x:f>
        <x:v>0</x:v>
      </x:c>
      <x:c r="AB325" s="153" t="n">
        <x:v>2.33</x:v>
      </x:c>
      <x:c r="AC325" s="153" t="n">
        <x:v>121.3837</x:v>
      </x:c>
      <x:c r="AD325" s="155" t="n">
        <x:v>45800</x:v>
      </x:c>
      <x:c r="AE325" s="154" t="n">
        <x:f>IFERROR(AC325/AC324-1,"")</x:f>
        <x:v>0</x:v>
      </x:c>
      <x:c r="AF325" s="153" t="n">
        <x:v>20.57</x:v>
      </x:c>
      <x:c r="AG325" s="155" t="n">
        <x:v>45803</x:v>
      </x:c>
      <x:c r="AH325" s="153" t="n">
        <x:f>IFERROR(AF325-AF324,"")</x:f>
        <x:v>-1.7199999999999989</x:v>
      </x:c>
      <x:c r="AI325" s="153" t="n">
        <x:v>4.33</x:v>
      </x:c>
      <x:c r="AJ325" s="155" t="n">
        <x:v>45800</x:v>
      </x:c>
      <x:c r="AK325" s="159" t="n">
        <x:v>107629</x:v>
      </x:c>
      <x:c r="AL325" s="154" t="n">
        <x:v>0.24024330357142856</x:v>
      </x:c>
      <x:c r="AM325" s="159" t="n">
        <x:v>-38817</x:v>
      </x:c>
      <x:c r="AN325" s="155" t="n">
        <x:v>45800</x:v>
      </x:c>
      <x:c r="AO325" s="159" t="n">
        <x:v>30445</x:v>
      </x:c>
      <x:c r="AP325" s="154" t="n">
        <x:v>0.21523354377134132</x:v>
      </x:c>
      <x:c r="AQ325" s="159" t="n">
        <x:v>-30792</x:v>
      </x:c>
      <x:c r="AR325" s="147" t="str">
        <x:v>美国市场指标与CFTC数据均使用严格早于上金所交易日的最后已发布值</x:v>
      </x:c>
    </x:row>
    <x:row r="326">
      <x:c r="A326" s="155" t="n">
        <x:v>45805</x:v>
      </x:c>
      <x:c r="B326" s="153" t="n">
        <x:v>767</x:v>
      </x:c>
      <x:c r="C326" s="153" t="n">
        <x:v>770.9</x:v>
      </x:c>
      <x:c r="D326" s="153" t="n">
        <x:v>765.5</x:v>
      </x:c>
      <x:c r="E326" s="153" t="n">
        <x:v>769.67</x:v>
      </x:c>
      <x:c r="F326" s="154" t="n">
        <x:f>IFERROR(E326/E325-1,"")</x:f>
        <x:v>0.0011967479674797055</x:v>
      </x:c>
      <x:c r="G326" s="154" t="n">
        <x:f>IFERROR((C326-D326)/E325,"")</x:f>
        <x:v>0.00702439024390241</x:v>
      </x:c>
      <x:c r="H326" s="153" t="n">
        <x:v>768.74</x:v>
      </x:c>
      <x:c r="I326" s="158" t="n">
        <x:v>6772.1</x:v>
      </x:c>
      <x:c r="J326" s="158" t="n">
        <x:v>5206016188.2</x:v>
      </x:c>
      <x:c r="K326" s="158"/>
      <x:c r="L326" s="153" t="n">
        <x:v>8156</x:v>
      </x:c>
      <x:c r="M326" s="153" t="n">
        <x:v>8234</x:v>
      </x:c>
      <x:c r="N326" s="153" t="n">
        <x:v>8147</x:v>
      </x:c>
      <x:c r="O326" s="153" t="n">
        <x:v>8211</x:v>
      </x:c>
      <x:c r="P326" s="154" t="n">
        <x:f>IFERROR(O326/O325-1,"")</x:f>
        <x:v>0.0026865307119305903</x:v>
      </x:c>
      <x:c r="Q326" s="154" t="n">
        <x:f>IFERROR((M326-N326)/O325,"")</x:f>
        <x:v>0.01062400781536207</x:v>
      </x:c>
      <x:c r="R326" s="153" t="n">
        <x:v>8204</x:v>
      </x:c>
      <x:c r="S326" s="158" t="n">
        <x:v>368764</x:v>
      </x:c>
      <x:c r="T326" s="158" t="n">
        <x:v>3025618740</x:v>
      </x:c>
      <x:c r="U326" s="158" t="n">
        <x:v>3363726</x:v>
      </x:c>
      <x:c r="V326" s="153" t="n">
        <x:f>IFERROR(E326*1000/O326,"")</x:f>
        <x:v>93.73645110218</x:v>
      </x:c>
      <x:c r="W326" s="153" t="n">
        <x:v>4.43</x:v>
      </x:c>
      <x:c r="X326" s="155" t="n">
        <x:v>45804</x:v>
      </x:c>
      <x:c r="Y326" s="153" t="n">
        <x:v>2.11</x:v>
      </x:c>
      <x:c r="Z326" s="155" t="n">
        <x:v>45804</x:v>
      </x:c>
      <x:c r="AA326" s="153" t="n">
        <x:f>IFERROR(Y326-Y325,"")</x:f>
        <x:v>-0.07000000000000028</x:v>
      </x:c>
      <x:c r="AB326" s="153" t="n">
        <x:v>2.32</x:v>
      </x:c>
      <x:c r="AC326" s="153" t="n">
        <x:v>121.6099</x:v>
      </x:c>
      <x:c r="AD326" s="155" t="n">
        <x:v>45804</x:v>
      </x:c>
      <x:c r="AE326" s="154" t="n">
        <x:f>IFERROR(AC326/AC325-1,"")</x:f>
        <x:v>0.001863512151961011</x:v>
      </x:c>
      <x:c r="AF326" s="153" t="n">
        <x:v>18.96</x:v>
      </x:c>
      <x:c r="AG326" s="155" t="n">
        <x:v>45804</x:v>
      </x:c>
      <x:c r="AH326" s="153" t="n">
        <x:f>IFERROR(AF326-AF325,"")</x:f>
        <x:v>-1.6099999999999994</x:v>
      </x:c>
      <x:c r="AI326" s="153" t="n">
        <x:v>4.33</x:v>
      </x:c>
      <x:c r="AJ326" s="155" t="n">
        <x:v>45800</x:v>
      </x:c>
      <x:c r="AK326" s="159" t="n">
        <x:v>107629</x:v>
      </x:c>
      <x:c r="AL326" s="154" t="n">
        <x:v>0.24024330357142856</x:v>
      </x:c>
      <x:c r="AM326" s="159" t="n">
        <x:v>-38817</x:v>
      </x:c>
      <x:c r="AN326" s="155" t="n">
        <x:v>45800</x:v>
      </x:c>
      <x:c r="AO326" s="159" t="n">
        <x:v>30445</x:v>
      </x:c>
      <x:c r="AP326" s="154" t="n">
        <x:v>0.21523354377134132</x:v>
      </x:c>
      <x:c r="AQ326" s="159" t="n">
        <x:v>-30792</x:v>
      </x:c>
      <x:c r="AR326" s="147" t="str">
        <x:v>美国市场指标与CFTC数据均使用严格早于上金所交易日的最后已发布值</x:v>
      </x:c>
    </x:row>
    <x:row r="327">
      <x:c r="A327" s="155" t="n">
        <x:v>45806</x:v>
      </x:c>
      <x:c r="B327" s="153" t="n">
        <x:v>769.7</x:v>
      </x:c>
      <x:c r="C327" s="153" t="n">
        <x:v>769.7</x:v>
      </x:c>
      <x:c r="D327" s="153" t="n">
        <x:v>756.64</x:v>
      </x:c>
      <x:c r="E327" s="153" t="n">
        <x:v>763.02</x:v>
      </x:c>
      <x:c r="F327" s="154" t="n">
        <x:f>IFERROR(E327/E326-1,"")</x:f>
        <x:v>-0.008640066522015877</x:v>
      </x:c>
      <x:c r="G327" s="154" t="n">
        <x:f>IFERROR((C327-D327)/E326,"")</x:f>
        <x:v>0.016968311094365196</x:v>
      </x:c>
      <x:c r="H327" s="153" t="n">
        <x:v>760.78</x:v>
      </x:c>
      <x:c r="I327" s="158" t="n">
        <x:v>6994.12</x:v>
      </x:c>
      <x:c r="J327" s="158" t="n">
        <x:v>5321003696.2</x:v>
      </x:c>
      <x:c r="K327" s="158"/>
      <x:c r="L327" s="153" t="n">
        <x:v>8214</x:v>
      </x:c>
      <x:c r="M327" s="153" t="n">
        <x:v>8214</x:v>
      </x:c>
      <x:c r="N327" s="153" t="n">
        <x:v>8140</x:v>
      </x:c>
      <x:c r="O327" s="153" t="n">
        <x:v>8202</x:v>
      </x:c>
      <x:c r="P327" s="154" t="n">
        <x:f>IFERROR(O327/O326-1,"")</x:f>
        <x:v>-0.001096090610157141</x:v>
      </x:c>
      <x:c r="Q327" s="154" t="n">
        <x:f>IFERROR((M327-N327)/O326,"")</x:f>
        <x:v>0.009012300572402874</x:v>
      </x:c>
      <x:c r="R327" s="153" t="n">
        <x:v>8185</x:v>
      </x:c>
      <x:c r="S327" s="158" t="n">
        <x:v>314636</x:v>
      </x:c>
      <x:c r="T327" s="158" t="n">
        <x:v>2575583490</x:v>
      </x:c>
      <x:c r="U327" s="158" t="n">
        <x:v>3389800</x:v>
      </x:c>
      <x:c r="V327" s="153" t="n">
        <x:f>IFERROR(E327*1000/O327,"")</x:f>
        <x:v>93.02852962692026</x:v>
      </x:c>
      <x:c r="W327" s="153" t="n">
        <x:v>4.47</x:v>
      </x:c>
      <x:c r="X327" s="155" t="n">
        <x:v>45805</x:v>
      </x:c>
      <x:c r="Y327" s="153" t="n">
        <x:v>2.15</x:v>
      </x:c>
      <x:c r="Z327" s="155" t="n">
        <x:v>45805</x:v>
      </x:c>
      <x:c r="AA327" s="153" t="n">
        <x:f>IFERROR(Y327-Y326,"")</x:f>
        <x:v>0.040000000000000036</x:v>
      </x:c>
      <x:c r="AB327" s="153" t="n">
        <x:v>2.32</x:v>
      </x:c>
      <x:c r="AC327" s="153" t="n">
        <x:v>121.9888</x:v>
      </x:c>
      <x:c r="AD327" s="155" t="n">
        <x:v>45805</x:v>
      </x:c>
      <x:c r="AE327" s="154" t="n">
        <x:f>IFERROR(AC327/AC326-1,"")</x:f>
        <x:v>0.0031157002842696624</x:v>
      </x:c>
      <x:c r="AF327" s="153" t="n">
        <x:v>19.31</x:v>
      </x:c>
      <x:c r="AG327" s="155" t="n">
        <x:v>45805</x:v>
      </x:c>
      <x:c r="AH327" s="153" t="n">
        <x:f>IFERROR(AF327-AF326,"")</x:f>
        <x:v>0.34999999999999787</x:v>
      </x:c>
      <x:c r="AI327" s="153" t="n">
        <x:v>4.33</x:v>
      </x:c>
      <x:c r="AJ327" s="155" t="n">
        <x:v>45800</x:v>
      </x:c>
      <x:c r="AK327" s="159" t="n">
        <x:v>107629</x:v>
      </x:c>
      <x:c r="AL327" s="154" t="n">
        <x:v>0.24024330357142856</x:v>
      </x:c>
      <x:c r="AM327" s="159" t="n">
        <x:v>-38817</x:v>
      </x:c>
      <x:c r="AN327" s="155" t="n">
        <x:v>45800</x:v>
      </x:c>
      <x:c r="AO327" s="159" t="n">
        <x:v>30445</x:v>
      </x:c>
      <x:c r="AP327" s="154" t="n">
        <x:v>0.21523354377134132</x:v>
      </x:c>
      <x:c r="AQ327" s="159" t="n">
        <x:v>-30792</x:v>
      </x:c>
      <x:c r="AR327" s="147" t="str">
        <x:v>美国市场指标与CFTC数据均使用严格早于上金所交易日的最后已发布值</x:v>
      </x:c>
    </x:row>
    <x:row r="328">
      <x:c r="A328" s="155" t="n">
        <x:v>45807</x:v>
      </x:c>
      <x:c r="B328" s="153" t="n">
        <x:v>763.02</x:v>
      </x:c>
      <x:c r="C328" s="153" t="n">
        <x:v>771.9</x:v>
      </x:c>
      <x:c r="D328" s="153" t="n">
        <x:v>762</x:v>
      </x:c>
      <x:c r="E328" s="153" t="n">
        <x:v>768.79</x:v>
      </x:c>
      <x:c r="F328" s="154" t="n">
        <x:f>IFERROR(E328/E327-1,"")</x:f>
        <x:v>0.007562056040470777</x:v>
      </x:c>
      <x:c r="G328" s="154" t="n">
        <x:f>IFERROR((C328-D328)/E327,"")</x:f>
        <x:v>0.012974758197688105</x:v>
      </x:c>
      <x:c r="H328" s="153" t="n">
        <x:v>767.6</x:v>
      </x:c>
      <x:c r="I328" s="158" t="n">
        <x:v>5589.74</x:v>
      </x:c>
      <x:c r="J328" s="158" t="n">
        <x:v>4290728079.2</x:v>
      </x:c>
      <x:c r="K328" s="158"/>
      <x:c r="L328" s="153" t="n">
        <x:v>8228</x:v>
      </x:c>
      <x:c r="M328" s="153" t="n">
        <x:v>8230</x:v>
      </x:c>
      <x:c r="N328" s="153" t="n">
        <x:v>8150</x:v>
      </x:c>
      <x:c r="O328" s="153" t="n">
        <x:v>8192</x:v>
      </x:c>
      <x:c r="P328" s="154" t="n">
        <x:f>IFERROR(O328/O327-1,"")</x:f>
        <x:v>-0.0012192148256522373</x:v>
      </x:c>
      <x:c r="Q328" s="154" t="n">
        <x:f>IFERROR((M328-N328)/O327,"")</x:f>
        <x:v>0.00975371860521824</x:v>
      </x:c>
      <x:c r="R328" s="153" t="n">
        <x:v>8180</x:v>
      </x:c>
      <x:c r="S328" s="158" t="n">
        <x:v>379350</x:v>
      </x:c>
      <x:c r="T328" s="158" t="n">
        <x:v>3103086578</x:v>
      </x:c>
      <x:c r="U328" s="158" t="n">
        <x:v>3425600</x:v>
      </x:c>
      <x:c r="V328" s="153" t="n">
        <x:f>IFERROR(E328*1000/O328,"")</x:f>
        <x:v>93.846435546875</x:v>
      </x:c>
      <x:c r="W328" s="153" t="n">
        <x:v>4.43</x:v>
      </x:c>
      <x:c r="X328" s="155" t="n">
        <x:v>45806</x:v>
      </x:c>
      <x:c r="Y328" s="153" t="n">
        <x:v>2.11</x:v>
      </x:c>
      <x:c r="Z328" s="155" t="n">
        <x:v>45806</x:v>
      </x:c>
      <x:c r="AA328" s="153" t="n">
        <x:f>IFERROR(Y328-Y327,"")</x:f>
        <x:v>-0.040000000000000036</x:v>
      </x:c>
      <x:c r="AB328" s="153" t="n">
        <x:v>2.32</x:v>
      </x:c>
      <x:c r="AC328" s="153" t="n">
        <x:v>121.5617</x:v>
      </x:c>
      <x:c r="AD328" s="155" t="n">
        <x:v>45806</x:v>
      </x:c>
      <x:c r="AE328" s="154" t="n">
        <x:f>IFERROR(AC328/AC327-1,"")</x:f>
        <x:v>-0.003501141088362192</x:v>
      </x:c>
      <x:c r="AF328" s="153" t="n">
        <x:v>19.18</x:v>
      </x:c>
      <x:c r="AG328" s="155" t="n">
        <x:v>45806</x:v>
      </x:c>
      <x:c r="AH328" s="153" t="n">
        <x:f>IFERROR(AF328-AF327,"")</x:f>
        <x:v>-0.129999999999999</x:v>
      </x:c>
      <x:c r="AI328" s="153" t="n">
        <x:v>4.33</x:v>
      </x:c>
      <x:c r="AJ328" s="155" t="n">
        <x:v>45800</x:v>
      </x:c>
      <x:c r="AK328" s="159" t="n">
        <x:v>107629</x:v>
      </x:c>
      <x:c r="AL328" s="154" t="n">
        <x:v>0.24024330357142856</x:v>
      </x:c>
      <x:c r="AM328" s="159" t="n">
        <x:v>-38817</x:v>
      </x:c>
      <x:c r="AN328" s="155" t="n">
        <x:v>45800</x:v>
      </x:c>
      <x:c r="AO328" s="159" t="n">
        <x:v>30445</x:v>
      </x:c>
      <x:c r="AP328" s="154" t="n">
        <x:v>0.21523354377134132</x:v>
      </x:c>
      <x:c r="AQ328" s="159" t="n">
        <x:v>-30792</x:v>
      </x:c>
      <x:c r="AR328" s="147" t="str">
        <x:v>美国市场指标与CFTC数据均使用严格早于上金所交易日的最后已发布值</x:v>
      </x:c>
    </x:row>
    <x:row r="329">
      <x:c r="A329" s="155" t="n">
        <x:v>45811</x:v>
      </x:c>
      <x:c r="B329" s="153" t="n">
        <x:v>786.5</x:v>
      </x:c>
      <x:c r="C329" s="153" t="n">
        <x:v>786.5</x:v>
      </x:c>
      <x:c r="D329" s="153" t="n">
        <x:v>776</x:v>
      </x:c>
      <x:c r="E329" s="153" t="n">
        <x:v>778.5</x:v>
      </x:c>
      <x:c r="F329" s="154" t="n">
        <x:f>IFERROR(E329/E328-1,"")</x:f>
        <x:v>0.012630237125873078</x:v>
      </x:c>
      <x:c r="G329" s="154" t="n">
        <x:f>IFERROR((C329-D329)/E328,"")</x:f>
        <x:v>0.013657825934260332</x:v>
      </x:c>
      <x:c r="H329" s="153" t="n">
        <x:v>781.18</x:v>
      </x:c>
      <x:c r="I329" s="158" t="n">
        <x:v>6638.18</x:v>
      </x:c>
      <x:c r="J329" s="158" t="n">
        <x:v>5185653230.8</x:v>
      </x:c>
      <x:c r="K329" s="158"/>
      <x:c r="L329" s="153" t="n">
        <x:v>8500</x:v>
      </x:c>
      <x:c r="M329" s="153" t="n">
        <x:v>8500</x:v>
      </x:c>
      <x:c r="N329" s="153" t="n">
        <x:v>8382</x:v>
      </x:c>
      <x:c r="O329" s="153" t="n">
        <x:v>8405</x:v>
      </x:c>
      <x:c r="P329" s="154" t="n">
        <x:f>IFERROR(O329/O328-1,"")</x:f>
        <x:v>0.0260009765625</x:v>
      </x:c>
      <x:c r="Q329" s="154" t="n">
        <x:f>IFERROR((M329-N329)/O328,"")</x:f>
        <x:v>0.014404296875</x:v>
      </x:c>
      <x:c r="R329" s="153" t="n">
        <x:v>8427</x:v>
      </x:c>
      <x:c r="S329" s="158" t="n">
        <x:v>644742</x:v>
      </x:c>
      <x:c r="T329" s="158" t="n">
        <x:v>5433823536</x:v>
      </x:c>
      <x:c r="U329" s="158" t="n">
        <x:v>3504532</x:v>
      </x:c>
      <x:c r="V329" s="153" t="n">
        <x:f>IFERROR(E329*1000/O329,"")</x:f>
        <x:v>92.62343842950625</x:v>
      </x:c>
      <x:c r="W329" s="153" t="n">
        <x:v>4.46</x:v>
      </x:c>
      <x:c r="X329" s="155" t="n">
        <x:v>45810</x:v>
      </x:c>
      <x:c r="Y329" s="153" t="n">
        <x:v>2.13</x:v>
      </x:c>
      <x:c r="Z329" s="155" t="n">
        <x:v>45810</x:v>
      </x:c>
      <x:c r="AA329" s="153" t="n">
        <x:f>IFERROR(Y329-Y328,"")</x:f>
        <x:v>0.020000000000000018</x:v>
      </x:c>
      <x:c r="AB329" s="153" t="n">
        <x:v>2.33</x:v>
      </x:c>
      <x:c r="AC329" s="153" t="n">
        <x:v>121.1881</x:v>
      </x:c>
      <x:c r="AD329" s="155" t="n">
        <x:v>45810</x:v>
      </x:c>
      <x:c r="AE329" s="154" t="n">
        <x:f>IFERROR(AC329/AC328-1,"")</x:f>
        <x:v>-0.003073336420928552</x:v>
      </x:c>
      <x:c r="AF329" s="153" t="n">
        <x:v>18.36</x:v>
      </x:c>
      <x:c r="AG329" s="155" t="n">
        <x:v>45810</x:v>
      </x:c>
      <x:c r="AH329" s="153" t="n">
        <x:f>IFERROR(AF329-AF328,"")</x:f>
        <x:v>-0.8200000000000003</x:v>
      </x:c>
      <x:c r="AI329" s="153" t="n">
        <x:v>4.33</x:v>
      </x:c>
      <x:c r="AJ329" s="155" t="n">
        <x:v>45807</x:v>
      </x:c>
      <x:c r="AK329" s="159" t="n">
        <x:v>110816</x:v>
      </x:c>
      <x:c r="AL329" s="154" t="n">
        <x:v>0.2532717158281109</x:v>
      </x:c>
      <x:c r="AM329" s="159" t="n">
        <x:v>-46192</x:v>
      </x:c>
      <x:c r="AN329" s="155" t="n">
        <x:v>45807</x:v>
      </x:c>
      <x:c r="AO329" s="159" t="n">
        <x:v>33212</x:v>
      </x:c>
      <x:c r="AP329" s="154" t="n">
        <x:v>0.22508217274914438</x:v>
      </x:c>
      <x:c r="AQ329" s="159" t="n">
        <x:v>-31302</x:v>
      </x:c>
      <x:c r="AR329" s="147" t="str">
        <x:v>美国市场指标与CFTC数据均使用严格早于上金所交易日的最后已发布值</x:v>
      </x:c>
    </x:row>
    <x:row r="330">
      <x:c r="A330" s="155" t="n">
        <x:v>45812</x:v>
      </x:c>
      <x:c r="B330" s="153" t="n">
        <x:v>783.19</x:v>
      </x:c>
      <x:c r="C330" s="153" t="n">
        <x:v>783.19</x:v>
      </x:c>
      <x:c r="D330" s="153" t="n">
        <x:v>775.5</x:v>
      </x:c>
      <x:c r="E330" s="153" t="n">
        <x:v>779.46</x:v>
      </x:c>
      <x:c r="F330" s="154" t="n">
        <x:f>IFERROR(E330/E329-1,"")</x:f>
        <x:v>0.0012331406551060464</x:v>
      </x:c>
      <x:c r="G330" s="154" t="n">
        <x:f>IFERROR((C330-D330)/E329,"")</x:f>
        <x:v>0.009877970456005207</x:v>
      </x:c>
      <x:c r="H330" s="153" t="n">
        <x:v>780.15</x:v>
      </x:c>
      <x:c r="I330" s="158" t="n">
        <x:v>8605.46</x:v>
      </x:c>
      <x:c r="J330" s="158" t="n">
        <x:v>6713581849.2</x:v>
      </x:c>
      <x:c r="K330" s="158"/>
      <x:c r="L330" s="153" t="n">
        <x:v>8423</x:v>
      </x:c>
      <x:c r="M330" s="153" t="n">
        <x:v>8464</x:v>
      </x:c>
      <x:c r="N330" s="153" t="n">
        <x:v>8416</x:v>
      </x:c>
      <x:c r="O330" s="153" t="n">
        <x:v>8441</x:v>
      </x:c>
      <x:c r="P330" s="154" t="n">
        <x:f>IFERROR(O330/O329-1,"")</x:f>
        <x:v>0.004283164782867388</x:v>
      </x:c>
      <x:c r="Q330" s="154" t="n">
        <x:f>IFERROR((M330-N330)/O329,"")</x:f>
        <x:v>0.005710886377156455</x:v>
      </x:c>
      <x:c r="R330" s="153" t="n">
        <x:v>8445</x:v>
      </x:c>
      <x:c r="S330" s="158" t="n">
        <x:v>514516</x:v>
      </x:c>
      <x:c r="T330" s="158" t="n">
        <x:v>4345377480</x:v>
      </x:c>
      <x:c r="U330" s="158" t="n">
        <x:v>3533774</x:v>
      </x:c>
      <x:c r="V330" s="153" t="n">
        <x:f>IFERROR(E330*1000/O330,"")</x:f>
        <x:v>92.34213955692454</x:v>
      </x:c>
      <x:c r="W330" s="153" t="n">
        <x:v>4.46</x:v>
      </x:c>
      <x:c r="X330" s="155" t="n">
        <x:v>45811</x:v>
      </x:c>
      <x:c r="Y330" s="153" t="n">
        <x:v>2.14</x:v>
      </x:c>
      <x:c r="Z330" s="155" t="n">
        <x:v>45811</x:v>
      </x:c>
      <x:c r="AA330" s="153" t="n">
        <x:f>IFERROR(Y330-Y329,"")</x:f>
        <x:v>0.010000000000000231</x:v>
      </x:c>
      <x:c r="AB330" s="153" t="n">
        <x:v>2.32</x:v>
      </x:c>
      <x:c r="AC330" s="153" t="n">
        <x:v>121.4592</x:v>
      </x:c>
      <x:c r="AD330" s="155" t="n">
        <x:v>45811</x:v>
      </x:c>
      <x:c r="AE330" s="154" t="n">
        <x:f>IFERROR(AC330/AC329-1,"")</x:f>
        <x:v>0.002237018321105788</x:v>
      </x:c>
      <x:c r="AF330" s="153" t="n">
        <x:v>17.69</x:v>
      </x:c>
      <x:c r="AG330" s="155" t="n">
        <x:v>45811</x:v>
      </x:c>
      <x:c r="AH330" s="153" t="n">
        <x:f>IFERROR(AF330-AF329,"")</x:f>
        <x:v>-0.6699999999999982</x:v>
      </x:c>
      <x:c r="AI330" s="153" t="n">
        <x:v>4.33</x:v>
      </x:c>
      <x:c r="AJ330" s="155" t="n">
        <x:v>45807</x:v>
      </x:c>
      <x:c r="AK330" s="159" t="n">
        <x:v>110816</x:v>
      </x:c>
      <x:c r="AL330" s="154" t="n">
        <x:v>0.2532717158281109</x:v>
      </x:c>
      <x:c r="AM330" s="159" t="n">
        <x:v>-46192</x:v>
      </x:c>
      <x:c r="AN330" s="155" t="n">
        <x:v>45807</x:v>
      </x:c>
      <x:c r="AO330" s="159" t="n">
        <x:v>33212</x:v>
      </x:c>
      <x:c r="AP330" s="154" t="n">
        <x:v>0.22508217274914438</x:v>
      </x:c>
      <x:c r="AQ330" s="159" t="n">
        <x:v>-31302</x:v>
      </x:c>
      <x:c r="AR330" s="147" t="str">
        <x:v>美国市场指标与CFTC数据均使用严格早于上金所交易日的最后已发布值</x:v>
      </x:c>
    </x:row>
    <x:row r="331">
      <x:c r="A331" s="155" t="n">
        <x:v>45813</x:v>
      </x:c>
      <x:c r="B331" s="153" t="n">
        <x:v>779.75</x:v>
      </x:c>
      <x:c r="C331" s="153" t="n">
        <x:v>783.69</x:v>
      </x:c>
      <x:c r="D331" s="153" t="n">
        <x:v>778</x:v>
      </x:c>
      <x:c r="E331" s="153" t="n">
        <x:v>781.25</x:v>
      </x:c>
      <x:c r="F331" s="154" t="n">
        <x:f>IFERROR(E331/E330-1,"")</x:f>
        <x:v>0.0022964616529390636</x:v>
      </x:c>
      <x:c r="G331" s="154" t="n">
        <x:f>IFERROR((C331-D331)/E330,"")</x:f>
        <x:v>0.007299925589510757</x:v>
      </x:c>
      <x:c r="H331" s="153" t="n">
        <x:v>780.93</x:v>
      </x:c>
      <x:c r="I331" s="158" t="n">
        <x:v>5692.66</x:v>
      </x:c>
      <x:c r="J331" s="158" t="n">
        <x:v>4445581207.4</x:v>
      </x:c>
      <x:c r="K331" s="158"/>
      <x:c r="L331" s="153" t="n">
        <x:v>8430</x:v>
      </x:c>
      <x:c r="M331" s="153" t="n">
        <x:v>8463</x:v>
      </x:c>
      <x:c r="N331" s="153" t="n">
        <x:v>8408</x:v>
      </x:c>
      <x:c r="O331" s="153" t="n">
        <x:v>8456</x:v>
      </x:c>
      <x:c r="P331" s="154" t="n">
        <x:f>IFERROR(O331/O330-1,"")</x:f>
        <x:v>0.0017770406349959522</x:v>
      </x:c>
      <x:c r="Q331" s="154" t="n">
        <x:f>IFERROR((M331-N331)/O330,"")</x:f>
        <x:v>0.006515815661651463</x:v>
      </x:c>
      <x:c r="R331" s="153" t="n">
        <x:v>8447</x:v>
      </x:c>
      <x:c r="S331" s="158" t="n">
        <x:v>536080</x:v>
      </x:c>
      <x:c r="T331" s="158" t="n">
        <x:v>4528303996</x:v>
      </x:c>
      <x:c r="U331" s="158" t="n">
        <x:v>3546434</x:v>
      </x:c>
      <x:c r="V331" s="153" t="n">
        <x:f>IFERROR(E331*1000/O331,"")</x:f>
        <x:v>92.39001892147587</x:v>
      </x:c>
      <x:c r="W331" s="153" t="n">
        <x:v>4.37</x:v>
      </x:c>
      <x:c r="X331" s="155" t="n">
        <x:v>45812</x:v>
      </x:c>
      <x:c r="Y331" s="153" t="n">
        <x:v>2.06</x:v>
      </x:c>
      <x:c r="Z331" s="155" t="n">
        <x:v>45812</x:v>
      </x:c>
      <x:c r="AA331" s="153" t="n">
        <x:f>IFERROR(Y331-Y330,"")</x:f>
        <x:v>-0.08000000000000007</x:v>
      </x:c>
      <x:c r="AB331" s="153" t="n">
        <x:v>2.31</x:v>
      </x:c>
      <x:c r="AC331" s="153" t="n">
        <x:v>121.0539</x:v>
      </x:c>
      <x:c r="AD331" s="155" t="n">
        <x:v>45812</x:v>
      </x:c>
      <x:c r="AE331" s="154" t="n">
        <x:f>IFERROR(AC331/AC330-1,"")</x:f>
        <x:v>-0.0033369230161238717</x:v>
      </x:c>
      <x:c r="AF331" s="153" t="n">
        <x:v>17.61</x:v>
      </x:c>
      <x:c r="AG331" s="155" t="n">
        <x:v>45812</x:v>
      </x:c>
      <x:c r="AH331" s="153" t="n">
        <x:f>IFERROR(AF331-AF330,"")</x:f>
        <x:v>-0.08000000000000185</x:v>
      </x:c>
      <x:c r="AI331" s="153" t="n">
        <x:v>4.33</x:v>
      </x:c>
      <x:c r="AJ331" s="155" t="n">
        <x:v>45807</x:v>
      </x:c>
      <x:c r="AK331" s="159" t="n">
        <x:v>110816</x:v>
      </x:c>
      <x:c r="AL331" s="154" t="n">
        <x:v>0.2532717158281109</x:v>
      </x:c>
      <x:c r="AM331" s="159" t="n">
        <x:v>-46192</x:v>
      </x:c>
      <x:c r="AN331" s="155" t="n">
        <x:v>45807</x:v>
      </x:c>
      <x:c r="AO331" s="159" t="n">
        <x:v>33212</x:v>
      </x:c>
      <x:c r="AP331" s="154" t="n">
        <x:v>0.22508217274914438</x:v>
      </x:c>
      <x:c r="AQ331" s="159" t="n">
        <x:v>-31302</x:v>
      </x:c>
      <x:c r="AR331" s="147" t="str">
        <x:v>美国市场指标与CFTC数据均使用严格早于上金所交易日的最后已发布值</x:v>
      </x:c>
    </x:row>
    <x:row r="332">
      <x:c r="A332" s="155" t="n">
        <x:v>45814</x:v>
      </x:c>
      <x:c r="B332" s="153" t="n">
        <x:v>786</x:v>
      </x:c>
      <x:c r="C332" s="153" t="n">
        <x:v>786</x:v>
      </x:c>
      <x:c r="D332" s="153" t="n">
        <x:v>774.5</x:v>
      </x:c>
      <x:c r="E332" s="153" t="n">
        <x:v>779.88</x:v>
      </x:c>
      <x:c r="F332" s="154" t="n">
        <x:f>IFERROR(E332/E331-1,"")</x:f>
        <x:v>-0.0017536000000000218</x:v>
      </x:c>
      <x:c r="G332" s="154" t="n">
        <x:f>IFERROR((C332-D332)/E331,"")</x:f>
        <x:v>0.01472</x:v>
      </x:c>
      <x:c r="H332" s="153" t="n">
        <x:v>779.91</x:v>
      </x:c>
      <x:c r="I332" s="158" t="n">
        <x:v>7020.16</x:v>
      </x:c>
      <x:c r="J332" s="158" t="n">
        <x:v>5475134453</x:v>
      </x:c>
      <x:c r="K332" s="158"/>
      <x:c r="L332" s="153" t="n">
        <x:v>8640</x:v>
      </x:c>
      <x:c r="M332" s="153" t="n">
        <x:v>8841</x:v>
      </x:c>
      <x:c r="N332" s="153" t="n">
        <x:v>8635</x:v>
      </x:c>
      <x:c r="O332" s="153" t="n">
        <x:v>8839</x:v>
      </x:c>
      <x:c r="P332" s="154" t="n">
        <x:f>IFERROR(O332/O331-1,"")</x:f>
        <x:v>0.04529328287606438</x:v>
      </x:c>
      <x:c r="Q332" s="154" t="n">
        <x:f>IFERROR((M332-N332)/O331,"")</x:f>
        <x:v>0.02436140018921476</x:v>
      </x:c>
      <x:c r="R332" s="153" t="n">
        <x:v>8741</x:v>
      </x:c>
      <x:c r="S332" s="158" t="n">
        <x:v>973300</x:v>
      </x:c>
      <x:c r="T332" s="158" t="n">
        <x:v>8507883786</x:v>
      </x:c>
      <x:c r="U332" s="158" t="n">
        <x:v>3545110</x:v>
      </x:c>
      <x:c r="V332" s="153" t="n">
        <x:f>IFERROR(E332*1000/O332,"")</x:f>
        <x:v>88.23170041859939</x:v>
      </x:c>
      <x:c r="W332" s="153" t="n">
        <x:v>4.4</x:v>
      </x:c>
      <x:c r="X332" s="155" t="n">
        <x:v>45813</x:v>
      </x:c>
      <x:c r="Y332" s="153" t="n">
        <x:v>2.11</x:v>
      </x:c>
      <x:c r="Z332" s="155" t="n">
        <x:v>45813</x:v>
      </x:c>
      <x:c r="AA332" s="153" t="n">
        <x:f>IFERROR(Y332-Y331,"")</x:f>
        <x:v>0.04999999999999982</x:v>
      </x:c>
      <x:c r="AB332" s="153" t="n">
        <x:v>2.29</x:v>
      </x:c>
      <x:c r="AC332" s="153" t="n">
        <x:v>120.9596</x:v>
      </x:c>
      <x:c r="AD332" s="155" t="n">
        <x:v>45813</x:v>
      </x:c>
      <x:c r="AE332" s="154" t="n">
        <x:f>IFERROR(AC332/AC331-1,"")</x:f>
        <x:v>-0.000778991837520393</x:v>
      </x:c>
      <x:c r="AF332" s="153" t="n">
        <x:v>18.48</x:v>
      </x:c>
      <x:c r="AG332" s="155" t="n">
        <x:v>45813</x:v>
      </x:c>
      <x:c r="AH332" s="153" t="n">
        <x:f>IFERROR(AF332-AF331,"")</x:f>
        <x:v>0.870000000000001</x:v>
      </x:c>
      <x:c r="AI332" s="153" t="n">
        <x:v>4.33</x:v>
      </x:c>
      <x:c r="AJ332" s="155" t="n">
        <x:v>45807</x:v>
      </x:c>
      <x:c r="AK332" s="159" t="n">
        <x:v>110816</x:v>
      </x:c>
      <x:c r="AL332" s="154" t="n">
        <x:v>0.2532717158281109</x:v>
      </x:c>
      <x:c r="AM332" s="159" t="n">
        <x:v>-46192</x:v>
      </x:c>
      <x:c r="AN332" s="155" t="n">
        <x:v>45807</x:v>
      </x:c>
      <x:c r="AO332" s="159" t="n">
        <x:v>33212</x:v>
      </x:c>
      <x:c r="AP332" s="154" t="n">
        <x:v>0.22508217274914438</x:v>
      </x:c>
      <x:c r="AQ332" s="159" t="n">
        <x:v>-31302</x:v>
      </x:c>
      <x:c r="AR332" s="147" t="str">
        <x:v>美国市场指标与CFTC数据均使用严格早于上金所交易日的最后已发布值</x:v>
      </x:c>
    </x:row>
    <x:row r="333">
      <x:c r="A333" s="155" t="n">
        <x:v>45817</x:v>
      </x:c>
      <x:c r="B333" s="153" t="n">
        <x:v>781</x:v>
      </x:c>
      <x:c r="C333" s="153" t="n">
        <x:v>781</x:v>
      </x:c>
      <x:c r="D333" s="153" t="n">
        <x:v>764.5</x:v>
      </x:c>
      <x:c r="E333" s="153" t="n">
        <x:v>772.3</x:v>
      </x:c>
      <x:c r="F333" s="154" t="n">
        <x:f>IFERROR(E333/E332-1,"")</x:f>
        <x:v>-0.00971944401702829</x:v>
      </x:c>
      <x:c r="G333" s="154" t="n">
        <x:f>IFERROR((C333-D333)/E332,"")</x:f>
        <x:v>0.021157101092475764</x:v>
      </x:c>
      <x:c r="H333" s="153" t="n">
        <x:v>768.89</x:v>
      </x:c>
      <x:c r="I333" s="158" t="n">
        <x:v>8559.7</x:v>
      </x:c>
      <x:c r="J333" s="158" t="n">
        <x:v>6581472189.8</x:v>
      </x:c>
      <x:c r="K333" s="158"/>
      <x:c r="L333" s="153" t="n">
        <x:v>8839</x:v>
      </x:c>
      <x:c r="M333" s="153" t="n">
        <x:v>8892</x:v>
      </x:c>
      <x:c r="N333" s="153" t="n">
        <x:v>8765</x:v>
      </x:c>
      <x:c r="O333" s="153" t="n">
        <x:v>8888</x:v>
      </x:c>
      <x:c r="P333" s="154" t="n">
        <x:f>IFERROR(O333/O332-1,"")</x:f>
        <x:v>0.005543613530942348</x:v>
      </x:c>
      <x:c r="Q333" s="154" t="n">
        <x:f>IFERROR((M333-N333)/O332,"")</x:f>
        <x:v>0.014368141192442584</x:v>
      </x:c>
      <x:c r="R333" s="153" t="n">
        <x:v>8822</x:v>
      </x:c>
      <x:c r="S333" s="158" t="n">
        <x:v>583946</x:v>
      </x:c>
      <x:c r="T333" s="158" t="n">
        <x:v>5151817374</x:v>
      </x:c>
      <x:c r="U333" s="158" t="n">
        <x:v>3559336</x:v>
      </x:c>
      <x:c r="V333" s="153" t="n">
        <x:f>IFERROR(E333*1000/O333,"")</x:f>
        <x:v>86.89243924392439</x:v>
      </x:c>
      <x:c r="W333" s="153" t="n">
        <x:v>4.51</x:v>
      </x:c>
      <x:c r="X333" s="155" t="n">
        <x:v>45814</x:v>
      </x:c>
      <x:c r="Y333" s="153" t="n">
        <x:v>2.2</x:v>
      </x:c>
      <x:c r="Z333" s="155" t="n">
        <x:v>45814</x:v>
      </x:c>
      <x:c r="AA333" s="153" t="n">
        <x:f>IFERROR(Y333-Y332,"")</x:f>
        <x:v>0.0900000000000003</x:v>
      </x:c>
      <x:c r="AB333" s="153" t="n">
        <x:v>2.31</x:v>
      </x:c>
      <x:c r="AC333" s="153" t="n">
        <x:v>121.161</x:v>
      </x:c>
      <x:c r="AD333" s="155" t="n">
        <x:v>45814</x:v>
      </x:c>
      <x:c r="AE333" s="154" t="n">
        <x:f>IFERROR(AC333/AC332-1,"")</x:f>
        <x:v>0.0016650187335276456</x:v>
      </x:c>
      <x:c r="AF333" s="153" t="n">
        <x:v>16.77</x:v>
      </x:c>
      <x:c r="AG333" s="155" t="n">
        <x:v>45814</x:v>
      </x:c>
      <x:c r="AH333" s="153" t="n">
        <x:f>IFERROR(AF333-AF332,"")</x:f>
        <x:v>-1.7100000000000009</x:v>
      </x:c>
      <x:c r="AI333" s="153" t="n">
        <x:v>4.33</x:v>
      </x:c>
      <x:c r="AJ333" s="155" t="n">
        <x:v>45814</x:v>
      </x:c>
      <x:c r="AK333" s="159" t="n">
        <x:v>123582</x:v>
      </x:c>
      <x:c r="AL333" s="154" t="n">
        <x:v>0.29711425418508874</x:v>
      </x:c>
      <x:c r="AM333" s="159" t="n">
        <x:v>-48108</x:v>
      </x:c>
      <x:c r="AN333" s="155" t="n">
        <x:v>45814</x:v>
      </x:c>
      <x:c r="AO333" s="159" t="n">
        <x:v>44833</x:v>
      </x:c>
      <x:c r="AP333" s="154" t="n">
        <x:v>0.27446478968086346</x:v>
      </x:c>
      <x:c r="AQ333" s="159" t="n">
        <x:v>-33435</x:v>
      </x:c>
      <x:c r="AR333" s="147" t="str">
        <x:v>美国市场指标与CFTC数据均使用严格早于上金所交易日的最后已发布值</x:v>
      </x:c>
    </x:row>
    <x:row r="334">
      <x:c r="A334" s="155" t="n">
        <x:v>45818</x:v>
      </x:c>
      <x:c r="B334" s="153" t="n">
        <x:v>780</x:v>
      </x:c>
      <x:c r="C334" s="153" t="n">
        <x:v>780</x:v>
      </x:c>
      <x:c r="D334" s="153" t="n">
        <x:v>766.7</x:v>
      </x:c>
      <x:c r="E334" s="153" t="n">
        <x:v>772.68</x:v>
      </x:c>
      <x:c r="F334" s="154" t="n">
        <x:f>IFERROR(E334/E333-1,"")</x:f>
        <x:v>0.0004920367732745845</x:v>
      </x:c>
      <x:c r="G334" s="154" t="n">
        <x:f>IFERROR((C334-D334)/E333,"")</x:f>
        <x:v>0.01722128706461214</x:v>
      </x:c>
      <x:c r="H334" s="153" t="n">
        <x:v>769.59</x:v>
      </x:c>
      <x:c r="I334" s="158" t="n">
        <x:v>7270.9</x:v>
      </x:c>
      <x:c r="J334" s="158" t="n">
        <x:v>5595675238.6</x:v>
      </x:c>
      <x:c r="K334" s="158"/>
      <x:c r="L334" s="153" t="n">
        <x:v>8878</x:v>
      </x:c>
      <x:c r="M334" s="153" t="n">
        <x:v>8993</x:v>
      </x:c>
      <x:c r="N334" s="153" t="n">
        <x:v>8840</x:v>
      </x:c>
      <x:c r="O334" s="153" t="n">
        <x:v>8882</x:v>
      </x:c>
      <x:c r="P334" s="154" t="n">
        <x:f>IFERROR(O334/O333-1,"")</x:f>
        <x:v>-0.0006750675067507261</x:v>
      </x:c>
      <x:c r="Q334" s="154" t="n">
        <x:f>IFERROR((M334-N334)/O333,"")</x:f>
        <x:v>0.017214221422142215</x:v>
      </x:c>
      <x:c r="R334" s="153" t="n">
        <x:v>8895</x:v>
      </x:c>
      <x:c r="S334" s="158" t="n">
        <x:v>617842</x:v>
      </x:c>
      <x:c r="T334" s="158" t="n">
        <x:v>5495743068</x:v>
      </x:c>
      <x:c r="U334" s="158" t="n">
        <x:v>3574734</x:v>
      </x:c>
      <x:c r="V334" s="153" t="n">
        <x:f>IFERROR(E334*1000/O334,"")</x:f>
        <x:v>86.99392028822338</x:v>
      </x:c>
      <x:c r="W334" s="153" t="n">
        <x:v>4.49</x:v>
      </x:c>
      <x:c r="X334" s="155" t="n">
        <x:v>45817</x:v>
      </x:c>
      <x:c r="Y334" s="153" t="n">
        <x:v>2.18</x:v>
      </x:c>
      <x:c r="Z334" s="155" t="n">
        <x:v>45817</x:v>
      </x:c>
      <x:c r="AA334" s="153" t="n">
        <x:f>IFERROR(Y334-Y333,"")</x:f>
        <x:v>-0.020000000000000018</x:v>
      </x:c>
      <x:c r="AB334" s="153" t="n">
        <x:v>2.31</x:v>
      </x:c>
      <x:c r="AC334" s="153" t="n">
        <x:v>120.9103</x:v>
      </x:c>
      <x:c r="AD334" s="155" t="n">
        <x:v>45817</x:v>
      </x:c>
      <x:c r="AE334" s="154" t="n">
        <x:f>IFERROR(AC334/AC333-1,"")</x:f>
        <x:v>-0.0020691476630267935</x:v>
      </x:c>
      <x:c r="AF334" s="153" t="n">
        <x:v>17.16</x:v>
      </x:c>
      <x:c r="AG334" s="155" t="n">
        <x:v>45817</x:v>
      </x:c>
      <x:c r="AH334" s="153" t="n">
        <x:f>IFERROR(AF334-AF333,"")</x:f>
        <x:v>0.39000000000000057</x:v>
      </x:c>
      <x:c r="AI334" s="153" t="n">
        <x:v>4.33</x:v>
      </x:c>
      <x:c r="AJ334" s="155" t="n">
        <x:v>45814</x:v>
      </x:c>
      <x:c r="AK334" s="159" t="n">
        <x:v>123582</x:v>
      </x:c>
      <x:c r="AL334" s="154" t="n">
        <x:v>0.29711425418508874</x:v>
      </x:c>
      <x:c r="AM334" s="159" t="n">
        <x:v>-48108</x:v>
      </x:c>
      <x:c r="AN334" s="155" t="n">
        <x:v>45814</x:v>
      </x:c>
      <x:c r="AO334" s="159" t="n">
        <x:v>44833</x:v>
      </x:c>
      <x:c r="AP334" s="154" t="n">
        <x:v>0.27446478968086346</x:v>
      </x:c>
      <x:c r="AQ334" s="159" t="n">
        <x:v>-33435</x:v>
      </x:c>
      <x:c r="AR334" s="147" t="str">
        <x:v>美国市场指标与CFTC数据均使用严格早于上金所交易日的最后已发布值</x:v>
      </x:c>
    </x:row>
    <x:row r="335">
      <x:c r="A335" s="155" t="n">
        <x:v>45819</x:v>
      </x:c>
      <x:c r="B335" s="153" t="n">
        <x:v>790</x:v>
      </x:c>
      <x:c r="C335" s="153" t="n">
        <x:v>790</x:v>
      </x:c>
      <x:c r="D335" s="153" t="n">
        <x:v>772.5</x:v>
      </x:c>
      <x:c r="E335" s="153" t="n">
        <x:v>774.69</x:v>
      </x:c>
      <x:c r="F335" s="154" t="n">
        <x:f>IFERROR(E335/E334-1,"")</x:f>
        <x:v>0.0026013356111198593</x:v>
      </x:c>
      <x:c r="G335" s="154" t="n">
        <x:f>IFERROR((C335-D335)/E334,"")</x:f>
        <x:v>0.022648444375420615</x:v>
      </x:c>
      <x:c r="H335" s="153" t="n">
        <x:v>774.47</x:v>
      </x:c>
      <x:c r="I335" s="158" t="n">
        <x:v>7834.42</x:v>
      </x:c>
      <x:c r="J335" s="158" t="n">
        <x:v>6067535912.8</x:v>
      </x:c>
      <x:c r="K335" s="158"/>
      <x:c r="L335" s="153" t="n">
        <x:v>8912</x:v>
      </x:c>
      <x:c r="M335" s="153" t="n">
        <x:v>8929</x:v>
      </x:c>
      <x:c r="N335" s="153" t="n">
        <x:v>8836</x:v>
      </x:c>
      <x:c r="O335" s="153" t="n">
        <x:v>8882</x:v>
      </x:c>
      <x:c r="P335" s="154" t="n">
        <x:f>IFERROR(O335/O334-1,"")</x:f>
        <x:v>0</x:v>
      </x:c>
      <x:c r="Q335" s="154" t="n">
        <x:f>IFERROR((M335-N335)/O334,"")</x:f>
        <x:v>0.01047061472641297</x:v>
      </x:c>
      <x:c r="R335" s="153" t="n">
        <x:v>8883</x:v>
      </x:c>
      <x:c r="S335" s="158" t="n">
        <x:v>489282</x:v>
      </x:c>
      <x:c r="T335" s="158" t="n">
        <x:v>4346676256</x:v>
      </x:c>
      <x:c r="U335" s="158" t="n">
        <x:v>3481078</x:v>
      </x:c>
      <x:c r="V335" s="153" t="n">
        <x:f>IFERROR(E335*1000/O335,"")</x:f>
        <x:v>87.22022067102004</x:v>
      </x:c>
      <x:c r="W335" s="153" t="n">
        <x:v>4.47</x:v>
      </x:c>
      <x:c r="X335" s="155" t="n">
        <x:v>45818</x:v>
      </x:c>
      <x:c r="Y335" s="153" t="n">
        <x:v>2.18</x:v>
      </x:c>
      <x:c r="Z335" s="155" t="n">
        <x:v>45818</x:v>
      </x:c>
      <x:c r="AA335" s="153" t="n">
        <x:f>IFERROR(Y335-Y334,"")</x:f>
        <x:v>0</x:v>
      </x:c>
      <x:c r="AB335" s="153" t="n">
        <x:v>2.29</x:v>
      </x:c>
      <x:c r="AC335" s="153" t="n">
        <x:v>121.0485</x:v>
      </x:c>
      <x:c r="AD335" s="155" t="n">
        <x:v>45818</x:v>
      </x:c>
      <x:c r="AE335" s="154" t="n">
        <x:f>IFERROR(AC335/AC334-1,"")</x:f>
        <x:v>0.0011429960888360569</x:v>
      </x:c>
      <x:c r="AF335" s="153" t="n">
        <x:v>16.95</x:v>
      </x:c>
      <x:c r="AG335" s="155" t="n">
        <x:v>45818</x:v>
      </x:c>
      <x:c r="AH335" s="153" t="n">
        <x:f>IFERROR(AF335-AF334,"")</x:f>
        <x:v>-0.21000000000000085</x:v>
      </x:c>
      <x:c r="AI335" s="153" t="n">
        <x:v>4.33</x:v>
      </x:c>
      <x:c r="AJ335" s="155" t="n">
        <x:v>45814</x:v>
      </x:c>
      <x:c r="AK335" s="159" t="n">
        <x:v>123582</x:v>
      </x:c>
      <x:c r="AL335" s="154" t="n">
        <x:v>0.29711425418508874</x:v>
      </x:c>
      <x:c r="AM335" s="159" t="n">
        <x:v>-48108</x:v>
      </x:c>
      <x:c r="AN335" s="155" t="n">
        <x:v>45814</x:v>
      </x:c>
      <x:c r="AO335" s="159" t="n">
        <x:v>44833</x:v>
      </x:c>
      <x:c r="AP335" s="154" t="n">
        <x:v>0.27446478968086346</x:v>
      </x:c>
      <x:c r="AQ335" s="159" t="n">
        <x:v>-33435</x:v>
      </x:c>
      <x:c r="AR335" s="147" t="str">
        <x:v>美国市场指标与CFTC数据均使用严格早于上金所交易日的最后已发布值</x:v>
      </x:c>
    </x:row>
    <x:row r="336">
      <x:c r="A336" s="155" t="n">
        <x:v>45820</x:v>
      </x:c>
      <x:c r="B336" s="153" t="n">
        <x:v>774</x:v>
      </x:c>
      <x:c r="C336" s="153" t="n">
        <x:v>783.5</x:v>
      </x:c>
      <x:c r="D336" s="153" t="n">
        <x:v>772.2</x:v>
      </x:c>
      <x:c r="E336" s="153" t="n">
        <x:v>780.54</x:v>
      </x:c>
      <x:c r="F336" s="154" t="n">
        <x:f>IFERROR(E336/E335-1,"")</x:f>
        <x:v>0.007551407659837972</x:v>
      </x:c>
      <x:c r="G336" s="154" t="n">
        <x:f>IFERROR((C336-D336)/E335,"")</x:f>
        <x:v>0.01458647975319154</x:v>
      </x:c>
      <x:c r="H336" s="153" t="n">
        <x:v>781.64</x:v>
      </x:c>
      <x:c r="I336" s="158" t="n">
        <x:v>6324.96</x:v>
      </x:c>
      <x:c r="J336" s="158" t="n">
        <x:v>4943885476.6</x:v>
      </x:c>
      <x:c r="K336" s="158"/>
      <x:c r="L336" s="153" t="n">
        <x:v>8839</x:v>
      </x:c>
      <x:c r="M336" s="153" t="n">
        <x:v>8899</x:v>
      </x:c>
      <x:c r="N336" s="153" t="n">
        <x:v>8768</x:v>
      </x:c>
      <x:c r="O336" s="153" t="n">
        <x:v>8770</x:v>
      </x:c>
      <x:c r="P336" s="154" t="n">
        <x:f>IFERROR(O336/O335-1,"")</x:f>
        <x:v>-0.012609772573744626</x:v>
      </x:c>
      <x:c r="Q336" s="154" t="n">
        <x:f>IFERROR((M336-N336)/O335,"")</x:f>
        <x:v>0.014748930421076334</x:v>
      </x:c>
      <x:c r="R336" s="153" t="n">
        <x:v>8822</x:v>
      </x:c>
      <x:c r="S336" s="158" t="n">
        <x:v>805092</x:v>
      </x:c>
      <x:c r="T336" s="158" t="n">
        <x:v>7102681112</x:v>
      </x:c>
      <x:c r="U336" s="158" t="n">
        <x:v>3511988</x:v>
      </x:c>
      <x:c r="V336" s="153" t="n">
        <x:f>IFERROR(E336*1000/O336,"")</x:f>
        <x:v>89.00114025085519</x:v>
      </x:c>
      <x:c r="W336" s="153" t="n">
        <x:v>4.41</x:v>
      </x:c>
      <x:c r="X336" s="155" t="n">
        <x:v>45819</x:v>
      </x:c>
      <x:c r="Y336" s="153" t="n">
        <x:v>2.14</x:v>
      </x:c>
      <x:c r="Z336" s="155" t="n">
        <x:v>45819</x:v>
      </x:c>
      <x:c r="AA336" s="153" t="n">
        <x:f>IFERROR(Y336-Y335,"")</x:f>
        <x:v>-0.040000000000000036</x:v>
      </x:c>
      <x:c r="AB336" s="153" t="n">
        <x:v>2.27</x:v>
      </x:c>
      <x:c r="AC336" s="153" t="n">
        <x:v>120.587</x:v>
      </x:c>
      <x:c r="AD336" s="155" t="n">
        <x:v>45819</x:v>
      </x:c>
      <x:c r="AE336" s="154" t="n">
        <x:f>IFERROR(AC336/AC335-1,"")</x:f>
        <x:v>-0.0038125214273617702</x:v>
      </x:c>
      <x:c r="AF336" s="153" t="n">
        <x:v>17.26</x:v>
      </x:c>
      <x:c r="AG336" s="155" t="n">
        <x:v>45819</x:v>
      </x:c>
      <x:c r="AH336" s="153" t="n">
        <x:f>IFERROR(AF336-AF335,"")</x:f>
        <x:v>0.3100000000000023</x:v>
      </x:c>
      <x:c r="AI336" s="153" t="n">
        <x:v>4.33</x:v>
      </x:c>
      <x:c r="AJ336" s="155" t="n">
        <x:v>45814</x:v>
      </x:c>
      <x:c r="AK336" s="159" t="n">
        <x:v>123582</x:v>
      </x:c>
      <x:c r="AL336" s="154" t="n">
        <x:v>0.29711425418508874</x:v>
      </x:c>
      <x:c r="AM336" s="159" t="n">
        <x:v>-48108</x:v>
      </x:c>
      <x:c r="AN336" s="155" t="n">
        <x:v>45814</x:v>
      </x:c>
      <x:c r="AO336" s="159" t="n">
        <x:v>44833</x:v>
      </x:c>
      <x:c r="AP336" s="154" t="n">
        <x:v>0.27446478968086346</x:v>
      </x:c>
      <x:c r="AQ336" s="159" t="n">
        <x:v>-33435</x:v>
      </x:c>
      <x:c r="AR336" s="147" t="str">
        <x:v>美国市场指标与CFTC数据均使用严格早于上金所交易日的最后已发布值</x:v>
      </x:c>
    </x:row>
    <x:row r="337">
      <x:c r="A337" s="155" t="n">
        <x:v>45821</x:v>
      </x:c>
      <x:c r="B337" s="153" t="n">
        <x:v>785</x:v>
      </x:c>
      <x:c r="C337" s="153" t="n">
        <x:v>798</x:v>
      </x:c>
      <x:c r="D337" s="153" t="n">
        <x:v>773.99</x:v>
      </x:c>
      <x:c r="E337" s="153" t="n">
        <x:v>792.07</x:v>
      </x:c>
      <x:c r="F337" s="154" t="n">
        <x:f>IFERROR(E337/E336-1,"")</x:f>
        <x:v>0.01477182463422766</x:v>
      </x:c>
      <x:c r="G337" s="154" t="n">
        <x:f>IFERROR((C337-D337)/E336,"")</x:f>
        <x:v>0.030760755374484323</x:v>
      </x:c>
      <x:c r="H337" s="153" t="n">
        <x:v>793.28</x:v>
      </x:c>
      <x:c r="I337" s="158" t="n">
        <x:v>9681.88</x:v>
      </x:c>
      <x:c r="J337" s="158" t="n">
        <x:v>7680484429</x:v>
      </x:c>
      <x:c r="K337" s="158"/>
      <x:c r="L337" s="153" t="n">
        <x:v>8794</x:v>
      </x:c>
      <x:c r="M337" s="153" t="n">
        <x:v>8892</x:v>
      </x:c>
      <x:c r="N337" s="153" t="n">
        <x:v>8751</x:v>
      </x:c>
      <x:c r="O337" s="153" t="n">
        <x:v>8793</x:v>
      </x:c>
      <x:c r="P337" s="154" t="n">
        <x:f>IFERROR(O337/O336-1,"")</x:f>
        <x:v>0.002622576966932799</x:v>
      </x:c>
      <x:c r="Q337" s="154" t="n">
        <x:f>IFERROR((M337-N337)/O336,"")</x:f>
        <x:v>0.016077537058152794</x:v>
      </x:c>
      <x:c r="R337" s="153" t="n">
        <x:v>8803</x:v>
      </x:c>
      <x:c r="S337" s="158" t="n">
        <x:v>853964</x:v>
      </x:c>
      <x:c r="T337" s="158" t="n">
        <x:v>7518276866</x:v>
      </x:c>
      <x:c r="U337" s="158" t="n">
        <x:v>3525006</x:v>
      </x:c>
      <x:c r="V337" s="153" t="n">
        <x:f>IFERROR(E337*1000/O337,"")</x:f>
        <x:v>90.07960877971114</x:v>
      </x:c>
      <x:c r="W337" s="153" t="n">
        <x:v>4.36</x:v>
      </x:c>
      <x:c r="X337" s="155" t="n">
        <x:v>45820</x:v>
      </x:c>
      <x:c r="Y337" s="153" t="n">
        <x:v>2.11</x:v>
      </x:c>
      <x:c r="Z337" s="155" t="n">
        <x:v>45820</x:v>
      </x:c>
      <x:c r="AA337" s="153" t="n">
        <x:f>IFERROR(Y337-Y336,"")</x:f>
        <x:v>-0.03000000000000025</x:v>
      </x:c>
      <x:c r="AB337" s="153" t="n">
        <x:v>2.25</x:v>
      </x:c>
      <x:c r="AC337" s="153" t="n">
        <x:v>120.1723</x:v>
      </x:c>
      <x:c r="AD337" s="155" t="n">
        <x:v>45820</x:v>
      </x:c>
      <x:c r="AE337" s="154" t="n">
        <x:f>IFERROR(AC337/AC336-1,"")</x:f>
        <x:v>-0.003439010838647616</x:v>
      </x:c>
      <x:c r="AF337" s="153" t="n">
        <x:v>18.02</x:v>
      </x:c>
      <x:c r="AG337" s="155" t="n">
        <x:v>45820</x:v>
      </x:c>
      <x:c r="AH337" s="153" t="n">
        <x:f>IFERROR(AF337-AF336,"")</x:f>
        <x:v>0.759999999999998</x:v>
      </x:c>
      <x:c r="AI337" s="153" t="n">
        <x:v>4.33</x:v>
      </x:c>
      <x:c r="AJ337" s="155" t="n">
        <x:v>45814</x:v>
      </x:c>
      <x:c r="AK337" s="159" t="n">
        <x:v>123582</x:v>
      </x:c>
      <x:c r="AL337" s="154" t="n">
        <x:v>0.29711425418508874</x:v>
      </x:c>
      <x:c r="AM337" s="159" t="n">
        <x:v>-48108</x:v>
      </x:c>
      <x:c r="AN337" s="155" t="n">
        <x:v>45814</x:v>
      </x:c>
      <x:c r="AO337" s="159" t="n">
        <x:v>44833</x:v>
      </x:c>
      <x:c r="AP337" s="154" t="n">
        <x:v>0.27446478968086346</x:v>
      </x:c>
      <x:c r="AQ337" s="159" t="n">
        <x:v>-33435</x:v>
      </x:c>
      <x:c r="AR337" s="147" t="str">
        <x:v>美国市场指标与CFTC数据均使用严格早于上金所交易日的最后已发布值</x:v>
      </x:c>
    </x:row>
    <x:row r="338">
      <x:c r="A338" s="155" t="n">
        <x:v>45824</x:v>
      </x:c>
      <x:c r="B338" s="153" t="n">
        <x:v>795</x:v>
      </x:c>
      <x:c r="C338" s="153" t="n">
        <x:v>798</x:v>
      </x:c>
      <x:c r="D338" s="153" t="n">
        <x:v>787.3</x:v>
      </x:c>
      <x:c r="E338" s="153" t="n">
        <x:v>788.2</x:v>
      </x:c>
      <x:c r="F338" s="154" t="n">
        <x:f>IFERROR(E338/E337-1,"")</x:f>
        <x:v>-0.004885931798957133</x:v>
      </x:c>
      <x:c r="G338" s="154" t="n">
        <x:f>IFERROR((C338-D338)/E337,"")</x:f>
        <x:v>0.013508907041044408</x:v>
      </x:c>
      <x:c r="H338" s="153" t="n">
        <x:v>792.24</x:v>
      </x:c>
      <x:c r="I338" s="158" t="n">
        <x:v>9848.44</x:v>
      </x:c>
      <x:c r="J338" s="158" t="n">
        <x:v>7802424589.6</x:v>
      </x:c>
      <x:c r="K338" s="158"/>
      <x:c r="L338" s="153" t="n">
        <x:v>8820</x:v>
      </x:c>
      <x:c r="M338" s="153" t="n">
        <x:v>8862</x:v>
      </x:c>
      <x:c r="N338" s="153" t="n">
        <x:v>8767</x:v>
      </x:c>
      <x:c r="O338" s="153" t="n">
        <x:v>8835</x:v>
      </x:c>
      <x:c r="P338" s="154" t="n">
        <x:f>IFERROR(O338/O337-1,"")</x:f>
        <x:v>0.004776526782668045</x:v>
      </x:c>
      <x:c r="Q338" s="154" t="n">
        <x:f>IFERROR((M338-N338)/O337,"")</x:f>
        <x:v>0.010804048675082452</x:v>
      </x:c>
      <x:c r="R338" s="153" t="n">
        <x:v>8801</x:v>
      </x:c>
      <x:c r="S338" s="158" t="n">
        <x:v>550218</x:v>
      </x:c>
      <x:c r="T338" s="158" t="n">
        <x:v>4842993982</x:v>
      </x:c>
      <x:c r="U338" s="158" t="n">
        <x:v>3612162</x:v>
      </x:c>
      <x:c r="V338" s="153" t="n">
        <x:f>IFERROR(E338*1000/O338,"")</x:f>
        <x:v>89.21335597057158</x:v>
      </x:c>
      <x:c r="W338" s="153" t="n">
        <x:v>4.41</x:v>
      </x:c>
      <x:c r="X338" s="155" t="n">
        <x:v>45821</x:v>
      </x:c>
      <x:c r="Y338" s="153" t="n">
        <x:v>2.13</x:v>
      </x:c>
      <x:c r="Z338" s="155" t="n">
        <x:v>45821</x:v>
      </x:c>
      <x:c r="AA338" s="153" t="n">
        <x:f>IFERROR(Y338-Y337,"")</x:f>
        <x:v>0.020000000000000018</x:v>
      </x:c>
      <x:c r="AB338" s="153" t="n">
        <x:v>2.28</x:v>
      </x:c>
      <x:c r="AC338" s="153" t="n">
        <x:v>120.3245</x:v>
      </x:c>
      <x:c r="AD338" s="155" t="n">
        <x:v>45821</x:v>
      </x:c>
      <x:c r="AE338" s="154" t="n">
        <x:f>IFERROR(AC338/AC337-1,"")</x:f>
        <x:v>0.0012665148291244321</x:v>
      </x:c>
      <x:c r="AF338" s="153" t="n">
        <x:v>20.82</x:v>
      </x:c>
      <x:c r="AG338" s="155" t="n">
        <x:v>45821</x:v>
      </x:c>
      <x:c r="AH338" s="153" t="n">
        <x:f>IFERROR(AF338-AF337,"")</x:f>
        <x:v>2.8000000000000007</x:v>
      </x:c>
      <x:c r="AI338" s="153" t="n">
        <x:v>4.33</x:v>
      </x:c>
      <x:c r="AJ338" s="155" t="n">
        <x:v>45821</x:v>
      </x:c>
      <x:c r="AK338" s="159" t="n">
        <x:v>124091</x:v>
      </x:c>
      <x:c r="AL338" s="154" t="n">
        <x:v>0.2974783227813963</x:v>
      </x:c>
      <x:c r="AM338" s="159" t="n">
        <x:v>-49365</x:v>
      </x:c>
      <x:c r="AN338" s="155" t="n">
        <x:v>45821</x:v>
      </x:c>
      <x:c r="AO338" s="159" t="n">
        <x:v>47933</x:v>
      </x:c>
      <x:c r="AP338" s="154" t="n">
        <x:v>0.275032849249201</x:v>
      </x:c>
      <x:c r="AQ338" s="159" t="n">
        <x:v>-36562</x:v>
      </x:c>
      <x:c r="AR338" s="147" t="str">
        <x:v>美国市场指标与CFTC数据均使用严格早于上金所交易日的最后已发布值</x:v>
      </x:c>
    </x:row>
    <x:row r="339">
      <x:c r="A339" s="155" t="n">
        <x:v>45825</x:v>
      </x:c>
      <x:c r="B339" s="153" t="n">
        <x:v>789</x:v>
      </x:c>
      <x:c r="C339" s="153" t="n">
        <x:v>789</x:v>
      </x:c>
      <x:c r="D339" s="153" t="n">
        <x:v>779.01</x:v>
      </x:c>
      <x:c r="E339" s="153" t="n">
        <x:v>783.19</x:v>
      </x:c>
      <x:c r="F339" s="154" t="n">
        <x:f>IFERROR(E339/E338-1,"")</x:f>
        <x:v>-0.00635625475767565</x:v>
      </x:c>
      <x:c r="G339" s="154" t="n">
        <x:f>IFERROR((C339-D339)/E338,"")</x:f>
        <x:v>0.012674448109616859</x:v>
      </x:c>
      <x:c r="H339" s="153" t="n">
        <x:v>782.67</x:v>
      </x:c>
      <x:c r="I339" s="158" t="n">
        <x:v>6886.42</x:v>
      </x:c>
      <x:c r="J339" s="158" t="n">
        <x:v>5389832009.8</x:v>
      </x:c>
      <x:c r="K339" s="158"/>
      <x:c r="L339" s="153" t="n">
        <x:v>8800</x:v>
      </x:c>
      <x:c r="M339" s="153" t="n">
        <x:v>8845</x:v>
      </x:c>
      <x:c r="N339" s="153" t="n">
        <x:v>8781</x:v>
      </x:c>
      <x:c r="O339" s="153" t="n">
        <x:v>8831</x:v>
      </x:c>
      <x:c r="P339" s="154" t="n">
        <x:f>IFERROR(O339/O338-1,"")</x:f>
        <x:v>-0.00045274476513867956</x:v>
      </x:c>
      <x:c r="Q339" s="154" t="n">
        <x:f>IFERROR((M339-N339)/O338,"")</x:f>
        <x:v>0.00724391624221845</x:v>
      </x:c>
      <x:c r="R339" s="153" t="n">
        <x:v>8815</x:v>
      </x:c>
      <x:c r="S339" s="158" t="n">
        <x:v>284700</x:v>
      </x:c>
      <x:c r="T339" s="158" t="n">
        <x:v>2509665918</x:v>
      </x:c>
      <x:c r="U339" s="158" t="n">
        <x:v>3624194</x:v>
      </x:c>
      <x:c r="V339" s="153" t="n">
        <x:f>IFERROR(E339*1000/O339,"")</x:f>
        <x:v>88.68644547616351</x:v>
      </x:c>
      <x:c r="W339" s="153" t="n">
        <x:v>4.46</x:v>
      </x:c>
      <x:c r="X339" s="155" t="n">
        <x:v>45824</x:v>
      </x:c>
      <x:c r="Y339" s="153" t="n">
        <x:v>2.16</x:v>
      </x:c>
      <x:c r="Z339" s="155" t="n">
        <x:v>45824</x:v>
      </x:c>
      <x:c r="AA339" s="153" t="n">
        <x:f>IFERROR(Y339-Y338,"")</x:f>
        <x:v>0.03000000000000025</x:v>
      </x:c>
      <x:c r="AB339" s="153" t="n">
        <x:v>2.3</x:v>
      </x:c>
      <x:c r="AC339" s="153" t="n">
        <x:v>120.1565</x:v>
      </x:c>
      <x:c r="AD339" s="155" t="n">
        <x:v>45824</x:v>
      </x:c>
      <x:c r="AE339" s="154" t="n">
        <x:f>IFERROR(AC339/AC338-1,"")</x:f>
        <x:v>-0.0013962243765817117</x:v>
      </x:c>
      <x:c r="AF339" s="153" t="n">
        <x:v>19.11</x:v>
      </x:c>
      <x:c r="AG339" s="155" t="n">
        <x:v>45824</x:v>
      </x:c>
      <x:c r="AH339" s="153" t="n">
        <x:f>IFERROR(AF339-AF338,"")</x:f>
        <x:v>-1.7100000000000009</x:v>
      </x:c>
      <x:c r="AI339" s="153" t="n">
        <x:v>4.33</x:v>
      </x:c>
      <x:c r="AJ339" s="155" t="n">
        <x:v>45821</x:v>
      </x:c>
      <x:c r="AK339" s="159" t="n">
        <x:v>124091</x:v>
      </x:c>
      <x:c r="AL339" s="154" t="n">
        <x:v>0.2974783227813963</x:v>
      </x:c>
      <x:c r="AM339" s="159" t="n">
        <x:v>-49365</x:v>
      </x:c>
      <x:c r="AN339" s="155" t="n">
        <x:v>45821</x:v>
      </x:c>
      <x:c r="AO339" s="159" t="n">
        <x:v>47933</x:v>
      </x:c>
      <x:c r="AP339" s="154" t="n">
        <x:v>0.275032849249201</x:v>
      </x:c>
      <x:c r="AQ339" s="159" t="n">
        <x:v>-36562</x:v>
      </x:c>
      <x:c r="AR339" s="147" t="str">
        <x:v>美国市场指标与CFTC数据均使用严格早于上金所交易日的最后已发布值</x:v>
      </x:c>
    </x:row>
    <x:row r="340">
      <x:c r="A340" s="155" t="n">
        <x:v>45826</x:v>
      </x:c>
      <x:c r="B340" s="153" t="n">
        <x:v>800</x:v>
      </x:c>
      <x:c r="C340" s="153" t="n">
        <x:v>800</x:v>
      </x:c>
      <x:c r="D340" s="153" t="n">
        <x:v>779</x:v>
      </x:c>
      <x:c r="E340" s="153" t="n">
        <x:v>781.85</x:v>
      </x:c>
      <x:c r="F340" s="154" t="n">
        <x:f>IFERROR(E340/E339-1,"")</x:f>
        <x:v>-0.0017109513655690911</x:v>
      </x:c>
      <x:c r="G340" s="154" t="n">
        <x:f>IFERROR((C340-D340)/E339,"")</x:f>
        <x:v>0.026813416923096564</x:v>
      </x:c>
      <x:c r="H340" s="153" t="n">
        <x:v>782.26</x:v>
      </x:c>
      <x:c r="I340" s="158" t="n">
        <x:v>9091.32</x:v>
      </x:c>
      <x:c r="J340" s="158" t="n">
        <x:v>7111836485.4</x:v>
      </x:c>
      <x:c r="K340" s="158"/>
      <x:c r="L340" s="153" t="n">
        <x:v>8933</x:v>
      </x:c>
      <x:c r="M340" s="153" t="n">
        <x:v>9040</x:v>
      </x:c>
      <x:c r="N340" s="153" t="n">
        <x:v>8887</x:v>
      </x:c>
      <x:c r="O340" s="153" t="n">
        <x:v>8989</x:v>
      </x:c>
      <x:c r="P340" s="154" t="n">
        <x:f>IFERROR(O340/O339-1,"")</x:f>
        <x:v>0.017891518514324467</x:v>
      </x:c>
      <x:c r="Q340" s="154" t="n">
        <x:f>IFERROR((M340-N340)/O339,"")</x:f>
        <x:v>0.017325331219567433</x:v>
      </x:c>
      <x:c r="R340" s="153" t="n">
        <x:v>8975</x:v>
      </x:c>
      <x:c r="S340" s="158" t="n">
        <x:v>727496</x:v>
      </x:c>
      <x:c r="T340" s="158" t="n">
        <x:v>6529277348</x:v>
      </x:c>
      <x:c r="U340" s="158" t="n">
        <x:v>3679664</x:v>
      </x:c>
      <x:c r="V340" s="153" t="n">
        <x:f>IFERROR(E340*1000/O340,"")</x:f>
        <x:v>86.97852931360552</x:v>
      </x:c>
      <x:c r="W340" s="153" t="n">
        <x:v>4.39</x:v>
      </x:c>
      <x:c r="X340" s="155" t="n">
        <x:v>45825</x:v>
      </x:c>
      <x:c r="Y340" s="153" t="n">
        <x:v>2.08</x:v>
      </x:c>
      <x:c r="Z340" s="155" t="n">
        <x:v>45825</x:v>
      </x:c>
      <x:c r="AA340" s="153" t="n">
        <x:f>IFERROR(Y340-Y339,"")</x:f>
        <x:v>-0.08000000000000007</x:v>
      </x:c>
      <x:c r="AB340" s="153" t="n">
        <x:v>2.31</x:v>
      </x:c>
      <x:c r="AC340" s="153" t="n">
        <x:v>120.5048</x:v>
      </x:c>
      <x:c r="AD340" s="155" t="n">
        <x:v>45825</x:v>
      </x:c>
      <x:c r="AE340" s="154" t="n">
        <x:f>IFERROR(AC340/AC339-1,"")</x:f>
        <x:v>0.002898719586539311</x:v>
      </x:c>
      <x:c r="AF340" s="153" t="n">
        <x:v>21.6</x:v>
      </x:c>
      <x:c r="AG340" s="155" t="n">
        <x:v>45825</x:v>
      </x:c>
      <x:c r="AH340" s="153" t="n">
        <x:f>IFERROR(AF340-AF339,"")</x:f>
        <x:v>2.490000000000002</x:v>
      </x:c>
      <x:c r="AI340" s="153" t="n">
        <x:v>4.33</x:v>
      </x:c>
      <x:c r="AJ340" s="155" t="n">
        <x:v>45821</x:v>
      </x:c>
      <x:c r="AK340" s="159" t="n">
        <x:v>124091</x:v>
      </x:c>
      <x:c r="AL340" s="154" t="n">
        <x:v>0.2974783227813963</x:v>
      </x:c>
      <x:c r="AM340" s="159" t="n">
        <x:v>-49365</x:v>
      </x:c>
      <x:c r="AN340" s="155" t="n">
        <x:v>45821</x:v>
      </x:c>
      <x:c r="AO340" s="159" t="n">
        <x:v>47933</x:v>
      </x:c>
      <x:c r="AP340" s="154" t="n">
        <x:v>0.275032849249201</x:v>
      </x:c>
      <x:c r="AQ340" s="159" t="n">
        <x:v>-36562</x:v>
      </x:c>
      <x:c r="AR340" s="147" t="str">
        <x:v>美国市场指标与CFTC数据均使用严格早于上金所交易日的最后已发布值</x:v>
      </x:c>
    </x:row>
    <x:row r="341">
      <x:c r="A341" s="155" t="n">
        <x:v>45827</x:v>
      </x:c>
      <x:c r="B341" s="153" t="n">
        <x:v>784</x:v>
      </x:c>
      <x:c r="C341" s="153" t="n">
        <x:v>785</x:v>
      </x:c>
      <x:c r="D341" s="153" t="n">
        <x:v>776.3</x:v>
      </x:c>
      <x:c r="E341" s="153" t="n">
        <x:v>777.41</x:v>
      </x:c>
      <x:c r="F341" s="154" t="n">
        <x:f>IFERROR(E341/E340-1,"")</x:f>
        <x:v>-0.00567883865191543</x:v>
      </x:c>
      <x:c r="G341" s="154" t="n">
        <x:f>IFERROR((C341-D341)/E340,"")</x:f>
        <x:v>0.011127454115239554</x:v>
      </x:c>
      <x:c r="H341" s="153" t="n">
        <x:v>780.14</x:v>
      </x:c>
      <x:c r="I341" s="158" t="n">
        <x:v>8348.9</x:v>
      </x:c>
      <x:c r="J341" s="158" t="n">
        <x:v>6513314061.8</x:v>
      </x:c>
      <x:c r="K341" s="158"/>
      <x:c r="L341" s="153" t="n">
        <x:v>8986</x:v>
      </x:c>
      <x:c r="M341" s="153" t="n">
        <x:v>8994</x:v>
      </x:c>
      <x:c r="N341" s="153" t="n">
        <x:v>8757</x:v>
      </x:c>
      <x:c r="O341" s="153" t="n">
        <x:v>8777</x:v>
      </x:c>
      <x:c r="P341" s="154" t="n">
        <x:f>IFERROR(O341/O340-1,"")</x:f>
        <x:v>-0.023584380910001146</x:v>
      </x:c>
      <x:c r="Q341" s="154" t="n">
        <x:f>IFERROR((M341-N341)/O340,"")</x:f>
        <x:v>0.026365557904105018</x:v>
      </x:c>
      <x:c r="R341" s="153" t="n">
        <x:v>8864</x:v>
      </x:c>
      <x:c r="S341" s="158" t="n">
        <x:v>550626</x:v>
      </x:c>
      <x:c r="T341" s="158" t="n">
        <x:v>4881127462</x:v>
      </x:c>
      <x:c r="U341" s="158" t="n">
        <x:v>3279642</x:v>
      </x:c>
      <x:c r="V341" s="153" t="n">
        <x:f>IFERROR(E341*1000/O341,"")</x:f>
        <x:v>88.57354449128404</x:v>
      </x:c>
      <x:c r="W341" s="153" t="n">
        <x:v>4.38</x:v>
      </x:c>
      <x:c r="X341" s="155" t="n">
        <x:v>45826</x:v>
      </x:c>
      <x:c r="Y341" s="153" t="n">
        <x:v>2.07</x:v>
      </x:c>
      <x:c r="Z341" s="155" t="n">
        <x:v>45826</x:v>
      </x:c>
      <x:c r="AA341" s="153" t="n">
        <x:f>IFERROR(Y341-Y340,"")</x:f>
        <x:v>-0.010000000000000231</x:v>
      </x:c>
      <x:c r="AB341" s="153" t="n">
        <x:v>2.31</x:v>
      </x:c>
      <x:c r="AC341" s="153" t="n">
        <x:v>120.7305</x:v>
      </x:c>
      <x:c r="AD341" s="155" t="n">
        <x:v>45826</x:v>
      </x:c>
      <x:c r="AE341" s="154" t="n">
        <x:f>IFERROR(AC341/AC340-1,"")</x:f>
        <x:v>0.001872954438329355</x:v>
      </x:c>
      <x:c r="AF341" s="153" t="n">
        <x:v>20.14</x:v>
      </x:c>
      <x:c r="AG341" s="155" t="n">
        <x:v>45826</x:v>
      </x:c>
      <x:c r="AH341" s="153" t="n">
        <x:f>IFERROR(AF341-AF340,"")</x:f>
        <x:v>-1.4600000000000009</x:v>
      </x:c>
      <x:c r="AI341" s="153" t="n">
        <x:v>4.33</x:v>
      </x:c>
      <x:c r="AJ341" s="155" t="n">
        <x:v>45821</x:v>
      </x:c>
      <x:c r="AK341" s="159" t="n">
        <x:v>124091</x:v>
      </x:c>
      <x:c r="AL341" s="154" t="n">
        <x:v>0.2974783227813963</x:v>
      </x:c>
      <x:c r="AM341" s="159" t="n">
        <x:v>-49365</x:v>
      </x:c>
      <x:c r="AN341" s="155" t="n">
        <x:v>45821</x:v>
      </x:c>
      <x:c r="AO341" s="159" t="n">
        <x:v>47933</x:v>
      </x:c>
      <x:c r="AP341" s="154" t="n">
        <x:v>0.275032849249201</x:v>
      </x:c>
      <x:c r="AQ341" s="159" t="n">
        <x:v>-36562</x:v>
      </x:c>
      <x:c r="AR341" s="147" t="str">
        <x:v>美国市场指标与CFTC数据均使用严格早于上金所交易日的最后已发布值</x:v>
      </x:c>
    </x:row>
    <x:row r="342">
      <x:c r="A342" s="155" t="n">
        <x:v>45828</x:v>
      </x:c>
      <x:c r="B342" s="153" t="n">
        <x:v>780.3</x:v>
      </x:c>
      <x:c r="C342" s="153" t="n">
        <x:v>781</x:v>
      </x:c>
      <x:c r="D342" s="153" t="n">
        <x:v>774.4</x:v>
      </x:c>
      <x:c r="E342" s="153" t="n">
        <x:v>777.4</x:v>
      </x:c>
      <x:c r="F342" s="154" t="n">
        <x:f>IFERROR(E342/E341-1,"")</x:f>
        <x:v>-0.000012863225325121519</x:v>
      </x:c>
      <x:c r="G342" s="154" t="n">
        <x:f>IFERROR((C342-D342)/E341,"")</x:f>
        <x:v>0.008489728714577923</x:v>
      </x:c>
      <x:c r="H342" s="153" t="n">
        <x:v>776.51</x:v>
      </x:c>
      <x:c r="I342" s="158" t="n">
        <x:v>10701.1</x:v>
      </x:c>
      <x:c r="J342" s="158" t="n">
        <x:v>8309537150.8</x:v>
      </x:c>
      <x:c r="K342" s="158"/>
      <x:c r="L342" s="153" t="n">
        <x:v>8780</x:v>
      </x:c>
      <x:c r="M342" s="153" t="n">
        <x:v>8799</x:v>
      </x:c>
      <x:c r="N342" s="153" t="n">
        <x:v>8613</x:v>
      </x:c>
      <x:c r="O342" s="153" t="n">
        <x:v>8663</x:v>
      </x:c>
      <x:c r="P342" s="154" t="n">
        <x:f>IFERROR(O342/O341-1,"")</x:f>
        <x:v>-0.012988492651247574</x:v>
      </x:c>
      <x:c r="Q342" s="154" t="n">
        <x:f>IFERROR((M342-N342)/O341,"")</x:f>
        <x:v>0.021191751167825</x:v>
      </x:c>
      <x:c r="R342" s="153" t="n">
        <x:v>8684</x:v>
      </x:c>
      <x:c r="S342" s="158" t="n">
        <x:v>745948</x:v>
      </x:c>
      <x:c r="T342" s="158" t="n">
        <x:v>6477816564</x:v>
      </x:c>
      <x:c r="U342" s="158" t="n">
        <x:v>3187026</x:v>
      </x:c>
      <x:c r="V342" s="153" t="n">
        <x:f>IFERROR(E342*1000/O342,"")</x:f>
        <x:v>89.73796606256494</x:v>
      </x:c>
      <x:c r="W342" s="153" t="n">
        <x:v>4.38</x:v>
      </x:c>
      <x:c r="X342" s="155" t="n">
        <x:v>45826</x:v>
      </x:c>
      <x:c r="Y342" s="153" t="n">
        <x:v>2.07</x:v>
      </x:c>
      <x:c r="Z342" s="155" t="n">
        <x:v>45826</x:v>
      </x:c>
      <x:c r="AA342" s="153" t="n">
        <x:f>IFERROR(Y342-Y341,"")</x:f>
        <x:v>0</x:v>
      </x:c>
      <x:c r="AB342" s="153" t="n">
        <x:v>2.31</x:v>
      </x:c>
      <x:c r="AC342" s="153" t="n">
        <x:v>120.7305</x:v>
      </x:c>
      <x:c r="AD342" s="155" t="n">
        <x:v>45826</x:v>
      </x:c>
      <x:c r="AE342" s="154" t="n">
        <x:f>IFERROR(AC342/AC341-1,"")</x:f>
        <x:v>0</x:v>
      </x:c>
      <x:c r="AF342" s="153" t="n">
        <x:v>22.17</x:v>
      </x:c>
      <x:c r="AG342" s="155" t="n">
        <x:v>45827</x:v>
      </x:c>
      <x:c r="AH342" s="153" t="n">
        <x:f>IFERROR(AF342-AF341,"")</x:f>
        <x:v>2.030000000000001</x:v>
      </x:c>
      <x:c r="AI342" s="153" t="n">
        <x:v>4.33</x:v>
      </x:c>
      <x:c r="AJ342" s="155" t="n">
        <x:v>45821</x:v>
      </x:c>
      <x:c r="AK342" s="159" t="n">
        <x:v>124091</x:v>
      </x:c>
      <x:c r="AL342" s="154" t="n">
        <x:v>0.2974783227813963</x:v>
      </x:c>
      <x:c r="AM342" s="159" t="n">
        <x:v>-49365</x:v>
      </x:c>
      <x:c r="AN342" s="155" t="n">
        <x:v>45821</x:v>
      </x:c>
      <x:c r="AO342" s="159" t="n">
        <x:v>47933</x:v>
      </x:c>
      <x:c r="AP342" s="154" t="n">
        <x:v>0.275032849249201</x:v>
      </x:c>
      <x:c r="AQ342" s="159" t="n">
        <x:v>-36562</x:v>
      </x:c>
      <x:c r="AR342" s="147" t="str">
        <x:v>美国市场指标与CFTC数据均使用严格早于上金所交易日的最后已发布值</x:v>
      </x:c>
    </x:row>
    <x:row r="343">
      <x:c r="A343" s="155" t="n">
        <x:v>45831</x:v>
      </x:c>
      <x:c r="B343" s="153" t="n">
        <x:v>776</x:v>
      </x:c>
      <x:c r="C343" s="153" t="n">
        <x:v>780.9</x:v>
      </x:c>
      <x:c r="D343" s="153" t="n">
        <x:v>775</x:v>
      </x:c>
      <x:c r="E343" s="153" t="n">
        <x:v>777.98</x:v>
      </x:c>
      <x:c r="F343" s="154" t="n">
        <x:f>IFERROR(E343/E342-1,"")</x:f>
        <x:v>0.00074607666580917</x:v>
      </x:c>
      <x:c r="G343" s="154" t="n">
        <x:f>IFERROR((C343-D343)/E342,"")</x:f>
        <x:v>0.007589400565989166</x:v>
      </x:c>
      <x:c r="H343" s="153" t="n">
        <x:v>778.62</x:v>
      </x:c>
      <x:c r="I343" s="158" t="n">
        <x:v>10089.16</x:v>
      </x:c>
      <x:c r="J343" s="158" t="n">
        <x:v>7855701391.8</x:v>
      </x:c>
      <x:c r="K343" s="158"/>
      <x:c r="L343" s="153" t="n">
        <x:v>8709</x:v>
      </x:c>
      <x:c r="M343" s="153" t="n">
        <x:v>8750</x:v>
      </x:c>
      <x:c r="N343" s="153" t="n">
        <x:v>8673</x:v>
      </x:c>
      <x:c r="O343" s="153" t="n">
        <x:v>8730</x:v>
      </x:c>
      <x:c r="P343" s="154" t="n">
        <x:f>IFERROR(O343/O342-1,"")</x:f>
        <x:v>0.0077340413251760776</x:v>
      </x:c>
      <x:c r="Q343" s="154" t="n">
        <x:f>IFERROR((M343-N343)/O342,"")</x:f>
        <x:v>0.008888375851321713</x:v>
      </x:c>
      <x:c r="R343" s="153" t="n">
        <x:v>8714</x:v>
      </x:c>
      <x:c r="S343" s="158" t="n">
        <x:v>434856</x:v>
      </x:c>
      <x:c r="T343" s="158" t="n">
        <x:v>3789702760</x:v>
      </x:c>
      <x:c r="U343" s="158" t="n">
        <x:v>3217456</x:v>
      </x:c>
      <x:c r="V343" s="153" t="n">
        <x:f>IFERROR(E343*1000/O343,"")</x:f>
        <x:v>89.11569301260023</x:v>
      </x:c>
      <x:c r="W343" s="153" t="n">
        <x:v>4.38</x:v>
      </x:c>
      <x:c r="X343" s="155" t="n">
        <x:v>45828</x:v>
      </x:c>
      <x:c r="Y343" s="153" t="n">
        <x:v>2.05</x:v>
      </x:c>
      <x:c r="Z343" s="155" t="n">
        <x:v>45828</x:v>
      </x:c>
      <x:c r="AA343" s="153" t="n">
        <x:f>IFERROR(Y343-Y342,"")</x:f>
        <x:v>-0.020000000000000018</x:v>
      </x:c>
      <x:c r="AB343" s="153" t="n">
        <x:v>2.33</x:v>
      </x:c>
      <x:c r="AC343" s="153" t="n">
        <x:v>121.0408</x:v>
      </x:c>
      <x:c r="AD343" s="155" t="n">
        <x:v>45828</x:v>
      </x:c>
      <x:c r="AE343" s="154" t="n">
        <x:f>IFERROR(AC343/AC342-1,"")</x:f>
        <x:v>0.0025701873180348223</x:v>
      </x:c>
      <x:c r="AF343" s="153" t="n">
        <x:v>20.62</x:v>
      </x:c>
      <x:c r="AG343" s="155" t="n">
        <x:v>45828</x:v>
      </x:c>
      <x:c r="AH343" s="153" t="n">
        <x:f>IFERROR(AF343-AF342,"")</x:f>
        <x:v>-1.5500000000000007</x:v>
      </x:c>
      <x:c r="AI343" s="153" t="n">
        <x:v>4.33</x:v>
      </x:c>
      <x:c r="AJ343" s="155" t="n">
        <x:v>45828</x:v>
      </x:c>
      <x:c r="AK343" s="159" t="n">
        <x:v>130511</x:v>
      </x:c>
      <x:c r="AL343" s="154" t="n">
        <x:v>0.29579977063284485</x:v>
      </x:c>
      <x:c r="AM343" s="159" t="n">
        <x:v>-52962</x:v>
      </x:c>
      <x:c r="AN343" s="155" t="n">
        <x:v>45828</x:v>
      </x:c>
      <x:c r="AO343" s="159" t="n">
        <x:v>48865</x:v>
      </x:c>
      <x:c r="AP343" s="154" t="n">
        <x:v>0.26437664677462114</x:v>
      </x:c>
      <x:c r="AQ343" s="159" t="n">
        <x:v>-36473</x:v>
      </x:c>
      <x:c r="AR343" s="147" t="str">
        <x:v>美国市场指标与CFTC数据均使用严格早于上金所交易日的最后已发布值</x:v>
      </x:c>
    </x:row>
    <x:row r="344">
      <x:c r="A344" s="155" t="n">
        <x:v>45832</x:v>
      </x:c>
      <x:c r="B344" s="153" t="n">
        <x:v>782</x:v>
      </x:c>
      <x:c r="C344" s="153" t="n">
        <x:v>782.2</x:v>
      </x:c>
      <x:c r="D344" s="153" t="n">
        <x:v>767</x:v>
      </x:c>
      <x:c r="E344" s="153" t="n">
        <x:v>768.87</x:v>
      </x:c>
      <x:c r="F344" s="154" t="n">
        <x:f>IFERROR(E344/E343-1,"")</x:f>
        <x:v>-0.011709812591583324</x:v>
      </x:c>
      <x:c r="G344" s="154" t="n">
        <x:f>IFERROR((C344-D344)/E343,"")</x:f>
        <x:v>0.019537777320753805</x:v>
      </x:c>
      <x:c r="H344" s="153" t="n">
        <x:v>772.58</x:v>
      </x:c>
      <x:c r="I344" s="158" t="n">
        <x:v>12248.7</x:v>
      </x:c>
      <x:c r="J344" s="158" t="n">
        <x:v>9463117578.8</x:v>
      </x:c>
      <x:c r="K344" s="158"/>
      <x:c r="L344" s="153" t="n">
        <x:v>8743</x:v>
      </x:c>
      <x:c r="M344" s="153" t="n">
        <x:v>8780</x:v>
      </x:c>
      <x:c r="N344" s="153" t="n">
        <x:v>8694</x:v>
      </x:c>
      <x:c r="O344" s="153" t="n">
        <x:v>8709</x:v>
      </x:c>
      <x:c r="P344" s="154" t="n">
        <x:f>IFERROR(O344/O343-1,"")</x:f>
        <x:v>-0.002405498281786933</x:v>
      </x:c>
      <x:c r="Q344" s="154" t="n">
        <x:f>IFERROR((M344-N344)/O343,"")</x:f>
        <x:v>0.009851088201603665</x:v>
      </x:c>
      <x:c r="R344" s="153" t="n">
        <x:v>8720</x:v>
      </x:c>
      <x:c r="S344" s="158" t="n">
        <x:v>304350</x:v>
      </x:c>
      <x:c r="T344" s="158" t="n">
        <x:v>2654202054</x:v>
      </x:c>
      <x:c r="U344" s="158" t="n">
        <x:v>3170030</x:v>
      </x:c>
      <x:c r="V344" s="153" t="n">
        <x:f>IFERROR(E344*1000/O344,"")</x:f>
        <x:v>88.28453324147434</x:v>
      </x:c>
      <x:c r="W344" s="153" t="n">
        <x:v>4.34</x:v>
      </x:c>
      <x:c r="X344" s="155" t="n">
        <x:v>45831</x:v>
      </x:c>
      <x:c r="Y344" s="153" t="n">
        <x:v>2.04</x:v>
      </x:c>
      <x:c r="Z344" s="155" t="n">
        <x:v>45831</x:v>
      </x:c>
      <x:c r="AA344" s="153" t="n">
        <x:f>IFERROR(Y344-Y343,"")</x:f>
        <x:v>-0.009999999999999787</x:v>
      </x:c>
      <x:c r="AB344" s="153" t="n">
        <x:v>2.3</x:v>
      </x:c>
      <x:c r="AC344" s="153" t="n">
        <x:v>121.1694</x:v>
      </x:c>
      <x:c r="AD344" s="155" t="n">
        <x:v>45831</x:v>
      </x:c>
      <x:c r="AE344" s="154" t="n">
        <x:f>IFERROR(AC344/AC343-1,"")</x:f>
        <x:v>0.0010624516691890573</x:v>
      </x:c>
      <x:c r="AF344" s="153" t="n">
        <x:v>19.83</x:v>
      </x:c>
      <x:c r="AG344" s="155" t="n">
        <x:v>45831</x:v>
      </x:c>
      <x:c r="AH344" s="153" t="n">
        <x:f>IFERROR(AF344-AF343,"")</x:f>
        <x:v>-0.7900000000000027</x:v>
      </x:c>
      <x:c r="AI344" s="153" t="n">
        <x:v>4.33</x:v>
      </x:c>
      <x:c r="AJ344" s="155" t="n">
        <x:v>45828</x:v>
      </x:c>
      <x:c r="AK344" s="159" t="n">
        <x:v>130511</x:v>
      </x:c>
      <x:c r="AL344" s="154" t="n">
        <x:v>0.29579977063284485</x:v>
      </x:c>
      <x:c r="AM344" s="159" t="n">
        <x:v>-52962</x:v>
      </x:c>
      <x:c r="AN344" s="155" t="n">
        <x:v>45828</x:v>
      </x:c>
      <x:c r="AO344" s="159" t="n">
        <x:v>48865</x:v>
      </x:c>
      <x:c r="AP344" s="154" t="n">
        <x:v>0.26437664677462114</x:v>
      </x:c>
      <x:c r="AQ344" s="159" t="n">
        <x:v>-36473</x:v>
      </x:c>
      <x:c r="AR344" s="147" t="str">
        <x:v>美国市场指标与CFTC数据均使用严格早于上金所交易日的最后已发布值</x:v>
      </x:c>
    </x:row>
    <x:row r="345">
      <x:c r="A345" s="155" t="n">
        <x:v>45833</x:v>
      </x:c>
      <x:c r="B345" s="153" t="n">
        <x:v>768</x:v>
      </x:c>
      <x:c r="C345" s="153" t="n">
        <x:v>772</x:v>
      </x:c>
      <x:c r="D345" s="153" t="n">
        <x:v>764</x:v>
      </x:c>
      <x:c r="E345" s="153" t="n">
        <x:v>771.49</x:v>
      </x:c>
      <x:c r="F345" s="154" t="n">
        <x:f>IFERROR(E345/E344-1,"")</x:f>
        <x:v>0.0034075981635386388</x:v>
      </x:c>
      <x:c r="G345" s="154" t="n">
        <x:f>IFERROR((C345-D345)/E344,"")</x:f>
        <x:v>0.010404879888667786</x:v>
      </x:c>
      <x:c r="H345" s="153" t="n">
        <x:v>770.72</x:v>
      </x:c>
      <x:c r="I345" s="158" t="n">
        <x:v>8306.14</x:v>
      </x:c>
      <x:c r="J345" s="158" t="n">
        <x:v>6401786144.6</x:v>
      </x:c>
      <x:c r="K345" s="158"/>
      <x:c r="L345" s="153" t="n">
        <x:v>8723</x:v>
      </x:c>
      <x:c r="M345" s="153" t="n">
        <x:v>8723</x:v>
      </x:c>
      <x:c r="N345" s="153" t="n">
        <x:v>8540</x:v>
      </x:c>
      <x:c r="O345" s="153" t="n">
        <x:v>8698</x:v>
      </x:c>
      <x:c r="P345" s="154" t="n">
        <x:f>IFERROR(O345/O344-1,"")</x:f>
        <x:v>-0.001263061201056348</x:v>
      </x:c>
      <x:c r="Q345" s="154" t="n">
        <x:f>IFERROR((M345-N345)/O344,"")</x:f>
        <x:v>0.021012745435756115</x:v>
      </x:c>
      <x:c r="R345" s="153" t="n">
        <x:v>8658</x:v>
      </x:c>
      <x:c r="S345" s="158" t="n">
        <x:v>388530</x:v>
      </x:c>
      <x:c r="T345" s="158" t="n">
        <x:v>3364169030</x:v>
      </x:c>
      <x:c r="U345" s="158" t="n">
        <x:v>3127796</x:v>
      </x:c>
      <x:c r="V345" s="153" t="n">
        <x:f>IFERROR(E345*1000/O345,"")</x:f>
        <x:v>88.69740170154058</x:v>
      </x:c>
      <x:c r="W345" s="153" t="n">
        <x:v>4.3</x:v>
      </x:c>
      <x:c r="X345" s="155" t="n">
        <x:v>45832</x:v>
      </x:c>
      <x:c r="Y345" s="153" t="n">
        <x:v>2.01</x:v>
      </x:c>
      <x:c r="Z345" s="155" t="n">
        <x:v>45832</x:v>
      </x:c>
      <x:c r="AA345" s="153" t="n">
        <x:f>IFERROR(Y345-Y344,"")</x:f>
        <x:v>-0.03000000000000025</x:v>
      </x:c>
      <x:c r="AB345" s="153" t="n">
        <x:v>2.29</x:v>
      </x:c>
      <x:c r="AC345" s="153" t="n">
        <x:v>120.3645</x:v>
      </x:c>
      <x:c r="AD345" s="155" t="n">
        <x:v>45832</x:v>
      </x:c>
      <x:c r="AE345" s="154" t="n">
        <x:f>IFERROR(AC345/AC344-1,"")</x:f>
        <x:v>-0.006642766242962228</x:v>
      </x:c>
      <x:c r="AF345" s="153" t="n">
        <x:v>17.48</x:v>
      </x:c>
      <x:c r="AG345" s="155" t="n">
        <x:v>45832</x:v>
      </x:c>
      <x:c r="AH345" s="153" t="n">
        <x:f>IFERROR(AF345-AF344,"")</x:f>
        <x:v>-2.349999999999998</x:v>
      </x:c>
      <x:c r="AI345" s="153" t="n">
        <x:v>4.33</x:v>
      </x:c>
      <x:c r="AJ345" s="155" t="n">
        <x:v>45828</x:v>
      </x:c>
      <x:c r="AK345" s="159" t="n">
        <x:v>130511</x:v>
      </x:c>
      <x:c r="AL345" s="154" t="n">
        <x:v>0.29579977063284485</x:v>
      </x:c>
      <x:c r="AM345" s="159" t="n">
        <x:v>-52962</x:v>
      </x:c>
      <x:c r="AN345" s="155" t="n">
        <x:v>45828</x:v>
      </x:c>
      <x:c r="AO345" s="159" t="n">
        <x:v>48865</x:v>
      </x:c>
      <x:c r="AP345" s="154" t="n">
        <x:v>0.26437664677462114</x:v>
      </x:c>
      <x:c r="AQ345" s="159" t="n">
        <x:v>-36473</x:v>
      </x:c>
      <x:c r="AR345" s="147" t="str">
        <x:v>美国市场指标与CFTC数据均使用严格早于上金所交易日的最后已发布值</x:v>
      </x:c>
    </x:row>
    <x:row r="346">
      <x:c r="A346" s="155" t="n">
        <x:v>45834</x:v>
      </x:c>
      <x:c r="B346" s="153" t="n">
        <x:v>770</x:v>
      </x:c>
      <x:c r="C346" s="153" t="n">
        <x:v>774</x:v>
      </x:c>
      <x:c r="D346" s="153" t="n">
        <x:v>768</x:v>
      </x:c>
      <x:c r="E346" s="153" t="n">
        <x:v>773.64</x:v>
      </x:c>
      <x:c r="F346" s="154" t="n">
        <x:f>IFERROR(E346/E345-1,"")</x:f>
        <x:v>0.0027868151239809347</x:v>
      </x:c>
      <x:c r="G346" s="154" t="n">
        <x:f>IFERROR((C346-D346)/E345,"")</x:f>
        <x:v>0.007777158485528004</x:v>
      </x:c>
      <x:c r="H346" s="153" t="n">
        <x:v>771.42</x:v>
      </x:c>
      <x:c r="I346" s="158" t="n">
        <x:v>7384.72</x:v>
      </x:c>
      <x:c r="J346" s="158" t="n">
        <x:v>5696773097.2</x:v>
      </x:c>
      <x:c r="K346" s="158"/>
      <x:c r="L346" s="153" t="n">
        <x:v>8650</x:v>
      </x:c>
      <x:c r="M346" s="153" t="n">
        <x:v>8777</x:v>
      </x:c>
      <x:c r="N346" s="153" t="n">
        <x:v>8641</x:v>
      </x:c>
      <x:c r="O346" s="153" t="n">
        <x:v>8773</x:v>
      </x:c>
      <x:c r="P346" s="154" t="n">
        <x:f>IFERROR(O346/O345-1,"")</x:f>
        <x:v>0.00862267187859267</x:v>
      </x:c>
      <x:c r="Q346" s="154" t="n">
        <x:f>IFERROR((M346-N346)/O345,"")</x:f>
        <x:v>0.01563577833984824</x:v>
      </x:c>
      <x:c r="R346" s="153" t="n">
        <x:v>8739</x:v>
      </x:c>
      <x:c r="S346" s="158" t="n">
        <x:v>371636</x:v>
      </x:c>
      <x:c r="T346" s="158" t="n">
        <x:v>3247999980</x:v>
      </x:c>
      <x:c r="U346" s="158" t="n">
        <x:v>3182526</x:v>
      </x:c>
      <x:c r="V346" s="153" t="n">
        <x:f>IFERROR(E346*1000/O346,"")</x:f>
        <x:v>88.18420152741365</x:v>
      </x:c>
      <x:c r="W346" s="153" t="n">
        <x:v>4.29</x:v>
      </x:c>
      <x:c r="X346" s="155" t="n">
        <x:v>45833</x:v>
      </x:c>
      <x:c r="Y346" s="153" t="n">
        <x:v>2.01</x:v>
      </x:c>
      <x:c r="Z346" s="155" t="n">
        <x:v>45833</x:v>
      </x:c>
      <x:c r="AA346" s="153" t="n">
        <x:f>IFERROR(Y346-Y345,"")</x:f>
        <x:v>0</x:v>
      </x:c>
      <x:c r="AB346" s="153" t="n">
        <x:v>2.28</x:v>
      </x:c>
      <x:c r="AC346" s="153" t="n">
        <x:v>120.3336</x:v>
      </x:c>
      <x:c r="AD346" s="155" t="n">
        <x:v>45833</x:v>
      </x:c>
      <x:c r="AE346" s="154" t="n">
        <x:f>IFERROR(AC346/AC345-1,"")</x:f>
        <x:v>-0.0002567202123550105</x:v>
      </x:c>
      <x:c r="AF346" s="153" t="n">
        <x:v>16.76</x:v>
      </x:c>
      <x:c r="AG346" s="155" t="n">
        <x:v>45833</x:v>
      </x:c>
      <x:c r="AH346" s="153" t="n">
        <x:f>IFERROR(AF346-AF345,"")</x:f>
        <x:v>-0.7199999999999989</x:v>
      </x:c>
      <x:c r="AI346" s="153" t="n">
        <x:v>4.33</x:v>
      </x:c>
      <x:c r="AJ346" s="155" t="n">
        <x:v>45828</x:v>
      </x:c>
      <x:c r="AK346" s="159" t="n">
        <x:v>130511</x:v>
      </x:c>
      <x:c r="AL346" s="154" t="n">
        <x:v>0.29579977063284485</x:v>
      </x:c>
      <x:c r="AM346" s="159" t="n">
        <x:v>-52962</x:v>
      </x:c>
      <x:c r="AN346" s="155" t="n">
        <x:v>45828</x:v>
      </x:c>
      <x:c r="AO346" s="159" t="n">
        <x:v>48865</x:v>
      </x:c>
      <x:c r="AP346" s="154" t="n">
        <x:v>0.26437664677462114</x:v>
      </x:c>
      <x:c r="AQ346" s="159" t="n">
        <x:v>-36473</x:v>
      </x:c>
      <x:c r="AR346" s="147" t="str">
        <x:v>美国市场指标与CFTC数据均使用严格早于上金所交易日的最后已发布值</x:v>
      </x:c>
    </x:row>
    <x:row r="347">
      <x:c r="A347" s="155" t="n">
        <x:v>45835</x:v>
      </x:c>
      <x:c r="B347" s="153" t="n">
        <x:v>772.03</x:v>
      </x:c>
      <x:c r="C347" s="153" t="n">
        <x:v>772.03</x:v>
      </x:c>
      <x:c r="D347" s="153" t="n">
        <x:v>762.2</x:v>
      </x:c>
      <x:c r="E347" s="153" t="n">
        <x:v>763.3</x:v>
      </x:c>
      <x:c r="F347" s="154" t="n">
        <x:f>IFERROR(E347/E346-1,"")</x:f>
        <x:v>-0.013365389586888043</x:v>
      </x:c>
      <x:c r="G347" s="154" t="n">
        <x:f>IFERROR((C347-D347)/E346,"")</x:f>
        <x:v>0.012706168243627433</x:v>
      </x:c>
      <x:c r="H347" s="153" t="n">
        <x:v>765.24</x:v>
      </x:c>
      <x:c r="I347" s="158" t="n">
        <x:v>9938.24</x:v>
      </x:c>
      <x:c r="J347" s="158" t="n">
        <x:v>7605171370</x:v>
      </x:c>
      <x:c r="K347" s="158"/>
      <x:c r="L347" s="153" t="n">
        <x:v>8800</x:v>
      </x:c>
      <x:c r="M347" s="153" t="n">
        <x:v>8829</x:v>
      </x:c>
      <x:c r="N347" s="153" t="n">
        <x:v>8720</x:v>
      </x:c>
      <x:c r="O347" s="153" t="n">
        <x:v>8748</x:v>
      </x:c>
      <x:c r="P347" s="154" t="n">
        <x:f>IFERROR(O347/O346-1,"")</x:f>
        <x:v>-0.0028496523424141884</x:v>
      </x:c>
      <x:c r="Q347" s="154" t="n">
        <x:f>IFERROR((M347-N347)/O346,"")</x:f>
        <x:v>0.012424484212926024</x:v>
      </x:c>
      <x:c r="R347" s="153" t="n">
        <x:v>8790</x:v>
      </x:c>
      <x:c r="S347" s="158" t="n">
        <x:v>477072</x:v>
      </x:c>
      <x:c r="T347" s="158" t="n">
        <x:v>4193469596</x:v>
      </x:c>
      <x:c r="U347" s="158" t="n">
        <x:v>3111050</x:v>
      </x:c>
      <x:c r="V347" s="153" t="n">
        <x:f>IFERROR(E347*1000/O347,"")</x:f>
        <x:v>87.25422953818016</x:v>
      </x:c>
      <x:c r="W347" s="153" t="n">
        <x:v>4.26</x:v>
      </x:c>
      <x:c r="X347" s="155" t="n">
        <x:v>45834</x:v>
      </x:c>
      <x:c r="Y347" s="153" t="n">
        <x:v>1.98</x:v>
      </x:c>
      <x:c r="Z347" s="155" t="n">
        <x:v>45834</x:v>
      </x:c>
      <x:c r="AA347" s="153" t="n">
        <x:f>IFERROR(Y347-Y346,"")</x:f>
        <x:v>-0.029999999999999805</x:v>
      </x:c>
      <x:c r="AB347" s="153" t="n">
        <x:v>2.28</x:v>
      </x:c>
      <x:c r="AC347" s="153" t="n">
        <x:v>119.6451</x:v>
      </x:c>
      <x:c r="AD347" s="155" t="n">
        <x:v>45834</x:v>
      </x:c>
      <x:c r="AE347" s="154" t="n">
        <x:f>IFERROR(AC347/AC346-1,"")</x:f>
        <x:v>-0.005721593968766814</x:v>
      </x:c>
      <x:c r="AF347" s="153" t="n">
        <x:v>16.59</x:v>
      </x:c>
      <x:c r="AG347" s="155" t="n">
        <x:v>45834</x:v>
      </x:c>
      <x:c r="AH347" s="153" t="n">
        <x:f>IFERROR(AF347-AF346,"")</x:f>
        <x:v>-0.1700000000000017</x:v>
      </x:c>
      <x:c r="AI347" s="153" t="n">
        <x:v>4.33</x:v>
      </x:c>
      <x:c r="AJ347" s="155" t="n">
        <x:v>45828</x:v>
      </x:c>
      <x:c r="AK347" s="159" t="n">
        <x:v>130511</x:v>
      </x:c>
      <x:c r="AL347" s="154" t="n">
        <x:v>0.29579977063284485</x:v>
      </x:c>
      <x:c r="AM347" s="159" t="n">
        <x:v>-52962</x:v>
      </x:c>
      <x:c r="AN347" s="155" t="n">
        <x:v>45828</x:v>
      </x:c>
      <x:c r="AO347" s="159" t="n">
        <x:v>48865</x:v>
      </x:c>
      <x:c r="AP347" s="154" t="n">
        <x:v>0.26437664677462114</x:v>
      </x:c>
      <x:c r="AQ347" s="159" t="n">
        <x:v>-36473</x:v>
      </x:c>
      <x:c r="AR347" s="147" t="str">
        <x:v>美国市场指标与CFTC数据均使用严格早于上金所交易日的最后已发布值</x:v>
      </x:c>
    </x:row>
    <x:row r="348">
      <x:c r="A348" s="155" t="n">
        <x:v>45838</x:v>
      </x:c>
      <x:c r="B348" s="153" t="n">
        <x:v>760</x:v>
      </x:c>
      <x:c r="C348" s="153" t="n">
        <x:v>765</x:v>
      </x:c>
      <x:c r="D348" s="153" t="n">
        <x:v>756</x:v>
      </x:c>
      <x:c r="E348" s="153" t="n">
        <x:v>764.43</x:v>
      </x:c>
      <x:c r="F348" s="154" t="n">
        <x:f>IFERROR(E348/E347-1,"")</x:f>
        <x:v>0.0014804139918773718</x:v>
      </x:c>
      <x:c r="G348" s="154" t="n">
        <x:f>IFERROR((C348-D348)/E347,"")</x:f>
        <x:v>0.011790907899908293</x:v>
      </x:c>
      <x:c r="H348" s="153" t="n">
        <x:v>761.92</x:v>
      </x:c>
      <x:c r="I348" s="158" t="n">
        <x:v>9707.34</x:v>
      </x:c>
      <x:c r="J348" s="158" t="n">
        <x:v>7396232242</x:v>
      </x:c>
      <x:c r="K348" s="158"/>
      <x:c r="L348" s="153" t="n">
        <x:v>8699</x:v>
      </x:c>
      <x:c r="M348" s="153" t="n">
        <x:v>8747</x:v>
      </x:c>
      <x:c r="N348" s="153" t="n">
        <x:v>8646</x:v>
      </x:c>
      <x:c r="O348" s="153" t="n">
        <x:v>8728</x:v>
      </x:c>
      <x:c r="P348" s="154" t="n">
        <x:f>IFERROR(O348/O347-1,"")</x:f>
        <x:v>-0.0022862368541380906</x:v>
      </x:c>
      <x:c r="Q348" s="154" t="n">
        <x:f>IFERROR((M348-N348)/O347,"")</x:f>
        <x:v>0.011545496113397348</x:v>
      </x:c>
      <x:c r="R348" s="153" t="n">
        <x:v>8697</x:v>
      </x:c>
      <x:c r="S348" s="158" t="n">
        <x:v>487620</x:v>
      </x:c>
      <x:c r="T348" s="158" t="n">
        <x:v>4241015956</x:v>
      </x:c>
      <x:c r="U348" s="158" t="n">
        <x:v>3144678</x:v>
      </x:c>
      <x:c r="V348" s="153" t="n">
        <x:f>IFERROR(E348*1000/O348,"")</x:f>
        <x:v>87.58363886342805</x:v>
      </x:c>
      <x:c r="W348" s="153" t="n">
        <x:v>4.29</x:v>
      </x:c>
      <x:c r="X348" s="155" t="n">
        <x:v>45835</x:v>
      </x:c>
      <x:c r="Y348" s="153" t="n">
        <x:v>2</x:v>
      </x:c>
      <x:c r="Z348" s="155" t="n">
        <x:v>45835</x:v>
      </x:c>
      <x:c r="AA348" s="153" t="n">
        <x:f>IFERROR(Y348-Y347,"")</x:f>
        <x:v>0.020000000000000018</x:v>
      </x:c>
      <x:c r="AB348" s="153" t="n">
        <x:v>2.29</x:v>
      </x:c>
      <x:c r="AC348" s="153" t="n">
        <x:v>119.659</x:v>
      </x:c>
      <x:c r="AD348" s="155" t="n">
        <x:v>45835</x:v>
      </x:c>
      <x:c r="AE348" s="154" t="n">
        <x:f>IFERROR(AC348/AC347-1,"")</x:f>
        <x:v>0.00011617692659382506</x:v>
      </x:c>
      <x:c r="AF348" s="153" t="n">
        <x:v>16.32</x:v>
      </x:c>
      <x:c r="AG348" s="155" t="n">
        <x:v>45835</x:v>
      </x:c>
      <x:c r="AH348" s="153" t="n">
        <x:f>IFERROR(AF348-AF347,"")</x:f>
        <x:v>-0.2699999999999996</x:v>
      </x:c>
      <x:c r="AI348" s="153" t="n">
        <x:v>4.33</x:v>
      </x:c>
      <x:c r="AJ348" s="155" t="n">
        <x:v>45835</x:v>
      </x:c>
      <x:c r="AK348" s="159" t="n">
        <x:v>125128</x:v>
      </x:c>
      <x:c r="AL348" s="154" t="n">
        <x:v>0.28767835055338675</x:v>
      </x:c>
      <x:c r="AM348" s="159" t="n">
        <x:v>-50415</x:v>
      </x:c>
      <x:c r="AN348" s="155" t="n">
        <x:v>45835</x:v>
      </x:c>
      <x:c r="AO348" s="159" t="n">
        <x:v>45111</x:v>
      </x:c>
      <x:c r="AP348" s="154" t="n">
        <x:v>0.258348462027455</x:v>
      </x:c>
      <x:c r="AQ348" s="159" t="n">
        <x:v>-34485</x:v>
      </x:c>
      <x:c r="AR348" s="147" t="str">
        <x:v>美国市场指标与CFTC数据均使用严格早于上金所交易日的最后已发布值</x:v>
      </x:c>
    </x:row>
    <x:row r="349">
      <x:c r="A349" s="155" t="n">
        <x:v>45842</x:v>
      </x:c>
      <x:c r="B349" s="153" t="n">
        <x:v>772</x:v>
      </x:c>
      <x:c r="C349" s="153" t="n">
        <x:v>773.5</x:v>
      </x:c>
      <x:c r="D349" s="153" t="n">
        <x:v>768</x:v>
      </x:c>
      <x:c r="E349" s="153" t="n">
        <x:v>771.9</x:v>
      </x:c>
      <x:c r="F349" s="154" t="n">
        <x:f>IFERROR(E349/E348-1,"")</x:f>
        <x:v>0.009771986970684043</x:v>
      </x:c>
      <x:c r="G349" s="154" t="n">
        <x:f>IFERROR((C349-D349)/E348,"")</x:f>
        <x:v>0.0071949033920699085</x:v>
      </x:c>
      <x:c r="H349" s="153" t="n">
        <x:v>771.88</x:v>
      </x:c>
      <x:c r="I349" s="158" t="n">
        <x:v>7609</x:v>
      </x:c>
      <x:c r="J349" s="158" t="n">
        <x:v>5873265631.6</x:v>
      </x:c>
      <x:c r="K349" s="158"/>
      <x:c r="L349" s="153" t="n">
        <x:v>8920</x:v>
      </x:c>
      <x:c r="M349" s="153" t="n">
        <x:v>8930</x:v>
      </x:c>
      <x:c r="N349" s="153" t="n">
        <x:v>8849</x:v>
      </x:c>
      <x:c r="O349" s="153" t="n">
        <x:v>8885</x:v>
      </x:c>
      <x:c r="P349" s="154" t="n">
        <x:f>IFERROR(O349/O348-1,"")</x:f>
        <x:v>0.017988084326306053</x:v>
      </x:c>
      <x:c r="Q349" s="154" t="n">
        <x:f>IFERROR((M349-N349)/O348,"")</x:f>
        <x:v>0.009280476626947755</x:v>
      </x:c>
      <x:c r="R349" s="153" t="n">
        <x:v>8902</x:v>
      </x:c>
      <x:c r="S349" s="158" t="n">
        <x:v>415618</x:v>
      </x:c>
      <x:c r="T349" s="158" t="n">
        <x:v>3700141814</x:v>
      </x:c>
      <x:c r="U349" s="158" t="n">
        <x:v>3258774</x:v>
      </x:c>
      <x:c r="V349" s="153" t="n">
        <x:f>IFERROR(E349*1000/O349,"")</x:f>
        <x:v>86.87675858187957</x:v>
      </x:c>
      <x:c r="W349" s="153" t="n">
        <x:v>4.35</x:v>
      </x:c>
      <x:c r="X349" s="155" t="n">
        <x:v>45841</x:v>
      </x:c>
      <x:c r="Y349" s="153" t="n">
        <x:v>2.02</x:v>
      </x:c>
      <x:c r="Z349" s="155" t="n">
        <x:v>45841</x:v>
      </x:c>
      <x:c r="AA349" s="153" t="n">
        <x:f>IFERROR(Y349-Y348,"")</x:f>
        <x:v>0.020000000000000018</x:v>
      </x:c>
      <x:c r="AB349" s="153" t="n">
        <x:v>2.33</x:v>
      </x:c>
      <x:c r="AC349" s="153" t="n">
        <x:v>119.2382</x:v>
      </x:c>
      <x:c r="AD349" s="155" t="n">
        <x:v>45841</x:v>
      </x:c>
      <x:c r="AE349" s="154" t="n">
        <x:f>IFERROR(AC349/AC348-1,"")</x:f>
        <x:v>-0.003516659841716896</x:v>
      </x:c>
      <x:c r="AF349" s="153" t="n">
        <x:v>16.38</x:v>
      </x:c>
      <x:c r="AG349" s="155" t="n">
        <x:v>45841</x:v>
      </x:c>
      <x:c r="AH349" s="153" t="n">
        <x:f>IFERROR(AF349-AF348,"")</x:f>
        <x:v>0.05999999999999872</x:v>
      </x:c>
      <x:c r="AI349" s="153" t="n">
        <x:v>4.33</x:v>
      </x:c>
      <x:c r="AJ349" s="155" t="n">
        <x:v>45835</x:v>
      </x:c>
      <x:c r="AK349" s="159" t="n">
        <x:v>125128</x:v>
      </x:c>
      <x:c r="AL349" s="154" t="n">
        <x:v>0.28767835055338675</x:v>
      </x:c>
      <x:c r="AM349" s="159" t="n">
        <x:v>-50415</x:v>
      </x:c>
      <x:c r="AN349" s="155" t="n">
        <x:v>45835</x:v>
      </x:c>
      <x:c r="AO349" s="159" t="n">
        <x:v>45111</x:v>
      </x:c>
      <x:c r="AP349" s="154" t="n">
        <x:v>0.258348462027455</x:v>
      </x:c>
      <x:c r="AQ349" s="159" t="n">
        <x:v>-34485</x:v>
      </x:c>
      <x:c r="AR349" s="147" t="str">
        <x:v>美国市场指标与CFTC数据均使用严格早于上金所交易日的最后已发布值</x:v>
      </x:c>
    </x:row>
    <x:row r="350">
      <x:c r="A350" s="155" t="n">
        <x:v>45845</x:v>
      </x:c>
      <x:c r="B350" s="153" t="n">
        <x:v>772.5</x:v>
      </x:c>
      <x:c r="C350" s="153" t="n">
        <x:v>773.3</x:v>
      </x:c>
      <x:c r="D350" s="153" t="n">
        <x:v>765.9</x:v>
      </x:c>
      <x:c r="E350" s="153" t="n">
        <x:v>767.75</x:v>
      </x:c>
      <x:c r="F350" s="154" t="n">
        <x:f>IFERROR(E350/E349-1,"")</x:f>
        <x:v>-0.005376344086021501</x:v>
      </x:c>
      <x:c r="G350" s="154" t="n">
        <x:f>IFERROR((C350-D350)/E349,"")</x:f>
        <x:v>0.009586734032905787</x:v>
      </x:c>
      <x:c r="H350" s="153" t="n">
        <x:v>767.25</x:v>
      </x:c>
      <x:c r="I350" s="158" t="n">
        <x:v>5503.6</x:v>
      </x:c>
      <x:c r="J350" s="158" t="n">
        <x:v>4222665748.4</x:v>
      </x:c>
      <x:c r="K350" s="158"/>
      <x:c r="L350" s="153" t="n">
        <x:v>8905</x:v>
      </x:c>
      <x:c r="M350" s="153" t="n">
        <x:v>8935</x:v>
      </x:c>
      <x:c r="N350" s="153" t="n">
        <x:v>8830</x:v>
      </x:c>
      <x:c r="O350" s="153" t="n">
        <x:v>8860</x:v>
      </x:c>
      <x:c r="P350" s="154" t="n">
        <x:f>IFERROR(O350/O349-1,"")</x:f>
        <x:v>-0.002813731007315745</x:v>
      </x:c>
      <x:c r="Q350" s="154" t="n">
        <x:f>IFERROR((M350-N350)/O349,"")</x:f>
        <x:v>0.011817670230725942</x:v>
      </x:c>
      <x:c r="R350" s="153" t="n">
        <x:v>8883</x:v>
      </x:c>
      <x:c r="S350" s="158" t="n">
        <x:v>549594</x:v>
      </x:c>
      <x:c r="T350" s="158" t="n">
        <x:v>4882373924</x:v>
      </x:c>
      <x:c r="U350" s="158" t="n">
        <x:v>3325506</x:v>
      </x:c>
      <x:c r="V350" s="153" t="n">
        <x:f>IFERROR(E350*1000/O350,"")</x:f>
        <x:v>86.65349887133183</x:v>
      </x:c>
      <x:c r="W350" s="153" t="n">
        <x:v>4.35</x:v>
      </x:c>
      <x:c r="X350" s="155" t="n">
        <x:v>45841</x:v>
      </x:c>
      <x:c r="Y350" s="153" t="n">
        <x:v>2.02</x:v>
      </x:c>
      <x:c r="Z350" s="155" t="n">
        <x:v>45841</x:v>
      </x:c>
      <x:c r="AA350" s="153" t="n">
        <x:f>IFERROR(Y350-Y349,"")</x:f>
        <x:v>0</x:v>
      </x:c>
      <x:c r="AB350" s="153" t="n">
        <x:v>2.33</x:v>
      </x:c>
      <x:c r="AC350" s="153" t="n">
        <x:v>119.2382</x:v>
      </x:c>
      <x:c r="AD350" s="155" t="n">
        <x:v>45841</x:v>
      </x:c>
      <x:c r="AE350" s="154" t="n">
        <x:f>IFERROR(AC350/AC349-1,"")</x:f>
        <x:v>0</x:v>
      </x:c>
      <x:c r="AF350" s="153" t="n">
        <x:v>17.48</x:v>
      </x:c>
      <x:c r="AG350" s="155" t="n">
        <x:v>45842</x:v>
      </x:c>
      <x:c r="AH350" s="153" t="n">
        <x:f>IFERROR(AF350-AF349,"")</x:f>
        <x:v>1.1000000000000014</x:v>
      </x:c>
      <x:c r="AI350" s="153" t="n">
        <x:v>4.33</x:v>
      </x:c>
      <x:c r="AJ350" s="155" t="n">
        <x:v>45842</x:v>
      </x:c>
      <x:c r="AK350" s="159" t="n">
        <x:v>130360</x:v>
      </x:c>
      <x:c r="AL350" s="154" t="n">
        <x:v>0.29785542267777415</x:v>
      </x:c>
      <x:c r="AM350" s="159" t="n">
        <x:v>-49413</x:v>
      </x:c>
      <x:c r="AN350" s="155" t="n">
        <x:v>45842</x:v>
      </x:c>
      <x:c r="AO350" s="159" t="n">
        <x:v>44927</x:v>
      </x:c>
      <x:c r="AP350" s="154" t="n">
        <x:v>0.27467031858504465</x:v>
      </x:c>
      <x:c r="AQ350" s="159" t="n">
        <x:v>-30152</x:v>
      </x:c>
      <x:c r="AR350" s="147" t="str">
        <x:v>美国市场指标与CFTC数据均使用严格早于上金所交易日的最后已发布值</x:v>
      </x:c>
    </x:row>
    <x:row r="351">
      <x:c r="A351" s="155" t="n">
        <x:v>45846</x:v>
      </x:c>
      <x:c r="B351" s="153" t="n">
        <x:v>766</x:v>
      </x:c>
      <x:c r="C351" s="153" t="n">
        <x:v>773.29</x:v>
      </x:c>
      <x:c r="D351" s="153" t="n">
        <x:v>765.01</x:v>
      </x:c>
      <x:c r="E351" s="153" t="n">
        <x:v>771.48</x:v>
      </x:c>
      <x:c r="F351" s="154" t="n">
        <x:f>IFERROR(E351/E350-1,"")</x:f>
        <x:v>0.004858352328231952</x:v>
      </x:c>
      <x:c r="G351" s="154" t="n">
        <x:f>IFERROR((C351-D351)/E350,"")</x:f>
        <x:v>0.0107847606642787</x:v>
      </x:c>
      <x:c r="H351" s="153" t="n">
        <x:v>772.14</x:v>
      </x:c>
      <x:c r="I351" s="158" t="n">
        <x:v>5437.24</x:v>
      </x:c>
      <x:c r="J351" s="158" t="n">
        <x:v>4198358964.8</x:v>
      </x:c>
      <x:c r="K351" s="158"/>
      <x:c r="L351" s="153" t="n">
        <x:v>8803</x:v>
      </x:c>
      <x:c r="M351" s="153" t="n">
        <x:v>8930</x:v>
      </x:c>
      <x:c r="N351" s="153" t="n">
        <x:v>8791</x:v>
      </x:c>
      <x:c r="O351" s="153" t="n">
        <x:v>8923</x:v>
      </x:c>
      <x:c r="P351" s="154" t="n">
        <x:f>IFERROR(O351/O350-1,"")</x:f>
        <x:v>0.007110609480812657</x:v>
      </x:c>
      <x:c r="Q351" s="154" t="n">
        <x:f>IFERROR((M351-N351)/O350,"")</x:f>
        <x:v>0.015688487584650114</x:v>
      </x:c>
      <x:c r="R351" s="153" t="n">
        <x:v>8883</x:v>
      </x:c>
      <x:c r="S351" s="158" t="n">
        <x:v>319210</x:v>
      </x:c>
      <x:c r="T351" s="158" t="n">
        <x:v>2835611264</x:v>
      </x:c>
      <x:c r="U351" s="158" t="n">
        <x:v>3338888</x:v>
      </x:c>
      <x:c r="V351" s="153" t="n">
        <x:f>IFERROR(E351*1000/O351,"")</x:f>
        <x:v>86.45971085957638</x:v>
      </x:c>
      <x:c r="W351" s="153" t="n">
        <x:v>4.4</x:v>
      </x:c>
      <x:c r="X351" s="155" t="n">
        <x:v>45845</x:v>
      </x:c>
      <x:c r="Y351" s="153" t="n">
        <x:v>2.05</x:v>
      </x:c>
      <x:c r="Z351" s="155" t="n">
        <x:v>45845</x:v>
      </x:c>
      <x:c r="AA351" s="153" t="n">
        <x:f>IFERROR(Y351-Y350,"")</x:f>
        <x:v>0.029999999999999805</x:v>
      </x:c>
      <x:c r="AB351" s="153" t="n">
        <x:v>2.35</x:v>
      </x:c>
      <x:c r="AC351" s="153" t="n">
        <x:v>119.6201</x:v>
      </x:c>
      <x:c r="AD351" s="155" t="n">
        <x:v>45845</x:v>
      </x:c>
      <x:c r="AE351" s="154" t="n">
        <x:f>IFERROR(AC351/AC350-1,"")</x:f>
        <x:v>0.00320283264926835</x:v>
      </x:c>
      <x:c r="AF351" s="153" t="n">
        <x:v>17.79</x:v>
      </x:c>
      <x:c r="AG351" s="155" t="n">
        <x:v>45845</x:v>
      </x:c>
      <x:c r="AH351" s="153" t="n">
        <x:f>IFERROR(AF351-AF350,"")</x:f>
        <x:v>0.3099999999999987</x:v>
      </x:c>
      <x:c r="AI351" s="153" t="n">
        <x:v>4.33</x:v>
      </x:c>
      <x:c r="AJ351" s="155" t="n">
        <x:v>45842</x:v>
      </x:c>
      <x:c r="AK351" s="159" t="n">
        <x:v>130360</x:v>
      </x:c>
      <x:c r="AL351" s="154" t="n">
        <x:v>0.29785542267777415</x:v>
      </x:c>
      <x:c r="AM351" s="159" t="n">
        <x:v>-49413</x:v>
      </x:c>
      <x:c r="AN351" s="155" t="n">
        <x:v>45842</x:v>
      </x:c>
      <x:c r="AO351" s="159" t="n">
        <x:v>44927</x:v>
      </x:c>
      <x:c r="AP351" s="154" t="n">
        <x:v>0.27467031858504465</x:v>
      </x:c>
      <x:c r="AQ351" s="159" t="n">
        <x:v>-30152</x:v>
      </x:c>
      <x:c r="AR351" s="147" t="str">
        <x:v>美国市场指标与CFTC数据均使用严格早于上金所交易日的最后已发布值</x:v>
      </x:c>
    </x:row>
    <x:row r="352">
      <x:c r="A352" s="155" t="n">
        <x:v>45847</x:v>
      </x:c>
      <x:c r="B352" s="153" t="n">
        <x:v>770</x:v>
      </x:c>
      <x:c r="C352" s="153" t="n">
        <x:v>771.3</x:v>
      </x:c>
      <x:c r="D352" s="153" t="n">
        <x:v>761</x:v>
      </x:c>
      <x:c r="E352" s="153" t="n">
        <x:v>763.38</x:v>
      </x:c>
      <x:c r="F352" s="154" t="n">
        <x:f>IFERROR(E352/E351-1,"")</x:f>
        <x:v>-0.010499300046663551</x:v>
      </x:c>
      <x:c r="G352" s="154" t="n">
        <x:f>IFERROR((C352-D352)/E351,"")</x:f>
        <x:v>0.01335096178773261</x:v>
      </x:c>
      <x:c r="H352" s="153" t="n">
        <x:v>763.9</x:v>
      </x:c>
      <x:c r="I352" s="158" t="n">
        <x:v>8163.06</x:v>
      </x:c>
      <x:c r="J352" s="158" t="n">
        <x:v>6235805590.8</x:v>
      </x:c>
      <x:c r="K352" s="158"/>
      <x:c r="L352" s="153" t="n">
        <x:v>8882</x:v>
      </x:c>
      <x:c r="M352" s="153" t="n">
        <x:v>8907</x:v>
      </x:c>
      <x:c r="N352" s="153" t="n">
        <x:v>8815</x:v>
      </x:c>
      <x:c r="O352" s="153" t="n">
        <x:v>8850</x:v>
      </x:c>
      <x:c r="P352" s="154" t="n">
        <x:f>IFERROR(O352/O351-1,"")</x:f>
        <x:v>-0.008181105009525957</x:v>
      </x:c>
      <x:c r="Q352" s="154" t="n">
        <x:f>IFERROR((M352-N352)/O351,"")</x:f>
        <x:v>0.010310433710635437</x:v>
      </x:c>
      <x:c r="R352" s="153" t="n">
        <x:v>8868</x:v>
      </x:c>
      <x:c r="S352" s="158" t="n">
        <x:v>502922</x:v>
      </x:c>
      <x:c r="T352" s="158" t="n">
        <x:v>4460065028</x:v>
      </x:c>
      <x:c r="U352" s="158" t="n">
        <x:v>3217724</x:v>
      </x:c>
      <x:c r="V352" s="153" t="n">
        <x:f>IFERROR(E352*1000/O352,"")</x:f>
        <x:v>86.25762711864407</x:v>
      </x:c>
      <x:c r="W352" s="153" t="n">
        <x:v>4.42</x:v>
      </x:c>
      <x:c r="X352" s="155" t="n">
        <x:v>45846</x:v>
      </x:c>
      <x:c r="Y352" s="153" t="n">
        <x:v>2.07</x:v>
      </x:c>
      <x:c r="Z352" s="155" t="n">
        <x:v>45846</x:v>
      </x:c>
      <x:c r="AA352" s="153" t="n">
        <x:f>IFERROR(Y352-Y351,"")</x:f>
        <x:v>0.020000000000000018</x:v>
      </x:c>
      <x:c r="AB352" s="153" t="n">
        <x:v>2.35</x:v>
      </x:c>
      <x:c r="AC352" s="153" t="n">
        <x:v>119.8371</x:v>
      </x:c>
      <x:c r="AD352" s="155" t="n">
        <x:v>45846</x:v>
      </x:c>
      <x:c r="AE352" s="154" t="n">
        <x:f>IFERROR(AC352/AC351-1,"")</x:f>
        <x:v>0.0018140763968599316</x:v>
      </x:c>
      <x:c r="AF352" s="153" t="n">
        <x:v>16.81</x:v>
      </x:c>
      <x:c r="AG352" s="155" t="n">
        <x:v>45846</x:v>
      </x:c>
      <x:c r="AH352" s="153" t="n">
        <x:f>IFERROR(AF352-AF351,"")</x:f>
        <x:v>-0.9800000000000004</x:v>
      </x:c>
      <x:c r="AI352" s="153" t="n">
        <x:v>4.33</x:v>
      </x:c>
      <x:c r="AJ352" s="155" t="n">
        <x:v>45842</x:v>
      </x:c>
      <x:c r="AK352" s="159" t="n">
        <x:v>130360</x:v>
      </x:c>
      <x:c r="AL352" s="154" t="n">
        <x:v>0.29785542267777415</x:v>
      </x:c>
      <x:c r="AM352" s="159" t="n">
        <x:v>-49413</x:v>
      </x:c>
      <x:c r="AN352" s="155" t="n">
        <x:v>45842</x:v>
      </x:c>
      <x:c r="AO352" s="159" t="n">
        <x:v>44927</x:v>
      </x:c>
      <x:c r="AP352" s="154" t="n">
        <x:v>0.27467031858504465</x:v>
      </x:c>
      <x:c r="AQ352" s="159" t="n">
        <x:v>-30152</x:v>
      </x:c>
      <x:c r="AR352" s="147" t="str">
        <x:v>美国市场指标与CFTC数据均使用严格早于上金所交易日的最后已发布值</x:v>
      </x:c>
    </x:row>
    <x:row r="353">
      <x:c r="A353" s="155" t="n">
        <x:v>45848</x:v>
      </x:c>
      <x:c r="B353" s="153" t="n">
        <x:v>763</x:v>
      </x:c>
      <x:c r="C353" s="153" t="n">
        <x:v>770</x:v>
      </x:c>
      <x:c r="D353" s="153" t="n">
        <x:v>763</x:v>
      </x:c>
      <x:c r="E353" s="153" t="n">
        <x:v>769.73</x:v>
      </x:c>
      <x:c r="F353" s="154" t="n">
        <x:f>IFERROR(E353/E352-1,"")</x:f>
        <x:v>0.008318268752128821</x:v>
      </x:c>
      <x:c r="G353" s="154" t="n">
        <x:f>IFERROR((C353-D353)/E352,"")</x:f>
        <x:v>0.009169745081086747</x:v>
      </x:c>
      <x:c r="H353" s="153" t="n">
        <x:v>769.11</x:v>
      </x:c>
      <x:c r="I353" s="158" t="n">
        <x:v>6172.3</x:v>
      </x:c>
      <x:c r="J353" s="158" t="n">
        <x:v>4747207503</x:v>
      </x:c>
      <x:c r="K353" s="158"/>
      <x:c r="L353" s="153" t="n">
        <x:v>8841</x:v>
      </x:c>
      <x:c r="M353" s="153" t="n">
        <x:v>8906</x:v>
      </x:c>
      <x:c r="N353" s="153" t="n">
        <x:v>8821</x:v>
      </x:c>
      <x:c r="O353" s="153" t="n">
        <x:v>8899</x:v>
      </x:c>
      <x:c r="P353" s="154" t="n">
        <x:f>IFERROR(O353/O352-1,"")</x:f>
        <x:v>0.005536723163841906</x:v>
      </x:c>
      <x:c r="Q353" s="154" t="n">
        <x:f>IFERROR((M353-N353)/O352,"")</x:f>
        <x:v>0.0096045197740113</x:v>
      </x:c>
      <x:c r="R353" s="153" t="n">
        <x:v>8852</x:v>
      </x:c>
      <x:c r="S353" s="158" t="n">
        <x:v>325118</x:v>
      </x:c>
      <x:c r="T353" s="158" t="n">
        <x:v>2877976096</x:v>
      </x:c>
      <x:c r="U353" s="158" t="n">
        <x:v>3163754</x:v>
      </x:c>
      <x:c r="V353" s="153" t="n">
        <x:f>IFERROR(E353*1000/O353,"")</x:f>
        <x:v>86.49623553208225</x:v>
      </x:c>
      <x:c r="W353" s="153" t="n">
        <x:v>4.34</x:v>
      </x:c>
      <x:c r="X353" s="155" t="n">
        <x:v>45847</x:v>
      </x:c>
      <x:c r="Y353" s="153" t="n">
        <x:v>2.01</x:v>
      </x:c>
      <x:c r="Z353" s="155" t="n">
        <x:v>45847</x:v>
      </x:c>
      <x:c r="AA353" s="153" t="n">
        <x:f>IFERROR(Y353-Y352,"")</x:f>
        <x:v>-0.06000000000000005</x:v>
      </x:c>
      <x:c r="AB353" s="153" t="n">
        <x:v>2.33</x:v>
      </x:c>
      <x:c r="AC353" s="153" t="n">
        <x:v>119.7311</x:v>
      </x:c>
      <x:c r="AD353" s="155" t="n">
        <x:v>45847</x:v>
      </x:c>
      <x:c r="AE353" s="154" t="n">
        <x:f>IFERROR(AC353/AC352-1,"")</x:f>
        <x:v>-0.000884534088358313</x:v>
      </x:c>
      <x:c r="AF353" s="153" t="n">
        <x:v>15.94</x:v>
      </x:c>
      <x:c r="AG353" s="155" t="n">
        <x:v>45847</x:v>
      </x:c>
      <x:c r="AH353" s="153" t="n">
        <x:f>IFERROR(AF353-AF352,"")</x:f>
        <x:v>-0.8699999999999992</x:v>
      </x:c>
      <x:c r="AI353" s="153" t="n">
        <x:v>4.33</x:v>
      </x:c>
      <x:c r="AJ353" s="155" t="n">
        <x:v>45842</x:v>
      </x:c>
      <x:c r="AK353" s="159" t="n">
        <x:v>130360</x:v>
      </x:c>
      <x:c r="AL353" s="154" t="n">
        <x:v>0.29785542267777415</x:v>
      </x:c>
      <x:c r="AM353" s="159" t="n">
        <x:v>-49413</x:v>
      </x:c>
      <x:c r="AN353" s="155" t="n">
        <x:v>45842</x:v>
      </x:c>
      <x:c r="AO353" s="159" t="n">
        <x:v>44927</x:v>
      </x:c>
      <x:c r="AP353" s="154" t="n">
        <x:v>0.27467031858504465</x:v>
      </x:c>
      <x:c r="AQ353" s="159" t="n">
        <x:v>-30152</x:v>
      </x:c>
      <x:c r="AR353" s="147" t="str">
        <x:v>美国市场指标与CFTC数据均使用严格早于上金所交易日的最后已发布值</x:v>
      </x:c>
    </x:row>
    <x:row r="354">
      <x:c r="A354" s="155" t="n">
        <x:v>45849</x:v>
      </x:c>
      <x:c r="B354" s="153" t="n">
        <x:v>767.4</x:v>
      </x:c>
      <x:c r="C354" s="153" t="n">
        <x:v>771.8</x:v>
      </x:c>
      <x:c r="D354" s="153" t="n">
        <x:v>767.4</x:v>
      </x:c>
      <x:c r="E354" s="153" t="n">
        <x:v>769.66</x:v>
      </x:c>
      <x:c r="F354" s="154" t="n">
        <x:f>IFERROR(E354/E353-1,"")</x:f>
        <x:v>-0.00009094097930451017</x:v>
      </x:c>
      <x:c r="G354" s="154" t="n">
        <x:f>IFERROR((C354-D354)/E353,"")</x:f>
        <x:v>0.005716290127707089</x:v>
      </x:c>
      <x:c r="H354" s="153" t="n">
        <x:v>770.44</x:v>
      </x:c>
      <x:c r="I354" s="158" t="n">
        <x:v>4892.84</x:v>
      </x:c>
      <x:c r="J354" s="158" t="n">
        <x:v>3769656995.2</x:v>
      </x:c>
      <x:c r="K354" s="158"/>
      <x:c r="L354" s="153" t="n">
        <x:v>8890</x:v>
      </x:c>
      <x:c r="M354" s="153" t="n">
        <x:v>9070</x:v>
      </x:c>
      <x:c r="N354" s="153" t="n">
        <x:v>8885</x:v>
      </x:c>
      <x:c r="O354" s="153" t="n">
        <x:v>9028</x:v>
      </x:c>
      <x:c r="P354" s="154" t="n">
        <x:f>IFERROR(O354/O353-1,"")</x:f>
        <x:v>0.014496010787728997</x:v>
      </x:c>
      <x:c r="Q354" s="154" t="n">
        <x:f>IFERROR((M354-N354)/O353,"")</x:f>
        <x:v>0.020788852680076412</x:v>
      </x:c>
      <x:c r="R354" s="153" t="n">
        <x:v>8997</x:v>
      </x:c>
      <x:c r="S354" s="158" t="n">
        <x:v>632508</x:v>
      </x:c>
      <x:c r="T354" s="158" t="n">
        <x:v>5690693542</x:v>
      </x:c>
      <x:c r="U354" s="158" t="n">
        <x:v>3287648</x:v>
      </x:c>
      <x:c r="V354" s="153" t="n">
        <x:f>IFERROR(E354*1000/O354,"")</x:f>
        <x:v>85.2525476295968</x:v>
      </x:c>
      <x:c r="W354" s="153" t="n">
        <x:v>4.35</x:v>
      </x:c>
      <x:c r="X354" s="155" t="n">
        <x:v>45848</x:v>
      </x:c>
      <x:c r="Y354" s="153" t="n">
        <x:v>2.01</x:v>
      </x:c>
      <x:c r="Z354" s="155" t="n">
        <x:v>45848</x:v>
      </x:c>
      <x:c r="AA354" s="153" t="n">
        <x:f>IFERROR(Y354-Y353,"")</x:f>
        <x:v>0</x:v>
      </x:c>
      <x:c r="AB354" s="153" t="n">
        <x:v>2.34</x:v>
      </x:c>
      <x:c r="AC354" s="153" t="n">
        <x:v>119.8343</x:v>
      </x:c>
      <x:c r="AD354" s="155" t="n">
        <x:v>45848</x:v>
      </x:c>
      <x:c r="AE354" s="154" t="n">
        <x:f>IFERROR(AC354/AC353-1,"")</x:f>
        <x:v>0.0008619314447124715</x:v>
      </x:c>
      <x:c r="AF354" s="153" t="n">
        <x:v>15.78</x:v>
      </x:c>
      <x:c r="AG354" s="155" t="n">
        <x:v>45848</x:v>
      </x:c>
      <x:c r="AH354" s="153" t="n">
        <x:f>IFERROR(AF354-AF353,"")</x:f>
        <x:v>-0.16000000000000014</x:v>
      </x:c>
      <x:c r="AI354" s="153" t="n">
        <x:v>4.33</x:v>
      </x:c>
      <x:c r="AJ354" s="155" t="n">
        <x:v>45842</x:v>
      </x:c>
      <x:c r="AK354" s="159" t="n">
        <x:v>130360</x:v>
      </x:c>
      <x:c r="AL354" s="154" t="n">
        <x:v>0.29785542267777415</x:v>
      </x:c>
      <x:c r="AM354" s="159" t="n">
        <x:v>-49413</x:v>
      </x:c>
      <x:c r="AN354" s="155" t="n">
        <x:v>45842</x:v>
      </x:c>
      <x:c r="AO354" s="159" t="n">
        <x:v>44927</x:v>
      </x:c>
      <x:c r="AP354" s="154" t="n">
        <x:v>0.27467031858504465</x:v>
      </x:c>
      <x:c r="AQ354" s="159" t="n">
        <x:v>-30152</x:v>
      </x:c>
      <x:c r="AR354" s="147" t="str">
        <x:v>美国市场指标与CFTC数据均使用严格早于上金所交易日的最后已发布值</x:v>
      </x:c>
    </x:row>
    <x:row r="355">
      <x:c r="A355" s="155" t="n">
        <x:v>45852</x:v>
      </x:c>
      <x:c r="B355" s="153" t="n">
        <x:v>764</x:v>
      </x:c>
      <x:c r="C355" s="153" t="n">
        <x:v>777.5</x:v>
      </x:c>
      <x:c r="D355" s="153" t="n">
        <x:v>764</x:v>
      </x:c>
      <x:c r="E355" s="153" t="n">
        <x:v>777.4</x:v>
      </x:c>
      <x:c r="F355" s="154" t="n">
        <x:f>IFERROR(E355/E354-1,"")</x:f>
        <x:v>0.010056388535197414</x:v>
      </x:c>
      <x:c r="G355" s="154" t="n">
        <x:f>IFERROR((C355-D355)/E354,"")</x:f>
        <x:v>0.017540212561390746</x:v>
      </x:c>
      <x:c r="H355" s="153" t="n">
        <x:v>774.85</x:v>
      </x:c>
      <x:c r="I355" s="158" t="n">
        <x:v>9075.38</x:v>
      </x:c>
      <x:c r="J355" s="158" t="n">
        <x:v>7032141351.2</x:v>
      </x:c>
      <x:c r="K355" s="158"/>
      <x:c r="L355" s="153" t="n">
        <x:v>9080</x:v>
      </x:c>
      <x:c r="M355" s="153" t="n">
        <x:v>9233</x:v>
      </x:c>
      <x:c r="N355" s="153" t="n">
        <x:v>9054</x:v>
      </x:c>
      <x:c r="O355" s="153" t="n">
        <x:v>9172</x:v>
      </x:c>
      <x:c r="P355" s="154" t="n">
        <x:f>IFERROR(O355/O354-1,"")</x:f>
        <x:v>0.015950376606114203</x:v>
      </x:c>
      <x:c r="Q355" s="154" t="n">
        <x:f>IFERROR((M355-N355)/O354,"")</x:f>
        <x:v>0.01982720425343376</x:v>
      </x:c>
      <x:c r="R355" s="153" t="n">
        <x:v>9156</x:v>
      </x:c>
      <x:c r="S355" s="158" t="n">
        <x:v>1017134</x:v>
      </x:c>
      <x:c r="T355" s="158" t="n">
        <x:v>9313059288</x:v>
      </x:c>
      <x:c r="U355" s="158" t="n">
        <x:v>3243004</x:v>
      </x:c>
      <x:c r="V355" s="153" t="n">
        <x:f>IFERROR(E355*1000/O355,"")</x:f>
        <x:v>84.75795900566943</x:v>
      </x:c>
      <x:c r="W355" s="153" t="n">
        <x:v>4.43</x:v>
      </x:c>
      <x:c r="X355" s="155" t="n">
        <x:v>45849</x:v>
      </x:c>
      <x:c r="Y355" s="153" t="n">
        <x:v>2.06</x:v>
      </x:c>
      <x:c r="Z355" s="155" t="n">
        <x:v>45849</x:v>
      </x:c>
      <x:c r="AA355" s="153" t="n">
        <x:f>IFERROR(Y355-Y354,"")</x:f>
        <x:v>0.050000000000000266</x:v>
      </x:c>
      <x:c r="AB355" s="153" t="n">
        <x:v>2.37</x:v>
      </x:c>
      <x:c r="AC355" s="153" t="n">
        <x:v>119.9214</x:v>
      </x:c>
      <x:c r="AD355" s="155" t="n">
        <x:v>45849</x:v>
      </x:c>
      <x:c r="AE355" s="154" t="n">
        <x:f>IFERROR(AC355/AC354-1,"")</x:f>
        <x:v>0.0007268369740549563</x:v>
      </x:c>
      <x:c r="AF355" s="153" t="n">
        <x:v>16.4</x:v>
      </x:c>
      <x:c r="AG355" s="155" t="n">
        <x:v>45849</x:v>
      </x:c>
      <x:c r="AH355" s="153" t="n">
        <x:f>IFERROR(AF355-AF354,"")</x:f>
        <x:v>0.6199999999999992</x:v>
      </x:c>
      <x:c r="AI355" s="153" t="n">
        <x:v>4.33</x:v>
      </x:c>
      <x:c r="AJ355" s="155" t="n">
        <x:v>45849</x:v>
      </x:c>
      <x:c r="AK355" s="159" t="n">
        <x:v>128942</x:v>
      </x:c>
      <x:c r="AL355" s="154" t="n">
        <x:v>0.2909708807972126</x:v>
      </x:c>
      <x:c r="AM355" s="159" t="n">
        <x:v>-46812</x:v>
      </x:c>
      <x:c r="AN355" s="155" t="n">
        <x:v>45849</x:v>
      </x:c>
      <x:c r="AO355" s="159" t="n">
        <x:v>42756</x:v>
      </x:c>
      <x:c r="AP355" s="154" t="n">
        <x:v>0.26262415311757153</x:v>
      </x:c>
      <x:c r="AQ355" s="159" t="n">
        <x:v>-27271</x:v>
      </x:c>
      <x:c r="AR355" s="147" t="str">
        <x:v>美国市场指标与CFTC数据均使用严格早于上金所交易日的最后已发布值</x:v>
      </x:c>
    </x:row>
    <x:row r="356">
      <x:c r="A356" s="155" t="n">
        <x:v>45853</x:v>
      </x:c>
      <x:c r="B356" s="153" t="n">
        <x:v>776</x:v>
      </x:c>
      <x:c r="C356" s="153" t="n">
        <x:v>778</x:v>
      </x:c>
      <x:c r="D356" s="153" t="n">
        <x:v>772</x:v>
      </x:c>
      <x:c r="E356" s="153" t="n">
        <x:v>776.02</x:v>
      </x:c>
      <x:c r="F356" s="154" t="n">
        <x:f>IFERROR(E356/E355-1,"")</x:f>
        <x:v>-0.0017751479289940253</x:v>
      </x:c>
      <x:c r="G356" s="154" t="n">
        <x:f>IFERROR((C356-D356)/E355,"")</x:f>
        <x:v>0.007718034473887317</x:v>
      </x:c>
      <x:c r="H356" s="153" t="n">
        <x:v>774.78</x:v>
      </x:c>
      <x:c r="I356" s="158" t="n">
        <x:v>6994.42</x:v>
      </x:c>
      <x:c r="J356" s="158" t="n">
        <x:v>5419190282</x:v>
      </x:c>
      <x:c r="K356" s="158"/>
      <x:c r="L356" s="153" t="n">
        <x:v>9162</x:v>
      </x:c>
      <x:c r="M356" s="153" t="n">
        <x:v>9189</x:v>
      </x:c>
      <x:c r="N356" s="153" t="n">
        <x:v>9117</x:v>
      </x:c>
      <x:c r="O356" s="153" t="n">
        <x:v>9184</x:v>
      </x:c>
      <x:c r="P356" s="154" t="n">
        <x:f>IFERROR(O356/O355-1,"")</x:f>
        <x:v>0.0013083296990841209</x:v>
      </x:c>
      <x:c r="Q356" s="154" t="n">
        <x:f>IFERROR((M356-N356)/O355,"")</x:f>
        <x:v>0.007849978194505015</x:v>
      </x:c>
      <x:c r="R356" s="153" t="n">
        <x:v>9155</x:v>
      </x:c>
      <x:c r="S356" s="158" t="n">
        <x:v>489788</x:v>
      </x:c>
      <x:c r="T356" s="158" t="n">
        <x:v>4484059734</x:v>
      </x:c>
      <x:c r="U356" s="158" t="n">
        <x:v>3257966</x:v>
      </x:c>
      <x:c r="V356" s="153" t="n">
        <x:f>IFERROR(E356*1000/O356,"")</x:f>
        <x:v>84.4969512195122</x:v>
      </x:c>
      <x:c r="W356" s="153" t="n">
        <x:v>4.43</x:v>
      </x:c>
      <x:c r="X356" s="155" t="n">
        <x:v>45852</x:v>
      </x:c>
      <x:c r="Y356" s="153" t="n">
        <x:v>2.04</x:v>
      </x:c>
      <x:c r="Z356" s="155" t="n">
        <x:v>45852</x:v>
      </x:c>
      <x:c r="AA356" s="153" t="n">
        <x:f>IFERROR(Y356-Y355,"")</x:f>
        <x:v>-0.020000000000000018</x:v>
      </x:c>
      <x:c r="AB356" s="153" t="n">
        <x:v>2.39</x:v>
      </x:c>
      <x:c r="AC356" s="153" t="n">
        <x:v>120.2209</x:v>
      </x:c>
      <x:c r="AD356" s="155" t="n">
        <x:v>45852</x:v>
      </x:c>
      <x:c r="AE356" s="154" t="n">
        <x:f>IFERROR(AC356/AC355-1,"")</x:f>
        <x:v>0.0024974691756434186</x:v>
      </x:c>
      <x:c r="AF356" s="153" t="n">
        <x:v>17.2</x:v>
      </x:c>
      <x:c r="AG356" s="155" t="n">
        <x:v>45852</x:v>
      </x:c>
      <x:c r="AH356" s="153" t="n">
        <x:f>IFERROR(AF356-AF355,"")</x:f>
        <x:v>0.8000000000000007</x:v>
      </x:c>
      <x:c r="AI356" s="153" t="n">
        <x:v>4.33</x:v>
      </x:c>
      <x:c r="AJ356" s="155" t="n">
        <x:v>45849</x:v>
      </x:c>
      <x:c r="AK356" s="159" t="n">
        <x:v>128942</x:v>
      </x:c>
      <x:c r="AL356" s="154" t="n">
        <x:v>0.2909708807972126</x:v>
      </x:c>
      <x:c r="AM356" s="159" t="n">
        <x:v>-46812</x:v>
      </x:c>
      <x:c r="AN356" s="155" t="n">
        <x:v>45849</x:v>
      </x:c>
      <x:c r="AO356" s="159" t="n">
        <x:v>42756</x:v>
      </x:c>
      <x:c r="AP356" s="154" t="n">
        <x:v>0.26262415311757153</x:v>
      </x:c>
      <x:c r="AQ356" s="159" t="n">
        <x:v>-27271</x:v>
      </x:c>
      <x:c r="AR356" s="147" t="str">
        <x:v>美国市场指标与CFTC数据均使用严格早于上金所交易日的最后已发布值</x:v>
      </x:c>
    </x:row>
    <x:row r="357">
      <x:c r="A357" s="155" t="n">
        <x:v>45854</x:v>
      </x:c>
      <x:c r="B357" s="153" t="n">
        <x:v>774.5</x:v>
      </x:c>
      <x:c r="C357" s="153" t="n">
        <x:v>774.5</x:v>
      </x:c>
      <x:c r="D357" s="153" t="n">
        <x:v>770</x:v>
      </x:c>
      <x:c r="E357" s="153" t="n">
        <x:v>772.4</x:v>
      </x:c>
      <x:c r="F357" s="154" t="n">
        <x:f>IFERROR(E357/E356-1,"")</x:f>
        <x:v>-0.004664828226076612</x:v>
      </x:c>
      <x:c r="G357" s="154" t="n">
        <x:f>IFERROR((C357-D357)/E356,"")</x:f>
        <x:v>0.005798819618051081</x:v>
      </x:c>
      <x:c r="H357" s="153" t="n">
        <x:v>771.69</x:v>
      </x:c>
      <x:c r="I357" s="158" t="n">
        <x:v>5753.88</x:v>
      </x:c>
      <x:c r="J357" s="158" t="n">
        <x:v>4440252613.2</x:v>
      </x:c>
      <x:c r="K357" s="158"/>
      <x:c r="L357" s="153" t="n">
        <x:v>9184</x:v>
      </x:c>
      <x:c r="M357" s="153" t="n">
        <x:v>9185</x:v>
      </x:c>
      <x:c r="N357" s="153" t="n">
        <x:v>9071</x:v>
      </x:c>
      <x:c r="O357" s="153" t="n">
        <x:v>9109</x:v>
      </x:c>
      <x:c r="P357" s="154" t="n">
        <x:f>IFERROR(O357/O356-1,"")</x:f>
        <x:v>-0.008166376306620204</x:v>
      </x:c>
      <x:c r="Q357" s="154" t="n">
        <x:f>IFERROR((M357-N357)/O356,"")</x:f>
        <x:v>0.012412891986062718</x:v>
      </x:c>
      <x:c r="R357" s="153" t="n">
        <x:v>9114</x:v>
      </x:c>
      <x:c r="S357" s="158" t="n">
        <x:v>483798</x:v>
      </x:c>
      <x:c r="T357" s="158" t="n">
        <x:v>4409778612</x:v>
      </x:c>
      <x:c r="U357" s="158" t="n">
        <x:v>3334284</x:v>
      </x:c>
      <x:c r="V357" s="153" t="n">
        <x:f>IFERROR(E357*1000/O357,"")</x:f>
        <x:v>84.79525743769898</x:v>
      </x:c>
      <x:c r="W357" s="153" t="n">
        <x:v>4.5</x:v>
      </x:c>
      <x:c r="X357" s="155" t="n">
        <x:v>45853</x:v>
      </x:c>
      <x:c r="Y357" s="153" t="n">
        <x:v>2.09</x:v>
      </x:c>
      <x:c r="Z357" s="155" t="n">
        <x:v>45853</x:v>
      </x:c>
      <x:c r="AA357" s="153" t="n">
        <x:f>IFERROR(Y357-Y356,"")</x:f>
        <x:v>0.04999999999999982</x:v>
      </x:c>
      <x:c r="AB357" s="153" t="n">
        <x:v>2.41</x:v>
      </x:c>
      <x:c r="AC357" s="153" t="n">
        <x:v>120.5105</x:v>
      </x:c>
      <x:c r="AD357" s="155" t="n">
        <x:v>45853</x:v>
      </x:c>
      <x:c r="AE357" s="154" t="n">
        <x:f>IFERROR(AC357/AC356-1,"")</x:f>
        <x:v>0.002408898951846039</x:v>
      </x:c>
      <x:c r="AF357" s="153" t="n">
        <x:v>17.38</x:v>
      </x:c>
      <x:c r="AG357" s="155" t="n">
        <x:v>45853</x:v>
      </x:c>
      <x:c r="AH357" s="153" t="n">
        <x:f>IFERROR(AF357-AF356,"")</x:f>
        <x:v>0.17999999999999972</x:v>
      </x:c>
      <x:c r="AI357" s="153" t="n">
        <x:v>4.33</x:v>
      </x:c>
      <x:c r="AJ357" s="155" t="n">
        <x:v>45849</x:v>
      </x:c>
      <x:c r="AK357" s="159" t="n">
        <x:v>128942</x:v>
      </x:c>
      <x:c r="AL357" s="154" t="n">
        <x:v>0.2909708807972126</x:v>
      </x:c>
      <x:c r="AM357" s="159" t="n">
        <x:v>-46812</x:v>
      </x:c>
      <x:c r="AN357" s="155" t="n">
        <x:v>45849</x:v>
      </x:c>
      <x:c r="AO357" s="159" t="n">
        <x:v>42756</x:v>
      </x:c>
      <x:c r="AP357" s="154" t="n">
        <x:v>0.26262415311757153</x:v>
      </x:c>
      <x:c r="AQ357" s="159" t="n">
        <x:v>-27271</x:v>
      </x:c>
      <x:c r="AR357" s="147" t="str">
        <x:v>美国市场指标与CFTC数据均使用严格早于上金所交易日的最后已发布值</x:v>
      </x:c>
    </x:row>
    <x:row r="358">
      <x:c r="A358" s="155" t="n">
        <x:v>45855</x:v>
      </x:c>
      <x:c r="B358" s="153" t="n">
        <x:v>773</x:v>
      </x:c>
      <x:c r="C358" s="153" t="n">
        <x:v>778</x:v>
      </x:c>
      <x:c r="D358" s="153" t="n">
        <x:v>769.3</x:v>
      </x:c>
      <x:c r="E358" s="153" t="n">
        <x:v>770.91</x:v>
      </x:c>
      <x:c r="F358" s="154" t="n">
        <x:f>IFERROR(E358/E357-1,"")</x:f>
        <x:v>-0.001929052304505463</x:v>
      </x:c>
      <x:c r="G358" s="154" t="n">
        <x:f>IFERROR((C358-D358)/E357,"")</x:f>
        <x:v>0.01126359399274993</x:v>
      </x:c>
      <x:c r="H358" s="153" t="n">
        <x:v>772.39</x:v>
      </x:c>
      <x:c r="I358" s="158" t="n">
        <x:v>6456.68</x:v>
      </x:c>
      <x:c r="J358" s="158" t="n">
        <x:v>4987125771.2</x:v>
      </x:c>
      <x:c r="K358" s="158"/>
      <x:c r="L358" s="153" t="n">
        <x:v>9107</x:v>
      </x:c>
      <x:c r="M358" s="153" t="n">
        <x:v>9147</x:v>
      </x:c>
      <x:c r="N358" s="153" t="n">
        <x:v>9050</x:v>
      </x:c>
      <x:c r="O358" s="153" t="n">
        <x:v>9123</x:v>
      </x:c>
      <x:c r="P358" s="154" t="n">
        <x:f>IFERROR(O358/O357-1,"")</x:f>
        <x:v>0.0015369414864419007</x:v>
      </x:c>
      <x:c r="Q358" s="154" t="n">
        <x:f>IFERROR((M358-N358)/O357,"")</x:f>
        <x:v>0.010648808870348008</x:v>
      </x:c>
      <x:c r="R358" s="153" t="n">
        <x:v>9115</x:v>
      </x:c>
      <x:c r="S358" s="158" t="n">
        <x:v>281830</x:v>
      </x:c>
      <x:c r="T358" s="158" t="n">
        <x:v>2569127106</x:v>
      </x:c>
      <x:c r="U358" s="158" t="n">
        <x:v>3331190</x:v>
      </x:c>
      <x:c r="V358" s="153" t="n">
        <x:f>IFERROR(E358*1000/O358,"")</x:f>
        <x:v>84.50180861558698</x:v>
      </x:c>
      <x:c r="W358" s="153" t="n">
        <x:v>4.46</x:v>
      </x:c>
      <x:c r="X358" s="155" t="n">
        <x:v>45854</x:v>
      </x:c>
      <x:c r="Y358" s="153" t="n">
        <x:v>2.05</x:v>
      </x:c>
      <x:c r="Z358" s="155" t="n">
        <x:v>45854</x:v>
      </x:c>
      <x:c r="AA358" s="153" t="n">
        <x:f>IFERROR(Y358-Y357,"")</x:f>
        <x:v>-0.040000000000000036</x:v>
      </x:c>
      <x:c r="AB358" s="153" t="n">
        <x:v>2.41</x:v>
      </x:c>
      <x:c r="AC358" s="153" t="n">
        <x:v>120.4175</x:v>
      </x:c>
      <x:c r="AD358" s="155" t="n">
        <x:v>45854</x:v>
      </x:c>
      <x:c r="AE358" s="154" t="n">
        <x:f>IFERROR(AC358/AC357-1,"")</x:f>
        <x:v>-0.0007717169873163732</x:v>
      </x:c>
      <x:c r="AF358" s="153" t="n">
        <x:v>17.16</x:v>
      </x:c>
      <x:c r="AG358" s="155" t="n">
        <x:v>45854</x:v>
      </x:c>
      <x:c r="AH358" s="153" t="n">
        <x:f>IFERROR(AF358-AF357,"")</x:f>
        <x:v>-0.21999999999999886</x:v>
      </x:c>
      <x:c r="AI358" s="153" t="n">
        <x:v>4.33</x:v>
      </x:c>
      <x:c r="AJ358" s="155" t="n">
        <x:v>45849</x:v>
      </x:c>
      <x:c r="AK358" s="159" t="n">
        <x:v>128942</x:v>
      </x:c>
      <x:c r="AL358" s="154" t="n">
        <x:v>0.2909708807972126</x:v>
      </x:c>
      <x:c r="AM358" s="159" t="n">
        <x:v>-46812</x:v>
      </x:c>
      <x:c r="AN358" s="155" t="n">
        <x:v>45849</x:v>
      </x:c>
      <x:c r="AO358" s="159" t="n">
        <x:v>42756</x:v>
      </x:c>
      <x:c r="AP358" s="154" t="n">
        <x:v>0.26262415311757153</x:v>
      </x:c>
      <x:c r="AQ358" s="159" t="n">
        <x:v>-27271</x:v>
      </x:c>
      <x:c r="AR358" s="147" t="str">
        <x:v>美国市场指标与CFTC数据均使用严格早于上金所交易日的最后已发布值</x:v>
      </x:c>
    </x:row>
    <x:row r="359">
      <x:c r="A359" s="155" t="n">
        <x:v>45856</x:v>
      </x:c>
      <x:c r="B359" s="153" t="n">
        <x:v>770.5</x:v>
      </x:c>
      <x:c r="C359" s="153" t="n">
        <x:v>773.79</x:v>
      </x:c>
      <x:c r="D359" s="153" t="n">
        <x:v>768</x:v>
      </x:c>
      <x:c r="E359" s="153" t="n">
        <x:v>773.5</x:v>
      </x:c>
      <x:c r="F359" s="154" t="n">
        <x:f>IFERROR(E359/E358-1,"")</x:f>
        <x:v>0.003359665849450799</x:v>
      </x:c>
      <x:c r="G359" s="154" t="n">
        <x:f>IFERROR((C359-D359)/E358,"")</x:f>
        <x:v>0.00751060435070237</x:v>
      </x:c>
      <x:c r="H359" s="153" t="n">
        <x:v>772.41</x:v>
      </x:c>
      <x:c r="I359" s="158" t="n">
        <x:v>4513.74</x:v>
      </x:c>
      <x:c r="J359" s="158" t="n">
        <x:v>3486492546.6</x:v>
      </x:c>
      <x:c r="K359" s="158"/>
      <x:c r="L359" s="153" t="n">
        <x:v>9110</x:v>
      </x:c>
      <x:c r="M359" s="153" t="n">
        <x:v>9235</x:v>
      </x:c>
      <x:c r="N359" s="153" t="n">
        <x:v>9061</x:v>
      </x:c>
      <x:c r="O359" s="153" t="n">
        <x:v>9211</x:v>
      </x:c>
      <x:c r="P359" s="154" t="n">
        <x:f>IFERROR(O359/O358-1,"")</x:f>
        <x:v>0.009645949797215891</x:v>
      </x:c>
      <x:c r="Q359" s="154" t="n">
        <x:f>IFERROR((M359-N359)/O358,"")</x:f>
        <x:v>0.01907267346267675</x:v>
      </x:c>
      <x:c r="R359" s="153" t="n">
        <x:v>9169</x:v>
      </x:c>
      <x:c r="S359" s="158" t="n">
        <x:v>403720</x:v>
      </x:c>
      <x:c r="T359" s="158" t="n">
        <x:v>3701998212</x:v>
      </x:c>
      <x:c r="U359" s="158" t="n">
        <x:v>3407420</x:v>
      </x:c>
      <x:c r="V359" s="153" t="n">
        <x:f>IFERROR(E359*1000/O359,"")</x:f>
        <x:v>83.97568125067853</x:v>
      </x:c>
      <x:c r="W359" s="153" t="n">
        <x:v>4.47</x:v>
      </x:c>
      <x:c r="X359" s="155" t="n">
        <x:v>45855</x:v>
      </x:c>
      <x:c r="Y359" s="153" t="n">
        <x:v>2.04</x:v>
      </x:c>
      <x:c r="Z359" s="155" t="n">
        <x:v>45855</x:v>
      </x:c>
      <x:c r="AA359" s="153" t="n">
        <x:f>IFERROR(Y359-Y358,"")</x:f>
        <x:v>-0.009999999999999787</x:v>
      </x:c>
      <x:c r="AB359" s="153" t="n">
        <x:v>2.43</x:v>
      </x:c>
      <x:c r="AC359" s="153" t="n">
        <x:v>120.6384</x:v>
      </x:c>
      <x:c r="AD359" s="155" t="n">
        <x:v>45855</x:v>
      </x:c>
      <x:c r="AE359" s="154" t="n">
        <x:f>IFERROR(AC359/AC358-1,"")</x:f>
        <x:v>0.001834450972657553</x:v>
      </x:c>
      <x:c r="AF359" s="153" t="n">
        <x:v>16.52</x:v>
      </x:c>
      <x:c r="AG359" s="155" t="n">
        <x:v>45855</x:v>
      </x:c>
      <x:c r="AH359" s="153" t="n">
        <x:f>IFERROR(AF359-AF358,"")</x:f>
        <x:v>-0.6400000000000006</x:v>
      </x:c>
      <x:c r="AI359" s="153" t="n">
        <x:v>4.33</x:v>
      </x:c>
      <x:c r="AJ359" s="155" t="n">
        <x:v>45849</x:v>
      </x:c>
      <x:c r="AK359" s="159" t="n">
        <x:v>128942</x:v>
      </x:c>
      <x:c r="AL359" s="154" t="n">
        <x:v>0.2909708807972126</x:v>
      </x:c>
      <x:c r="AM359" s="159" t="n">
        <x:v>-46812</x:v>
      </x:c>
      <x:c r="AN359" s="155" t="n">
        <x:v>45849</x:v>
      </x:c>
      <x:c r="AO359" s="159" t="n">
        <x:v>42756</x:v>
      </x:c>
      <x:c r="AP359" s="154" t="n">
        <x:v>0.26262415311757153</x:v>
      </x:c>
      <x:c r="AQ359" s="159" t="n">
        <x:v>-27271</x:v>
      </x:c>
      <x:c r="AR359" s="147" t="str">
        <x:v>美国市场指标与CFTC数据均使用严格早于上金所交易日的最后已发布值</x:v>
      </x:c>
    </x:row>
    <x:row r="360">
      <x:c r="A360" s="155" t="n">
        <x:v>45859</x:v>
      </x:c>
      <x:c r="B360" s="153" t="n">
        <x:v>775.6</x:v>
      </x:c>
      <x:c r="C360" s="153" t="n">
        <x:v>778.5</x:v>
      </x:c>
      <x:c r="D360" s="153" t="n">
        <x:v>773.5</x:v>
      </x:c>
      <x:c r="E360" s="153" t="n">
        <x:v>777.34</x:v>
      </x:c>
      <x:c r="F360" s="154" t="n">
        <x:f>IFERROR(E360/E359-1,"")</x:f>
        <x:v>0.004964447317388432</x:v>
      </x:c>
      <x:c r="G360" s="154" t="n">
        <x:f>IFERROR((C360-D360)/E359,"")</x:f>
        <x:v>0.006464124111182934</x:v>
      </x:c>
      <x:c r="H360" s="153" t="n">
        <x:v>776.92</x:v>
      </x:c>
      <x:c r="I360" s="158" t="n">
        <x:v>8766.06</x:v>
      </x:c>
      <x:c r="J360" s="158" t="n">
        <x:v>6810600690.4</x:v>
      </x:c>
      <x:c r="K360" s="158"/>
      <x:c r="L360" s="153" t="n">
        <x:v>9216</x:v>
      </x:c>
      <x:c r="M360" s="153" t="n">
        <x:v>9250</x:v>
      </x:c>
      <x:c r="N360" s="153" t="n">
        <x:v>9177</x:v>
      </x:c>
      <x:c r="O360" s="153" t="n">
        <x:v>9226</x:v>
      </x:c>
      <x:c r="P360" s="154" t="n">
        <x:f>IFERROR(O360/O359-1,"")</x:f>
        <x:v>0.0016284876777765689</x:v>
      </x:c>
      <x:c r="Q360" s="154" t="n">
        <x:f>IFERROR((M360-N360)/O359,"")</x:f>
        <x:v>0.007925306698512649</x:v>
      </x:c>
      <x:c r="R360" s="153" t="n">
        <x:v>9220</x:v>
      </x:c>
      <x:c r="S360" s="158" t="n">
        <x:v>300788</x:v>
      </x:c>
      <x:c r="T360" s="158" t="n">
        <x:v>2773325804</x:v>
      </x:c>
      <x:c r="U360" s="158" t="n">
        <x:v>3370304</x:v>
      </x:c>
      <x:c r="V360" s="153" t="n">
        <x:f>IFERROR(E360*1000/O360,"")</x:f>
        <x:v>84.25536527205723</x:v>
      </x:c>
      <x:c r="W360" s="153" t="n">
        <x:v>4.44</x:v>
      </x:c>
      <x:c r="X360" s="155" t="n">
        <x:v>45856</x:v>
      </x:c>
      <x:c r="Y360" s="153" t="n">
        <x:v>2.03</x:v>
      </x:c>
      <x:c r="Z360" s="155" t="n">
        <x:v>45856</x:v>
      </x:c>
      <x:c r="AA360" s="153" t="n">
        <x:f>IFERROR(Y360-Y359,"")</x:f>
        <x:v>-0.010000000000000231</x:v>
      </x:c>
      <x:c r="AB360" s="153" t="n">
        <x:v>2.41</x:v>
      </x:c>
      <x:c r="AC360" s="153" t="n">
        <x:v>120.356</x:v>
      </x:c>
      <x:c r="AD360" s="155" t="n">
        <x:v>45856</x:v>
      </x:c>
      <x:c r="AE360" s="154" t="n">
        <x:f>IFERROR(AC360/AC359-1,"")</x:f>
        <x:v>-0.002340879852518074</x:v>
      </x:c>
      <x:c r="AF360" s="153" t="n">
        <x:v>16.41</x:v>
      </x:c>
      <x:c r="AG360" s="155" t="n">
        <x:v>45856</x:v>
      </x:c>
      <x:c r="AH360" s="153" t="n">
        <x:f>IFERROR(AF360-AF359,"")</x:f>
        <x:v>-0.10999999999999943</x:v>
      </x:c>
      <x:c r="AI360" s="153" t="n">
        <x:v>4.33</x:v>
      </x:c>
      <x:c r="AJ360" s="155" t="n">
        <x:v>45856</x:v>
      </x:c>
      <x:c r="AK360" s="159" t="n">
        <x:v>136727</x:v>
      </x:c>
      <x:c r="AL360" s="154" t="n">
        <x:v>0.3048328878048563</x:v>
      </x:c>
      <x:c r="AM360" s="159" t="n">
        <x:v>-46736</x:v>
      </x:c>
      <x:c r="AN360" s="155" t="n">
        <x:v>45856</x:v>
      </x:c>
      <x:c r="AO360" s="159" t="n">
        <x:v>43206</x:v>
      </x:c>
      <x:c r="AP360" s="154" t="n">
        <x:v>0.25196822841946886</x:v>
      </x:c>
      <x:c r="AQ360" s="159" t="n">
        <x:v>-30369</x:v>
      </x:c>
      <x:c r="AR360" s="147" t="str">
        <x:v>美国市场指标与CFTC数据均使用严格早于上金所交易日的最后已发布值</x:v>
      </x:c>
    </x:row>
    <x:row r="361">
      <x:c r="A361" s="155" t="n">
        <x:v>45860</x:v>
      </x:c>
      <x:c r="B361" s="153" t="n">
        <x:v>778.5</x:v>
      </x:c>
      <x:c r="C361" s="153" t="n">
        <x:v>783</x:v>
      </x:c>
      <x:c r="D361" s="153" t="n">
        <x:v>778.5</x:v>
      </x:c>
      <x:c r="E361" s="153" t="n">
        <x:v>780.35</x:v>
      </x:c>
      <x:c r="F361" s="154" t="n">
        <x:f>IFERROR(E361/E360-1,"")</x:f>
        <x:v>0.0038721794838809664</x:v>
      </x:c>
      <x:c r="G361" s="154" t="n">
        <x:f>IFERROR((C361-D361)/E360,"")</x:f>
        <x:v>0.005788972650320323</x:v>
      </x:c>
      <x:c r="H361" s="153" t="n">
        <x:v>780.98</x:v>
      </x:c>
      <x:c r="I361" s="158" t="n">
        <x:v>6505.46</x:v>
      </x:c>
      <x:c r="J361" s="158" t="n">
        <x:v>5080680426.4</x:v>
      </x:c>
      <x:c r="K361" s="158"/>
      <x:c r="L361" s="153" t="n">
        <x:v>9273</x:v>
      </x:c>
      <x:c r="M361" s="153" t="n">
        <x:v>9386</x:v>
      </x:c>
      <x:c r="N361" s="153" t="n">
        <x:v>9253</x:v>
      </x:c>
      <x:c r="O361" s="153" t="n">
        <x:v>9368</x:v>
      </x:c>
      <x:c r="P361" s="154" t="n">
        <x:f>IFERROR(O361/O360-1,"")</x:f>
        <x:v>0.015391285497507123</x:v>
      </x:c>
      <x:c r="Q361" s="154" t="n">
        <x:f>IFERROR((M361-N361)/O360,"")</x:f>
        <x:v>0.014415781487101669</x:v>
      </x:c>
      <x:c r="R361" s="153" t="n">
        <x:v>9331</x:v>
      </x:c>
      <x:c r="S361" s="158" t="n">
        <x:v>537430</x:v>
      </x:c>
      <x:c r="T361" s="158" t="n">
        <x:v>5014943880</x:v>
      </x:c>
      <x:c r="U361" s="158" t="n">
        <x:v>3420474</x:v>
      </x:c>
      <x:c r="V361" s="153" t="n">
        <x:f>IFERROR(E361*1000/O361,"")</x:f>
        <x:v>83.29953031596926</x:v>
      </x:c>
      <x:c r="W361" s="153" t="n">
        <x:v>4.38</x:v>
      </x:c>
      <x:c r="X361" s="155" t="n">
        <x:v>45859</x:v>
      </x:c>
      <x:c r="Y361" s="153" t="n">
        <x:v>1.98</x:v>
      </x:c>
      <x:c r="Z361" s="155" t="n">
        <x:v>45859</x:v>
      </x:c>
      <x:c r="AA361" s="153" t="n">
        <x:f>IFERROR(Y361-Y360,"")</x:f>
        <x:v>-0.04999999999999982</x:v>
      </x:c>
      <x:c r="AB361" s="153" t="n">
        <x:v>2.4</x:v>
      </x:c>
      <x:c r="AC361" s="153" t="n">
        <x:v>119.9961</x:v>
      </x:c>
      <x:c r="AD361" s="155" t="n">
        <x:v>45859</x:v>
      </x:c>
      <x:c r="AE361" s="154" t="n">
        <x:f>IFERROR(AC361/AC360-1,"")</x:f>
        <x:v>-0.002990295456811398</x:v>
      </x:c>
      <x:c r="AF361" s="153" t="n">
        <x:v>16.65</x:v>
      </x:c>
      <x:c r="AG361" s="155" t="n">
        <x:v>45859</x:v>
      </x:c>
      <x:c r="AH361" s="153" t="n">
        <x:f>IFERROR(AF361-AF360,"")</x:f>
        <x:v>0.23999999999999844</x:v>
      </x:c>
      <x:c r="AI361" s="153" t="n">
        <x:v>4.33</x:v>
      </x:c>
      <x:c r="AJ361" s="155" t="n">
        <x:v>45856</x:v>
      </x:c>
      <x:c r="AK361" s="159" t="n">
        <x:v>136727</x:v>
      </x:c>
      <x:c r="AL361" s="154" t="n">
        <x:v>0.3048328878048563</x:v>
      </x:c>
      <x:c r="AM361" s="159" t="n">
        <x:v>-46736</x:v>
      </x:c>
      <x:c r="AN361" s="155" t="n">
        <x:v>45856</x:v>
      </x:c>
      <x:c r="AO361" s="159" t="n">
        <x:v>43206</x:v>
      </x:c>
      <x:c r="AP361" s="154" t="n">
        <x:v>0.25196822841946886</x:v>
      </x:c>
      <x:c r="AQ361" s="159" t="n">
        <x:v>-30369</x:v>
      </x:c>
      <x:c r="AR361" s="147" t="str">
        <x:v>美国市场指标与CFTC数据均使用严格早于上金所交易日的最后已发布值</x:v>
      </x:c>
    </x:row>
    <x:row r="362">
      <x:c r="A362" s="155" t="n">
        <x:v>45861</x:v>
      </x:c>
      <x:c r="B362" s="153" t="n">
        <x:v>782.3</x:v>
      </x:c>
      <x:c r="C362" s="153" t="n">
        <x:v>789.3</x:v>
      </x:c>
      <x:c r="D362" s="153" t="n">
        <x:v>782</x:v>
      </x:c>
      <x:c r="E362" s="153" t="n">
        <x:v>788.5</x:v>
      </x:c>
      <x:c r="F362" s="154" t="n">
        <x:f>IFERROR(E362/E361-1,"")</x:f>
        <x:v>0.010444031524315944</x:v>
      </x:c>
      <x:c r="G362" s="154" t="n">
        <x:f>IFERROR((C362-D362)/E361,"")</x:f>
        <x:v>0.009354776702761523</x:v>
      </x:c>
      <x:c r="H362" s="153" t="n">
        <x:v>787.73</x:v>
      </x:c>
      <x:c r="I362" s="158" t="n">
        <x:v>7341.56</x:v>
      </x:c>
      <x:c r="J362" s="158" t="n">
        <x:v>5783174999.2</x:v>
      </x:c>
      <x:c r="K362" s="158"/>
      <x:c r="L362" s="153" t="n">
        <x:v>9341</x:v>
      </x:c>
      <x:c r="M362" s="153" t="n">
        <x:v>9486</x:v>
      </x:c>
      <x:c r="N362" s="153" t="n">
        <x:v>9341</x:v>
      </x:c>
      <x:c r="O362" s="153" t="n">
        <x:v>9475</x:v>
      </x:c>
      <x:c r="P362" s="154" t="n">
        <x:f>IFERROR(O362/O361-1,"")</x:f>
        <x:v>0.011421861656703669</x:v>
      </x:c>
      <x:c r="Q362" s="154" t="n">
        <x:f>IFERROR((M362-N362)/O361,"")</x:f>
        <x:v>0.015478223740392826</x:v>
      </x:c>
      <x:c r="R362" s="153" t="n">
        <x:v>9432</x:v>
      </x:c>
      <x:c r="S362" s="158" t="n">
        <x:v>440246</x:v>
      </x:c>
      <x:c r="T362" s="158" t="n">
        <x:v>4152637050</x:v>
      </x:c>
      <x:c r="U362" s="158" t="n">
        <x:v>3412758</x:v>
      </x:c>
      <x:c r="V362" s="153" t="n">
        <x:f>IFERROR(E362*1000/O362,"")</x:f>
        <x:v>83.21899736147758</x:v>
      </x:c>
      <x:c r="W362" s="153" t="n">
        <x:v>4.35</x:v>
      </x:c>
      <x:c r="X362" s="155" t="n">
        <x:v>45860</x:v>
      </x:c>
      <x:c r="Y362" s="153" t="n">
        <x:v>1.96</x:v>
      </x:c>
      <x:c r="Z362" s="155" t="n">
        <x:v>45860</x:v>
      </x:c>
      <x:c r="AA362" s="153" t="n">
        <x:f>IFERROR(Y362-Y361,"")</x:f>
        <x:v>-0.020000000000000018</x:v>
      </x:c>
      <x:c r="AB362" s="153" t="n">
        <x:v>2.39</x:v>
      </x:c>
      <x:c r="AC362" s="153" t="n">
        <x:v>119.681</x:v>
      </x:c>
      <x:c r="AD362" s="155" t="n">
        <x:v>45860</x:v>
      </x:c>
      <x:c r="AE362" s="154" t="n">
        <x:f>IFERROR(AC362/AC361-1,"")</x:f>
        <x:v>-0.0026259186756902864</x:v>
      </x:c>
      <x:c r="AF362" s="153" t="n">
        <x:v>16.5</x:v>
      </x:c>
      <x:c r="AG362" s="155" t="n">
        <x:v>45860</x:v>
      </x:c>
      <x:c r="AH362" s="153" t="n">
        <x:f>IFERROR(AF362-AF361,"")</x:f>
        <x:v>-0.14999999999999858</x:v>
      </x:c>
      <x:c r="AI362" s="153" t="n">
        <x:v>4.33</x:v>
      </x:c>
      <x:c r="AJ362" s="155" t="n">
        <x:v>45856</x:v>
      </x:c>
      <x:c r="AK362" s="159" t="n">
        <x:v>136727</x:v>
      </x:c>
      <x:c r="AL362" s="154" t="n">
        <x:v>0.3048328878048563</x:v>
      </x:c>
      <x:c r="AM362" s="159" t="n">
        <x:v>-46736</x:v>
      </x:c>
      <x:c r="AN362" s="155" t="n">
        <x:v>45856</x:v>
      </x:c>
      <x:c r="AO362" s="159" t="n">
        <x:v>43206</x:v>
      </x:c>
      <x:c r="AP362" s="154" t="n">
        <x:v>0.25196822841946886</x:v>
      </x:c>
      <x:c r="AQ362" s="159" t="n">
        <x:v>-30369</x:v>
      </x:c>
      <x:c r="AR362" s="147" t="str">
        <x:v>美国市场指标与CFTC数据均使用严格早于上金所交易日的最后已发布值</x:v>
      </x:c>
    </x:row>
    <x:row r="363">
      <x:c r="A363" s="155" t="n">
        <x:v>45862</x:v>
      </x:c>
      <x:c r="B363" s="153" t="n">
        <x:v>790</x:v>
      </x:c>
      <x:c r="C363" s="153" t="n">
        <x:v>790</x:v>
      </x:c>
      <x:c r="D363" s="153" t="n">
        <x:v>773.25</x:v>
      </x:c>
      <x:c r="E363" s="153" t="n">
        <x:v>775.34</x:v>
      </x:c>
      <x:c r="F363" s="154" t="n">
        <x:f>IFERROR(E363/E362-1,"")</x:f>
        <x:v>-0.016689917564996826</x:v>
      </x:c>
      <x:c r="G363" s="154" t="n">
        <x:f>IFERROR((C363-D363)/E362,"")</x:f>
        <x:v>0.0212428662016487</x:v>
      </x:c>
      <x:c r="H363" s="153" t="n">
        <x:v>775.79</x:v>
      </x:c>
      <x:c r="I363" s="158" t="n">
        <x:v>9347.76</x:v>
      </x:c>
      <x:c r="J363" s="158" t="n">
        <x:v>7251951976.2</x:v>
      </x:c>
      <x:c r="K363" s="158"/>
      <x:c r="L363" s="153" t="n">
        <x:v>9474</x:v>
      </x:c>
      <x:c r="M363" s="153" t="n">
        <x:v>9498</x:v>
      </x:c>
      <x:c r="N363" s="153" t="n">
        <x:v>9263</x:v>
      </x:c>
      <x:c r="O363" s="153" t="n">
        <x:v>9351</x:v>
      </x:c>
      <x:c r="P363" s="154" t="n">
        <x:f>IFERROR(O363/O362-1,"")</x:f>
        <x:v>-0.013087071240105552</x:v>
      </x:c>
      <x:c r="Q363" s="154" t="n">
        <x:f>IFERROR((M363-N363)/O362,"")</x:f>
        <x:v>0.024802110817941952</x:v>
      </x:c>
      <x:c r="R363" s="153" t="n">
        <x:v>9349</x:v>
      </x:c>
      <x:c r="S363" s="158" t="n">
        <x:v>634440</x:v>
      </x:c>
      <x:c r="T363" s="158" t="n">
        <x:v>5931810738</x:v>
      </x:c>
      <x:c r="U363" s="158" t="n">
        <x:v>3386660</x:v>
      </x:c>
      <x:c r="V363" s="153" t="n">
        <x:f>IFERROR(E363*1000/O363,"")</x:f>
        <x:v>82.91519623569671</x:v>
      </x:c>
      <x:c r="W363" s="153" t="n">
        <x:v>4.4</x:v>
      </x:c>
      <x:c r="X363" s="155" t="n">
        <x:v>45861</x:v>
      </x:c>
      <x:c r="Y363" s="153" t="n">
        <x:v>2.03</x:v>
      </x:c>
      <x:c r="Z363" s="155" t="n">
        <x:v>45861</x:v>
      </x:c>
      <x:c r="AA363" s="153" t="n">
        <x:f>IFERROR(Y363-Y362,"")</x:f>
        <x:v>0.06999999999999984</x:v>
      </x:c>
      <x:c r="AB363" s="153" t="n">
        <x:v>2.37</x:v>
      </x:c>
      <x:c r="AC363" s="153" t="n">
        <x:v>119.5697</x:v>
      </x:c>
      <x:c r="AD363" s="155" t="n">
        <x:v>45861</x:v>
      </x:c>
      <x:c r="AE363" s="154" t="n">
        <x:f>IFERROR(AC363/AC362-1,"")</x:f>
        <x:v>-0.0009299721760346324</x:v>
      </x:c>
      <x:c r="AF363" s="153" t="n">
        <x:v>15.37</x:v>
      </x:c>
      <x:c r="AG363" s="155" t="n">
        <x:v>45861</x:v>
      </x:c>
      <x:c r="AH363" s="153" t="n">
        <x:f>IFERROR(AF363-AF362,"")</x:f>
        <x:v>-1.1300000000000008</x:v>
      </x:c>
      <x:c r="AI363" s="153" t="n">
        <x:v>4.33</x:v>
      </x:c>
      <x:c r="AJ363" s="155" t="n">
        <x:v>45856</x:v>
      </x:c>
      <x:c r="AK363" s="159" t="n">
        <x:v>136727</x:v>
      </x:c>
      <x:c r="AL363" s="154" t="n">
        <x:v>0.3048328878048563</x:v>
      </x:c>
      <x:c r="AM363" s="159" t="n">
        <x:v>-46736</x:v>
      </x:c>
      <x:c r="AN363" s="155" t="n">
        <x:v>45856</x:v>
      </x:c>
      <x:c r="AO363" s="159" t="n">
        <x:v>43206</x:v>
      </x:c>
      <x:c r="AP363" s="154" t="n">
        <x:v>0.25196822841946886</x:v>
      </x:c>
      <x:c r="AQ363" s="159" t="n">
        <x:v>-30369</x:v>
      </x:c>
      <x:c r="AR363" s="147" t="str">
        <x:v>美国市场指标与CFTC数据均使用严格早于上金所交易日的最后已发布值</x:v>
      </x:c>
    </x:row>
    <x:row r="364">
      <x:c r="A364" s="155" t="n">
        <x:v>45863</x:v>
      </x:c>
      <x:c r="B364" s="153" t="n">
        <x:v>774.1</x:v>
      </x:c>
      <x:c r="C364" s="153" t="n">
        <x:v>775</x:v>
      </x:c>
      <x:c r="D364" s="153" t="n">
        <x:v>772.2</x:v>
      </x:c>
      <x:c r="E364" s="153" t="n">
        <x:v>774.21</x:v>
      </x:c>
      <x:c r="F364" s="154" t="n">
        <x:f>IFERROR(E364/E363-1,"")</x:f>
        <x:v>-0.0014574251296205487</x:v>
      </x:c>
      <x:c r="G364" s="154" t="n">
        <x:f>IFERROR((C364-D364)/E363,"")</x:f>
        <x:v>0.00361131890525441</x:v>
      </x:c>
      <x:c r="H364" s="153" t="n">
        <x:v>773.19</x:v>
      </x:c>
      <x:c r="I364" s="158" t="n">
        <x:v>5521.44</x:v>
      </x:c>
      <x:c r="J364" s="158" t="n">
        <x:v>4269150160.8</x:v>
      </x:c>
      <x:c r="K364" s="158"/>
      <x:c r="L364" s="153" t="n">
        <x:v>9351</x:v>
      </x:c>
      <x:c r="M364" s="153" t="n">
        <x:v>9412</x:v>
      </x:c>
      <x:c r="N364" s="153" t="n">
        <x:v>9263</x:v>
      </x:c>
      <x:c r="O364" s="153" t="n">
        <x:v>9372</x:v>
      </x:c>
      <x:c r="P364" s="154" t="n">
        <x:f>IFERROR(O364/O363-1,"")</x:f>
        <x:v>0.002245749117741447</x:v>
      </x:c>
      <x:c r="Q364" s="154" t="n">
        <x:f>IFERROR((M364-N364)/O363,"")</x:f>
        <x:v>0.01593412469254625</x:v>
      </x:c>
      <x:c r="R364" s="153" t="n">
        <x:v>9350</x:v>
      </x:c>
      <x:c r="S364" s="158" t="n">
        <x:v>350054</x:v>
      </x:c>
      <x:c r="T364" s="158" t="n">
        <x:v>3273173114</x:v>
      </x:c>
      <x:c r="U364" s="158" t="n">
        <x:v>3380200</x:v>
      </x:c>
      <x:c r="V364" s="153" t="n">
        <x:f>IFERROR(E364*1000/O364,"")</x:f>
        <x:v>82.60883482714469</x:v>
      </x:c>
      <x:c r="W364" s="153" t="n">
        <x:v>4.43</x:v>
      </x:c>
      <x:c r="X364" s="155" t="n">
        <x:v>45862</x:v>
      </x:c>
      <x:c r="Y364" s="153" t="n">
        <x:v>1.98</x:v>
      </x:c>
      <x:c r="Z364" s="155" t="n">
        <x:v>45862</x:v>
      </x:c>
      <x:c r="AA364" s="153" t="n">
        <x:f>IFERROR(Y364-Y363,"")</x:f>
        <x:v>-0.04999999999999982</x:v>
      </x:c>
      <x:c r="AB364" s="153" t="n">
        <x:v>2.45</x:v>
      </x:c>
      <x:c r="AC364" s="153" t="n">
        <x:v>119.5664</x:v>
      </x:c>
      <x:c r="AD364" s="155" t="n">
        <x:v>45862</x:v>
      </x:c>
      <x:c r="AE364" s="154" t="n">
        <x:f>IFERROR(AC364/AC363-1,"")</x:f>
        <x:v>-0.000027598965289699073</x:v>
      </x:c>
      <x:c r="AF364" s="153" t="n">
        <x:v>15.39</x:v>
      </x:c>
      <x:c r="AG364" s="155" t="n">
        <x:v>45862</x:v>
      </x:c>
      <x:c r="AH364" s="153" t="n">
        <x:f>IFERROR(AF364-AF363,"")</x:f>
        <x:v>0.02000000000000135</x:v>
      </x:c>
      <x:c r="AI364" s="153" t="n">
        <x:v>4.33</x:v>
      </x:c>
      <x:c r="AJ364" s="155" t="n">
        <x:v>45856</x:v>
      </x:c>
      <x:c r="AK364" s="159" t="n">
        <x:v>136727</x:v>
      </x:c>
      <x:c r="AL364" s="154" t="n">
        <x:v>0.3048328878048563</x:v>
      </x:c>
      <x:c r="AM364" s="159" t="n">
        <x:v>-46736</x:v>
      </x:c>
      <x:c r="AN364" s="155" t="n">
        <x:v>45856</x:v>
      </x:c>
      <x:c r="AO364" s="159" t="n">
        <x:v>43206</x:v>
      </x:c>
      <x:c r="AP364" s="154" t="n">
        <x:v>0.25196822841946886</x:v>
      </x:c>
      <x:c r="AQ364" s="159" t="n">
        <x:v>-30369</x:v>
      </x:c>
      <x:c r="AR364" s="147" t="str">
        <x:v>美国市场指标与CFTC数据均使用严格早于上金所交易日的最后已发布值</x:v>
      </x:c>
    </x:row>
    <x:row r="365">
      <x:c r="A365" s="155" t="n">
        <x:v>45866</x:v>
      </x:c>
      <x:c r="B365" s="153" t="n">
        <x:v>772</x:v>
      </x:c>
      <x:c r="C365" s="153" t="n">
        <x:v>774.3</x:v>
      </x:c>
      <x:c r="D365" s="153" t="n">
        <x:v>767.8</x:v>
      </x:c>
      <x:c r="E365" s="153" t="n">
        <x:v>771.8</x:v>
      </x:c>
      <x:c r="F365" s="154" t="n">
        <x:f>IFERROR(E365/E364-1,"")</x:f>
        <x:v>-0.0031128505185932243</x:v>
      </x:c>
      <x:c r="G365" s="154" t="n">
        <x:f>IFERROR((C365-D365)/E364,"")</x:f>
        <x:v>0.008395654925666162</x:v>
      </x:c>
      <x:c r="H365" s="153" t="n">
        <x:v>770.13</x:v>
      </x:c>
      <x:c r="I365" s="158" t="n">
        <x:v>8850.54</x:v>
      </x:c>
      <x:c r="J365" s="158" t="n">
        <x:v>6816074694.2</x:v>
      </x:c>
      <x:c r="K365" s="158"/>
      <x:c r="L365" s="153" t="n">
        <x:v>9307</x:v>
      </x:c>
      <x:c r="M365" s="153" t="n">
        <x:v>9338</x:v>
      </x:c>
      <x:c r="N365" s="153" t="n">
        <x:v>9100</x:v>
      </x:c>
      <x:c r="O365" s="153" t="n">
        <x:v>9186</x:v>
      </x:c>
      <x:c r="P365" s="154" t="n">
        <x:f>IFERROR(O365/O364-1,"")</x:f>
        <x:v>-0.01984635083226638</x:v>
      </x:c>
      <x:c r="Q365" s="154" t="n">
        <x:f>IFERROR((M365-N365)/O364,"")</x:f>
        <x:v>0.025394793000426803</x:v>
      </x:c>
      <x:c r="R365" s="153" t="n">
        <x:v>9181</x:v>
      </x:c>
      <x:c r="S365" s="158" t="n">
        <x:v>637268</x:v>
      </x:c>
      <x:c r="T365" s="158" t="n">
        <x:v>5850884148</x:v>
      </x:c>
      <x:c r="U365" s="158" t="n">
        <x:v>3447542</x:v>
      </x:c>
      <x:c r="V365" s="153" t="n">
        <x:f>IFERROR(E365*1000/O365,"")</x:f>
        <x:v>84.01915959068147</x:v>
      </x:c>
      <x:c r="W365" s="153" t="n">
        <x:v>4.4</x:v>
      </x:c>
      <x:c r="X365" s="155" t="n">
        <x:v>45863</x:v>
      </x:c>
      <x:c r="Y365" s="153" t="n">
        <x:v>1.96</x:v>
      </x:c>
      <x:c r="Z365" s="155" t="n">
        <x:v>45863</x:v>
      </x:c>
      <x:c r="AA365" s="153" t="n">
        <x:f>IFERROR(Y365-Y364,"")</x:f>
        <x:v>-0.020000000000000018</x:v>
      </x:c>
      <x:c r="AB365" s="153" t="n">
        <x:v>2.44</x:v>
      </x:c>
      <x:c r="AC365" s="153" t="n">
        <x:v>119.9857</x:v>
      </x:c>
      <x:c r="AD365" s="155" t="n">
        <x:v>45863</x:v>
      </x:c>
      <x:c r="AE365" s="154" t="n">
        <x:f>IFERROR(AC365/AC364-1,"")</x:f>
        <x:v>0.0035068380414564615</x:v>
      </x:c>
      <x:c r="AF365" s="153" t="n">
        <x:v>14.93</x:v>
      </x:c>
      <x:c r="AG365" s="155" t="n">
        <x:v>45863</x:v>
      </x:c>
      <x:c r="AH365" s="153" t="n">
        <x:f>IFERROR(AF365-AF364,"")</x:f>
        <x:v>-0.46000000000000085</x:v>
      </x:c>
      <x:c r="AI365" s="153" t="n">
        <x:v>4.33</x:v>
      </x:c>
      <x:c r="AJ365" s="155" t="n">
        <x:v>45863</x:v>
      </x:c>
      <x:c r="AK365" s="159" t="n">
        <x:v>159934</x:v>
      </x:c>
      <x:c r="AL365" s="154" t="n">
        <x:v>0.32678071933685177</x:v>
      </x:c>
      <x:c r="AM365" s="159" t="n">
        <x:v>-51362</x:v>
      </x:c>
      <x:c r="AN365" s="155" t="n">
        <x:v>45863</x:v>
      </x:c>
      <x:c r="AO365" s="159" t="n">
        <x:v>44014</x:v>
      </x:c>
      <x:c r="AP365" s="154" t="n">
        <x:v>0.2534215420402006</x:v>
      </x:c>
      <x:c r="AQ365" s="159" t="n">
        <x:v>-29827</x:v>
      </x:c>
      <x:c r="AR365" s="147" t="str">
        <x:v>美国市场指标与CFTC数据均使用严格早于上金所交易日的最后已发布值</x:v>
      </x:c>
    </x:row>
    <x:row r="366">
      <x:c r="A366" s="155" t="n">
        <x:v>45867</x:v>
      </x:c>
      <x:c r="B366" s="153" t="n">
        <x:v>770</x:v>
      </x:c>
      <x:c r="C366" s="153" t="n">
        <x:v>770</x:v>
      </x:c>
      <x:c r="D366" s="153" t="n">
        <x:v>765</x:v>
      </x:c>
      <x:c r="E366" s="153" t="n">
        <x:v>767.69</x:v>
      </x:c>
      <x:c r="F366" s="154" t="n">
        <x:f>IFERROR(E366/E365-1,"")</x:f>
        <x:v>-0.005325213785954741</x:v>
      </x:c>
      <x:c r="G366" s="154" t="n">
        <x:f>IFERROR((C366-D366)/E365,"")</x:f>
        <x:v>0.0064783622700181395</x:v>
      </x:c>
      <x:c r="H366" s="153" t="n">
        <x:v>767.58</x:v>
      </x:c>
      <x:c r="I366" s="158" t="n">
        <x:v>8772.52</x:v>
      </x:c>
      <x:c r="J366" s="158" t="n">
        <x:v>6733693374.6</x:v>
      </x:c>
      <x:c r="K366" s="158"/>
      <x:c r="L366" s="153" t="n">
        <x:v>9168</x:v>
      </x:c>
      <x:c r="M366" s="153" t="n">
        <x:v>9192</x:v>
      </x:c>
      <x:c r="N366" s="153" t="n">
        <x:v>9127</x:v>
      </x:c>
      <x:c r="O366" s="153" t="n">
        <x:v>9163</x:v>
      </x:c>
      <x:c r="P366" s="154" t="n">
        <x:f>IFERROR(O366/O365-1,"")</x:f>
        <x:v>-0.002503810145874197</x:v>
      </x:c>
      <x:c r="Q366" s="154" t="n">
        <x:f>IFERROR((M366-N366)/O365,"")</x:f>
        <x:v>0.0070759851948617464</x:v>
      </x:c>
      <x:c r="R366" s="153" t="n">
        <x:v>9162</x:v>
      </x:c>
      <x:c r="S366" s="158" t="n">
        <x:v>461672</x:v>
      </x:c>
      <x:c r="T366" s="158" t="n">
        <x:v>4230165658</x:v>
      </x:c>
      <x:c r="U366" s="158" t="n">
        <x:v>3505134</x:v>
      </x:c>
      <x:c r="V366" s="153" t="n">
        <x:f>IFERROR(E366*1000/O366,"")</x:f>
        <x:v>83.78151260504201</x:v>
      </x:c>
      <x:c r="W366" s="153" t="n">
        <x:v>4.42</x:v>
      </x:c>
      <x:c r="X366" s="155" t="n">
        <x:v>45866</x:v>
      </x:c>
      <x:c r="Y366" s="153" t="n">
        <x:v>1.98</x:v>
      </x:c>
      <x:c r="Z366" s="155" t="n">
        <x:v>45866</x:v>
      </x:c>
      <x:c r="AA366" s="153" t="n">
        <x:f>IFERROR(Y366-Y365,"")</x:f>
        <x:v>0.020000000000000018</x:v>
      </x:c>
      <x:c r="AB366" s="153" t="n">
        <x:v>2.44</x:v>
      </x:c>
      <x:c r="AC366" s="153" t="n">
        <x:v>120.6149</x:v>
      </x:c>
      <x:c r="AD366" s="155" t="n">
        <x:v>45866</x:v>
      </x:c>
      <x:c r="AE366" s="154" t="n">
        <x:f>IFERROR(AC366/AC365-1,"")</x:f>
        <x:v>0.005243958238356772</x:v>
      </x:c>
      <x:c r="AF366" s="153" t="n">
        <x:v>15.03</x:v>
      </x:c>
      <x:c r="AG366" s="155" t="n">
        <x:v>45866</x:v>
      </x:c>
      <x:c r="AH366" s="153" t="n">
        <x:f>IFERROR(AF366-AF365,"")</x:f>
        <x:v>0.09999999999999964</x:v>
      </x:c>
      <x:c r="AI366" s="153" t="n">
        <x:v>4.33</x:v>
      </x:c>
      <x:c r="AJ366" s="155" t="n">
        <x:v>45863</x:v>
      </x:c>
      <x:c r="AK366" s="159" t="n">
        <x:v>159934</x:v>
      </x:c>
      <x:c r="AL366" s="154" t="n">
        <x:v>0.32678071933685177</x:v>
      </x:c>
      <x:c r="AM366" s="159" t="n">
        <x:v>-51362</x:v>
      </x:c>
      <x:c r="AN366" s="155" t="n">
        <x:v>45863</x:v>
      </x:c>
      <x:c r="AO366" s="159" t="n">
        <x:v>44014</x:v>
      </x:c>
      <x:c r="AP366" s="154" t="n">
        <x:v>0.2534215420402006</x:v>
      </x:c>
      <x:c r="AQ366" s="159" t="n">
        <x:v>-29827</x:v>
      </x:c>
      <x:c r="AR366" s="147" t="str">
        <x:v>美国市场指标与CFTC数据均使用严格早于上金所交易日的最后已发布值</x:v>
      </x:c>
    </x:row>
    <x:row r="367">
      <x:c r="A367" s="155" t="n">
        <x:v>45868</x:v>
      </x:c>
      <x:c r="B367" s="153" t="n">
        <x:v>767.9</x:v>
      </x:c>
      <x:c r="C367" s="153" t="n">
        <x:v>771.21</x:v>
      </x:c>
      <x:c r="D367" s="153" t="n">
        <x:v>767.9</x:v>
      </x:c>
      <x:c r="E367" s="153" t="n">
        <x:v>769.68</x:v>
      </x:c>
      <x:c r="F367" s="154" t="n">
        <x:f>IFERROR(E367/E366-1,"")</x:f>
        <x:v>0.0025921921608982323</x:v>
      </x:c>
      <x:c r="G367" s="154" t="n">
        <x:f>IFERROR((C367-D367)/E366,"")</x:f>
        <x:v>0.004311636207323345</x:v>
      </x:c>
      <x:c r="H367" s="153" t="n">
        <x:v>769.83</x:v>
      </x:c>
      <x:c r="I367" s="158" t="n">
        <x:v>7356.8</x:v>
      </x:c>
      <x:c r="J367" s="158" t="n">
        <x:v>5663489645.2</x:v>
      </x:c>
      <x:c r="K367" s="158"/>
      <x:c r="L367" s="153" t="n">
        <x:v>9163</x:v>
      </x:c>
      <x:c r="M367" s="153" t="n">
        <x:v>9222</x:v>
      </x:c>
      <x:c r="N367" s="153" t="n">
        <x:v>9150</x:v>
      </x:c>
      <x:c r="O367" s="153" t="n">
        <x:v>9166</x:v>
      </x:c>
      <x:c r="P367" s="154" t="n">
        <x:f>IFERROR(O367/O366-1,"")</x:f>
        <x:v>0.0003274036887481735</x:v>
      </x:c>
      <x:c r="Q367" s="154" t="n">
        <x:f>IFERROR((M367-N367)/O366,"")</x:f>
        <x:v>0.007857688529957437</x:v>
      </x:c>
      <x:c r="R367" s="153" t="n">
        <x:v>9175</x:v>
      </x:c>
      <x:c r="S367" s="158" t="n">
        <x:v>281690</x:v>
      </x:c>
      <x:c r="T367" s="158" t="n">
        <x:v>2584737732</x:v>
      </x:c>
      <x:c r="U367" s="158" t="n">
        <x:v>3477706</x:v>
      </x:c>
      <x:c r="V367" s="153" t="n">
        <x:f>IFERROR(E367*1000/O367,"")</x:f>
        <x:v>83.9711979053022</x:v>
      </x:c>
      <x:c r="W367" s="153" t="n">
        <x:v>4.34</x:v>
      </x:c>
      <x:c r="X367" s="155" t="n">
        <x:v>45867</x:v>
      </x:c>
      <x:c r="Y367" s="153" t="n">
        <x:v>1.91</x:v>
      </x:c>
      <x:c r="Z367" s="155" t="n">
        <x:v>45867</x:v>
      </x:c>
      <x:c r="AA367" s="153" t="n">
        <x:f>IFERROR(Y367-Y366,"")</x:f>
        <x:v>-0.07000000000000006</x:v>
      </x:c>
      <x:c r="AB367" s="153" t="n">
        <x:v>2.43</x:v>
      </x:c>
      <x:c r="AC367" s="153" t="n">
        <x:v>120.9674</x:v>
      </x:c>
      <x:c r="AD367" s="155" t="n">
        <x:v>45867</x:v>
      </x:c>
      <x:c r="AE367" s="154" t="n">
        <x:f>IFERROR(AC367/AC366-1,"")</x:f>
        <x:v>0.002922524497387835</x:v>
      </x:c>
      <x:c r="AF367" s="153" t="n">
        <x:v>15.98</x:v>
      </x:c>
      <x:c r="AG367" s="155" t="n">
        <x:v>45867</x:v>
      </x:c>
      <x:c r="AH367" s="153" t="n">
        <x:f>IFERROR(AF367-AF366,"")</x:f>
        <x:v>0.9500000000000011</x:v>
      </x:c>
      <x:c r="AI367" s="153" t="n">
        <x:v>4.33</x:v>
      </x:c>
      <x:c r="AJ367" s="155" t="n">
        <x:v>45863</x:v>
      </x:c>
      <x:c r="AK367" s="159" t="n">
        <x:v>159934</x:v>
      </x:c>
      <x:c r="AL367" s="154" t="n">
        <x:v>0.32678071933685177</x:v>
      </x:c>
      <x:c r="AM367" s="159" t="n">
        <x:v>-51362</x:v>
      </x:c>
      <x:c r="AN367" s="155" t="n">
        <x:v>45863</x:v>
      </x:c>
      <x:c r="AO367" s="159" t="n">
        <x:v>44014</x:v>
      </x:c>
      <x:c r="AP367" s="154" t="n">
        <x:v>0.2534215420402006</x:v>
      </x:c>
      <x:c r="AQ367" s="159" t="n">
        <x:v>-29827</x:v>
      </x:c>
      <x:c r="AR367" s="147" t="str">
        <x:v>美国市场指标与CFTC数据均使用严格早于上金所交易日的最后已发布值</x:v>
      </x:c>
    </x:row>
    <x:row r="368">
      <x:c r="A368" s="155" t="n">
        <x:v>45869</x:v>
      </x:c>
      <x:c r="B368" s="153" t="n">
        <x:v>770</x:v>
      </x:c>
      <x:c r="C368" s="153" t="n">
        <x:v>772</x:v>
      </x:c>
      <x:c r="D368" s="153" t="n">
        <x:v>763.5</x:v>
      </x:c>
      <x:c r="E368" s="153" t="n">
        <x:v>767.36</x:v>
      </x:c>
      <x:c r="F368" s="154" t="n">
        <x:f>IFERROR(E368/E367-1,"")</x:f>
        <x:v>-0.003014239684024478</x:v>
      </x:c>
      <x:c r="G368" s="154" t="n">
        <x:f>IFERROR((C368-D368)/E367,"")</x:f>
        <x:v>0.011043550566469183</x:v>
      </x:c>
      <x:c r="H368" s="153" t="n">
        <x:v>765.65</x:v>
      </x:c>
      <x:c r="I368" s="158" t="n">
        <x:v>11032.48</x:v>
      </x:c>
      <x:c r="J368" s="158" t="n">
        <x:v>8447120174.6</x:v>
      </x:c>
      <x:c r="K368" s="158"/>
      <x:c r="L368" s="153" t="n">
        <x:v>9153</x:v>
      </x:c>
      <x:c r="M368" s="153" t="n">
        <x:v>9153</x:v>
      </x:c>
      <x:c r="N368" s="153" t="n">
        <x:v>8936</x:v>
      </x:c>
      <x:c r="O368" s="153" t="n">
        <x:v>8960</x:v>
      </x:c>
      <x:c r="P368" s="154" t="n">
        <x:f>IFERROR(O368/O367-1,"")</x:f>
        <x:v>-0.022474361771765206</x:v>
      </x:c>
      <x:c r="Q368" s="154" t="n">
        <x:f>IFERROR((M368-N368)/O367,"")</x:f>
        <x:v>0.02367444905084006</x:v>
      </x:c>
      <x:c r="R368" s="153" t="n">
        <x:v>8998</x:v>
      </x:c>
      <x:c r="S368" s="158" t="n">
        <x:v>675762</x:v>
      </x:c>
      <x:c r="T368" s="158" t="n">
        <x:v>6080573168</x:v>
      </x:c>
      <x:c r="U368" s="158" t="n">
        <x:v>3440170</x:v>
      </x:c>
      <x:c r="V368" s="153" t="n">
        <x:f>IFERROR(E368*1000/O368,"")</x:f>
        <x:v>85.64285714285714</x:v>
      </x:c>
      <x:c r="W368" s="153" t="n">
        <x:v>4.38</x:v>
      </x:c>
      <x:c r="X368" s="155" t="n">
        <x:v>45868</x:v>
      </x:c>
      <x:c r="Y368" s="153" t="n">
        <x:v>1.96</x:v>
      </x:c>
      <x:c r="Z368" s="155" t="n">
        <x:v>45868</x:v>
      </x:c>
      <x:c r="AA368" s="153" t="n">
        <x:f>IFERROR(Y368-Y367,"")</x:f>
        <x:v>0.050000000000000044</x:v>
      </x:c>
      <x:c r="AB368" s="153" t="n">
        <x:v>2.42</x:v>
      </x:c>
      <x:c r="AC368" s="153" t="n">
        <x:v>121.4042</x:v>
      </x:c>
      <x:c r="AD368" s="155" t="n">
        <x:v>45868</x:v>
      </x:c>
      <x:c r="AE368" s="154" t="n">
        <x:f>IFERROR(AC368/AC367-1,"")</x:f>
        <x:v>0.0036108902067830684</x:v>
      </x:c>
      <x:c r="AF368" s="153" t="n">
        <x:v>15.48</x:v>
      </x:c>
      <x:c r="AG368" s="155" t="n">
        <x:v>45868</x:v>
      </x:c>
      <x:c r="AH368" s="153" t="n">
        <x:f>IFERROR(AF368-AF367,"")</x:f>
        <x:v>-0.5</x:v>
      </x:c>
      <x:c r="AI368" s="153" t="n">
        <x:v>4.33</x:v>
      </x:c>
      <x:c r="AJ368" s="155" t="n">
        <x:v>45863</x:v>
      </x:c>
      <x:c r="AK368" s="159" t="n">
        <x:v>159934</x:v>
      </x:c>
      <x:c r="AL368" s="154" t="n">
        <x:v>0.32678071933685177</x:v>
      </x:c>
      <x:c r="AM368" s="159" t="n">
        <x:v>-51362</x:v>
      </x:c>
      <x:c r="AN368" s="155" t="n">
        <x:v>45863</x:v>
      </x:c>
      <x:c r="AO368" s="159" t="n">
        <x:v>44014</x:v>
      </x:c>
      <x:c r="AP368" s="154" t="n">
        <x:v>0.2534215420402006</x:v>
      </x:c>
      <x:c r="AQ368" s="159" t="n">
        <x:v>-29827</x:v>
      </x:c>
      <x:c r="AR368" s="147" t="str">
        <x:v>美国市场指标与CFTC数据均使用严格早于上金所交易日的最后已发布值</x:v>
      </x:c>
    </x:row>
    <x:row r="369">
      <x:c r="A369" s="155" t="n">
        <x:v>45873</x:v>
      </x:c>
      <x:c r="B369" s="153" t="n">
        <x:v>770</x:v>
      </x:c>
      <x:c r="C369" s="153" t="n">
        <x:v>778</x:v>
      </x:c>
      <x:c r="D369" s="153" t="n">
        <x:v>770</x:v>
      </x:c>
      <x:c r="E369" s="153" t="n">
        <x:v>776.01</x:v>
      </x:c>
      <x:c r="F369" s="154" t="n">
        <x:f>IFERROR(E369/E368-1,"")</x:f>
        <x:v>0.011272414512093487</x:v>
      </x:c>
      <x:c r="G369" s="154" t="n">
        <x:f>IFERROR((C369-D369)/E368,"")</x:f>
        <x:v>0.010425354462051709</x:v>
      </x:c>
      <x:c r="H369" s="153" t="n">
        <x:v>776.89</x:v>
      </x:c>
      <x:c r="I369" s="158" t="n">
        <x:v>5523.66</x:v>
      </x:c>
      <x:c r="J369" s="158" t="n">
        <x:v>4291305373.8</x:v>
      </x:c>
      <x:c r="K369" s="158"/>
      <x:c r="L369" s="153" t="n">
        <x:v>8878</x:v>
      </x:c>
      <x:c r="M369" s="153" t="n">
        <x:v>9012</x:v>
      </x:c>
      <x:c r="N369" s="153" t="n">
        <x:v>8865</x:v>
      </x:c>
      <x:c r="O369" s="153" t="n">
        <x:v>8999</x:v>
      </x:c>
      <x:c r="P369" s="154" t="n">
        <x:f>IFERROR(O369/O368-1,"")</x:f>
        <x:v>0.004352678571428514</x:v>
      </x:c>
      <x:c r="Q369" s="154" t="n">
        <x:f>IFERROR((M369-N369)/O368,"")</x:f>
        <x:v>0.01640625</x:v>
      </x:c>
      <x:c r="R369" s="153" t="n">
        <x:v>8974</x:v>
      </x:c>
      <x:c r="S369" s="158" t="n">
        <x:v>492968</x:v>
      </x:c>
      <x:c r="T369" s="158" t="n">
        <x:v>4424297348</x:v>
      </x:c>
      <x:c r="U369" s="158" t="n">
        <x:v>3479490</x:v>
      </x:c>
      <x:c r="V369" s="153" t="n">
        <x:f>IFERROR(E369*1000/O369,"")</x:f>
        <x:v>86.2329147683076</x:v>
      </x:c>
      <x:c r="W369" s="153" t="n">
        <x:v>4.23</x:v>
      </x:c>
      <x:c r="X369" s="155" t="n">
        <x:v>45870</x:v>
      </x:c>
      <x:c r="Y369" s="153" t="n">
        <x:v>1.9</x:v>
      </x:c>
      <x:c r="Z369" s="155" t="n">
        <x:v>45870</x:v>
      </x:c>
      <x:c r="AA369" s="153" t="n">
        <x:f>IFERROR(Y369-Y368,"")</x:f>
        <x:v>-0.06000000000000005</x:v>
      </x:c>
      <x:c r="AB369" s="153" t="n">
        <x:v>2.33</x:v>
      </x:c>
      <x:c r="AC369" s="153" t="n">
        <x:v>121.2122</x:v>
      </x:c>
      <x:c r="AD369" s="155" t="n">
        <x:v>45870</x:v>
      </x:c>
      <x:c r="AE369" s="154" t="n">
        <x:f>IFERROR(AC369/AC368-1,"")</x:f>
        <x:v>-0.001581493885714047</x:v>
      </x:c>
      <x:c r="AF369" s="153" t="n">
        <x:v>20.38</x:v>
      </x:c>
      <x:c r="AG369" s="155" t="n">
        <x:v>45870</x:v>
      </x:c>
      <x:c r="AH369" s="153" t="n">
        <x:f>IFERROR(AF369-AF368,"")</x:f>
        <x:v>4.899999999999999</x:v>
      </x:c>
      <x:c r="AI369" s="153" t="n">
        <x:v>4.33</x:v>
      </x:c>
      <x:c r="AJ369" s="155" t="n">
        <x:v>45870</x:v>
      </x:c>
      <x:c r="AK369" s="159" t="n">
        <x:v>134256</x:v>
      </x:c>
      <x:c r="AL369" s="154" t="n">
        <x:v>0.3015233830197705</x:v>
      </x:c>
      <x:c r="AM369" s="159" t="n">
        <x:v>-48170</x:v>
      </x:c>
      <x:c r="AN369" s="155" t="n">
        <x:v>45870</x:v>
      </x:c>
      <x:c r="AO369" s="159" t="n">
        <x:v>43024</x:v>
      </x:c>
      <x:c r="AP369" s="154" t="n">
        <x:v>0.2525935102067176</x:v>
      </x:c>
      <x:c r="AQ369" s="159" t="n">
        <x:v>-30222</x:v>
      </x:c>
      <x:c r="AR369" s="147" t="str">
        <x:v>美国市场指标与CFTC数据均使用严格早于上金所交易日的最后已发布值</x:v>
      </x:c>
    </x:row>
    <x:row r="370">
      <x:c r="A370" s="155" t="n">
        <x:v>45874</x:v>
      </x:c>
      <x:c r="B370" s="153" t="n">
        <x:v>778</x:v>
      </x:c>
      <x:c r="C370" s="153" t="n">
        <x:v>781.8</x:v>
      </x:c>
      <x:c r="D370" s="153" t="n">
        <x:v>778</x:v>
      </x:c>
      <x:c r="E370" s="153" t="n">
        <x:v>779.85</x:v>
      </x:c>
      <x:c r="F370" s="154" t="n">
        <x:f>IFERROR(E370/E369-1,"")</x:f>
        <x:v>0.004948389840337075</x:v>
      </x:c>
      <x:c r="G370" s="154" t="n">
        <x:f>IFERROR((C370-D370)/E369,"")</x:f>
        <x:v>0.0048968441128335385</x:v>
      </x:c>
      <x:c r="H370" s="153" t="n">
        <x:v>780.13</x:v>
      </x:c>
      <x:c r="I370" s="158" t="n">
        <x:v>4824.92</x:v>
      </x:c>
      <x:c r="J370" s="158" t="n">
        <x:v>3764110093.6</x:v>
      </x:c>
      <x:c r="K370" s="158"/>
      <x:c r="L370" s="153" t="n">
        <x:v>9018</x:v>
      </x:c>
      <x:c r="M370" s="153" t="n">
        <x:v>9073</x:v>
      </x:c>
      <x:c r="N370" s="153" t="n">
        <x:v>9002</x:v>
      </x:c>
      <x:c r="O370" s="153" t="n">
        <x:v>9052</x:v>
      </x:c>
      <x:c r="P370" s="154" t="n">
        <x:f>IFERROR(O370/O369-1,"")</x:f>
        <x:v>0.005889543282586951</x:v>
      </x:c>
      <x:c r="Q370" s="154" t="n">
        <x:f>IFERROR((M370-N370)/O369,"")</x:f>
        <x:v>0.007889765529503278</x:v>
      </x:c>
      <x:c r="R370" s="153" t="n">
        <x:v>9048</x:v>
      </x:c>
      <x:c r="S370" s="158" t="n">
        <x:v>270788</x:v>
      </x:c>
      <x:c r="T370" s="158" t="n">
        <x:v>2450218180</x:v>
      </x:c>
      <x:c r="U370" s="158" t="n">
        <x:v>3443344</x:v>
      </x:c>
      <x:c r="V370" s="153" t="n">
        <x:f>IFERROR(E370*1000/O370,"")</x:f>
        <x:v>86.15223155103844</x:v>
      </x:c>
      <x:c r="W370" s="153" t="n">
        <x:v>4.22</x:v>
      </x:c>
      <x:c r="X370" s="155" t="n">
        <x:v>45873</x:v>
      </x:c>
      <x:c r="Y370" s="153" t="n">
        <x:v>1.85</x:v>
      </x:c>
      <x:c r="Z370" s="155" t="n">
        <x:v>45873</x:v>
      </x:c>
      <x:c r="AA370" s="153" t="n">
        <x:f>IFERROR(Y370-Y369,"")</x:f>
        <x:v>-0.04999999999999982</x:v>
      </x:c>
      <x:c r="AB370" s="153" t="n">
        <x:v>2.37</x:v>
      </x:c>
      <x:c r="AC370" s="153" t="n">
        <x:v>120.9859</x:v>
      </x:c>
      <x:c r="AD370" s="155" t="n">
        <x:v>45873</x:v>
      </x:c>
      <x:c r="AE370" s="154" t="n">
        <x:f>IFERROR(AC370/AC369-1,"")</x:f>
        <x:v>-0.0018669737864669411</x:v>
      </x:c>
      <x:c r="AF370" s="153" t="n">
        <x:v>17.52</x:v>
      </x:c>
      <x:c r="AG370" s="155" t="n">
        <x:v>45873</x:v>
      </x:c>
      <x:c r="AH370" s="153" t="n">
        <x:f>IFERROR(AF370-AF369,"")</x:f>
        <x:v>-2.8599999999999994</x:v>
      </x:c>
      <x:c r="AI370" s="153" t="n">
        <x:v>4.33</x:v>
      </x:c>
      <x:c r="AJ370" s="155" t="n">
        <x:v>45870</x:v>
      </x:c>
      <x:c r="AK370" s="159" t="n">
        <x:v>134256</x:v>
      </x:c>
      <x:c r="AL370" s="154" t="n">
        <x:v>0.3015233830197705</x:v>
      </x:c>
      <x:c r="AM370" s="159" t="n">
        <x:v>-48170</x:v>
      </x:c>
      <x:c r="AN370" s="155" t="n">
        <x:v>45870</x:v>
      </x:c>
      <x:c r="AO370" s="159" t="n">
        <x:v>43024</x:v>
      </x:c>
      <x:c r="AP370" s="154" t="n">
        <x:v>0.2525935102067176</x:v>
      </x:c>
      <x:c r="AQ370" s="159" t="n">
        <x:v>-30222</x:v>
      </x:c>
      <x:c r="AR370" s="147" t="str">
        <x:v>美国市场指标与CFTC数据均使用严格早于上金所交易日的最后已发布值</x:v>
      </x:c>
    </x:row>
    <x:row r="371">
      <x:c r="A371" s="155" t="n">
        <x:v>45875</x:v>
      </x:c>
      <x:c r="B371" s="153" t="n">
        <x:v>780</x:v>
      </x:c>
      <x:c r="C371" s="153" t="n">
        <x:v>781.5</x:v>
      </x:c>
      <x:c r="D371" s="153" t="n">
        <x:v>778.9</x:v>
      </x:c>
      <x:c r="E371" s="153" t="n">
        <x:v>779.14</x:v>
      </x:c>
      <x:c r="F371" s="154" t="n">
        <x:f>IFERROR(E371/E370-1,"")</x:f>
        <x:v>-0.0009104314932358859</x:v>
      </x:c>
      <x:c r="G371" s="154" t="n">
        <x:f>IFERROR((C371-D371)/E370,"")</x:f>
        <x:v>0.0033339744822722607</x:v>
      </x:c>
      <x:c r="H371" s="153" t="n">
        <x:v>780.19</x:v>
      </x:c>
      <x:c r="I371" s="158" t="n">
        <x:v>6532.82</x:v>
      </x:c>
      <x:c r="J371" s="158" t="n">
        <x:v>5096885647.2</x:v>
      </x:c>
      <x:c r="K371" s="158"/>
      <x:c r="L371" s="153" t="n">
        <x:v>9050</x:v>
      </x:c>
      <x:c r="M371" s="153" t="n">
        <x:v>9168</x:v>
      </x:c>
      <x:c r="N371" s="153" t="n">
        <x:v>9045</x:v>
      </x:c>
      <x:c r="O371" s="153" t="n">
        <x:v>9148</x:v>
      </x:c>
      <x:c r="P371" s="154" t="n">
        <x:f>IFERROR(O371/O370-1,"")</x:f>
        <x:v>0.010605391073795767</x:v>
      </x:c>
      <x:c r="Q371" s="154" t="n">
        <x:f>IFERROR((M371-N371)/O370,"")</x:f>
        <x:v>0.013588157313300929</x:v>
      </x:c>
      <x:c r="R371" s="153" t="n">
        <x:v>9139</x:v>
      </x:c>
      <x:c r="S371" s="158" t="n">
        <x:v>231594</x:v>
      </x:c>
      <x:c r="T371" s="158" t="n">
        <x:v>2116596548</x:v>
      </x:c>
      <x:c r="U371" s="158" t="n">
        <x:v>3455876</x:v>
      </x:c>
      <x:c r="V371" s="153" t="n">
        <x:f>IFERROR(E371*1000/O371,"")</x:f>
        <x:v>85.17052907739397</x:v>
      </x:c>
      <x:c r="W371" s="153" t="n">
        <x:v>4.22</x:v>
      </x:c>
      <x:c r="X371" s="155" t="n">
        <x:v>45874</x:v>
      </x:c>
      <x:c r="Y371" s="153" t="n">
        <x:v>1.86</x:v>
      </x:c>
      <x:c r="Z371" s="155" t="n">
        <x:v>45874</x:v>
      </x:c>
      <x:c r="AA371" s="153" t="n">
        <x:f>IFERROR(Y371-Y370,"")</x:f>
        <x:v>0.010000000000000009</x:v>
      </x:c>
      <x:c r="AB371" s="153" t="n">
        <x:v>2.36</x:v>
      </x:c>
      <x:c r="AC371" s="153" t="n">
        <x:v>120.9082</x:v>
      </x:c>
      <x:c r="AD371" s="155" t="n">
        <x:v>45874</x:v>
      </x:c>
      <x:c r="AE371" s="154" t="n">
        <x:f>IFERROR(AC371/AC370-1,"")</x:f>
        <x:v>-0.000642223597956515</x:v>
      </x:c>
      <x:c r="AF371" s="153" t="n">
        <x:v>17.85</x:v>
      </x:c>
      <x:c r="AG371" s="155" t="n">
        <x:v>45874</x:v>
      </x:c>
      <x:c r="AH371" s="153" t="n">
        <x:f>IFERROR(AF371-AF370,"")</x:f>
        <x:v>0.33000000000000185</x:v>
      </x:c>
      <x:c r="AI371" s="153" t="n">
        <x:v>4.33</x:v>
      </x:c>
      <x:c r="AJ371" s="155" t="n">
        <x:v>45870</x:v>
      </x:c>
      <x:c r="AK371" s="159" t="n">
        <x:v>134256</x:v>
      </x:c>
      <x:c r="AL371" s="154" t="n">
        <x:v>0.3015233830197705</x:v>
      </x:c>
      <x:c r="AM371" s="159" t="n">
        <x:v>-48170</x:v>
      </x:c>
      <x:c r="AN371" s="155" t="n">
        <x:v>45870</x:v>
      </x:c>
      <x:c r="AO371" s="159" t="n">
        <x:v>43024</x:v>
      </x:c>
      <x:c r="AP371" s="154" t="n">
        <x:v>0.2525935102067176</x:v>
      </x:c>
      <x:c r="AQ371" s="159" t="n">
        <x:v>-30222</x:v>
      </x:c>
      <x:c r="AR371" s="147" t="str">
        <x:v>美国市场指标与CFTC数据均使用严格早于上金所交易日的最后已发布值</x:v>
      </x:c>
    </x:row>
    <x:row r="372">
      <x:c r="A372" s="155" t="n">
        <x:v>45876</x:v>
      </x:c>
      <x:c r="B372" s="153" t="n">
        <x:v>780.9</x:v>
      </x:c>
      <x:c r="C372" s="153" t="n">
        <x:v>782.5</x:v>
      </x:c>
      <x:c r="D372" s="153" t="n">
        <x:v>779.01</x:v>
      </x:c>
      <x:c r="E372" s="153" t="n">
        <x:v>782.08</x:v>
      </x:c>
      <x:c r="F372" s="154" t="n">
        <x:f>IFERROR(E372/E371-1,"")</x:f>
        <x:v>0.0037733911748851767</x:v>
      </x:c>
      <x:c r="G372" s="154" t="n">
        <x:f>IFERROR((C372-D372)/E371,"")</x:f>
        <x:v>0.004479297687193584</x:v>
      </x:c>
      <x:c r="H372" s="153" t="n">
        <x:v>780.34</x:v>
      </x:c>
      <x:c r="I372" s="158" t="n">
        <x:v>6530.9</x:v>
      </x:c>
      <x:c r="J372" s="158" t="n">
        <x:v>5096352481</x:v>
      </x:c>
      <x:c r="K372" s="158"/>
      <x:c r="L372" s="153" t="n">
        <x:v>9150</x:v>
      </x:c>
      <x:c r="M372" s="153" t="n">
        <x:v>9224</x:v>
      </x:c>
      <x:c r="N372" s="153" t="n">
        <x:v>9115</x:v>
      </x:c>
      <x:c r="O372" s="153" t="n">
        <x:v>9224</x:v>
      </x:c>
      <x:c r="P372" s="154" t="n">
        <x:f>IFERROR(O372/O371-1,"")</x:f>
        <x:v>0.008307826847398392</x:v>
      </x:c>
      <x:c r="Q372" s="154" t="n">
        <x:f>IFERROR((M372-N372)/O371,"")</x:f>
        <x:v>0.011915172715347616</x:v>
      </x:c>
      <x:c r="R372" s="153" t="n">
        <x:v>9186</x:v>
      </x:c>
      <x:c r="S372" s="158" t="n">
        <x:v>252338</x:v>
      </x:c>
      <x:c r="T372" s="158" t="n">
        <x:v>2317990844</x:v>
      </x:c>
      <x:c r="U372" s="158" t="n">
        <x:v>3504562</x:v>
      </x:c>
      <x:c r="V372" s="153" t="n">
        <x:f>IFERROR(E372*1000/O372,"")</x:f>
        <x:v>84.7875108412836</x:v>
      </x:c>
      <x:c r="W372" s="153" t="n">
        <x:v>4.22</x:v>
      </x:c>
      <x:c r="X372" s="155" t="n">
        <x:v>45875</x:v>
      </x:c>
      <x:c r="Y372" s="153" t="n">
        <x:v>1.88</x:v>
      </x:c>
      <x:c r="Z372" s="155" t="n">
        <x:v>45875</x:v>
      </x:c>
      <x:c r="AA372" s="153" t="n">
        <x:f>IFERROR(Y372-Y371,"")</x:f>
        <x:v>0.019999999999999796</x:v>
      </x:c>
      <x:c r="AB372" s="153" t="n">
        <x:v>2.34</x:v>
      </x:c>
      <x:c r="AC372" s="153" t="n">
        <x:v>120.5082</x:v>
      </x:c>
      <x:c r="AD372" s="155" t="n">
        <x:v>45875</x:v>
      </x:c>
      <x:c r="AE372" s="154" t="n">
        <x:f>IFERROR(AC372/AC371-1,"")</x:f>
        <x:v>-0.003308295053602528</x:v>
      </x:c>
      <x:c r="AF372" s="153" t="n">
        <x:v>16.77</x:v>
      </x:c>
      <x:c r="AG372" s="155" t="n">
        <x:v>45875</x:v>
      </x:c>
      <x:c r="AH372" s="153" t="n">
        <x:f>IFERROR(AF372-AF371,"")</x:f>
        <x:v>-1.0800000000000018</x:v>
      </x:c>
      <x:c r="AI372" s="153" t="n">
        <x:v>4.33</x:v>
      </x:c>
      <x:c r="AJ372" s="155" t="n">
        <x:v>45870</x:v>
      </x:c>
      <x:c r="AK372" s="159" t="n">
        <x:v>134256</x:v>
      </x:c>
      <x:c r="AL372" s="154" t="n">
        <x:v>0.3015233830197705</x:v>
      </x:c>
      <x:c r="AM372" s="159" t="n">
        <x:v>-48170</x:v>
      </x:c>
      <x:c r="AN372" s="155" t="n">
        <x:v>45870</x:v>
      </x:c>
      <x:c r="AO372" s="159" t="n">
        <x:v>43024</x:v>
      </x:c>
      <x:c r="AP372" s="154" t="n">
        <x:v>0.2525935102067176</x:v>
      </x:c>
      <x:c r="AQ372" s="159" t="n">
        <x:v>-30222</x:v>
      </x:c>
      <x:c r="AR372" s="147" t="str">
        <x:v>美国市场指标与CFTC数据均使用严格早于上金所交易日的最后已发布值</x:v>
      </x:c>
    </x:row>
    <x:row r="373">
      <x:c r="A373" s="155" t="n">
        <x:v>45877</x:v>
      </x:c>
      <x:c r="B373" s="153" t="n">
        <x:v>779.5</x:v>
      </x:c>
      <x:c r="C373" s="153" t="n">
        <x:v>784.5</x:v>
      </x:c>
      <x:c r="D373" s="153" t="n">
        <x:v>779.5</x:v>
      </x:c>
      <x:c r="E373" s="153" t="n">
        <x:v>783.18</x:v>
      </x:c>
      <x:c r="F373" s="154" t="n">
        <x:f>IFERROR(E373/E372-1,"")</x:f>
        <x:v>0.0014065057283141336</x:v>
      </x:c>
      <x:c r="G373" s="154" t="n">
        <x:f>IFERROR((C373-D373)/E372,"")</x:f>
        <x:v>0.006393207855973813</x:v>
      </x:c>
      <x:c r="H373" s="153" t="n">
        <x:v>783.06</x:v>
      </x:c>
      <x:c r="I373" s="158" t="n">
        <x:v>5552.8</x:v>
      </x:c>
      <x:c r="J373" s="158" t="n">
        <x:v>4348225557.4</x:v>
      </x:c>
      <x:c r="K373" s="158"/>
      <x:c r="L373" s="153" t="n">
        <x:v>9256</x:v>
      </x:c>
      <x:c r="M373" s="153" t="n">
        <x:v>9287</x:v>
      </x:c>
      <x:c r="N373" s="153" t="n">
        <x:v>9210</x:v>
      </x:c>
      <x:c r="O373" s="153" t="n">
        <x:v>9249</x:v>
      </x:c>
      <x:c r="P373" s="154" t="n">
        <x:f>IFERROR(O373/O372-1,"")</x:f>
        <x:v>0.002710320901994745</x:v>
      </x:c>
      <x:c r="Q373" s="154" t="n">
        <x:f>IFERROR((M373-N373)/O372,"")</x:f>
        <x:v>0.008347788378143973</x:v>
      </x:c>
      <x:c r="R373" s="153" t="n">
        <x:v>9237</x:v>
      </x:c>
      <x:c r="S373" s="158" t="n">
        <x:v>347688</x:v>
      </x:c>
      <x:c r="T373" s="158" t="n">
        <x:v>3211784978</x:v>
      </x:c>
      <x:c r="U373" s="158" t="n">
        <x:v>3526850</x:v>
      </x:c>
      <x:c r="V373" s="153" t="n">
        <x:f>IFERROR(E373*1000/O373,"")</x:f>
        <x:v>84.67726240674668</x:v>
      </x:c>
      <x:c r="W373" s="153" t="n">
        <x:v>4.23</x:v>
      </x:c>
      <x:c r="X373" s="155" t="n">
        <x:v>45876</x:v>
      </x:c>
      <x:c r="Y373" s="153" t="n">
        <x:v>1.88</x:v>
      </x:c>
      <x:c r="Z373" s="155" t="n">
        <x:v>45876</x:v>
      </x:c>
      <x:c r="AA373" s="153" t="n">
        <x:f>IFERROR(Y373-Y372,"")</x:f>
        <x:v>0</x:v>
      </x:c>
      <x:c r="AB373" s="153" t="n">
        <x:v>2.35</x:v>
      </x:c>
      <x:c r="AC373" s="153" t="n">
        <x:v>120.5043</x:v>
      </x:c>
      <x:c r="AD373" s="155" t="n">
        <x:v>45876</x:v>
      </x:c>
      <x:c r="AE373" s="154" t="n">
        <x:f>IFERROR(AC373/AC372-1,"")</x:f>
        <x:v>-0.00003236294293662567</x:v>
      </x:c>
      <x:c r="AF373" s="153" t="n">
        <x:v>16.57</x:v>
      </x:c>
      <x:c r="AG373" s="155" t="n">
        <x:v>45876</x:v>
      </x:c>
      <x:c r="AH373" s="153" t="n">
        <x:f>IFERROR(AF373-AF372,"")</x:f>
        <x:v>-0.1999999999999993</x:v>
      </x:c>
      <x:c r="AI373" s="153" t="n">
        <x:v>4.33</x:v>
      </x:c>
      <x:c r="AJ373" s="155" t="n">
        <x:v>45870</x:v>
      </x:c>
      <x:c r="AK373" s="159" t="n">
        <x:v>134256</x:v>
      </x:c>
      <x:c r="AL373" s="154" t="n">
        <x:v>0.3015233830197705</x:v>
      </x:c>
      <x:c r="AM373" s="159" t="n">
        <x:v>-48170</x:v>
      </x:c>
      <x:c r="AN373" s="155" t="n">
        <x:v>45870</x:v>
      </x:c>
      <x:c r="AO373" s="159" t="n">
        <x:v>43024</x:v>
      </x:c>
      <x:c r="AP373" s="154" t="n">
        <x:v>0.2525935102067176</x:v>
      </x:c>
      <x:c r="AQ373" s="159" t="n">
        <x:v>-30222</x:v>
      </x:c>
      <x:c r="AR373" s="147" t="str">
        <x:v>美国市场指标与CFTC数据均使用严格早于上金所交易日的最后已发布值</x:v>
      </x:c>
    </x:row>
    <x:row r="374">
      <x:c r="A374" s="155" t="n">
        <x:v>45880</x:v>
      </x:c>
      <x:c r="B374" s="153" t="n">
        <x:v>783</x:v>
      </x:c>
      <x:c r="C374" s="153" t="n">
        <x:v>790</x:v>
      </x:c>
      <x:c r="D374" s="153" t="n">
        <x:v>775.01</x:v>
      </x:c>
      <x:c r="E374" s="153" t="n">
        <x:v>775.54</x:v>
      </x:c>
      <x:c r="F374" s="154" t="n">
        <x:f>IFERROR(E374/E373-1,"")</x:f>
        <x:v>-0.009755100998493305</x:v>
      </x:c>
      <x:c r="G374" s="154" t="n">
        <x:f>IFERROR((C374-D374)/E373,"")</x:f>
        <x:v>0.01913991674966165</x:v>
      </x:c>
      <x:c r="H374" s="153" t="n">
        <x:v>777.7</x:v>
      </x:c>
      <x:c r="I374" s="158" t="n">
        <x:v>7368.06</x:v>
      </x:c>
      <x:c r="J374" s="158" t="n">
        <x:v>5730190928.6</x:v>
      </x:c>
      <x:c r="K374" s="158"/>
      <x:c r="L374" s="153" t="n">
        <x:v>9220</x:v>
      </x:c>
      <x:c r="M374" s="153" t="n">
        <x:v>9258</x:v>
      </x:c>
      <x:c r="N374" s="153" t="n">
        <x:v>9156</x:v>
      </x:c>
      <x:c r="O374" s="153" t="n">
        <x:v>9173</x:v>
      </x:c>
      <x:c r="P374" s="154" t="n">
        <x:f>IFERROR(O374/O373-1,"")</x:f>
        <x:v>-0.008217104551843435</x:v>
      </x:c>
      <x:c r="Q374" s="154" t="n">
        <x:f>IFERROR((M374-N374)/O373,"")</x:f>
        <x:v>0.011028219266947779</x:v>
      </x:c>
      <x:c r="R374" s="153" t="n">
        <x:v>9196</x:v>
      </x:c>
      <x:c r="S374" s="158" t="n">
        <x:v>317646</x:v>
      </x:c>
      <x:c r="T374" s="158" t="n">
        <x:v>2921369702</x:v>
      </x:c>
      <x:c r="U374" s="158" t="n">
        <x:v>3510456</x:v>
      </x:c>
      <x:c r="V374" s="153" t="n">
        <x:f>IFERROR(E374*1000/O374,"")</x:f>
        <x:v>84.54595007086013</x:v>
      </x:c>
      <x:c r="W374" s="153" t="n">
        <x:v>4.27</x:v>
      </x:c>
      <x:c r="X374" s="155" t="n">
        <x:v>45877</x:v>
      </x:c>
      <x:c r="Y374" s="153" t="n">
        <x:v>1.88</x:v>
      </x:c>
      <x:c r="Z374" s="155" t="n">
        <x:v>45877</x:v>
      </x:c>
      <x:c r="AA374" s="153" t="n">
        <x:f>IFERROR(Y374-Y373,"")</x:f>
        <x:v>0</x:v>
      </x:c>
      <x:c r="AB374" s="153" t="n">
        <x:v>2.39</x:v>
      </x:c>
      <x:c r="AC374" s="153" t="n">
        <x:v>120.3329</x:v>
      </x:c>
      <x:c r="AD374" s="155" t="n">
        <x:v>45877</x:v>
      </x:c>
      <x:c r="AE374" s="154" t="n">
        <x:f>IFERROR(AC374/AC373-1,"")</x:f>
        <x:v>-0.0014223558827362037</x:v>
      </x:c>
      <x:c r="AF374" s="153" t="n">
        <x:v>15.15</x:v>
      </x:c>
      <x:c r="AG374" s="155" t="n">
        <x:v>45877</x:v>
      </x:c>
      <x:c r="AH374" s="153" t="n">
        <x:f>IFERROR(AF374-AF373,"")</x:f>
        <x:v>-1.42</x:v>
      </x:c>
      <x:c r="AI374" s="153" t="n">
        <x:v>4.33</x:v>
      </x:c>
      <x:c r="AJ374" s="155" t="n">
        <x:v>45877</x:v>
      </x:c>
      <x:c r="AK374" s="159" t="n">
        <x:v>153987</x:v>
      </x:c>
      <x:c r="AL374" s="154" t="n">
        <x:v>0.3424619757276263</x:v>
      </x:c>
      <x:c r="AM374" s="159" t="n">
        <x:v>-34017</x:v>
      </x:c>
      <x:c r="AN374" s="155" t="n">
        <x:v>45877</x:v>
      </x:c>
      <x:c r="AO374" s="159" t="n">
        <x:v>29823</x:v>
      </x:c>
      <x:c r="AP374" s="154" t="n">
        <x:v>0.1849350745990996</x:v>
      </x:c>
      <x:c r="AQ374" s="159" t="n">
        <x:v>-28811</x:v>
      </x:c>
      <x:c r="AR374" s="147" t="str">
        <x:v>美国市场指标与CFTC数据均使用严格早于上金所交易日的最后已发布值</x:v>
      </x:c>
    </x:row>
    <x:row r="375">
      <x:c r="A375" s="155" t="n">
        <x:v>45881</x:v>
      </x:c>
      <x:c r="B375" s="153" t="n">
        <x:v>775</x:v>
      </x:c>
      <x:c r="C375" s="153" t="n">
        <x:v>775</x:v>
      </x:c>
      <x:c r="D375" s="153" t="n">
        <x:v>772</x:v>
      </x:c>
      <x:c r="E375" s="153" t="n">
        <x:v>773.47</x:v>
      </x:c>
      <x:c r="F375" s="154" t="n">
        <x:f>IFERROR(E375/E374-1,"")</x:f>
        <x:v>-0.0026691079763776493</x:v>
      </x:c>
      <x:c r="G375" s="154" t="n">
        <x:f>IFERROR((C375-D375)/E374,"")</x:f>
        <x:v>0.0038682724295329707</x:v>
      </x:c>
      <x:c r="H375" s="153" t="n">
        <x:v>773.65</x:v>
      </x:c>
      <x:c r="I375" s="158" t="n">
        <x:v>7092.78</x:v>
      </x:c>
      <x:c r="J375" s="158" t="n">
        <x:v>5487347633.8</x:v>
      </x:c>
      <x:c r="K375" s="158"/>
      <x:c r="L375" s="153" t="n">
        <x:v>9136</x:v>
      </x:c>
      <x:c r="M375" s="153" t="n">
        <x:v>9188</x:v>
      </x:c>
      <x:c r="N375" s="153" t="n">
        <x:v>9105</x:v>
      </x:c>
      <x:c r="O375" s="153" t="n">
        <x:v>9163</x:v>
      </x:c>
      <x:c r="P375" s="154" t="n">
        <x:f>IFERROR(O375/O374-1,"")</x:f>
        <x:v>-0.0010901558922925547</x:v>
      </x:c>
      <x:c r="Q375" s="154" t="n">
        <x:f>IFERROR((M375-N375)/O374,"")</x:f>
        <x:v>0.009048293906028562</x:v>
      </x:c>
      <x:c r="R375" s="153" t="n">
        <x:v>9149</x:v>
      </x:c>
      <x:c r="S375" s="158" t="n">
        <x:v>302236</x:v>
      </x:c>
      <x:c r="T375" s="158" t="n">
        <x:v>2765216690</x:v>
      </x:c>
      <x:c r="U375" s="158" t="n">
        <x:v>3511700</x:v>
      </x:c>
      <x:c r="V375" s="153" t="n">
        <x:f>IFERROR(E375*1000/O375,"")</x:f>
        <x:v>84.41231037869693</x:v>
      </x:c>
      <x:c r="W375" s="153" t="n">
        <x:v>4.27</x:v>
      </x:c>
      <x:c r="X375" s="155" t="n">
        <x:v>45880</x:v>
      </x:c>
      <x:c r="Y375" s="153" t="n">
        <x:v>1.87</x:v>
      </x:c>
      <x:c r="Z375" s="155" t="n">
        <x:v>45880</x:v>
      </x:c>
      <x:c r="AA375" s="153" t="n">
        <x:f>IFERROR(Y375-Y374,"")</x:f>
        <x:v>-0.009999999999999787</x:v>
      </x:c>
      <x:c r="AB375" s="153" t="n">
        <x:v>2.4</x:v>
      </x:c>
      <x:c r="AC375" s="153" t="n">
        <x:v>120.6892</x:v>
      </x:c>
      <x:c r="AD375" s="155" t="n">
        <x:v>45880</x:v>
      </x:c>
      <x:c r="AE375" s="154" t="n">
        <x:f>IFERROR(AC375/AC374-1,"")</x:f>
        <x:v>0.002960952490964619</x:v>
      </x:c>
      <x:c r="AF375" s="153" t="n">
        <x:v>16.25</x:v>
      </x:c>
      <x:c r="AG375" s="155" t="n">
        <x:v>45880</x:v>
      </x:c>
      <x:c r="AH375" s="153" t="n">
        <x:f>IFERROR(AF375-AF374,"")</x:f>
        <x:v>1.0999999999999996</x:v>
      </x:c>
      <x:c r="AI375" s="153" t="n">
        <x:v>4.33</x:v>
      </x:c>
      <x:c r="AJ375" s="155" t="n">
        <x:v>45877</x:v>
      </x:c>
      <x:c r="AK375" s="159" t="n">
        <x:v>153987</x:v>
      </x:c>
      <x:c r="AL375" s="154" t="n">
        <x:v>0.3424619757276263</x:v>
      </x:c>
      <x:c r="AM375" s="159" t="n">
        <x:v>-34017</x:v>
      </x:c>
      <x:c r="AN375" s="155" t="n">
        <x:v>45877</x:v>
      </x:c>
      <x:c r="AO375" s="159" t="n">
        <x:v>29823</x:v>
      </x:c>
      <x:c r="AP375" s="154" t="n">
        <x:v>0.1849350745990996</x:v>
      </x:c>
      <x:c r="AQ375" s="159" t="n">
        <x:v>-28811</x:v>
      </x:c>
      <x:c r="AR375" s="147" t="str">
        <x:v>美国市场指标与CFTC数据均使用严格早于上金所交易日的最后已发布值</x:v>
      </x:c>
    </x:row>
    <x:row r="376">
      <x:c r="A376" s="155" t="n">
        <x:v>45882</x:v>
      </x:c>
      <x:c r="B376" s="153" t="n">
        <x:v>773</x:v>
      </x:c>
      <x:c r="C376" s="153" t="n">
        <x:v>775.48</x:v>
      </x:c>
      <x:c r="D376" s="153" t="n">
        <x:v>771</x:v>
      </x:c>
      <x:c r="E376" s="153" t="n">
        <x:v>774.96</x:v>
      </x:c>
      <x:c r="F376" s="154" t="n">
        <x:f>IFERROR(E376/E375-1,"")</x:f>
        <x:v>0.0019263836994325434</x:v>
      </x:c>
      <x:c r="G376" s="154" t="n">
        <x:f>IFERROR((C376-D376)/E375,"")</x:f>
        <x:v>0.005792079847957927</x:v>
      </x:c>
      <x:c r="H376" s="153" t="n">
        <x:v>773.59</x:v>
      </x:c>
      <x:c r="I376" s="158" t="n">
        <x:v>6510.36</x:v>
      </x:c>
      <x:c r="J376" s="158" t="n">
        <x:v>5036401099.4</x:v>
      </x:c>
      <x:c r="K376" s="158"/>
      <x:c r="L376" s="153" t="n">
        <x:v>9148</x:v>
      </x:c>
      <x:c r="M376" s="153" t="n">
        <x:v>9279</x:v>
      </x:c>
      <x:c r="N376" s="153" t="n">
        <x:v>9110</x:v>
      </x:c>
      <x:c r="O376" s="153" t="n">
        <x:v>9278</x:v>
      </x:c>
      <x:c r="P376" s="154" t="n">
        <x:f>IFERROR(O376/O375-1,"")</x:f>
        <x:v>0.012550474735348649</x:v>
      </x:c>
      <x:c r="Q376" s="154" t="n">
        <x:f>IFERROR((M376-N376)/O375,"")</x:f>
        <x:v>0.018443741132816764</x:v>
      </x:c>
      <x:c r="R376" s="153" t="n">
        <x:v>9209</x:v>
      </x:c>
      <x:c r="S376" s="158" t="n">
        <x:v>376786</x:v>
      </x:c>
      <x:c r="T376" s="158" t="n">
        <x:v>3470003182</x:v>
      </x:c>
      <x:c r="U376" s="158" t="n">
        <x:v>3541500</x:v>
      </x:c>
      <x:c r="V376" s="153" t="n">
        <x:f>IFERROR(E376*1000/O376,"")</x:f>
        <x:v>83.52662211683553</x:v>
      </x:c>
      <x:c r="W376" s="153" t="n">
        <x:v>4.29</x:v>
      </x:c>
      <x:c r="X376" s="155" t="n">
        <x:v>45881</x:v>
      </x:c>
      <x:c r="Y376" s="153" t="n">
        <x:v>1.91</x:v>
      </x:c>
      <x:c r="Z376" s="155" t="n">
        <x:v>45881</x:v>
      </x:c>
      <x:c r="AA376" s="153" t="n">
        <x:f>IFERROR(Y376-Y375,"")</x:f>
        <x:v>0.039999999999999813</x:v>
      </x:c>
      <x:c r="AB376" s="153" t="n">
        <x:v>2.38</x:v>
      </x:c>
      <x:c r="AC376" s="153" t="n">
        <x:v>120.2736</x:v>
      </x:c>
      <x:c r="AD376" s="155" t="n">
        <x:v>45881</x:v>
      </x:c>
      <x:c r="AE376" s="154" t="n">
        <x:f>IFERROR(AC376/AC375-1,"")</x:f>
        <x:v>-0.0034435558442676983</x:v>
      </x:c>
      <x:c r="AF376" s="153" t="n">
        <x:v>14.73</x:v>
      </x:c>
      <x:c r="AG376" s="155" t="n">
        <x:v>45881</x:v>
      </x:c>
      <x:c r="AH376" s="153" t="n">
        <x:f>IFERROR(AF376-AF375,"")</x:f>
        <x:v>-1.5199999999999996</x:v>
      </x:c>
      <x:c r="AI376" s="153" t="n">
        <x:v>4.33</x:v>
      </x:c>
      <x:c r="AJ376" s="155" t="n">
        <x:v>45877</x:v>
      </x:c>
      <x:c r="AK376" s="159" t="n">
        <x:v>153987</x:v>
      </x:c>
      <x:c r="AL376" s="154" t="n">
        <x:v>0.3424619757276263</x:v>
      </x:c>
      <x:c r="AM376" s="159" t="n">
        <x:v>-34017</x:v>
      </x:c>
      <x:c r="AN376" s="155" t="n">
        <x:v>45877</x:v>
      </x:c>
      <x:c r="AO376" s="159" t="n">
        <x:v>29823</x:v>
      </x:c>
      <x:c r="AP376" s="154" t="n">
        <x:v>0.1849350745990996</x:v>
      </x:c>
      <x:c r="AQ376" s="159" t="n">
        <x:v>-28811</x:v>
      </x:c>
      <x:c r="AR376" s="147" t="str">
        <x:v>美国市场指标与CFTC数据均使用严格早于上金所交易日的最后已发布值</x:v>
      </x:c>
    </x:row>
    <x:row r="377">
      <x:c r="A377" s="155" t="n">
        <x:v>45883</x:v>
      </x:c>
      <x:c r="B377" s="153" t="n">
        <x:v>774.45</x:v>
      </x:c>
      <x:c r="C377" s="153" t="n">
        <x:v>776.98</x:v>
      </x:c>
      <x:c r="D377" s="153" t="n">
        <x:v>774</x:v>
      </x:c>
      <x:c r="E377" s="153" t="n">
        <x:v>775.05</x:v>
      </x:c>
      <x:c r="F377" s="154" t="n">
        <x:f>IFERROR(E377/E376-1,"")</x:f>
        <x:v>0.00011613502632390471</x:v>
      </x:c>
      <x:c r="G377" s="154" t="n">
        <x:f>IFERROR((C377-D377)/E376,"")</x:f>
        <x:v>0.003845359760503791</x:v>
      </x:c>
      <x:c r="H377" s="153" t="n">
        <x:v>775.5</x:v>
      </x:c>
      <x:c r="I377" s="158" t="n">
        <x:v>4725.12</x:v>
      </x:c>
      <x:c r="J377" s="158" t="n">
        <x:v>3664376706.8</x:v>
      </x:c>
      <x:c r="K377" s="158"/>
      <x:c r="L377" s="153" t="n">
        <x:v>9300</x:v>
      </x:c>
      <x:c r="M377" s="153" t="n">
        <x:v>9338</x:v>
      </x:c>
      <x:c r="N377" s="153" t="n">
        <x:v>9245</x:v>
      </x:c>
      <x:c r="O377" s="153" t="n">
        <x:v>9274</x:v>
      </x:c>
      <x:c r="P377" s="154" t="n">
        <x:f>IFERROR(O377/O376-1,"")</x:f>
        <x:v>-0.0004311273981461028</x:v>
      </x:c>
      <x:c r="Q377" s="154" t="n">
        <x:f>IFERROR((M377-N377)/O376,"")</x:f>
        <x:v>0.010023712006898038</x:v>
      </x:c>
      <x:c r="R377" s="153" t="n">
        <x:v>9294</x:v>
      </x:c>
      <x:c r="S377" s="158" t="n">
        <x:v>465346</x:v>
      </x:c>
      <x:c r="T377" s="158" t="n">
        <x:v>4325038498</x:v>
      </x:c>
      <x:c r="U377" s="158" t="n">
        <x:v>3445818</x:v>
      </x:c>
      <x:c r="V377" s="153" t="n">
        <x:f>IFERROR(E377*1000/O377,"")</x:f>
        <x:v>83.5723528143196</x:v>
      </x:c>
      <x:c r="W377" s="153" t="n">
        <x:v>4.24</x:v>
      </x:c>
      <x:c r="X377" s="155" t="n">
        <x:v>45882</x:v>
      </x:c>
      <x:c r="Y377" s="153" t="n">
        <x:v>1.87</x:v>
      </x:c>
      <x:c r="Z377" s="155" t="n">
        <x:v>45882</x:v>
      </x:c>
      <x:c r="AA377" s="153" t="n">
        <x:f>IFERROR(Y377-Y376,"")</x:f>
        <x:v>-0.039999999999999813</x:v>
      </x:c>
      <x:c r="AB377" s="153" t="n">
        <x:v>2.37</x:v>
      </x:c>
      <x:c r="AC377" s="153" t="n">
        <x:v>120.13</x:v>
      </x:c>
      <x:c r="AD377" s="155" t="n">
        <x:v>45882</x:v>
      </x:c>
      <x:c r="AE377" s="154" t="n">
        <x:f>IFERROR(AC377/AC376-1,"")</x:f>
        <x:v>-0.0011939444732677051</x:v>
      </x:c>
      <x:c r="AF377" s="153" t="n">
        <x:v>14.49</x:v>
      </x:c>
      <x:c r="AG377" s="155" t="n">
        <x:v>45882</x:v>
      </x:c>
      <x:c r="AH377" s="153" t="n">
        <x:f>IFERROR(AF377-AF376,"")</x:f>
        <x:v>-0.2400000000000002</x:v>
      </x:c>
      <x:c r="AI377" s="153" t="n">
        <x:v>4.33</x:v>
      </x:c>
      <x:c r="AJ377" s="155" t="n">
        <x:v>45877</x:v>
      </x:c>
      <x:c r="AK377" s="159" t="n">
        <x:v>153987</x:v>
      </x:c>
      <x:c r="AL377" s="154" t="n">
        <x:v>0.3424619757276263</x:v>
      </x:c>
      <x:c r="AM377" s="159" t="n">
        <x:v>-34017</x:v>
      </x:c>
      <x:c r="AN377" s="155" t="n">
        <x:v>45877</x:v>
      </x:c>
      <x:c r="AO377" s="159" t="n">
        <x:v>29823</x:v>
      </x:c>
      <x:c r="AP377" s="154" t="n">
        <x:v>0.1849350745990996</x:v>
      </x:c>
      <x:c r="AQ377" s="159" t="n">
        <x:v>-28811</x:v>
      </x:c>
      <x:c r="AR377" s="147" t="str">
        <x:v>美国市场指标与CFTC数据均使用严格早于上金所交易日的最后已发布值</x:v>
      </x:c>
    </x:row>
    <x:row r="378">
      <x:c r="A378" s="155" t="n">
        <x:v>45884</x:v>
      </x:c>
      <x:c r="B378" s="153" t="n">
        <x:v>775</x:v>
      </x:c>
      <x:c r="C378" s="153" t="n">
        <x:v>775</x:v>
      </x:c>
      <x:c r="D378" s="153" t="n">
        <x:v>770.2</x:v>
      </x:c>
      <x:c r="E378" s="153" t="n">
        <x:v>773.55</x:v>
      </x:c>
      <x:c r="F378" s="154" t="n">
        <x:f>IFERROR(E378/E377-1,"")</x:f>
        <x:v>-0.0019353590090961381</x:v>
      </x:c>
      <x:c r="G378" s="154" t="n">
        <x:f>IFERROR((C378-D378)/E377,"")</x:f>
        <x:v>0.0061931488291077415</x:v>
      </x:c>
      <x:c r="H378" s="153" t="n">
        <x:v>772.45</x:v>
      </x:c>
      <x:c r="I378" s="158" t="n">
        <x:v>5632.84</x:v>
      </x:c>
      <x:c r="J378" s="158" t="n">
        <x:v>4351108886.4</x:v>
      </x:c>
      <x:c r="K378" s="158"/>
      <x:c r="L378" s="153" t="n">
        <x:v>9250</x:v>
      </x:c>
      <x:c r="M378" s="153" t="n">
        <x:v>9260</x:v>
      </x:c>
      <x:c r="N378" s="153" t="n">
        <x:v>9141</x:v>
      </x:c>
      <x:c r="O378" s="153" t="n">
        <x:v>9188</x:v>
      </x:c>
      <x:c r="P378" s="154" t="n">
        <x:f>IFERROR(O378/O377-1,"")</x:f>
        <x:v>-0.009273237006685364</x:v>
      </x:c>
      <x:c r="Q378" s="154" t="n">
        <x:f>IFERROR((M378-N378)/O377,"")</x:f>
        <x:v>0.012831572137157646</x:v>
      </x:c>
      <x:c r="R378" s="153" t="n">
        <x:v>9182</x:v>
      </x:c>
      <x:c r="S378" s="158" t="n">
        <x:v>452542</x:v>
      </x:c>
      <x:c r="T378" s="158" t="n">
        <x:v>4155494122</x:v>
      </x:c>
      <x:c r="U378" s="158" t="n">
        <x:v>3447314</x:v>
      </x:c>
      <x:c r="V378" s="153" t="n">
        <x:f>IFERROR(E378*1000/O378,"")</x:f>
        <x:v>84.19133652590335</x:v>
      </x:c>
      <x:c r="W378" s="153" t="n">
        <x:v>4.29</x:v>
      </x:c>
      <x:c r="X378" s="155" t="n">
        <x:v>45883</x:v>
      </x:c>
      <x:c r="Y378" s="153" t="n">
        <x:v>1.9</x:v>
      </x:c>
      <x:c r="Z378" s="155" t="n">
        <x:v>45883</x:v>
      </x:c>
      <x:c r="AA378" s="153" t="n">
        <x:f>IFERROR(Y378-Y377,"")</x:f>
        <x:v>0.029999999999999805</x:v>
      </x:c>
      <x:c r="AB378" s="153" t="n">
        <x:v>2.39</x:v>
      </x:c>
      <x:c r="AC378" s="153" t="n">
        <x:v>120.6446</x:v>
      </x:c>
      <x:c r="AD378" s="155" t="n">
        <x:v>45883</x:v>
      </x:c>
      <x:c r="AE378" s="154" t="n">
        <x:f>IFERROR(AC378/AC377-1,"")</x:f>
        <x:v>0.004283692666278149</x:v>
      </x:c>
      <x:c r="AF378" s="153" t="n">
        <x:v>14.83</x:v>
      </x:c>
      <x:c r="AG378" s="155" t="n">
        <x:v>45883</x:v>
      </x:c>
      <x:c r="AH378" s="153" t="n">
        <x:f>IFERROR(AF378-AF377,"")</x:f>
        <x:v>0.33999999999999986</x:v>
      </x:c>
      <x:c r="AI378" s="153" t="n">
        <x:v>4.33</x:v>
      </x:c>
      <x:c r="AJ378" s="155" t="n">
        <x:v>45877</x:v>
      </x:c>
      <x:c r="AK378" s="159" t="n">
        <x:v>153987</x:v>
      </x:c>
      <x:c r="AL378" s="154" t="n">
        <x:v>0.3424619757276263</x:v>
      </x:c>
      <x:c r="AM378" s="159" t="n">
        <x:v>-34017</x:v>
      </x:c>
      <x:c r="AN378" s="155" t="n">
        <x:v>45877</x:v>
      </x:c>
      <x:c r="AO378" s="159" t="n">
        <x:v>29823</x:v>
      </x:c>
      <x:c r="AP378" s="154" t="n">
        <x:v>0.1849350745990996</x:v>
      </x:c>
      <x:c r="AQ378" s="159" t="n">
        <x:v>-28811</x:v>
      </x:c>
      <x:c r="AR378" s="147" t="str">
        <x:v>美国市场指标与CFTC数据均使用严格早于上金所交易日的最后已发布值</x:v>
      </x:c>
    </x:row>
    <x:row r="379">
      <x:c r="A379" s="155" t="n">
        <x:v>45887</x:v>
      </x:c>
      <x:c r="B379" s="153" t="n">
        <x:v>769</x:v>
      </x:c>
      <x:c r="C379" s="153" t="n">
        <x:v>781</x:v>
      </x:c>
      <x:c r="D379" s="153" t="n">
        <x:v>769</x:v>
      </x:c>
      <x:c r="E379" s="153" t="n">
        <x:v>774.46</x:v>
      </x:c>
      <x:c r="F379" s="154" t="n">
        <x:f>IFERROR(E379/E378-1,"")</x:f>
        <x:v>0.0011763945446319202</x:v>
      </x:c>
      <x:c r="G379" s="154" t="n">
        <x:f>IFERROR((C379-D379)/E378,"")</x:f>
        <x:v>0.015512895094046927</x:v>
      </x:c>
      <x:c r="H379" s="153" t="n">
        <x:v>773.94</x:v>
      </x:c>
      <x:c r="I379" s="158" t="n">
        <x:v>5614.56</x:v>
      </x:c>
      <x:c r="J379" s="158" t="n">
        <x:v>4345342934.6</x:v>
      </x:c>
      <x:c r="K379" s="158"/>
      <x:c r="L379" s="153" t="n">
        <x:v>9153</x:v>
      </x:c>
      <x:c r="M379" s="153" t="n">
        <x:v>9230</x:v>
      </x:c>
      <x:c r="N379" s="153" t="n">
        <x:v>9128</x:v>
      </x:c>
      <x:c r="O379" s="153" t="n">
        <x:v>9227</x:v>
      </x:c>
      <x:c r="P379" s="154" t="n">
        <x:f>IFERROR(O379/O378-1,"")</x:f>
        <x:v>0.004244666956900289</x:v>
      </x:c>
      <x:c r="Q379" s="154" t="n">
        <x:f>IFERROR((M379-N379)/O378,"")</x:f>
        <x:v>0.01110143665650849</x:v>
      </x:c>
      <x:c r="R379" s="153" t="n">
        <x:v>9202</x:v>
      </x:c>
      <x:c r="S379" s="158" t="n">
        <x:v>272182</x:v>
      </x:c>
      <x:c r="T379" s="158" t="n">
        <x:v>2504890486</x:v>
      </x:c>
      <x:c r="U379" s="158" t="n">
        <x:v>3451636</x:v>
      </x:c>
      <x:c r="V379" s="153" t="n">
        <x:f>IFERROR(E379*1000/O379,"")</x:f>
        <x:v>83.93410642679093</x:v>
      </x:c>
      <x:c r="W379" s="153" t="n">
        <x:v>4.33</x:v>
      </x:c>
      <x:c r="X379" s="155" t="n">
        <x:v>45884</x:v>
      </x:c>
      <x:c r="Y379" s="153" t="n">
        <x:v>1.95</x:v>
      </x:c>
      <x:c r="Z379" s="155" t="n">
        <x:v>45884</x:v>
      </x:c>
      <x:c r="AA379" s="153" t="n">
        <x:f>IFERROR(Y379-Y378,"")</x:f>
        <x:v>0.050000000000000044</x:v>
      </x:c>
      <x:c r="AB379" s="153" t="n">
        <x:v>2.38</x:v>
      </x:c>
      <x:c r="AC379" s="153" t="n">
        <x:v>120.3377</x:v>
      </x:c>
      <x:c r="AD379" s="155" t="n">
        <x:v>45884</x:v>
      </x:c>
      <x:c r="AE379" s="154" t="n">
        <x:f>IFERROR(AC379/AC378-1,"")</x:f>
        <x:v>-0.0025438353643677525</x:v>
      </x:c>
      <x:c r="AF379" s="153" t="n">
        <x:v>15.09</x:v>
      </x:c>
      <x:c r="AG379" s="155" t="n">
        <x:v>45884</x:v>
      </x:c>
      <x:c r="AH379" s="153" t="n">
        <x:f>IFERROR(AF379-AF378,"")</x:f>
        <x:v>0.2599999999999998</x:v>
      </x:c>
      <x:c r="AI379" s="153" t="n">
        <x:v>4.33</x:v>
      </x:c>
      <x:c r="AJ379" s="155" t="n">
        <x:v>45884</x:v>
      </x:c>
      <x:c r="AK379" s="159" t="n">
        <x:v>148287</x:v>
      </x:c>
      <x:c r="AL379" s="154" t="n">
        <x:v>0.33236878911223083</x:v>
      </x:c>
      <x:c r="AM379" s="159" t="n">
        <x:v>-39750</x:v>
      </x:c>
      <x:c r="AN379" s="155" t="n">
        <x:v>45884</x:v>
      </x:c>
      <x:c r="AO379" s="159" t="n">
        <x:v>27280</x:v>
      </x:c>
      <x:c r="AP379" s="154" t="n">
        <x:v>0.17438887184207835</x:v>
      </x:c>
      <x:c r="AQ379" s="159" t="n">
        <x:v>-23010</x:v>
      </x:c>
      <x:c r="AR379" s="147" t="str">
        <x:v>美国市场指标与CFTC数据均使用严格早于上金所交易日的最后已发布值</x:v>
      </x:c>
    </x:row>
    <x:row r="380">
      <x:c r="A380" s="155" t="n">
        <x:v>45888</x:v>
      </x:c>
      <x:c r="B380" s="153" t="n">
        <x:v>774</x:v>
      </x:c>
      <x:c r="C380" s="153" t="n">
        <x:v>774.5</x:v>
      </x:c>
      <x:c r="D380" s="153" t="n">
        <x:v>771.2</x:v>
      </x:c>
      <x:c r="E380" s="153" t="n">
        <x:v>773.05</x:v>
      </x:c>
      <x:c r="F380" s="154" t="n">
        <x:f>IFERROR(E380/E379-1,"")</x:f>
        <x:v>-0.0018206234021125312</x:v>
      </x:c>
      <x:c r="G380" s="154" t="n">
        <x:f>IFERROR((C380-D380)/E379,"")</x:f>
        <x:v>0.004261033494305651</x:v>
      </x:c>
      <x:c r="H380" s="153" t="n">
        <x:v>772.06</x:v>
      </x:c>
      <x:c r="I380" s="158" t="n">
        <x:v>8127.62</x:v>
      </x:c>
      <x:c r="J380" s="158" t="n">
        <x:v>6275063411.4</x:v>
      </x:c>
      <x:c r="K380" s="158"/>
      <x:c r="L380" s="153" t="n">
        <x:v>9200</x:v>
      </x:c>
      <x:c r="M380" s="153" t="n">
        <x:v>9248</x:v>
      </x:c>
      <x:c r="N380" s="153" t="n">
        <x:v>9138</x:v>
      </x:c>
      <x:c r="O380" s="153" t="n">
        <x:v>9183</x:v>
      </x:c>
      <x:c r="P380" s="154" t="n">
        <x:f>IFERROR(O380/O379-1,"")</x:f>
        <x:v>-0.004768613850655634</x:v>
      </x:c>
      <x:c r="Q380" s="154" t="n">
        <x:f>IFERROR((M380-N380)/O379,"")</x:f>
        <x:v>0.01192153462663921</x:v>
      </x:c>
      <x:c r="R380" s="153" t="n">
        <x:v>9172</x:v>
      </x:c>
      <x:c r="S380" s="158" t="n">
        <x:v>333308</x:v>
      </x:c>
      <x:c r="T380" s="158" t="n">
        <x:v>3057326364</x:v>
      </x:c>
      <x:c r="U380" s="158" t="n">
        <x:v>3433376</x:v>
      </x:c>
      <x:c r="V380" s="153" t="n">
        <x:f>IFERROR(E380*1000/O380,"")</x:f>
        <x:v>84.18272895567897</x:v>
      </x:c>
      <x:c r="W380" s="153" t="n">
        <x:v>4.34</x:v>
      </x:c>
      <x:c r="X380" s="155" t="n">
        <x:v>45887</x:v>
      </x:c>
      <x:c r="Y380" s="153" t="n">
        <x:v>1.96</x:v>
      </x:c>
      <x:c r="Z380" s="155" t="n">
        <x:v>45887</x:v>
      </x:c>
      <x:c r="AA380" s="153" t="n">
        <x:f>IFERROR(Y380-Y379,"")</x:f>
        <x:v>0.010000000000000009</x:v>
      </x:c>
      <x:c r="AB380" s="153" t="n">
        <x:v>2.38</x:v>
      </x:c>
      <x:c r="AC380" s="153" t="n">
        <x:v>120.5622</x:v>
      </x:c>
      <x:c r="AD380" s="155" t="n">
        <x:v>45887</x:v>
      </x:c>
      <x:c r="AE380" s="154" t="n">
        <x:f>IFERROR(AC380/AC379-1,"")</x:f>
        <x:v>0.0018655832710781084</x:v>
      </x:c>
      <x:c r="AF380" s="153" t="n">
        <x:v>14.99</x:v>
      </x:c>
      <x:c r="AG380" s="155" t="n">
        <x:v>45887</x:v>
      </x:c>
      <x:c r="AH380" s="153" t="n">
        <x:f>IFERROR(AF380-AF379,"")</x:f>
        <x:v>-0.09999999999999964</x:v>
      </x:c>
      <x:c r="AI380" s="153" t="n">
        <x:v>4.33</x:v>
      </x:c>
      <x:c r="AJ380" s="155" t="n">
        <x:v>45884</x:v>
      </x:c>
      <x:c r="AK380" s="159" t="n">
        <x:v>148287</x:v>
      </x:c>
      <x:c r="AL380" s="154" t="n">
        <x:v>0.33236878911223083</x:v>
      </x:c>
      <x:c r="AM380" s="159" t="n">
        <x:v>-39750</x:v>
      </x:c>
      <x:c r="AN380" s="155" t="n">
        <x:v>45884</x:v>
      </x:c>
      <x:c r="AO380" s="159" t="n">
        <x:v>27280</x:v>
      </x:c>
      <x:c r="AP380" s="154" t="n">
        <x:v>0.17438887184207835</x:v>
      </x:c>
      <x:c r="AQ380" s="159" t="n">
        <x:v>-23010</x:v>
      </x:c>
      <x:c r="AR380" s="147" t="str">
        <x:v>美国市场指标与CFTC数据均使用严格早于上金所交易日的最后已发布值</x:v>
      </x:c>
    </x:row>
    <x:row r="381">
      <x:c r="A381" s="155" t="n">
        <x:v>45889</x:v>
      </x:c>
      <x:c r="B381" s="153" t="n">
        <x:v>772</x:v>
      </x:c>
      <x:c r="C381" s="153" t="n">
        <x:v>774.49</x:v>
      </x:c>
      <x:c r="D381" s="153" t="n">
        <x:v>767.6</x:v>
      </x:c>
      <x:c r="E381" s="153" t="n">
        <x:v>770.24</x:v>
      </x:c>
      <x:c r="F381" s="154" t="n">
        <x:f>IFERROR(E381/E380-1,"")</x:f>
        <x:v>-0.0036349524610309603</x:v>
      </x:c>
      <x:c r="G381" s="154" t="n">
        <x:f>IFERROR((C381-D381)/E380,"")</x:f>
        <x:v>0.008912748205161357</x:v>
      </x:c>
      <x:c r="H381" s="153" t="n">
        <x:v>768.82</x:v>
      </x:c>
      <x:c r="I381" s="158" t="n">
        <x:v>8045.9</x:v>
      </x:c>
      <x:c r="J381" s="158" t="n">
        <x:v>6185858594.2</x:v>
      </x:c>
      <x:c r="K381" s="158"/>
      <x:c r="L381" s="153" t="n">
        <x:v>9181</x:v>
      </x:c>
      <x:c r="M381" s="153" t="n">
        <x:v>9205</x:v>
      </x:c>
      <x:c r="N381" s="153" t="n">
        <x:v>9008</x:v>
      </x:c>
      <x:c r="O381" s="153" t="n">
        <x:v>9022</x:v>
      </x:c>
      <x:c r="P381" s="154" t="n">
        <x:f>IFERROR(O381/O380-1,"")</x:f>
        <x:v>-0.017532396820211238</x:v>
      </x:c>
      <x:c r="Q381" s="154" t="n">
        <x:f>IFERROR((M381-N381)/O380,"")</x:f>
        <x:v>0.02145268430796036</x:v>
      </x:c>
      <x:c r="R381" s="153" t="n">
        <x:v>9052</x:v>
      </x:c>
      <x:c r="S381" s="158" t="n">
        <x:v>487056</x:v>
      </x:c>
      <x:c r="T381" s="158" t="n">
        <x:v>4409304972</x:v>
      </x:c>
      <x:c r="U381" s="158" t="n">
        <x:v>3260920</x:v>
      </x:c>
      <x:c r="V381" s="153" t="n">
        <x:f>IFERROR(E381*1000/O381,"")</x:f>
        <x:v>85.37353136776768</x:v>
      </x:c>
      <x:c r="W381" s="153" t="n">
        <x:v>4.3</x:v>
      </x:c>
      <x:c r="X381" s="155" t="n">
        <x:v>45888</x:v>
      </x:c>
      <x:c r="Y381" s="153" t="n">
        <x:v>1.95</x:v>
      </x:c>
      <x:c r="Z381" s="155" t="n">
        <x:v>45888</x:v>
      </x:c>
      <x:c r="AA381" s="153" t="n">
        <x:f>IFERROR(Y381-Y380,"")</x:f>
        <x:v>-0.010000000000000009</x:v>
      </x:c>
      <x:c r="AB381" s="153" t="n">
        <x:v>2.35</x:v>
      </x:c>
      <x:c r="AC381" s="153" t="n">
        <x:v>120.7224</x:v>
      </x:c>
      <x:c r="AD381" s="155" t="n">
        <x:v>45888</x:v>
      </x:c>
      <x:c r="AE381" s="154" t="n">
        <x:f>IFERROR(AC381/AC380-1,"")</x:f>
        <x:v>0.0013287746905745745</x:v>
      </x:c>
      <x:c r="AF381" s="153" t="n">
        <x:v>15.57</x:v>
      </x:c>
      <x:c r="AG381" s="155" t="n">
        <x:v>45888</x:v>
      </x:c>
      <x:c r="AH381" s="153" t="n">
        <x:f>IFERROR(AF381-AF380,"")</x:f>
        <x:v>0.5800000000000001</x:v>
      </x:c>
      <x:c r="AI381" s="153" t="n">
        <x:v>4.33</x:v>
      </x:c>
      <x:c r="AJ381" s="155" t="n">
        <x:v>45884</x:v>
      </x:c>
      <x:c r="AK381" s="159" t="n">
        <x:v>148287</x:v>
      </x:c>
      <x:c r="AL381" s="154" t="n">
        <x:v>0.33236878911223083</x:v>
      </x:c>
      <x:c r="AM381" s="159" t="n">
        <x:v>-39750</x:v>
      </x:c>
      <x:c r="AN381" s="155" t="n">
        <x:v>45884</x:v>
      </x:c>
      <x:c r="AO381" s="159" t="n">
        <x:v>27280</x:v>
      </x:c>
      <x:c r="AP381" s="154" t="n">
        <x:v>0.17438887184207835</x:v>
      </x:c>
      <x:c r="AQ381" s="159" t="n">
        <x:v>-23010</x:v>
      </x:c>
      <x:c r="AR381" s="147" t="str">
        <x:v>美国市场指标与CFTC数据均使用严格早于上金所交易日的最后已发布值</x:v>
      </x:c>
    </x:row>
    <x:row r="382">
      <x:c r="A382" s="155" t="n">
        <x:v>45890</x:v>
      </x:c>
      <x:c r="B382" s="153" t="n">
        <x:v>773</x:v>
      </x:c>
      <x:c r="C382" s="153" t="n">
        <x:v>775</x:v>
      </x:c>
      <x:c r="D382" s="153" t="n">
        <x:v>771.2</x:v>
      </x:c>
      <x:c r="E382" s="153" t="n">
        <x:v>772</x:v>
      </x:c>
      <x:c r="F382" s="154" t="n">
        <x:f>IFERROR(E382/E381-1,"")</x:f>
        <x:v>0.002285002077274667</x:v>
      </x:c>
      <x:c r="G382" s="154" t="n">
        <x:f>IFERROR((C382-D382)/E381,"")</x:f>
        <x:v>0.004933527212297406</x:v>
      </x:c>
      <x:c r="H382" s="153" t="n">
        <x:v>772.61</x:v>
      </x:c>
      <x:c r="I382" s="158" t="n">
        <x:v>4567.72</x:v>
      </x:c>
      <x:c r="J382" s="158" t="n">
        <x:v>3529075496.6</x:v>
      </x:c>
      <x:c r="K382" s="158"/>
      <x:c r="L382" s="153" t="n">
        <x:v>9041</x:v>
      </x:c>
      <x:c r="M382" s="153" t="n">
        <x:v>9167</x:v>
      </x:c>
      <x:c r="N382" s="153" t="n">
        <x:v>9003</x:v>
      </x:c>
      <x:c r="O382" s="153" t="n">
        <x:v>9144</x:v>
      </x:c>
      <x:c r="P382" s="154" t="n">
        <x:f>IFERROR(O382/O381-1,"")</x:f>
        <x:v>0.01352250055420079</x:v>
      </x:c>
      <x:c r="Q382" s="154" t="n">
        <x:f>IFERROR((M382-N382)/O381,"")</x:f>
        <x:v>0.018177787630237197</x:v>
      </x:c>
      <x:c r="R382" s="153" t="n">
        <x:v>9132</x:v>
      </x:c>
      <x:c r="S382" s="158" t="n">
        <x:v>275676</x:v>
      </x:c>
      <x:c r="T382" s="158" t="n">
        <x:v>2517491182</x:v>
      </x:c>
      <x:c r="U382" s="158" t="n">
        <x:v>3269190</x:v>
      </x:c>
      <x:c r="V382" s="153" t="n">
        <x:f>IFERROR(E382*1000/O382,"")</x:f>
        <x:v>84.42694663167104</x:v>
      </x:c>
      <x:c r="W382" s="153" t="n">
        <x:v>4.29</x:v>
      </x:c>
      <x:c r="X382" s="155" t="n">
        <x:v>45889</x:v>
      </x:c>
      <x:c r="Y382" s="153" t="n">
        <x:v>1.94</x:v>
      </x:c>
      <x:c r="Z382" s="155" t="n">
        <x:v>45889</x:v>
      </x:c>
      <x:c r="AA382" s="153" t="n">
        <x:f>IFERROR(Y382-Y381,"")</x:f>
        <x:v>-0.010000000000000009</x:v>
      </x:c>
      <x:c r="AB382" s="153" t="n">
        <x:v>2.35</x:v>
      </x:c>
      <x:c r="AC382" s="153" t="n">
        <x:v>120.7757</x:v>
      </x:c>
      <x:c r="AD382" s="155" t="n">
        <x:v>45889</x:v>
      </x:c>
      <x:c r="AE382" s="154" t="n">
        <x:f>IFERROR(AC382/AC381-1,"")</x:f>
        <x:v>0.0004415087837883469</x:v>
      </x:c>
      <x:c r="AF382" s="153" t="n">
        <x:v>15.69</x:v>
      </x:c>
      <x:c r="AG382" s="155" t="n">
        <x:v>45889</x:v>
      </x:c>
      <x:c r="AH382" s="153" t="n">
        <x:f>IFERROR(AF382-AF381,"")</x:f>
        <x:v>0.11999999999999922</x:v>
      </x:c>
      <x:c r="AI382" s="153" t="n">
        <x:v>4.33</x:v>
      </x:c>
      <x:c r="AJ382" s="155" t="n">
        <x:v>45884</x:v>
      </x:c>
      <x:c r="AK382" s="159" t="n">
        <x:v>148287</x:v>
      </x:c>
      <x:c r="AL382" s="154" t="n">
        <x:v>0.33236878911223083</x:v>
      </x:c>
      <x:c r="AM382" s="159" t="n">
        <x:v>-39750</x:v>
      </x:c>
      <x:c r="AN382" s="155" t="n">
        <x:v>45884</x:v>
      </x:c>
      <x:c r="AO382" s="159" t="n">
        <x:v>27280</x:v>
      </x:c>
      <x:c r="AP382" s="154" t="n">
        <x:v>0.17438887184207835</x:v>
      </x:c>
      <x:c r="AQ382" s="159" t="n">
        <x:v>-23010</x:v>
      </x:c>
      <x:c r="AR382" s="147" t="str">
        <x:v>美国市场指标与CFTC数据均使用严格早于上金所交易日的最后已发布值</x:v>
      </x:c>
    </x:row>
    <x:row r="383">
      <x:c r="A383" s="155" t="n">
        <x:v>45891</x:v>
      </x:c>
      <x:c r="B383" s="153" t="n">
        <x:v>772</x:v>
      </x:c>
      <x:c r="C383" s="153" t="n">
        <x:v>774</x:v>
      </x:c>
      <x:c r="D383" s="153" t="n">
        <x:v>770.01</x:v>
      </x:c>
      <x:c r="E383" s="153" t="n">
        <x:v>771.87</x:v>
      </x:c>
      <x:c r="F383" s="154" t="n">
        <x:f>IFERROR(E383/E382-1,"")</x:f>
        <x:v>-0.00016839378238342473</x:v>
      </x:c>
      <x:c r="G383" s="154" t="n">
        <x:f>IFERROR((C383-D383)/E382,"")</x:f>
        <x:v>0.005168393782383432</x:v>
      </x:c>
      <x:c r="H383" s="153" t="n">
        <x:v>771.51</x:v>
      </x:c>
      <x:c r="I383" s="158" t="n">
        <x:v>5056.08</x:v>
      </x:c>
      <x:c r="J383" s="158" t="n">
        <x:v>3900823149</x:v>
      </x:c>
      <x:c r="K383" s="158"/>
      <x:c r="L383" s="153" t="n">
        <x:v>9144</x:v>
      </x:c>
      <x:c r="M383" s="153" t="n">
        <x:v>9224</x:v>
      </x:c>
      <x:c r="N383" s="153" t="n">
        <x:v>9124</x:v>
      </x:c>
      <x:c r="O383" s="153" t="n">
        <x:v>9182</x:v>
      </x:c>
      <x:c r="P383" s="154" t="n">
        <x:f>IFERROR(O383/O382-1,"")</x:f>
        <x:v>0.004155730533683233</x:v>
      </x:c>
      <x:c r="Q383" s="154" t="n">
        <x:f>IFERROR((M383-N383)/O382,"")</x:f>
        <x:v>0.010936132983377077</x:v>
      </x:c>
      <x:c r="R383" s="153" t="n">
        <x:v>9188</x:v>
      </x:c>
      <x:c r="S383" s="158" t="n">
        <x:v>298922</x:v>
      </x:c>
      <x:c r="T383" s="158" t="n">
        <x:v>2746508894</x:v>
      </x:c>
      <x:c r="U383" s="158" t="n">
        <x:v>3280258</x:v>
      </x:c>
      <x:c r="V383" s="153" t="n">
        <x:f>IFERROR(E383*1000/O383,"")</x:f>
        <x:v>84.06338488346765</x:v>
      </x:c>
      <x:c r="W383" s="153" t="n">
        <x:v>4.33</x:v>
      </x:c>
      <x:c r="X383" s="155" t="n">
        <x:v>45890</x:v>
      </x:c>
      <x:c r="Y383" s="153" t="n">
        <x:v>1.94</x:v>
      </x:c>
      <x:c r="Z383" s="155" t="n">
        <x:v>45890</x:v>
      </x:c>
      <x:c r="AA383" s="153" t="n">
        <x:f>IFERROR(Y383-Y382,"")</x:f>
        <x:v>0</x:v>
      </x:c>
      <x:c r="AB383" s="153" t="n">
        <x:v>2.39</x:v>
      </x:c>
      <x:c r="AC383" s="153" t="n">
        <x:v>121.0843</x:v>
      </x:c>
      <x:c r="AD383" s="155" t="n">
        <x:v>45890</x:v>
      </x:c>
      <x:c r="AE383" s="154" t="n">
        <x:f>IFERROR(AC383/AC382-1,"")</x:f>
        <x:v>0.0025551497528062406</x:v>
      </x:c>
      <x:c r="AF383" s="153" t="n">
        <x:v>16.6</x:v>
      </x:c>
      <x:c r="AG383" s="155" t="n">
        <x:v>45890</x:v>
      </x:c>
      <x:c r="AH383" s="153" t="n">
        <x:f>IFERROR(AF383-AF382,"")</x:f>
        <x:v>0.9100000000000019</x:v>
      </x:c>
      <x:c r="AI383" s="153" t="n">
        <x:v>4.33</x:v>
      </x:c>
      <x:c r="AJ383" s="155" t="n">
        <x:v>45884</x:v>
      </x:c>
      <x:c r="AK383" s="159" t="n">
        <x:v>148287</x:v>
      </x:c>
      <x:c r="AL383" s="154" t="n">
        <x:v>0.33236878911223083</x:v>
      </x:c>
      <x:c r="AM383" s="159" t="n">
        <x:v>-39750</x:v>
      </x:c>
      <x:c r="AN383" s="155" t="n">
        <x:v>45884</x:v>
      </x:c>
      <x:c r="AO383" s="159" t="n">
        <x:v>27280</x:v>
      </x:c>
      <x:c r="AP383" s="154" t="n">
        <x:v>0.17438887184207835</x:v>
      </x:c>
      <x:c r="AQ383" s="159" t="n">
        <x:v>-23010</x:v>
      </x:c>
      <x:c r="AR383" s="147" t="str">
        <x:v>美国市场指标与CFTC数据均使用严格早于上金所交易日的最后已发布值</x:v>
      </x:c>
    </x:row>
    <x:row r="384">
      <x:c r="A384" s="155" t="n">
        <x:v>45894</x:v>
      </x:c>
      <x:c r="B384" s="153" t="n">
        <x:v>771.87</x:v>
      </x:c>
      <x:c r="C384" s="153" t="n">
        <x:v>778</x:v>
      </x:c>
      <x:c r="D384" s="153" t="n">
        <x:v>770</x:v>
      </x:c>
      <x:c r="E384" s="153" t="n">
        <x:v>775.85</x:v>
      </x:c>
      <x:c r="F384" s="154" t="n">
        <x:f>IFERROR(E384/E383-1,"")</x:f>
        <x:v>0.005156308704833634</x:v>
      </x:c>
      <x:c r="G384" s="154" t="n">
        <x:f>IFERROR((C384-D384)/E383,"")</x:f>
        <x:v>0.010364439607705962</x:v>
      </x:c>
      <x:c r="H384" s="153" t="n">
        <x:v>775.69</x:v>
      </x:c>
      <x:c r="I384" s="158" t="n">
        <x:v>5843.94</x:v>
      </x:c>
      <x:c r="J384" s="158" t="n">
        <x:v>4533139690.4</x:v>
      </x:c>
      <x:c r="K384" s="158"/>
      <x:c r="L384" s="153" t="n">
        <x:v>9170</x:v>
      </x:c>
      <x:c r="M384" s="153" t="n">
        <x:v>9381</x:v>
      </x:c>
      <x:c r="N384" s="153" t="n">
        <x:v>9122</x:v>
      </x:c>
      <x:c r="O384" s="153" t="n">
        <x:v>9364</x:v>
      </x:c>
      <x:c r="P384" s="154" t="n">
        <x:f>IFERROR(O384/O383-1,"")</x:f>
        <x:v>0.019821389675451995</x:v>
      </x:c>
      <x:c r="Q384" s="154" t="n">
        <x:f>IFERROR((M384-N384)/O383,"")</x:f>
        <x:v>0.028207362230450884</x:v>
      </x:c>
      <x:c r="R384" s="153" t="n">
        <x:v>9313</x:v>
      </x:c>
      <x:c r="S384" s="158" t="n">
        <x:v>454162</x:v>
      </x:c>
      <x:c r="T384" s="158" t="n">
        <x:v>4229963306</x:v>
      </x:c>
      <x:c r="U384" s="158" t="n">
        <x:v>3296160</x:v>
      </x:c>
      <x:c r="V384" s="153" t="n">
        <x:f>IFERROR(E384*1000/O384,"")</x:f>
        <x:v>82.8545493378898</x:v>
      </x:c>
      <x:c r="W384" s="153" t="n">
        <x:v>4.26</x:v>
      </x:c>
      <x:c r="X384" s="155" t="n">
        <x:v>45891</x:v>
      </x:c>
      <x:c r="Y384" s="153" t="n">
        <x:v>1.85</x:v>
      </x:c>
      <x:c r="Z384" s="155" t="n">
        <x:v>45891</x:v>
      </x:c>
      <x:c r="AA384" s="153" t="n">
        <x:f>IFERROR(Y384-Y383,"")</x:f>
        <x:v>-0.08999999999999986</x:v>
      </x:c>
      <x:c r="AB384" s="153" t="n">
        <x:v>2.41</x:v>
      </x:c>
      <x:c r="AC384" s="153" t="n">
        <x:v>120.2774</x:v>
      </x:c>
      <x:c r="AD384" s="155" t="n">
        <x:v>45891</x:v>
      </x:c>
      <x:c r="AE384" s="154" t="n">
        <x:f>IFERROR(AC384/AC383-1,"")</x:f>
        <x:v>-0.006663952304303722</x:v>
      </x:c>
      <x:c r="AF384" s="153" t="n">
        <x:v>14.22</x:v>
      </x:c>
      <x:c r="AG384" s="155" t="n">
        <x:v>45891</x:v>
      </x:c>
      <x:c r="AH384" s="153" t="n">
        <x:f>IFERROR(AF384-AF383,"")</x:f>
        <x:v>-2.380000000000001</x:v>
      </x:c>
      <x:c r="AI384" s="153" t="n">
        <x:v>4.33</x:v>
      </x:c>
      <x:c r="AJ384" s="155" t="n">
        <x:v>45891</x:v>
      </x:c>
      <x:c r="AK384" s="159" t="n">
        <x:v>137385</x:v>
      </x:c>
      <x:c r="AL384" s="154" t="n">
        <x:v>0.31327743586118517</x:v>
      </x:c>
      <x:c r="AM384" s="159" t="n">
        <x:v>-40005</x:v>
      </x:c>
      <x:c r="AN384" s="155" t="n">
        <x:v>45891</x:v>
      </x:c>
      <x:c r="AO384" s="159" t="n">
        <x:v>28046</x:v>
      </x:c>
      <x:c r="AP384" s="154" t="n">
        <x:v>0.17697205272689412</x:v>
      </x:c>
      <x:c r="AQ384" s="159" t="n">
        <x:v>-22577</x:v>
      </x:c>
      <x:c r="AR384" s="147" t="str">
        <x:v>美国市场指标与CFTC数据均使用严格早于上金所交易日的最后已发布值</x:v>
      </x:c>
    </x:row>
    <x:row r="385">
      <x:c r="A385" s="155" t="n">
        <x:v>45895</x:v>
      </x:c>
      <x:c r="B385" s="153" t="n">
        <x:v>776</x:v>
      </x:c>
      <x:c r="C385" s="153" t="n">
        <x:v>779.6</x:v>
      </x:c>
      <x:c r="D385" s="153" t="n">
        <x:v>775.5</x:v>
      </x:c>
      <x:c r="E385" s="153" t="n">
        <x:v>777.1</x:v>
      </x:c>
      <x:c r="F385" s="154" t="n">
        <x:f>IFERROR(E385/E384-1,"")</x:f>
        <x:v>0.0016111361732293883</x:v>
      </x:c>
      <x:c r="G385" s="154" t="n">
        <x:f>IFERROR((C385-D385)/E384,"")</x:f>
        <x:v>0.005284526648192334</x:v>
      </x:c>
      <x:c r="H385" s="153" t="n">
        <x:v>777.5</x:v>
      </x:c>
      <x:c r="I385" s="158" t="n">
        <x:v>7739.2</x:v>
      </x:c>
      <x:c r="J385" s="158" t="n">
        <x:v>6017283821.8</x:v>
      </x:c>
      <x:c r="K385" s="158"/>
      <x:c r="L385" s="153" t="n">
        <x:v>9345</x:v>
      </x:c>
      <x:c r="M385" s="153" t="n">
        <x:v>9348</x:v>
      </x:c>
      <x:c r="N385" s="153" t="n">
        <x:v>9285</x:v>
      </x:c>
      <x:c r="O385" s="153" t="n">
        <x:v>9311</x:v>
      </x:c>
      <x:c r="P385" s="154" t="n">
        <x:f>IFERROR(O385/O384-1,"")</x:f>
        <x:v>-0.005659974369927379</x:v>
      </x:c>
      <x:c r="Q385" s="154" t="n">
        <x:f>IFERROR((M385-N385)/O384,"")</x:f>
        <x:v>0.00672789406236651</x:v>
      </x:c>
      <x:c r="R385" s="153" t="n">
        <x:v>9327</x:v>
      </x:c>
      <x:c r="S385" s="158" t="n">
        <x:v>271534</x:v>
      </x:c>
      <x:c r="T385" s="158" t="n">
        <x:v>2532687534</x:v>
      </x:c>
      <x:c r="U385" s="158" t="n">
        <x:v>3293380</x:v>
      </x:c>
      <x:c r="V385" s="153" t="n">
        <x:f>IFERROR(E385*1000/O385,"")</x:f>
        <x:v>83.46042315540758</x:v>
      </x:c>
      <x:c r="W385" s="153" t="n">
        <x:v>4.28</x:v>
      </x:c>
      <x:c r="X385" s="155" t="n">
        <x:v>45894</x:v>
      </x:c>
      <x:c r="Y385" s="153" t="n">
        <x:v>1.87</x:v>
      </x:c>
      <x:c r="Z385" s="155" t="n">
        <x:v>45894</x:v>
      </x:c>
      <x:c r="AA385" s="153" t="n">
        <x:f>IFERROR(Y385-Y384,"")</x:f>
        <x:v>0.020000000000000018</x:v>
      </x:c>
      <x:c r="AB385" s="153" t="n">
        <x:v>2.41</x:v>
      </x:c>
      <x:c r="AC385" s="153" t="n">
        <x:v>120.4214</x:v>
      </x:c>
      <x:c r="AD385" s="155" t="n">
        <x:v>45894</x:v>
      </x:c>
      <x:c r="AE385" s="154" t="n">
        <x:f>IFERROR(AC385/AC384-1,"")</x:f>
        <x:v>0.0011972323977738064</x:v>
      </x:c>
      <x:c r="AF385" s="153" t="n">
        <x:v>14.79</x:v>
      </x:c>
      <x:c r="AG385" s="155" t="n">
        <x:v>45894</x:v>
      </x:c>
      <x:c r="AH385" s="153" t="n">
        <x:f>IFERROR(AF385-AF384,"")</x:f>
        <x:v>0.5699999999999985</x:v>
      </x:c>
      <x:c r="AI385" s="153" t="n">
        <x:v>4.33</x:v>
      </x:c>
      <x:c r="AJ385" s="155" t="n">
        <x:v>45891</x:v>
      </x:c>
      <x:c r="AK385" s="159" t="n">
        <x:v>137385</x:v>
      </x:c>
      <x:c r="AL385" s="154" t="n">
        <x:v>0.31327743586118517</x:v>
      </x:c>
      <x:c r="AM385" s="159" t="n">
        <x:v>-40005</x:v>
      </x:c>
      <x:c r="AN385" s="155" t="n">
        <x:v>45891</x:v>
      </x:c>
      <x:c r="AO385" s="159" t="n">
        <x:v>28046</x:v>
      </x:c>
      <x:c r="AP385" s="154" t="n">
        <x:v>0.17697205272689412</x:v>
      </x:c>
      <x:c r="AQ385" s="159" t="n">
        <x:v>-22577</x:v>
      </x:c>
      <x:c r="AR385" s="147" t="str">
        <x:v>美国市场指标与CFTC数据均使用严格早于上金所交易日的最后已发布值</x:v>
      </x:c>
    </x:row>
    <x:row r="386">
      <x:c r="A386" s="155" t="n">
        <x:v>45896</x:v>
      </x:c>
      <x:c r="B386" s="153" t="n">
        <x:v>779</x:v>
      </x:c>
      <x:c r="C386" s="153" t="n">
        <x:v>779.5</x:v>
      </x:c>
      <x:c r="D386" s="153" t="n">
        <x:v>777</x:v>
      </x:c>
      <x:c r="E386" s="153" t="n">
        <x:v>778.07</x:v>
      </x:c>
      <x:c r="F386" s="154" t="n">
        <x:f>IFERROR(E386/E385-1,"")</x:f>
        <x:v>0.0012482306009522492</x:v>
      </x:c>
      <x:c r="G386" s="154" t="n">
        <x:f>IFERROR((C386-D386)/E385,"")</x:f>
        <x:v>0.003217089177712006</x:v>
      </x:c>
      <x:c r="H386" s="153" t="n">
        <x:v>778.87</x:v>
      </x:c>
      <x:c r="I386" s="158" t="n">
        <x:v>7674.72</x:v>
      </x:c>
      <x:c r="J386" s="158" t="n">
        <x:v>5977629092</x:v>
      </x:c>
      <x:c r="K386" s="158"/>
      <x:c r="L386" s="153" t="n">
        <x:v>9306</x:v>
      </x:c>
      <x:c r="M386" s="153" t="n">
        <x:v>9317</x:v>
      </x:c>
      <x:c r="N386" s="153" t="n">
        <x:v>9255</x:v>
      </x:c>
      <x:c r="O386" s="153" t="n">
        <x:v>9261</x:v>
      </x:c>
      <x:c r="P386" s="154" t="n">
        <x:f>IFERROR(O386/O385-1,"")</x:f>
        <x:v>-0.005369992482010533</x:v>
      </x:c>
      <x:c r="Q386" s="154" t="n">
        <x:f>IFERROR((M386-N386)/O385,"")</x:f>
        <x:v>0.006658790677693051</x:v>
      </x:c>
      <x:c r="R386" s="153" t="n">
        <x:v>9287</x:v>
      </x:c>
      <x:c r="S386" s="158" t="n">
        <x:v>354762</x:v>
      </x:c>
      <x:c r="T386" s="158" t="n">
        <x:v>3294841230</x:v>
      </x:c>
      <x:c r="U386" s="158" t="n">
        <x:v>3354472</x:v>
      </x:c>
      <x:c r="V386" s="153" t="n">
        <x:f>IFERROR(E386*1000/O386,"")</x:f>
        <x:v>84.01576503617319</x:v>
      </x:c>
      <x:c r="W386" s="153" t="n">
        <x:v>4.26</x:v>
      </x:c>
      <x:c r="X386" s="155" t="n">
        <x:v>45895</x:v>
      </x:c>
      <x:c r="Y386" s="153" t="n">
        <x:v>1.84</x:v>
      </x:c>
      <x:c r="Z386" s="155" t="n">
        <x:v>45895</x:v>
      </x:c>
      <x:c r="AA386" s="153" t="n">
        <x:f>IFERROR(Y386-Y385,"")</x:f>
        <x:v>-0.030000000000000027</x:v>
      </x:c>
      <x:c r="AB386" s="153" t="n">
        <x:v>2.42</x:v>
      </x:c>
      <x:c r="AC386" s="153" t="n">
        <x:v>120.5274</x:v>
      </x:c>
      <x:c r="AD386" s="155" t="n">
        <x:v>45895</x:v>
      </x:c>
      <x:c r="AE386" s="154" t="n">
        <x:f>IFERROR(AC386/AC385-1,"")</x:f>
        <x:v>0.0008802422160845147</x:v>
      </x:c>
      <x:c r="AF386" s="153" t="n">
        <x:v>14.62</x:v>
      </x:c>
      <x:c r="AG386" s="155" t="n">
        <x:v>45895</x:v>
      </x:c>
      <x:c r="AH386" s="153" t="n">
        <x:f>IFERROR(AF386-AF385,"")</x:f>
        <x:v>-0.16999999999999993</x:v>
      </x:c>
      <x:c r="AI386" s="153" t="n">
        <x:v>4.33</x:v>
      </x:c>
      <x:c r="AJ386" s="155" t="n">
        <x:v>45891</x:v>
      </x:c>
      <x:c r="AK386" s="159" t="n">
        <x:v>137385</x:v>
      </x:c>
      <x:c r="AL386" s="154" t="n">
        <x:v>0.31327743586118517</x:v>
      </x:c>
      <x:c r="AM386" s="159" t="n">
        <x:v>-40005</x:v>
      </x:c>
      <x:c r="AN386" s="155" t="n">
        <x:v>45891</x:v>
      </x:c>
      <x:c r="AO386" s="159" t="n">
        <x:v>28046</x:v>
      </x:c>
      <x:c r="AP386" s="154" t="n">
        <x:v>0.17697205272689412</x:v>
      </x:c>
      <x:c r="AQ386" s="159" t="n">
        <x:v>-22577</x:v>
      </x:c>
      <x:c r="AR386" s="147" t="str">
        <x:v>美国市场指标与CFTC数据均使用严格早于上金所交易日的最后已发布值</x:v>
      </x:c>
    </x:row>
    <x:row r="387">
      <x:c r="A387" s="155" t="n">
        <x:v>45897</x:v>
      </x:c>
      <x:c r="B387" s="153" t="n">
        <x:v>777.5</x:v>
      </x:c>
      <x:c r="C387" s="153" t="n">
        <x:v>780.7</x:v>
      </x:c>
      <x:c r="D387" s="153" t="n">
        <x:v>777.5</x:v>
      </x:c>
      <x:c r="E387" s="153" t="n">
        <x:v>779.85</x:v>
      </x:c>
      <x:c r="F387" s="154" t="n">
        <x:f>IFERROR(E387/E386-1,"")</x:f>
        <x:v>0.002287711902527967</x:v>
      </x:c>
      <x:c r="G387" s="154" t="n">
        <x:f>IFERROR((C387-D387)/E386,"")</x:f>
        <x:v>0.0041127404989268895</x:v>
      </x:c>
      <x:c r="H387" s="153" t="n">
        <x:v>779.94</x:v>
      </x:c>
      <x:c r="I387" s="158" t="n">
        <x:v>7167.9</x:v>
      </x:c>
      <x:c r="J387" s="158" t="n">
        <x:v>5590560167.6</x:v>
      </x:c>
      <x:c r="K387" s="158"/>
      <x:c r="L387" s="153" t="n">
        <x:v>9261</x:v>
      </x:c>
      <x:c r="M387" s="153" t="n">
        <x:v>9357</x:v>
      </x:c>
      <x:c r="N387" s="153" t="n">
        <x:v>9228</x:v>
      </x:c>
      <x:c r="O387" s="153" t="n">
        <x:v>9347</x:v>
      </x:c>
      <x:c r="P387" s="154" t="n">
        <x:f>IFERROR(O387/O386-1,"")</x:f>
        <x:v>0.00928625418421336</x:v>
      </x:c>
      <x:c r="Q387" s="154" t="n">
        <x:f>IFERROR((M387-N387)/O386,"")</x:f>
        <x:v>0.013929381276320051</x:v>
      </x:c>
      <x:c r="R387" s="153" t="n">
        <x:v>9323</x:v>
      </x:c>
      <x:c r="S387" s="158" t="n">
        <x:v>475098</x:v>
      </x:c>
      <x:c r="T387" s="158" t="n">
        <x:v>4429805554</x:v>
      </x:c>
      <x:c r="U387" s="158" t="n">
        <x:v>3329106</x:v>
      </x:c>
      <x:c r="V387" s="153" t="n">
        <x:f>IFERROR(E387*1000/O387,"")</x:f>
        <x:v>83.43318711886167</x:v>
      </x:c>
      <x:c r="W387" s="153" t="n">
        <x:v>4.24</x:v>
      </x:c>
      <x:c r="X387" s="155" t="n">
        <x:v>45896</x:v>
      </x:c>
      <x:c r="Y387" s="153" t="n">
        <x:v>1.81</x:v>
      </x:c>
      <x:c r="Z387" s="155" t="n">
        <x:v>45896</x:v>
      </x:c>
      <x:c r="AA387" s="153" t="n">
        <x:f>IFERROR(Y387-Y386,"")</x:f>
        <x:v>-0.030000000000000027</x:v>
      </x:c>
      <x:c r="AB387" s="153" t="n">
        <x:v>2.43</x:v>
      </x:c>
      <x:c r="AC387" s="153" t="n">
        <x:v>120.7274</x:v>
      </x:c>
      <x:c r="AD387" s="155" t="n">
        <x:v>45896</x:v>
      </x:c>
      <x:c r="AE387" s="154" t="n">
        <x:f>IFERROR(AC387/AC386-1,"")</x:f>
        <x:v>0.00165937371917102</x:v>
      </x:c>
      <x:c r="AF387" s="153" t="n">
        <x:v>14.85</x:v>
      </x:c>
      <x:c r="AG387" s="155" t="n">
        <x:v>45896</x:v>
      </x:c>
      <x:c r="AH387" s="153" t="n">
        <x:f>IFERROR(AF387-AF386,"")</x:f>
        <x:v>0.23000000000000043</x:v>
      </x:c>
      <x:c r="AI387" s="153" t="n">
        <x:v>4.33</x:v>
      </x:c>
      <x:c r="AJ387" s="155" t="n">
        <x:v>45891</x:v>
      </x:c>
      <x:c r="AK387" s="159" t="n">
        <x:v>137385</x:v>
      </x:c>
      <x:c r="AL387" s="154" t="n">
        <x:v>0.31327743586118517</x:v>
      </x:c>
      <x:c r="AM387" s="159" t="n">
        <x:v>-40005</x:v>
      </x:c>
      <x:c r="AN387" s="155" t="n">
        <x:v>45891</x:v>
      </x:c>
      <x:c r="AO387" s="159" t="n">
        <x:v>28046</x:v>
      </x:c>
      <x:c r="AP387" s="154" t="n">
        <x:v>0.17697205272689412</x:v>
      </x:c>
      <x:c r="AQ387" s="159" t="n">
        <x:v>-22577</x:v>
      </x:c>
      <x:c r="AR387" s="147" t="str">
        <x:v>美国市场指标与CFTC数据均使用严格早于上金所交易日的最后已发布值</x:v>
      </x:c>
    </x:row>
    <x:row r="388">
      <x:c r="A388" s="155" t="n">
        <x:v>45898</x:v>
      </x:c>
      <x:c r="B388" s="153" t="n">
        <x:v>779</x:v>
      </x:c>
      <x:c r="C388" s="153" t="n">
        <x:v>782.59</x:v>
      </x:c>
      <x:c r="D388" s="153" t="n">
        <x:v>779</x:v>
      </x:c>
      <x:c r="E388" s="153" t="n">
        <x:v>781.71</x:v>
      </x:c>
      <x:c r="F388" s="154" t="n">
        <x:f>IFERROR(E388/E387-1,"")</x:f>
        <x:v>0.002385074052702496</x:v>
      </x:c>
      <x:c r="G388" s="154" t="n">
        <x:f>IFERROR((C388-D388)/E387,"")</x:f>
        <x:v>0.004603449381291314</x:v>
      </x:c>
      <x:c r="H388" s="153" t="n">
        <x:v>781.98</x:v>
      </x:c>
      <x:c r="I388" s="158" t="n">
        <x:v>8369.78</x:v>
      </x:c>
      <x:c r="J388" s="158" t="n">
        <x:v>6545061087</x:v>
      </x:c>
      <x:c r="K388" s="158"/>
      <x:c r="L388" s="153" t="n">
        <x:v>9347</x:v>
      </x:c>
      <x:c r="M388" s="153" t="n">
        <x:v>9388</x:v>
      </x:c>
      <x:c r="N388" s="153" t="n">
        <x:v>9323</x:v>
      </x:c>
      <x:c r="O388" s="153" t="n">
        <x:v>9365</x:v>
      </x:c>
      <x:c r="P388" s="154" t="n">
        <x:f>IFERROR(O388/O387-1,"")</x:f>
        <x:v>0.0019257515780464196</x:v>
      </x:c>
      <x:c r="Q388" s="154" t="n">
        <x:f>IFERROR((M388-N388)/O387,"")</x:f>
        <x:v>0.006954102920723227</x:v>
      </x:c>
      <x:c r="R388" s="153" t="n">
        <x:v>9363</x:v>
      </x:c>
      <x:c r="S388" s="158" t="n">
        <x:v>409046</x:v>
      </x:c>
      <x:c r="T388" s="158" t="n">
        <x:v>3830169074</x:v>
      </x:c>
      <x:c r="U388" s="158" t="n">
        <x:v>3444504</x:v>
      </x:c>
      <x:c r="V388" s="153" t="n">
        <x:f>IFERROR(E388*1000/O388,"")</x:f>
        <x:v>83.47143619861185</x:v>
      </x:c>
      <x:c r="W388" s="153" t="n">
        <x:v>4.22</x:v>
      </x:c>
      <x:c r="X388" s="155" t="n">
        <x:v>45897</x:v>
      </x:c>
      <x:c r="Y388" s="153" t="n">
        <x:v>1.81</x:v>
      </x:c>
      <x:c r="Z388" s="155" t="n">
        <x:v>45897</x:v>
      </x:c>
      <x:c r="AA388" s="153" t="n">
        <x:f>IFERROR(Y388-Y387,"")</x:f>
        <x:v>0</x:v>
      </x:c>
      <x:c r="AB388" s="153" t="n">
        <x:v>2.41</x:v>
      </x:c>
      <x:c r="AC388" s="153" t="n">
        <x:v>120.2595</x:v>
      </x:c>
      <x:c r="AD388" s="155" t="n">
        <x:v>45897</x:v>
      </x:c>
      <x:c r="AE388" s="154" t="n">
        <x:f>IFERROR(AC388/AC387-1,"")</x:f>
        <x:v>-0.003875673625042819</x:v>
      </x:c>
      <x:c r="AF388" s="153" t="n">
        <x:v>14.43</x:v>
      </x:c>
      <x:c r="AG388" s="155" t="n">
        <x:v>45897</x:v>
      </x:c>
      <x:c r="AH388" s="153" t="n">
        <x:f>IFERROR(AF388-AF387,"")</x:f>
        <x:v>-0.41999999999999993</x:v>
      </x:c>
      <x:c r="AI388" s="153" t="n">
        <x:v>4.33</x:v>
      </x:c>
      <x:c r="AJ388" s="155" t="n">
        <x:v>45891</x:v>
      </x:c>
      <x:c r="AK388" s="159" t="n">
        <x:v>137385</x:v>
      </x:c>
      <x:c r="AL388" s="154" t="n">
        <x:v>0.31327743586118517</x:v>
      </x:c>
      <x:c r="AM388" s="159" t="n">
        <x:v>-40005</x:v>
      </x:c>
      <x:c r="AN388" s="155" t="n">
        <x:v>45891</x:v>
      </x:c>
      <x:c r="AO388" s="159" t="n">
        <x:v>28046</x:v>
      </x:c>
      <x:c r="AP388" s="154" t="n">
        <x:v>0.17697205272689412</x:v>
      </x:c>
      <x:c r="AQ388" s="159" t="n">
        <x:v>-22577</x:v>
      </x:c>
      <x:c r="AR388" s="147" t="str">
        <x:v>美国市场指标与CFTC数据均使用严格早于上金所交易日的最后已发布值</x:v>
      </x:c>
    </x:row>
    <x:row r="389">
      <x:c r="A389" s="155" t="n">
        <x:v>45903</x:v>
      </x:c>
      <x:c r="B389" s="153" t="n">
        <x:v>800</x:v>
      </x:c>
      <x:c r="C389" s="153" t="n">
        <x:v>812.99</x:v>
      </x:c>
      <x:c r="D389" s="153" t="n">
        <x:v>800</x:v>
      </x:c>
      <x:c r="E389" s="153" t="n">
        <x:v>809</x:v>
      </x:c>
      <x:c r="F389" s="154" t="n">
        <x:f>IFERROR(E389/E388-1,"")</x:f>
        <x:v>0.03491064461245208</x:v>
      </x:c>
      <x:c r="G389" s="154" t="n">
        <x:f>IFERROR((C389-D389)/E388,"")</x:f>
        <x:v>0.016617415665656072</x:v>
      </x:c>
      <x:c r="H389" s="153" t="n">
        <x:v>810.44</x:v>
      </x:c>
      <x:c r="I389" s="158" t="n">
        <x:v>13097.26</x:v>
      </x:c>
      <x:c r="J389" s="158" t="n">
        <x:v>10614619042</x:v>
      </x:c>
      <x:c r="K389" s="158"/>
      <x:c r="L389" s="153" t="n">
        <x:v>9800</x:v>
      </x:c>
      <x:c r="M389" s="153" t="n">
        <x:v>9841</x:v>
      </x:c>
      <x:c r="N389" s="153" t="n">
        <x:v>9670</x:v>
      </x:c>
      <x:c r="O389" s="153" t="n">
        <x:v>9780</x:v>
      </x:c>
      <x:c r="P389" s="154" t="n">
        <x:f>IFERROR(O389/O388-1,"")</x:f>
        <x:v>0.04431393486385482</x:v>
      </x:c>
      <x:c r="Q389" s="154" t="n">
        <x:f>IFERROR((M389-N389)/O388,"")</x:f>
        <x:v>0.018259476775226907</x:v>
      </x:c>
      <x:c r="R389" s="153" t="n">
        <x:v>9771</x:v>
      </x:c>
      <x:c r="S389" s="158" t="n">
        <x:v>373924</x:v>
      </x:c>
      <x:c r="T389" s="158" t="n">
        <x:v>3653679880</x:v>
      </x:c>
      <x:c r="U389" s="158" t="n">
        <x:v>3489224</x:v>
      </x:c>
      <x:c r="V389" s="153" t="n">
        <x:f>IFERROR(E389*1000/O389,"")</x:f>
        <x:v>82.719836400818</x:v>
      </x:c>
      <x:c r="W389" s="153" t="n">
        <x:v>4.28</x:v>
      </x:c>
      <x:c r="X389" s="155" t="n">
        <x:v>45902</x:v>
      </x:c>
      <x:c r="Y389" s="153" t="n">
        <x:v>1.87</x:v>
      </x:c>
      <x:c r="Z389" s="155" t="n">
        <x:v>45902</x:v>
      </x:c>
      <x:c r="AA389" s="153" t="n">
        <x:f>IFERROR(Y389-Y388,"")</x:f>
        <x:v>0.06000000000000005</x:v>
      </x:c>
      <x:c r="AB389" s="153" t="n">
        <x:v>2.41</x:v>
      </x:c>
      <x:c r="AC389" s="153" t="n">
        <x:v>120.6837</x:v>
      </x:c>
      <x:c r="AD389" s="155" t="n">
        <x:v>45902</x:v>
      </x:c>
      <x:c r="AE389" s="154" t="n">
        <x:f>IFERROR(AC389/AC388-1,"")</x:f>
        <x:v>0.003527372057924749</x:v>
      </x:c>
      <x:c r="AF389" s="153" t="n">
        <x:v>17.17</x:v>
      </x:c>
      <x:c r="AG389" s="155" t="n">
        <x:v>45902</x:v>
      </x:c>
      <x:c r="AH389" s="153" t="n">
        <x:f>IFERROR(AF389-AF388,"")</x:f>
        <x:v>2.740000000000002</x:v>
      </x:c>
      <x:c r="AI389" s="153" t="n">
        <x:v>4.33</x:v>
      </x:c>
      <x:c r="AJ389" s="155" t="n">
        <x:v>45898</x:v>
      </x:c>
      <x:c r="AK389" s="159" t="n">
        <x:v>141917</x:v>
      </x:c>
      <x:c r="AL389" s="154" t="n">
        <x:v>0.31980575085631874</x:v>
      </x:c>
      <x:c r="AM389" s="159" t="n">
        <x:v>-42328</x:v>
      </x:c>
      <x:c r="AN389" s="155" t="n">
        <x:v>45898</x:v>
      </x:c>
      <x:c r="AO389" s="159" t="n">
        <x:v>32971</x:v>
      </x:c>
      <x:c r="AP389" s="154" t="n">
        <x:v>0.20784845237344765</x:v>
      </x:c>
      <x:c r="AQ389" s="159" t="n">
        <x:v>-24498</x:v>
      </x:c>
      <x:c r="AR389" s="147" t="str">
        <x:v>美国市场指标与CFTC数据均使用严格早于上金所交易日的最后已发布值</x:v>
      </x:c>
    </x:row>
    <x:row r="390">
      <x:c r="A390" s="155" t="n">
        <x:v>45904</x:v>
      </x:c>
      <x:c r="B390" s="153" t="n">
        <x:v>814</x:v>
      </x:c>
      <x:c r="C390" s="153" t="n">
        <x:v>817</x:v>
      </x:c>
      <x:c r="D390" s="153" t="n">
        <x:v>804</x:v>
      </x:c>
      <x:c r="E390" s="153" t="n">
        <x:v>809.19</x:v>
      </x:c>
      <x:c r="F390" s="154" t="n">
        <x:f>IFERROR(E390/E389-1,"")</x:f>
        <x:v>0.00023485784919663466</x:v>
      </x:c>
      <x:c r="G390" s="154" t="n">
        <x:f>IFERROR((C390-D390)/E389,"")</x:f>
        <x:v>0.016069221260815822</x:v>
      </x:c>
      <x:c r="H390" s="153" t="n">
        <x:v>809.52</x:v>
      </x:c>
      <x:c r="I390" s="158" t="n">
        <x:v>10463.1</x:v>
      </x:c>
      <x:c r="J390" s="158" t="n">
        <x:v>8470122577.2</x:v>
      </x:c>
      <x:c r="K390" s="158"/>
      <x:c r="L390" s="153" t="n">
        <x:v>9810</x:v>
      </x:c>
      <x:c r="M390" s="153" t="n">
        <x:v>9945</x:v>
      </x:c>
      <x:c r="N390" s="153" t="n">
        <x:v>9686</x:v>
      </x:c>
      <x:c r="O390" s="153" t="n">
        <x:v>9770</x:v>
      </x:c>
      <x:c r="P390" s="154" t="n">
        <x:f>IFERROR(O390/O389-1,"")</x:f>
        <x:v>-0.0010224948875255935</x:v>
      </x:c>
      <x:c r="Q390" s="154" t="n">
        <x:f>IFERROR((M390-N390)/O389,"")</x:f>
        <x:v>0.026482617586912064</x:v>
      </x:c>
      <x:c r="R390" s="153" t="n">
        <x:v>9790</x:v>
      </x:c>
      <x:c r="S390" s="158" t="n">
        <x:v>580972</x:v>
      </x:c>
      <x:c r="T390" s="158" t="n">
        <x:v>5687948902</x:v>
      </x:c>
      <x:c r="U390" s="158" t="n">
        <x:v>3471898</x:v>
      </x:c>
      <x:c r="V390" s="153" t="n">
        <x:f>IFERROR(E390*1000/O390,"")</x:f>
        <x:v>82.82395087001024</x:v>
      </x:c>
      <x:c r="W390" s="153" t="n">
        <x:v>4.22</x:v>
      </x:c>
      <x:c r="X390" s="155" t="n">
        <x:v>45903</x:v>
      </x:c>
      <x:c r="Y390" s="153" t="n">
        <x:v>1.82</x:v>
      </x:c>
      <x:c r="Z390" s="155" t="n">
        <x:v>45903</x:v>
      </x:c>
      <x:c r="AA390" s="153" t="n">
        <x:f>IFERROR(Y390-Y389,"")</x:f>
        <x:v>-0.050000000000000044</x:v>
      </x:c>
      <x:c r="AB390" s="153" t="n">
        <x:v>2.4</x:v>
      </x:c>
      <x:c r="AC390" s="153" t="n">
        <x:v>120.5052</x:v>
      </x:c>
      <x:c r="AD390" s="155" t="n">
        <x:v>45903</x:v>
      </x:c>
      <x:c r="AE390" s="154" t="n">
        <x:f>IFERROR(AC390/AC389-1,"")</x:f>
        <x:v>-0.0014790729816868131</x:v>
      </x:c>
      <x:c r="AF390" s="153" t="n">
        <x:v>16.35</x:v>
      </x:c>
      <x:c r="AG390" s="155" t="n">
        <x:v>45903</x:v>
      </x:c>
      <x:c r="AH390" s="153" t="n">
        <x:f>IFERROR(AF390-AF389,"")</x:f>
        <x:v>-0.8200000000000003</x:v>
      </x:c>
      <x:c r="AI390" s="153" t="n">
        <x:v>4.33</x:v>
      </x:c>
      <x:c r="AJ390" s="155" t="n">
        <x:v>45898</x:v>
      </x:c>
      <x:c r="AK390" s="159" t="n">
        <x:v>141917</x:v>
      </x:c>
      <x:c r="AL390" s="154" t="n">
        <x:v>0.31980575085631874</x:v>
      </x:c>
      <x:c r="AM390" s="159" t="n">
        <x:v>-42328</x:v>
      </x:c>
      <x:c r="AN390" s="155" t="n">
        <x:v>45898</x:v>
      </x:c>
      <x:c r="AO390" s="159" t="n">
        <x:v>32971</x:v>
      </x:c>
      <x:c r="AP390" s="154" t="n">
        <x:v>0.20784845237344765</x:v>
      </x:c>
      <x:c r="AQ390" s="159" t="n">
        <x:v>-24498</x:v>
      </x:c>
      <x:c r="AR390" s="147" t="str">
        <x:v>美国市场指标与CFTC数据均使用严格早于上金所交易日的最后已发布值</x:v>
      </x:c>
    </x:row>
    <x:row r="391">
      <x:c r="A391" s="155" t="n">
        <x:v>45905</x:v>
      </x:c>
      <x:c r="B391" s="153" t="n">
        <x:v>809.19</x:v>
      </x:c>
      <x:c r="C391" s="153" t="n">
        <x:v>813</x:v>
      </x:c>
      <x:c r="D391" s="153" t="n">
        <x:v>809</x:v>
      </x:c>
      <x:c r="E391" s="153" t="n">
        <x:v>811.5</x:v>
      </x:c>
      <x:c r="F391" s="154" t="n">
        <x:f>IFERROR(E391/E390-1,"")</x:f>
        <x:v>0.002854706558410136</x:v>
      </x:c>
      <x:c r="G391" s="154" t="n">
        <x:f>IFERROR((C391-D391)/E390,"")</x:f>
        <x:v>0.004943214819758029</x:v>
      </x:c>
      <x:c r="H391" s="153" t="n">
        <x:v>811.74</x:v>
      </x:c>
      <x:c r="I391" s="158" t="n">
        <x:v>9088.06</x:v>
      </x:c>
      <x:c r="J391" s="158" t="n">
        <x:v>7377171608.2</x:v>
      </x:c>
      <x:c r="K391" s="158"/>
      <x:c r="L391" s="153" t="n">
        <x:v>9778</x:v>
      </x:c>
      <x:c r="M391" s="153" t="n">
        <x:v>9807</x:v>
      </x:c>
      <x:c r="N391" s="153" t="n">
        <x:v>9690</x:v>
      </x:c>
      <x:c r="O391" s="153" t="n">
        <x:v>9788</x:v>
      </x:c>
      <x:c r="P391" s="154" t="n">
        <x:f>IFERROR(O391/O390-1,"")</x:f>
        <x:v>0.0018423746161719823</x:v>
      </x:c>
      <x:c r="Q391" s="154" t="n">
        <x:f>IFERROR((M391-N391)/O390,"")</x:f>
        <x:v>0.011975435005117708</x:v>
      </x:c>
      <x:c r="R391" s="153" t="n">
        <x:v>9767</x:v>
      </x:c>
      <x:c r="S391" s="158" t="n">
        <x:v>380552</x:v>
      </x:c>
      <x:c r="T391" s="158" t="n">
        <x:v>3716889094</x:v>
      </x:c>
      <x:c r="U391" s="158" t="n">
        <x:v>3533094</x:v>
      </x:c>
      <x:c r="V391" s="153" t="n">
        <x:f>IFERROR(E391*1000/O391,"")</x:f>
        <x:v>82.90764201062525</x:v>
      </x:c>
      <x:c r="W391" s="153" t="n">
        <x:v>4.17</x:v>
      </x:c>
      <x:c r="X391" s="155" t="n">
        <x:v>45904</x:v>
      </x:c>
      <x:c r="Y391" s="153" t="n">
        <x:v>1.79</x:v>
      </x:c>
      <x:c r="Z391" s="155" t="n">
        <x:v>45904</x:v>
      </x:c>
      <x:c r="AA391" s="153" t="n">
        <x:f>IFERROR(Y391-Y390,"")</x:f>
        <x:v>-0.030000000000000027</x:v>
      </x:c>
      <x:c r="AB391" s="153" t="n">
        <x:v>2.38</x:v>
      </x:c>
      <x:c r="AC391" s="153" t="n">
        <x:v>120.7629</x:v>
      </x:c>
      <x:c r="AD391" s="155" t="n">
        <x:v>45904</x:v>
      </x:c>
      <x:c r="AE391" s="154" t="n">
        <x:f>IFERROR(AC391/AC390-1,"")</x:f>
        <x:v>0.002138496927933442</x:v>
      </x:c>
      <x:c r="AF391" s="153" t="n">
        <x:v>15.3</x:v>
      </x:c>
      <x:c r="AG391" s="155" t="n">
        <x:v>45904</x:v>
      </x:c>
      <x:c r="AH391" s="153" t="n">
        <x:f>IFERROR(AF391-AF390,"")</x:f>
        <x:v>-1.0500000000000007</x:v>
      </x:c>
      <x:c r="AI391" s="153" t="n">
        <x:v>4.33</x:v>
      </x:c>
      <x:c r="AJ391" s="155" t="n">
        <x:v>45898</x:v>
      </x:c>
      <x:c r="AK391" s="159" t="n">
        <x:v>141917</x:v>
      </x:c>
      <x:c r="AL391" s="154" t="n">
        <x:v>0.31980575085631874</x:v>
      </x:c>
      <x:c r="AM391" s="159" t="n">
        <x:v>-42328</x:v>
      </x:c>
      <x:c r="AN391" s="155" t="n">
        <x:v>45898</x:v>
      </x:c>
      <x:c r="AO391" s="159" t="n">
        <x:v>32971</x:v>
      </x:c>
      <x:c r="AP391" s="154" t="n">
        <x:v>0.20784845237344765</x:v>
      </x:c>
      <x:c r="AQ391" s="159" t="n">
        <x:v>-24498</x:v>
      </x:c>
      <x:c r="AR391" s="147" t="str">
        <x:v>美国市场指标与CFTC数据均使用严格早于上金所交易日的最后已发布值</x:v>
      </x:c>
    </x:row>
    <x:row r="392">
      <x:c r="A392" s="155" t="n">
        <x:v>45908</x:v>
      </x:c>
      <x:c r="B392" s="153" t="n">
        <x:v>810.3</x:v>
      </x:c>
      <x:c r="C392" s="153" t="n">
        <x:v>822</x:v>
      </x:c>
      <x:c r="D392" s="153" t="n">
        <x:v>810.3</x:v>
      </x:c>
      <x:c r="E392" s="153" t="n">
        <x:v>821.2</x:v>
      </x:c>
      <x:c r="F392" s="154" t="n">
        <x:f>IFERROR(E392/E391-1,"")</x:f>
        <x:v>0.011953173136167727</x:v>
      </x:c>
      <x:c r="G392" s="154" t="n">
        <x:f>IFERROR((C392-D392)/E391,"")</x:f>
        <x:v>0.014417744916820758</x:v>
      </x:c>
      <x:c r="H392" s="153" t="n">
        <x:v>817.98</x:v>
      </x:c>
      <x:c r="I392" s="158" t="n">
        <x:v>10081.2</x:v>
      </x:c>
      <x:c r="J392" s="158" t="n">
        <x:v>8246285707</x:v>
      </x:c>
      <x:c r="K392" s="158"/>
      <x:c r="L392" s="153" t="n">
        <x:v>9770</x:v>
      </x:c>
      <x:c r="M392" s="153" t="n">
        <x:v>9898</x:v>
      </x:c>
      <x:c r="N392" s="153" t="n">
        <x:v>9696</x:v>
      </x:c>
      <x:c r="O392" s="153" t="n">
        <x:v>9798</x:v>
      </x:c>
      <x:c r="P392" s="154" t="n">
        <x:f>IFERROR(O392/O391-1,"")</x:f>
        <x:v>0.0010216591744993675</x:v>
      </x:c>
      <x:c r="Q392" s="154" t="n">
        <x:f>IFERROR((M392-N392)/O391,"")</x:f>
        <x:v>0.02063751532488762</x:v>
      </x:c>
      <x:c r="R392" s="153" t="n">
        <x:v>9765</x:v>
      </x:c>
      <x:c r="S392" s="158" t="n">
        <x:v>604986</x:v>
      </x:c>
      <x:c r="T392" s="158" t="n">
        <x:v>5908177776</x:v>
      </x:c>
      <x:c r="U392" s="158" t="n">
        <x:v>3562474</x:v>
      </x:c>
      <x:c r="V392" s="153" t="n">
        <x:f>IFERROR(E392*1000/O392,"")</x:f>
        <x:v>83.81302306593182</x:v>
      </x:c>
      <x:c r="W392" s="153" t="n">
        <x:v>4.1</x:v>
      </x:c>
      <x:c r="X392" s="155" t="n">
        <x:v>45905</x:v>
      </x:c>
      <x:c r="Y392" s="153" t="n">
        <x:v>1.73</x:v>
      </x:c>
      <x:c r="Z392" s="155" t="n">
        <x:v>45905</x:v>
      </x:c>
      <x:c r="AA392" s="153" t="n">
        <x:f>IFERROR(Y392-Y391,"")</x:f>
        <x:v>-0.06000000000000005</x:v>
      </x:c>
      <x:c r="AB392" s="153" t="n">
        <x:v>2.37</x:v>
      </x:c>
      <x:c r="AC392" s="153" t="n">
        <x:v>120.1282</x:v>
      </x:c>
      <x:c r="AD392" s="155" t="n">
        <x:v>45905</x:v>
      </x:c>
      <x:c r="AE392" s="154" t="n">
        <x:f>IFERROR(AC392/AC391-1,"")</x:f>
        <x:v>-0.005255753215598458</x:v>
      </x:c>
      <x:c r="AF392" s="153" t="n">
        <x:v>15.18</x:v>
      </x:c>
      <x:c r="AG392" s="155" t="n">
        <x:v>45905</x:v>
      </x:c>
      <x:c r="AH392" s="153" t="n">
        <x:f>IFERROR(AF392-AF391,"")</x:f>
        <x:v>-0.120000000000001</x:v>
      </x:c>
      <x:c r="AI392" s="153" t="n">
        <x:v>4.33</x:v>
      </x:c>
      <x:c r="AJ392" s="155" t="n">
        <x:v>45905</x:v>
      </x:c>
      <x:c r="AK392" s="159" t="n">
        <x:v>161502</x:v>
      </x:c>
      <x:c r="AL392" s="154" t="n">
        <x:v>0.3276514075649006</x:v>
      </x:c>
      <x:c r="AM392" s="159" t="n">
        <x:v>-55302</x:v>
      </x:c>
      <x:c r="AN392" s="155" t="n">
        <x:v>45905</x:v>
      </x:c>
      <x:c r="AO392" s="159" t="n">
        <x:v>38770</x:v>
      </x:c>
      <x:c r="AP392" s="154" t="n">
        <x:v>0.24480955748636088</x:v>
      </x:c>
      <x:c r="AQ392" s="159" t="n">
        <x:v>-29721</x:v>
      </x:c>
      <x:c r="AR392" s="147" t="str">
        <x:v>美国市场指标与CFTC数据均使用严格早于上金所交易日的最后已发布值</x:v>
      </x:c>
    </x:row>
    <x:row r="393">
      <x:c r="A393" s="155" t="n">
        <x:v>45909</x:v>
      </x:c>
      <x:c r="B393" s="153" t="n">
        <x:v>823</x:v>
      </x:c>
      <x:c r="C393" s="153" t="n">
        <x:v>833.99</x:v>
      </x:c>
      <x:c r="D393" s="153" t="n">
        <x:v>823</x:v>
      </x:c>
      <x:c r="E393" s="153" t="n">
        <x:v>832</x:v>
      </x:c>
      <x:c r="F393" s="154" t="n">
        <x:f>IFERROR(E393/E392-1,"")</x:f>
        <x:v>0.013151485630784165</x:v>
      </x:c>
      <x:c r="G393" s="154" t="n">
        <x:f>IFERROR((C393-D393)/E392,"")</x:f>
        <x:v>0.01338285435947395</x:v>
      </x:c>
      <x:c r="H393" s="153" t="n">
        <x:v>831.02</x:v>
      </x:c>
      <x:c r="I393" s="158" t="n">
        <x:v>13667.52</x:v>
      </x:c>
      <x:c r="J393" s="158" t="n">
        <x:v>11358065606</x:v>
      </x:c>
      <x:c r="K393" s="158"/>
      <x:c r="L393" s="153" t="n">
        <x:v>9828</x:v>
      </x:c>
      <x:c r="M393" s="153" t="n">
        <x:v>9906</x:v>
      </x:c>
      <x:c r="N393" s="153" t="n">
        <x:v>9805</x:v>
      </x:c>
      <x:c r="O393" s="153" t="n">
        <x:v>9847</x:v>
      </x:c>
      <x:c r="P393" s="154" t="n">
        <x:f>IFERROR(O393/O392-1,"")</x:f>
        <x:v>0.005001020616452356</x:v>
      </x:c>
      <x:c r="Q393" s="154" t="n">
        <x:f>IFERROR((M393-N393)/O392,"")</x:f>
        <x:v>0.010308226168605838</x:v>
      </x:c>
      <x:c r="R393" s="153" t="n">
        <x:v>9842</x:v>
      </x:c>
      <x:c r="S393" s="158" t="n">
        <x:v>384540</x:v>
      </x:c>
      <x:c r="T393" s="158" t="n">
        <x:v>3784823552</x:v>
      </x:c>
      <x:c r="U393" s="158" t="n">
        <x:v>3539200</x:v>
      </x:c>
      <x:c r="V393" s="153" t="n">
        <x:f>IFERROR(E393*1000/O393,"")</x:f>
        <x:v>84.49273890525033</x:v>
      </x:c>
      <x:c r="W393" s="153" t="n">
        <x:v>4.05</x:v>
      </x:c>
      <x:c r="X393" s="155" t="n">
        <x:v>45908</x:v>
      </x:c>
      <x:c r="Y393" s="153" t="n">
        <x:v>1.7</x:v>
      </x:c>
      <x:c r="Z393" s="155" t="n">
        <x:v>45908</x:v>
      </x:c>
      <x:c r="AA393" s="153" t="n">
        <x:f>IFERROR(Y393-Y392,"")</x:f>
        <x:v>-0.030000000000000027</x:v>
      </x:c>
      <x:c r="AB393" s="153" t="n">
        <x:v>2.35</x:v>
      </x:c>
      <x:c r="AC393" s="153" t="n">
        <x:v>120.0971</x:v>
      </x:c>
      <x:c r="AD393" s="155" t="n">
        <x:v>45908</x:v>
      </x:c>
      <x:c r="AE393" s="154" t="n">
        <x:f>IFERROR(AC393/AC392-1,"")</x:f>
        <x:v>-0.000258890085758412</x:v>
      </x:c>
      <x:c r="AF393" s="153" t="n">
        <x:v>15.11</x:v>
      </x:c>
      <x:c r="AG393" s="155" t="n">
        <x:v>45908</x:v>
      </x:c>
      <x:c r="AH393" s="153" t="n">
        <x:f>IFERROR(AF393-AF392,"")</x:f>
        <x:v>-0.07000000000000028</x:v>
      </x:c>
      <x:c r="AI393" s="153" t="n">
        <x:v>4.33</x:v>
      </x:c>
      <x:c r="AJ393" s="155" t="n">
        <x:v>45905</x:v>
      </x:c>
      <x:c r="AK393" s="159" t="n">
        <x:v>161502</x:v>
      </x:c>
      <x:c r="AL393" s="154" t="n">
        <x:v>0.3276514075649006</x:v>
      </x:c>
      <x:c r="AM393" s="159" t="n">
        <x:v>-55302</x:v>
      </x:c>
      <x:c r="AN393" s="155" t="n">
        <x:v>45905</x:v>
      </x:c>
      <x:c r="AO393" s="159" t="n">
        <x:v>38770</x:v>
      </x:c>
      <x:c r="AP393" s="154" t="n">
        <x:v>0.24480955748636088</x:v>
      </x:c>
      <x:c r="AQ393" s="159" t="n">
        <x:v>-29721</x:v>
      </x:c>
      <x:c r="AR393" s="147" t="str">
        <x:v>美国市场指标与CFTC数据均使用严格早于上金所交易日的最后已发布值</x:v>
      </x:c>
    </x:row>
    <x:row r="394">
      <x:c r="A394" s="155" t="n">
        <x:v>45910</x:v>
      </x:c>
      <x:c r="B394" s="153" t="n">
        <x:v>832</x:v>
      </x:c>
      <x:c r="C394" s="153" t="n">
        <x:v>836</x:v>
      </x:c>
      <x:c r="D394" s="153" t="n">
        <x:v>824.5</x:v>
      </x:c>
      <x:c r="E394" s="153" t="n">
        <x:v>829.75</x:v>
      </x:c>
      <x:c r="F394" s="154" t="n">
        <x:f>IFERROR(E394/E393-1,"")</x:f>
        <x:v>-0.002704326923076872</x:v>
      </x:c>
      <x:c r="G394" s="154" t="n">
        <x:f>IFERROR((C394-D394)/E393,"")</x:f>
        <x:v>0.013822115384615384</x:v>
      </x:c>
      <x:c r="H394" s="153" t="n">
        <x:v>828.78</x:v>
      </x:c>
      <x:c r="I394" s="158" t="n">
        <x:v>9108.66</x:v>
      </x:c>
      <x:c r="J394" s="158" t="n">
        <x:v>7549163637.2</x:v>
      </x:c>
      <x:c r="K394" s="158"/>
      <x:c r="L394" s="153" t="n">
        <x:v>9817</x:v>
      </x:c>
      <x:c r="M394" s="153" t="n">
        <x:v>9844</x:v>
      </x:c>
      <x:c r="N394" s="153" t="n">
        <x:v>9702</x:v>
      </x:c>
      <x:c r="O394" s="153" t="n">
        <x:v>9784</x:v>
      </x:c>
      <x:c r="P394" s="154" t="n">
        <x:f>IFERROR(O394/O393-1,"")</x:f>
        <x:v>-0.006397887681527381</x:v>
      </x:c>
      <x:c r="Q394" s="154" t="n">
        <x:f>IFERROR((M394-N394)/O393,"")</x:f>
        <x:v>0.014420635726617243</x:v>
      </x:c>
      <x:c r="R394" s="153" t="n">
        <x:v>9764</x:v>
      </x:c>
      <x:c r="S394" s="158" t="n">
        <x:v>566582</x:v>
      </x:c>
      <x:c r="T394" s="158" t="n">
        <x:v>5532436584</x:v>
      </x:c>
      <x:c r="U394" s="158" t="n">
        <x:v>3455636</x:v>
      </x:c>
      <x:c r="V394" s="153" t="n">
        <x:f>IFERROR(E394*1000/O394,"")</x:f>
        <x:v>84.806827473426</x:v>
      </x:c>
      <x:c r="W394" s="153" t="n">
        <x:v>4.08</x:v>
      </x:c>
      <x:c r="X394" s="155" t="n">
        <x:v>45909</x:v>
      </x:c>
      <x:c r="Y394" s="153" t="n">
        <x:v>1.72</x:v>
      </x:c>
      <x:c r="Z394" s="155" t="n">
        <x:v>45909</x:v>
      </x:c>
      <x:c r="AA394" s="153" t="n">
        <x:f>IFERROR(Y394-Y393,"")</x:f>
        <x:v>0.020000000000000018</x:v>
      </x:c>
      <x:c r="AB394" s="153" t="n">
        <x:v>2.36</x:v>
      </x:c>
      <x:c r="AC394" s="153" t="n">
        <x:v>120.1569</x:v>
      </x:c>
      <x:c r="AD394" s="155" t="n">
        <x:v>45909</x:v>
      </x:c>
      <x:c r="AE394" s="154" t="n">
        <x:f>IFERROR(AC394/AC393-1,"")</x:f>
        <x:v>0.0004979304246313099</x:v>
      </x:c>
      <x:c r="AF394" s="153" t="n">
        <x:v>15.04</x:v>
      </x:c>
      <x:c r="AG394" s="155" t="n">
        <x:v>45909</x:v>
      </x:c>
      <x:c r="AH394" s="153" t="n">
        <x:f>IFERROR(AF394-AF393,"")</x:f>
        <x:v>-0.07000000000000028</x:v>
      </x:c>
      <x:c r="AI394" s="153" t="n">
        <x:v>4.33</x:v>
      </x:c>
      <x:c r="AJ394" s="155" t="n">
        <x:v>45905</x:v>
      </x:c>
      <x:c r="AK394" s="159" t="n">
        <x:v>161502</x:v>
      </x:c>
      <x:c r="AL394" s="154" t="n">
        <x:v>0.3276514075649006</x:v>
      </x:c>
      <x:c r="AM394" s="159" t="n">
        <x:v>-55302</x:v>
      </x:c>
      <x:c r="AN394" s="155" t="n">
        <x:v>45905</x:v>
      </x:c>
      <x:c r="AO394" s="159" t="n">
        <x:v>38770</x:v>
      </x:c>
      <x:c r="AP394" s="154" t="n">
        <x:v>0.24480955748636088</x:v>
      </x:c>
      <x:c r="AQ394" s="159" t="n">
        <x:v>-29721</x:v>
      </x:c>
      <x:c r="AR394" s="147" t="str">
        <x:v>美国市场指标与CFTC数据均使用严格早于上金所交易日的最后已发布值</x:v>
      </x:c>
    </x:row>
    <x:row r="395">
      <x:c r="A395" s="155" t="n">
        <x:v>45911</x:v>
      </x:c>
      <x:c r="B395" s="153" t="n">
        <x:v>830</x:v>
      </x:c>
      <x:c r="C395" s="153" t="n">
        <x:v>832.8</x:v>
      </x:c>
      <x:c r="D395" s="153" t="n">
        <x:v>825.8</x:v>
      </x:c>
      <x:c r="E395" s="153" t="n">
        <x:v>826.52</x:v>
      </x:c>
      <x:c r="F395" s="154" t="n">
        <x:f>IFERROR(E395/E394-1,"")</x:f>
        <x:v>-0.0038927387767400123</x:v>
      </x:c>
      <x:c r="G395" s="154" t="n">
        <x:f>IFERROR((C395-D395)/E394,"")</x:f>
        <x:v>0.008436275986742995</x:v>
      </x:c>
      <x:c r="H395" s="153" t="n">
        <x:v>828.75</x:v>
      </x:c>
      <x:c r="I395" s="158" t="n">
        <x:v>7586.08</x:v>
      </x:c>
      <x:c r="J395" s="158" t="n">
        <x:v>6287029486.8</x:v>
      </x:c>
      <x:c r="K395" s="158"/>
      <x:c r="L395" s="153" t="n">
        <x:v>9771</x:v>
      </x:c>
      <x:c r="M395" s="153" t="n">
        <x:v>9824</x:v>
      </x:c>
      <x:c r="N395" s="153" t="n">
        <x:v>9730</x:v>
      </x:c>
      <x:c r="O395" s="153" t="n">
        <x:v>9772</x:v>
      </x:c>
      <x:c r="P395" s="154" t="n">
        <x:f>IFERROR(O395/O394-1,"")</x:f>
        <x:v>-0.0012264922322158256</x:v>
      </x:c>
      <x:c r="Q395" s="154" t="n">
        <x:f>IFERROR((M395-N395)/O394,"")</x:f>
        <x:v>0.009607522485690924</x:v>
      </x:c>
      <x:c r="R395" s="153" t="n">
        <x:v>9771</x:v>
      </x:c>
      <x:c r="S395" s="158" t="n">
        <x:v>304080</x:v>
      </x:c>
      <x:c r="T395" s="158" t="n">
        <x:v>2971358040</x:v>
      </x:c>
      <x:c r="U395" s="158" t="n">
        <x:v>3406854</x:v>
      </x:c>
      <x:c r="V395" s="153" t="n">
        <x:f>IFERROR(E395*1000/O395,"")</x:f>
        <x:v>84.58043389275481</x:v>
      </x:c>
      <x:c r="W395" s="153" t="n">
        <x:v>4.04</x:v>
      </x:c>
      <x:c r="X395" s="155" t="n">
        <x:v>45910</x:v>
      </x:c>
      <x:c r="Y395" s="153" t="n">
        <x:v>1.69</x:v>
      </x:c>
      <x:c r="Z395" s="155" t="n">
        <x:v>45910</x:v>
      </x:c>
      <x:c r="AA395" s="153" t="n">
        <x:f>IFERROR(Y395-Y394,"")</x:f>
        <x:v>-0.030000000000000027</x:v>
      </x:c>
      <x:c r="AB395" s="153" t="n">
        <x:v>2.35</x:v>
      </x:c>
      <x:c r="AC395" s="153" t="n">
        <x:v>120.1223</x:v>
      </x:c>
      <x:c r="AD395" s="155" t="n">
        <x:v>45910</x:v>
      </x:c>
      <x:c r="AE395" s="154" t="n">
        <x:f>IFERROR(AC395/AC394-1,"")</x:f>
        <x:v>-0.00028795682977833525</x:v>
      </x:c>
      <x:c r="AF395" s="153" t="n">
        <x:v>15.35</x:v>
      </x:c>
      <x:c r="AG395" s="155" t="n">
        <x:v>45910</x:v>
      </x:c>
      <x:c r="AH395" s="153" t="n">
        <x:f>IFERROR(AF395-AF394,"")</x:f>
        <x:v>0.3100000000000005</x:v>
      </x:c>
      <x:c r="AI395" s="153" t="n">
        <x:v>4.33</x:v>
      </x:c>
      <x:c r="AJ395" s="155" t="n">
        <x:v>45905</x:v>
      </x:c>
      <x:c r="AK395" s="159" t="n">
        <x:v>161502</x:v>
      </x:c>
      <x:c r="AL395" s="154" t="n">
        <x:v>0.3276514075649006</x:v>
      </x:c>
      <x:c r="AM395" s="159" t="n">
        <x:v>-55302</x:v>
      </x:c>
      <x:c r="AN395" s="155" t="n">
        <x:v>45905</x:v>
      </x:c>
      <x:c r="AO395" s="159" t="n">
        <x:v>38770</x:v>
      </x:c>
      <x:c r="AP395" s="154" t="n">
        <x:v>0.24480955748636088</x:v>
      </x:c>
      <x:c r="AQ395" s="159" t="n">
        <x:v>-29721</x:v>
      </x:c>
      <x:c r="AR395" s="147" t="str">
        <x:v>美国市场指标与CFTC数据均使用严格早于上金所交易日的最后已发布值</x:v>
      </x:c>
    </x:row>
    <x:row r="396">
      <x:c r="A396" s="155" t="n">
        <x:v>45912</x:v>
      </x:c>
      <x:c r="B396" s="153" t="n">
        <x:v>825</x:v>
      </x:c>
      <x:c r="C396" s="153" t="n">
        <x:v>831.7</x:v>
      </x:c>
      <x:c r="D396" s="153" t="n">
        <x:v>824.1</x:v>
      </x:c>
      <x:c r="E396" s="153" t="n">
        <x:v>830.41</x:v>
      </x:c>
      <x:c r="F396" s="154" t="n">
        <x:f>IFERROR(E396/E395-1,"")</x:f>
        <x:v>0.004706480181967843</x:v>
      </x:c>
      <x:c r="G396" s="154" t="n">
        <x:f>IFERROR((C396-D396)/E395,"")</x:f>
        <x:v>0.009195179789962763</x:v>
      </x:c>
      <x:c r="H396" s="153" t="n">
        <x:v>830.1</x:v>
      </x:c>
      <x:c r="I396" s="158" t="n">
        <x:v>9450.58</x:v>
      </x:c>
      <x:c r="J396" s="158" t="n">
        <x:v>7844987695</x:v>
      </x:c>
      <x:c r="K396" s="158"/>
      <x:c r="L396" s="153" t="n">
        <x:v>9770</x:v>
      </x:c>
      <x:c r="M396" s="153" t="n">
        <x:v>10048</x:v>
      </x:c>
      <x:c r="N396" s="153" t="n">
        <x:v>9760</x:v>
      </x:c>
      <x:c r="O396" s="153" t="n">
        <x:v>10034</x:v>
      </x:c>
      <x:c r="P396" s="154" t="n">
        <x:f>IFERROR(O396/O395-1,"")</x:f>
        <x:v>0.02681129758493661</x:v>
      </x:c>
      <x:c r="Q396" s="154" t="n">
        <x:f>IFERROR((M396-N396)/O395,"")</x:f>
        <x:v>0.029471960704052395</x:v>
      </x:c>
      <x:c r="R396" s="153" t="n">
        <x:v>9958</x:v>
      </x:c>
      <x:c r="S396" s="158" t="n">
        <x:v>640580</x:v>
      </x:c>
      <x:c r="T396" s="158" t="n">
        <x:v>6379485398</x:v>
      </x:c>
      <x:c r="U396" s="158" t="n">
        <x:v>3483754</x:v>
      </x:c>
      <x:c r="V396" s="153" t="n">
        <x:f>IFERROR(E396*1000/O396,"")</x:f>
        <x:v>82.75961730117601</x:v>
      </x:c>
      <x:c r="W396" s="153" t="n">
        <x:v>4.01</x:v>
      </x:c>
      <x:c r="X396" s="155" t="n">
        <x:v>45911</x:v>
      </x:c>
      <x:c r="Y396" s="153" t="n">
        <x:v>1.67</x:v>
      </x:c>
      <x:c r="Z396" s="155" t="n">
        <x:v>45911</x:v>
      </x:c>
      <x:c r="AA396" s="153" t="n">
        <x:f>IFERROR(Y396-Y395,"")</x:f>
        <x:v>-0.020000000000000018</x:v>
      </x:c>
      <x:c r="AB396" s="153" t="n">
        <x:v>2.34</x:v>
      </x:c>
      <x:c r="AC396" s="153" t="n">
        <x:v>119.9534</x:v>
      </x:c>
      <x:c r="AD396" s="155" t="n">
        <x:v>45911</x:v>
      </x:c>
      <x:c r="AE396" s="154" t="n">
        <x:f>IFERROR(AC396/AC395-1,"")</x:f>
        <x:v>-0.001406066983399401</x:v>
      </x:c>
      <x:c r="AF396" s="153" t="n">
        <x:v>14.71</x:v>
      </x:c>
      <x:c r="AG396" s="155" t="n">
        <x:v>45911</x:v>
      </x:c>
      <x:c r="AH396" s="153" t="n">
        <x:f>IFERROR(AF396-AF395,"")</x:f>
        <x:v>-0.6399999999999988</x:v>
      </x:c>
      <x:c r="AI396" s="153" t="n">
        <x:v>4.33</x:v>
      </x:c>
      <x:c r="AJ396" s="155" t="n">
        <x:v>45905</x:v>
      </x:c>
      <x:c r="AK396" s="159" t="n">
        <x:v>161502</x:v>
      </x:c>
      <x:c r="AL396" s="154" t="n">
        <x:v>0.3276514075649006</x:v>
      </x:c>
      <x:c r="AM396" s="159" t="n">
        <x:v>-55302</x:v>
      </x:c>
      <x:c r="AN396" s="155" t="n">
        <x:v>45905</x:v>
      </x:c>
      <x:c r="AO396" s="159" t="n">
        <x:v>38770</x:v>
      </x:c>
      <x:c r="AP396" s="154" t="n">
        <x:v>0.24480955748636088</x:v>
      </x:c>
      <x:c r="AQ396" s="159" t="n">
        <x:v>-29721</x:v>
      </x:c>
      <x:c r="AR396" s="147" t="str">
        <x:v>美国市场指标与CFTC数据均使用严格早于上金所交易日的最后已发布值</x:v>
      </x:c>
    </x:row>
    <x:row r="397">
      <x:c r="A397" s="155" t="n">
        <x:v>45915</x:v>
      </x:c>
      <x:c r="B397" s="153" t="n">
        <x:v>830.2</x:v>
      </x:c>
      <x:c r="C397" s="153" t="n">
        <x:v>831</x:v>
      </x:c>
      <x:c r="D397" s="153" t="n">
        <x:v>826</x:v>
      </x:c>
      <x:c r="E397" s="153" t="n">
        <x:v>828.21</x:v>
      </x:c>
      <x:c r="F397" s="154" t="n">
        <x:f>IFERROR(E397/E396-1,"")</x:f>
        <x:v>-0.0026492937223779878</x:v>
      </x:c>
      <x:c r="G397" s="154" t="n">
        <x:f>IFERROR((C397-D397)/E396,"")</x:f>
        <x:v>0.0060211220963138695</x:v>
      </x:c>
      <x:c r="H397" s="153" t="n">
        <x:v>828.61</x:v>
      </x:c>
      <x:c r="I397" s="158" t="n">
        <x:v>9527.2</x:v>
      </x:c>
      <x:c r="J397" s="158" t="n">
        <x:v>7894413133.2</x:v>
      </x:c>
      <x:c r="K397" s="158"/>
      <x:c r="L397" s="153" t="n">
        <x:v>10080</x:v>
      </x:c>
      <x:c r="M397" s="153" t="n">
        <x:v>10080</x:v>
      </x:c>
      <x:c r="N397" s="153" t="n">
        <x:v>9960</x:v>
      </x:c>
      <x:c r="O397" s="153" t="n">
        <x:v>9994</x:v>
      </x:c>
      <x:c r="P397" s="154" t="n">
        <x:f>IFERROR(O397/O396-1,"")</x:f>
        <x:v>-0.003986446083316775</x:v>
      </x:c>
      <x:c r="Q397" s="154" t="n">
        <x:f>IFERROR((M397-N397)/O396,"")</x:f>
        <x:v>0.01195933824995017</x:v>
      </x:c>
      <x:c r="R397" s="153" t="n">
        <x:v>9994</x:v>
      </x:c>
      <x:c r="S397" s="158" t="n">
        <x:v>380008</x:v>
      </x:c>
      <x:c r="T397" s="158" t="n">
        <x:v>3798072544</x:v>
      </x:c>
      <x:c r="U397" s="158" t="n">
        <x:v>3477766</x:v>
      </x:c>
      <x:c r="V397" s="153" t="n">
        <x:f>IFERROR(E397*1000/O397,"")</x:f>
        <x:v>82.87072243346007</x:v>
      </x:c>
      <x:c r="W397" s="153" t="n">
        <x:v>4.06</x:v>
      </x:c>
      <x:c r="X397" s="155" t="n">
        <x:v>45912</x:v>
      </x:c>
      <x:c r="Y397" s="153" t="n">
        <x:v>1.7</x:v>
      </x:c>
      <x:c r="Z397" s="155" t="n">
        <x:v>45912</x:v>
      </x:c>
      <x:c r="AA397" s="153" t="n">
        <x:f>IFERROR(Y397-Y396,"")</x:f>
        <x:v>0.030000000000000027</x:v>
      </x:c>
      <x:c r="AB397" s="153" t="n">
        <x:v>2.36</x:v>
      </x:c>
      <x:c r="AC397" s="153" t="n">
        <x:v>120.0611</x:v>
      </x:c>
      <x:c r="AD397" s="155" t="n">
        <x:v>45912</x:v>
      </x:c>
      <x:c r="AE397" s="154" t="n">
        <x:f>IFERROR(AC397/AC396-1,"")</x:f>
        <x:v>0.000897848664564771</x:v>
      </x:c>
      <x:c r="AF397" s="153" t="n">
        <x:v>14.76</x:v>
      </x:c>
      <x:c r="AG397" s="155" t="n">
        <x:v>45912</x:v>
      </x:c>
      <x:c r="AH397" s="153" t="n">
        <x:f>IFERROR(AF397-AF396,"")</x:f>
        <x:v>0.049999999999998934</x:v>
      </x:c>
      <x:c r="AI397" s="153" t="n">
        <x:v>4.33</x:v>
      </x:c>
      <x:c r="AJ397" s="155" t="n">
        <x:v>45912</x:v>
      </x:c>
      <x:c r="AK397" s="159" t="n">
        <x:v>163519</x:v>
      </x:c>
      <x:c r="AL397" s="154" t="n">
        <x:v>0.3208614177090998</x:v>
      </x:c>
      <x:c r="AM397" s="159" t="n">
        <x:v>-62554</x:v>
      </x:c>
      <x:c r="AN397" s="155" t="n">
        <x:v>45912</x:v>
      </x:c>
      <x:c r="AO397" s="159" t="n">
        <x:v>35855</x:v>
      </x:c>
      <x:c r="AP397" s="154" t="n">
        <x:v>0.2288086379967199</x:v>
      </x:c>
      <x:c r="AQ397" s="159" t="n">
        <x:v>-27944</x:v>
      </x:c>
      <x:c r="AR397" s="147" t="str">
        <x:v>美国市场指标与CFTC数据均使用严格早于上金所交易日的最后已发布值</x:v>
      </x:c>
    </x:row>
    <x:row r="398">
      <x:c r="A398" s="155" t="n">
        <x:v>45916</x:v>
      </x:c>
      <x:c r="B398" s="153" t="n">
        <x:v>829</x:v>
      </x:c>
      <x:c r="C398" s="153" t="n">
        <x:v>839.99</x:v>
      </x:c>
      <x:c r="D398" s="153" t="n">
        <x:v>829</x:v>
      </x:c>
      <x:c r="E398" s="153" t="n">
        <x:v>838.73</x:v>
      </x:c>
      <x:c r="F398" s="154" t="n">
        <x:f>IFERROR(E398/E397-1,"")</x:f>
        <x:v>0.012702092464471626</x:v>
      </x:c>
      <x:c r="G398" s="154" t="n">
        <x:f>IFERROR((C398-D398)/E397,"")</x:f>
        <x:v>0.013269581386363373</x:v>
      </x:c>
      <x:c r="H398" s="153" t="n">
        <x:v>836.71</x:v>
      </x:c>
      <x:c r="I398" s="158" t="n">
        <x:v>9667.46</x:v>
      </x:c>
      <x:c r="J398" s="158" t="n">
        <x:v>8088864867.6</x:v>
      </x:c>
      <x:c r="K398" s="158"/>
      <x:c r="L398" s="153" t="n">
        <x:v>10033</x:v>
      </x:c>
      <x:c r="M398" s="153" t="n">
        <x:v>10125</x:v>
      </x:c>
      <x:c r="N398" s="153" t="n">
        <x:v>9982</x:v>
      </x:c>
      <x:c r="O398" s="153" t="n">
        <x:v>10099</x:v>
      </x:c>
      <x:c r="P398" s="154" t="n">
        <x:f>IFERROR(O398/O397-1,"")</x:f>
        <x:v>0.010506303782269466</x:v>
      </x:c>
      <x:c r="Q398" s="154" t="n">
        <x:f>IFERROR((M398-N398)/O397,"")</x:f>
        <x:v>0.014308585151090654</x:v>
      </x:c>
      <x:c r="R398" s="153" t="n">
        <x:v>10064</x:v>
      </x:c>
      <x:c r="S398" s="158" t="n">
        <x:v>508792</x:v>
      </x:c>
      <x:c r="T398" s="158" t="n">
        <x:v>5120551694</x:v>
      </x:c>
      <x:c r="U398" s="158" t="n">
        <x:v>3450054</x:v>
      </x:c>
      <x:c r="V398" s="153" t="n">
        <x:f>IFERROR(E398*1000/O398,"")</x:f>
        <x:v>83.05079710862462</x:v>
      </x:c>
      <x:c r="W398" s="153" t="n">
        <x:v>4.05</x:v>
      </x:c>
      <x:c r="X398" s="155" t="n">
        <x:v>45915</x:v>
      </x:c>
      <x:c r="Y398" s="153" t="n">
        <x:v>1.68</x:v>
      </x:c>
      <x:c r="Z398" s="155" t="n">
        <x:v>45915</x:v>
      </x:c>
      <x:c r="AA398" s="153" t="n">
        <x:f>IFERROR(Y398-Y397,"")</x:f>
        <x:v>-0.020000000000000018</x:v>
      </x:c>
      <x:c r="AB398" s="153" t="n">
        <x:v>2.37</x:v>
      </x:c>
      <x:c r="AC398" s="153" t="n">
        <x:v>119.5644</x:v>
      </x:c>
      <x:c r="AD398" s="155" t="n">
        <x:v>45915</x:v>
      </x:c>
      <x:c r="AE398" s="154" t="n">
        <x:f>IFERROR(AC398/AC397-1,"")</x:f>
        <x:v>-0.004137060213507904</x:v>
      </x:c>
      <x:c r="AF398" s="153" t="n">
        <x:v>15.69</x:v>
      </x:c>
      <x:c r="AG398" s="155" t="n">
        <x:v>45915</x:v>
      </x:c>
      <x:c r="AH398" s="153" t="n">
        <x:f>IFERROR(AF398-AF397,"")</x:f>
        <x:v>0.9299999999999997</x:v>
      </x:c>
      <x:c r="AI398" s="153" t="n">
        <x:v>4.33</x:v>
      </x:c>
      <x:c r="AJ398" s="155" t="n">
        <x:v>45912</x:v>
      </x:c>
      <x:c r="AK398" s="159" t="n">
        <x:v>163519</x:v>
      </x:c>
      <x:c r="AL398" s="154" t="n">
        <x:v>0.3208614177090998</x:v>
      </x:c>
      <x:c r="AM398" s="159" t="n">
        <x:v>-62554</x:v>
      </x:c>
      <x:c r="AN398" s="155" t="n">
        <x:v>45912</x:v>
      </x:c>
      <x:c r="AO398" s="159" t="n">
        <x:v>35855</x:v>
      </x:c>
      <x:c r="AP398" s="154" t="n">
        <x:v>0.2288086379967199</x:v>
      </x:c>
      <x:c r="AQ398" s="159" t="n">
        <x:v>-27944</x:v>
      </x:c>
      <x:c r="AR398" s="147" t="str">
        <x:v>美国市场指标与CFTC数据均使用严格早于上金所交易日的最后已发布值</x:v>
      </x:c>
    </x:row>
    <x:row r="399">
      <x:c r="A399" s="155" t="n">
        <x:v>45917</x:v>
      </x:c>
      <x:c r="B399" s="153" t="n">
        <x:v>838.7</x:v>
      </x:c>
      <x:c r="C399" s="153" t="n">
        <x:v>841</x:v>
      </x:c>
      <x:c r="D399" s="153" t="n">
        <x:v>831.4</x:v>
      </x:c>
      <x:c r="E399" s="153" t="n">
        <x:v>831.85</x:v>
      </x:c>
      <x:c r="F399" s="154" t="n">
        <x:f>IFERROR(E399/E398-1,"")</x:f>
        <x:v>-0.008202878161029159</x:v>
      </x:c>
      <x:c r="G399" s="154" t="n">
        <x:f>IFERROR((C399-D399)/E398,"")</x:f>
        <x:v>0.011445876503761667</x:v>
      </x:c>
      <x:c r="H399" s="153" t="n">
        <x:v>833.74</x:v>
      </x:c>
      <x:c r="I399" s="158" t="n">
        <x:v>8951.58</x:v>
      </x:c>
      <x:c r="J399" s="158" t="n">
        <x:v>7463355218.6</x:v>
      </x:c>
      <x:c r="K399" s="158"/>
      <x:c r="L399" s="153" t="n">
        <x:v>10111</x:v>
      </x:c>
      <x:c r="M399" s="153" t="n">
        <x:v>10124</x:v>
      </x:c>
      <x:c r="N399" s="153" t="n">
        <x:v>9872</x:v>
      </x:c>
      <x:c r="O399" s="153" t="n">
        <x:v>9876</x:v>
      </x:c>
      <x:c r="P399" s="154" t="n">
        <x:f>IFERROR(O399/O398-1,"")</x:f>
        <x:v>-0.02208139419744526</x:v>
      </x:c>
      <x:c r="Q399" s="154" t="n">
        <x:f>IFERROR((M399-N399)/O398,"")</x:f>
        <x:v>0.024952965640162392</x:v>
      </x:c>
      <x:c r="R399" s="153" t="n">
        <x:v>9941</x:v>
      </x:c>
      <x:c r="S399" s="158" t="n">
        <x:v>748504</x:v>
      </x:c>
      <x:c r="T399" s="158" t="n">
        <x:v>7441125406</x:v>
      </x:c>
      <x:c r="U399" s="158" t="n">
        <x:v>3346464</x:v>
      </x:c>
      <x:c r="V399" s="153" t="n">
        <x:f>IFERROR(E399*1000/O399,"")</x:f>
        <x:v>84.22944511948157</x:v>
      </x:c>
      <x:c r="W399" s="153" t="n">
        <x:v>4.04</x:v>
      </x:c>
      <x:c r="X399" s="155" t="n">
        <x:v>45916</x:v>
      </x:c>
      <x:c r="Y399" s="153" t="n">
        <x:v>1.67</x:v>
      </x:c>
      <x:c r="Z399" s="155" t="n">
        <x:v>45916</x:v>
      </x:c>
      <x:c r="AA399" s="153" t="n">
        <x:f>IFERROR(Y399-Y398,"")</x:f>
        <x:v>-0.010000000000000009</x:v>
      </x:c>
      <x:c r="AB399" s="153" t="n">
        <x:v>2.37</x:v>
      </x:c>
      <x:c r="AC399" s="153" t="n">
        <x:v>119.1348</x:v>
      </x:c>
      <x:c r="AD399" s="155" t="n">
        <x:v>45916</x:v>
      </x:c>
      <x:c r="AE399" s="154" t="n">
        <x:f>IFERROR(AC399/AC398-1,"")</x:f>
        <x:v>-0.0035930427451650315</x:v>
      </x:c>
      <x:c r="AF399" s="153" t="n">
        <x:v>16.36</x:v>
      </x:c>
      <x:c r="AG399" s="155" t="n">
        <x:v>45916</x:v>
      </x:c>
      <x:c r="AH399" s="153" t="n">
        <x:f>IFERROR(AF399-AF398,"")</x:f>
        <x:v>0.6699999999999999</x:v>
      </x:c>
      <x:c r="AI399" s="153" t="n">
        <x:v>4.33</x:v>
      </x:c>
      <x:c r="AJ399" s="155" t="n">
        <x:v>45912</x:v>
      </x:c>
      <x:c r="AK399" s="159" t="n">
        <x:v>163519</x:v>
      </x:c>
      <x:c r="AL399" s="154" t="n">
        <x:v>0.3208614177090998</x:v>
      </x:c>
      <x:c r="AM399" s="159" t="n">
        <x:v>-62554</x:v>
      </x:c>
      <x:c r="AN399" s="155" t="n">
        <x:v>45912</x:v>
      </x:c>
      <x:c r="AO399" s="159" t="n">
        <x:v>35855</x:v>
      </x:c>
      <x:c r="AP399" s="154" t="n">
        <x:v>0.2288086379967199</x:v>
      </x:c>
      <x:c r="AQ399" s="159" t="n">
        <x:v>-27944</x:v>
      </x:c>
      <x:c r="AR399" s="147" t="str">
        <x:v>美国市场指标与CFTC数据均使用严格早于上金所交易日的最后已发布值</x:v>
      </x:c>
    </x:row>
    <x:row r="400">
      <x:c r="A400" s="155" t="n">
        <x:v>45918</x:v>
      </x:c>
      <x:c r="B400" s="153" t="n">
        <x:v>832.8</x:v>
      </x:c>
      <x:c r="C400" s="153" t="n">
        <x:v>837</x:v>
      </x:c>
      <x:c r="D400" s="153" t="n">
        <x:v>822</x:v>
      </x:c>
      <x:c r="E400" s="153" t="n">
        <x:v>824.59</x:v>
      </x:c>
      <x:c r="F400" s="154" t="n">
        <x:f>IFERROR(E400/E399-1,"")</x:f>
        <x:v>-0.00872753501232193</x:v>
      </x:c>
      <x:c r="G400" s="154" t="n">
        <x:f>IFERROR((C400-D400)/E399,"")</x:f>
        <x:v>0.018032097132896555</x:v>
      </x:c>
      <x:c r="H400" s="153" t="n">
        <x:v>827.3</x:v>
      </x:c>
      <x:c r="I400" s="158" t="n">
        <x:v>10499.96</x:v>
      </x:c>
      <x:c r="J400" s="158" t="n">
        <x:v>8686695383.8</x:v>
      </x:c>
      <x:c r="K400" s="158"/>
      <x:c r="L400" s="153" t="n">
        <x:v>9847</x:v>
      </x:c>
      <x:c r="M400" s="153" t="n">
        <x:v>9956</x:v>
      </x:c>
      <x:c r="N400" s="153" t="n">
        <x:v>9753</x:v>
      </x:c>
      <x:c r="O400" s="153" t="n">
        <x:v>9811</x:v>
      </x:c>
      <x:c r="P400" s="154" t="n">
        <x:f>IFERROR(O400/O399-1,"")</x:f>
        <x:v>-0.006581611988659364</x:v>
      </x:c>
      <x:c r="Q400" s="154" t="n">
        <x:f>IFERROR((M400-N400)/O399,"")</x:f>
        <x:v>0.020554880518428513</x:v>
      </x:c>
      <x:c r="R400" s="153" t="n">
        <x:v>9830</x:v>
      </x:c>
      <x:c r="S400" s="158" t="n">
        <x:v>547182</x:v>
      </x:c>
      <x:c r="T400" s="158" t="n">
        <x:v>5378927584</x:v>
      </x:c>
      <x:c r="U400" s="158" t="n">
        <x:v>3403660</x:v>
      </x:c>
      <x:c r="V400" s="153" t="n">
        <x:f>IFERROR(E400*1000/O400,"")</x:f>
        <x:v>84.04749770665579</x:v>
      </x:c>
      <x:c r="W400" s="153" t="n">
        <x:v>4.06</x:v>
      </x:c>
      <x:c r="X400" s="155" t="n">
        <x:v>45917</x:v>
      </x:c>
      <x:c r="Y400" s="153" t="n">
        <x:v>1.68</x:v>
      </x:c>
      <x:c r="Z400" s="155" t="n">
        <x:v>45917</x:v>
      </x:c>
      <x:c r="AA400" s="153" t="n">
        <x:f>IFERROR(Y400-Y399,"")</x:f>
        <x:v>0.010000000000000009</x:v>
      </x:c>
      <x:c r="AB400" s="153" t="n">
        <x:v>2.38</x:v>
      </x:c>
      <x:c r="AC400" s="153" t="n">
        <x:v>119.1582</x:v>
      </x:c>
      <x:c r="AD400" s="155" t="n">
        <x:v>45917</x:v>
      </x:c>
      <x:c r="AE400" s="154" t="n">
        <x:f>IFERROR(AC400/AC399-1,"")</x:f>
        <x:v>0.0001964161605172432</x:v>
      </x:c>
      <x:c r="AF400" s="153" t="n">
        <x:v>15.72</x:v>
      </x:c>
      <x:c r="AG400" s="155" t="n">
        <x:v>45917</x:v>
      </x:c>
      <x:c r="AH400" s="153" t="n">
        <x:f>IFERROR(AF400-AF399,"")</x:f>
        <x:v>-0.6399999999999988</x:v>
      </x:c>
      <x:c r="AI400" s="153" t="n">
        <x:v>4.33</x:v>
      </x:c>
      <x:c r="AJ400" s="155" t="n">
        <x:v>45912</x:v>
      </x:c>
      <x:c r="AK400" s="159" t="n">
        <x:v>163519</x:v>
      </x:c>
      <x:c r="AL400" s="154" t="n">
        <x:v>0.3208614177090998</x:v>
      </x:c>
      <x:c r="AM400" s="159" t="n">
        <x:v>-62554</x:v>
      </x:c>
      <x:c r="AN400" s="155" t="n">
        <x:v>45912</x:v>
      </x:c>
      <x:c r="AO400" s="159" t="n">
        <x:v>35855</x:v>
      </x:c>
      <x:c r="AP400" s="154" t="n">
        <x:v>0.2288086379967199</x:v>
      </x:c>
      <x:c r="AQ400" s="159" t="n">
        <x:v>-27944</x:v>
      </x:c>
      <x:c r="AR400" s="147" t="str">
        <x:v>美国市场指标与CFTC数据均使用严格早于上金所交易日的最后已发布值</x:v>
      </x:c>
    </x:row>
    <x:row r="401">
      <x:c r="A401" s="155" t="n">
        <x:v>45919</x:v>
      </x:c>
      <x:c r="B401" s="153" t="n">
        <x:v>830</x:v>
      </x:c>
      <x:c r="C401" s="153" t="n">
        <x:v>830</x:v>
      </x:c>
      <x:c r="D401" s="153" t="n">
        <x:v>823</x:v>
      </x:c>
      <x:c r="E401" s="153" t="n">
        <x:v>826.71</x:v>
      </x:c>
      <x:c r="F401" s="154" t="n">
        <x:f>IFERROR(E401/E400-1,"")</x:f>
        <x:v>0.0025709746661977118</x:v>
      </x:c>
      <x:c r="G401" s="154" t="n">
        <x:f>IFERROR((C401-D401)/E400,"")</x:f>
        <x:v>0.008489067294049163</x:v>
      </x:c>
      <x:c r="H401" s="153" t="n">
        <x:v>825.59</x:v>
      </x:c>
      <x:c r="I401" s="158" t="n">
        <x:v>7306.38</x:v>
      </x:c>
      <x:c r="J401" s="158" t="n">
        <x:v>6032086829.4</x:v>
      </x:c>
      <x:c r="K401" s="158"/>
      <x:c r="L401" s="153" t="n">
        <x:v>9853</x:v>
      </x:c>
      <x:c r="M401" s="153" t="n">
        <x:v>9983</x:v>
      </x:c>
      <x:c r="N401" s="153" t="n">
        <x:v>9805</x:v>
      </x:c>
      <x:c r="O401" s="153" t="n">
        <x:v>9940</x:v>
      </x:c>
      <x:c r="P401" s="154" t="n">
        <x:f>IFERROR(O401/O400-1,"")</x:f>
        <x:v>0.013148506778106306</x:v>
      </x:c>
      <x:c r="Q401" s="154" t="n">
        <x:f>IFERROR((M401-N401)/O400,"")</x:f>
        <x:v>0.018142900825603915</x:v>
      </x:c>
      <x:c r="R401" s="153" t="n">
        <x:v>9902</x:v>
      </x:c>
      <x:c r="S401" s="158" t="n">
        <x:v>428604</x:v>
      </x:c>
      <x:c r="T401" s="158" t="n">
        <x:v>4244383846</x:v>
      </x:c>
      <x:c r="U401" s="158" t="n">
        <x:v>3435250</x:v>
      </x:c>
      <x:c r="V401" s="153" t="n">
        <x:f>IFERROR(E401*1000/O401,"")</x:f>
        <x:v>83.17002012072435</x:v>
      </x:c>
      <x:c r="W401" s="153" t="n">
        <x:v>4.11</x:v>
      </x:c>
      <x:c r="X401" s="155" t="n">
        <x:v>45918</x:v>
      </x:c>
      <x:c r="Y401" s="153" t="n">
        <x:v>1.73</x:v>
      </x:c>
      <x:c r="Z401" s="155" t="n">
        <x:v>45918</x:v>
      </x:c>
      <x:c r="AA401" s="153" t="n">
        <x:f>IFERROR(Y401-Y400,"")</x:f>
        <x:v>0.050000000000000044</x:v>
      </x:c>
      <x:c r="AB401" s="153" t="n">
        <x:v>2.38</x:v>
      </x:c>
      <x:c r="AC401" s="153" t="n">
        <x:v>119.6616</x:v>
      </x:c>
      <x:c r="AD401" s="155" t="n">
        <x:v>45918</x:v>
      </x:c>
      <x:c r="AE401" s="154" t="n">
        <x:f>IFERROR(AC401/AC400-1,"")</x:f>
        <x:v>0.004224635820279321</x:v>
      </x:c>
      <x:c r="AF401" s="153" t="n">
        <x:v>15.7</x:v>
      </x:c>
      <x:c r="AG401" s="155" t="n">
        <x:v>45918</x:v>
      </x:c>
      <x:c r="AH401" s="153" t="n">
        <x:f>IFERROR(AF401-AF400,"")</x:f>
        <x:v>-0.02000000000000135</x:v>
      </x:c>
      <x:c r="AI401" s="153" t="n">
        <x:v>4.08</x:v>
      </x:c>
      <x:c r="AJ401" s="155" t="n">
        <x:v>45912</x:v>
      </x:c>
      <x:c r="AK401" s="159" t="n">
        <x:v>163519</x:v>
      </x:c>
      <x:c r="AL401" s="154" t="n">
        <x:v>0.3208614177090998</x:v>
      </x:c>
      <x:c r="AM401" s="159" t="n">
        <x:v>-62554</x:v>
      </x:c>
      <x:c r="AN401" s="155" t="n">
        <x:v>45912</x:v>
      </x:c>
      <x:c r="AO401" s="159" t="n">
        <x:v>35855</x:v>
      </x:c>
      <x:c r="AP401" s="154" t="n">
        <x:v>0.2288086379967199</x:v>
      </x:c>
      <x:c r="AQ401" s="159" t="n">
        <x:v>-27944</x:v>
      </x:c>
      <x:c r="AR401" s="147" t="str">
        <x:v>美国市场指标与CFTC数据均使用严格早于上金所交易日的最后已发布值</x:v>
      </x:c>
    </x:row>
    <x:row r="402">
      <x:c r="A402" s="155" t="n">
        <x:v>45922</x:v>
      </x:c>
      <x:c r="B402" s="153" t="n">
        <x:v>827</x:v>
      </x:c>
      <x:c r="C402" s="153" t="n">
        <x:v>845</x:v>
      </x:c>
      <x:c r="D402" s="153" t="n">
        <x:v>827</x:v>
      </x:c>
      <x:c r="E402" s="153" t="n">
        <x:v>839.5</x:v>
      </x:c>
      <x:c r="F402" s="154" t="n">
        <x:f>IFERROR(E402/E401-1,"")</x:f>
        <x:v>0.01547096321563779</x:v>
      </x:c>
      <x:c r="G402" s="154" t="n">
        <x:f>IFERROR((C402-D402)/E401,"")</x:f>
        <x:v>0.021773052219036904</x:v>
      </x:c>
      <x:c r="H402" s="153" t="n">
        <x:v>837.35</x:v>
      </x:c>
      <x:c r="I402" s="158" t="n">
        <x:v>7301.9</x:v>
      </x:c>
      <x:c r="J402" s="158" t="n">
        <x:v>6114281183.4</x:v>
      </x:c>
      <x:c r="K402" s="158"/>
      <x:c r="L402" s="153" t="n">
        <x:v>9902</x:v>
      </x:c>
      <x:c r="M402" s="153" t="n">
        <x:v>10265</x:v>
      </x:c>
      <x:c r="N402" s="153" t="n">
        <x:v>9902</x:v>
      </x:c>
      <x:c r="O402" s="153" t="n">
        <x:v>10243</x:v>
      </x:c>
      <x:c r="P402" s="154" t="n">
        <x:f>IFERROR(O402/O401-1,"")</x:f>
        <x:v>0.030482897384305874</x:v>
      </x:c>
      <x:c r="Q402" s="154" t="n">
        <x:f>IFERROR((M402-N402)/O401,"")</x:f>
        <x:v>0.036519114688128775</x:v>
      </x:c>
      <x:c r="R402" s="153" t="n">
        <x:v>10131</x:v>
      </x:c>
      <x:c r="S402" s="158" t="n">
        <x:v>606548</x:v>
      </x:c>
      <x:c r="T402" s="158" t="n">
        <x:v>6145516588</x:v>
      </x:c>
      <x:c r="U402" s="158" t="n">
        <x:v>3494158</x:v>
      </x:c>
      <x:c r="V402" s="153" t="n">
        <x:f>IFERROR(E402*1000/O402,"")</x:f>
        <x:v>81.95841062188812</x:v>
      </x:c>
      <x:c r="W402" s="153" t="n">
        <x:v>4.14</x:v>
      </x:c>
      <x:c r="X402" s="155" t="n">
        <x:v>45919</x:v>
      </x:c>
      <x:c r="Y402" s="153" t="n">
        <x:v>1.75</x:v>
      </x:c>
      <x:c r="Z402" s="155" t="n">
        <x:v>45919</x:v>
      </x:c>
      <x:c r="AA402" s="153" t="n">
        <x:f>IFERROR(Y402-Y401,"")</x:f>
        <x:v>0.020000000000000018</x:v>
      </x:c>
      <x:c r="AB402" s="153" t="n">
        <x:v>2.39</x:v>
      </x:c>
      <x:c r="AC402" s="153" t="n">
        <x:v>119.7858</x:v>
      </x:c>
      <x:c r="AD402" s="155" t="n">
        <x:v>45919</x:v>
      </x:c>
      <x:c r="AE402" s="154" t="n">
        <x:f>IFERROR(AC402/AC401-1,"")</x:f>
        <x:v>0.001037926954010171</x:v>
      </x:c>
      <x:c r="AF402" s="153" t="n">
        <x:v>15.45</x:v>
      </x:c>
      <x:c r="AG402" s="155" t="n">
        <x:v>45919</x:v>
      </x:c>
      <x:c r="AH402" s="153" t="n">
        <x:f>IFERROR(AF402-AF401,"")</x:f>
        <x:v>-0.25</x:v>
      </x:c>
      <x:c r="AI402" s="153" t="n">
        <x:v>4.08</x:v>
      </x:c>
      <x:c r="AJ402" s="155" t="n">
        <x:v>45919</x:v>
      </x:c>
      <x:c r="AK402" s="159" t="n">
        <x:v>158971</x:v>
      </x:c>
      <x:c r="AL402" s="154" t="n">
        <x:v>0.3079514394028914</x:v>
      </x:c>
      <x:c r="AM402" s="159" t="n">
        <x:v>-65384</x:v>
      </x:c>
      <x:c r="AN402" s="155" t="n">
        <x:v>45919</x:v>
      </x:c>
      <x:c r="AO402" s="159" t="n">
        <x:v>35806</x:v>
      </x:c>
      <x:c r="AP402" s="154" t="n">
        <x:v>0.2197307215533218</x:v>
      </x:c>
      <x:c r="AQ402" s="159" t="n">
        <x:v>-27925</x:v>
      </x:c>
      <x:c r="AR402" s="147" t="str">
        <x:v>美国市场指标与CFTC数据均使用严格早于上金所交易日的最后已发布值</x:v>
      </x:c>
    </x:row>
    <x:row r="403">
      <x:c r="A403" s="155" t="n">
        <x:v>45923</x:v>
      </x:c>
      <x:c r="B403" s="153" t="n">
        <x:v>843</x:v>
      </x:c>
      <x:c r="C403" s="153" t="n">
        <x:v>850.88</x:v>
      </x:c>
      <x:c r="D403" s="153" t="n">
        <x:v>840.1</x:v>
      </x:c>
      <x:c r="E403" s="153" t="n">
        <x:v>850.65</x:v>
      </x:c>
      <x:c r="F403" s="154" t="n">
        <x:f>IFERROR(E403/E402-1,"")</x:f>
        <x:v>0.013281715306730169</x:v>
      </x:c>
      <x:c r="G403" s="154" t="n">
        <x:f>IFERROR((C403-D403)/E402,"")</x:f>
        <x:v>0.012840976771887997</x:v>
      </x:c>
      <x:c r="H403" s="153" t="n">
        <x:v>848.85</x:v>
      </x:c>
      <x:c r="I403" s="158" t="n">
        <x:v>7739.38</x:v>
      </x:c>
      <x:c r="J403" s="158" t="n">
        <x:v>6569637050.8</x:v>
      </x:c>
      <x:c r="K403" s="158"/>
      <x:c r="L403" s="153" t="n">
        <x:v>10225</x:v>
      </x:c>
      <x:c r="M403" s="153" t="n">
        <x:v>10327</x:v>
      </x:c>
      <x:c r="N403" s="153" t="n">
        <x:v>10168</x:v>
      </x:c>
      <x:c r="O403" s="153" t="n">
        <x:v>10275</x:v>
      </x:c>
      <x:c r="P403" s="154" t="n">
        <x:f>IFERROR(O403/O402-1,"")</x:f>
        <x:v>0.003124084740798505</x:v>
      </x:c>
      <x:c r="Q403" s="154" t="n">
        <x:f>IFERROR((M403-N403)/O402,"")</x:f>
        <x:v>0.015522796055843014</x:v>
      </x:c>
      <x:c r="R403" s="153" t="n">
        <x:v>10256</x:v>
      </x:c>
      <x:c r="S403" s="158" t="n">
        <x:v>548328</x:v>
      </x:c>
      <x:c r="T403" s="158" t="n">
        <x:v>5623975984</x:v>
      </x:c>
      <x:c r="U403" s="158" t="n">
        <x:v>3499506</x:v>
      </x:c>
      <x:c r="V403" s="153" t="n">
        <x:f>IFERROR(E403*1000/O403,"")</x:f>
        <x:v>82.78832116788321</x:v>
      </x:c>
      <x:c r="W403" s="153" t="n">
        <x:v>4.15</x:v>
      </x:c>
      <x:c r="X403" s="155" t="n">
        <x:v>45922</x:v>
      </x:c>
      <x:c r="Y403" s="153" t="n">
        <x:v>1.78</x:v>
      </x:c>
      <x:c r="Z403" s="155" t="n">
        <x:v>45922</x:v>
      </x:c>
      <x:c r="AA403" s="153" t="n">
        <x:f>IFERROR(Y403-Y402,"")</x:f>
        <x:v>0.030000000000000027</x:v>
      </x:c>
      <x:c r="AB403" s="153" t="n">
        <x:v>2.37</x:v>
      </x:c>
      <x:c r="AC403" s="153" t="n">
        <x:v>119.8152</x:v>
      </x:c>
      <x:c r="AD403" s="155" t="n">
        <x:v>45922</x:v>
      </x:c>
      <x:c r="AE403" s="154" t="n">
        <x:f>IFERROR(AC403/AC402-1,"")</x:f>
        <x:v>0.0002454381070211564</x:v>
      </x:c>
      <x:c r="AF403" s="153" t="n">
        <x:v>16.1</x:v>
      </x:c>
      <x:c r="AG403" s="155" t="n">
        <x:v>45922</x:v>
      </x:c>
      <x:c r="AH403" s="153" t="n">
        <x:f>IFERROR(AF403-AF402,"")</x:f>
        <x:v>0.6500000000000021</x:v>
      </x:c>
      <x:c r="AI403" s="153" t="n">
        <x:v>4.09</x:v>
      </x:c>
      <x:c r="AJ403" s="155" t="n">
        <x:v>45919</x:v>
      </x:c>
      <x:c r="AK403" s="159" t="n">
        <x:v>158971</x:v>
      </x:c>
      <x:c r="AL403" s="154" t="n">
        <x:v>0.3079514394028914</x:v>
      </x:c>
      <x:c r="AM403" s="159" t="n">
        <x:v>-65384</x:v>
      </x:c>
      <x:c r="AN403" s="155" t="n">
        <x:v>45919</x:v>
      </x:c>
      <x:c r="AO403" s="159" t="n">
        <x:v>35806</x:v>
      </x:c>
      <x:c r="AP403" s="154" t="n">
        <x:v>0.2197307215533218</x:v>
      </x:c>
      <x:c r="AQ403" s="159" t="n">
        <x:v>-27925</x:v>
      </x:c>
      <x:c r="AR403" s="147" t="str">
        <x:v>美国市场指标与CFTC数据均使用严格早于上金所交易日的最后已发布值</x:v>
      </x:c>
    </x:row>
    <x:row r="404">
      <x:c r="A404" s="155" t="n">
        <x:v>45924</x:v>
      </x:c>
      <x:c r="B404" s="153" t="n">
        <x:v>854</x:v>
      </x:c>
      <x:c r="C404" s="153" t="n">
        <x:v>856.8</x:v>
      </x:c>
      <x:c r="D404" s="153" t="n">
        <x:v>848.75</x:v>
      </x:c>
      <x:c r="E404" s="153" t="n">
        <x:v>856.63</x:v>
      </x:c>
      <x:c r="F404" s="154" t="n">
        <x:f>IFERROR(E404/E403-1,"")</x:f>
        <x:v>0.00702991829777222</x:v>
      </x:c>
      <x:c r="G404" s="154" t="n">
        <x:f>IFERROR((C404-D404)/E403,"")</x:f>
        <x:v>0.009463351554693416</x:v>
      </x:c>
      <x:c r="H404" s="153" t="n">
        <x:v>854.33</x:v>
      </x:c>
      <x:c r="I404" s="158" t="n">
        <x:v>6892.16</x:v>
      </x:c>
      <x:c r="J404" s="158" t="n">
        <x:v>5888226695.4</x:v>
      </x:c>
      <x:c r="K404" s="158"/>
      <x:c r="L404" s="153" t="n">
        <x:v>10349</x:v>
      </x:c>
      <x:c r="M404" s="153" t="n">
        <x:v>10412</x:v>
      </x:c>
      <x:c r="N404" s="153" t="n">
        <x:v>10239</x:v>
      </x:c>
      <x:c r="O404" s="153" t="n">
        <x:v>10349</x:v>
      </x:c>
      <x:c r="P404" s="154" t="n">
        <x:f>IFERROR(O404/O403-1,"")</x:f>
        <x:v>0.007201946472019438</x:v>
      </x:c>
      <x:c r="Q404" s="154" t="n">
        <x:f>IFERROR((M404-N404)/O403,"")</x:f>
        <x:v>0.01683698296836983</x:v>
      </x:c>
      <x:c r="R404" s="153" t="n">
        <x:v>10313</x:v>
      </x:c>
      <x:c r="S404" s="158" t="n">
        <x:v>631748</x:v>
      </x:c>
      <x:c r="T404" s="158" t="n">
        <x:v>6515539806</x:v>
      </x:c>
      <x:c r="U404" s="158" t="n">
        <x:v>3313040</x:v>
      </x:c>
      <x:c r="V404" s="153" t="n">
        <x:f>IFERROR(E404*1000/O404,"")</x:f>
        <x:v>82.77418108029761</x:v>
      </x:c>
      <x:c r="W404" s="153" t="n">
        <x:v>4.12</x:v>
      </x:c>
      <x:c r="X404" s="155" t="n">
        <x:v>45923</x:v>
      </x:c>
      <x:c r="Y404" s="153" t="n">
        <x:v>1.75</x:v>
      </x:c>
      <x:c r="Z404" s="155" t="n">
        <x:v>45923</x:v>
      </x:c>
      <x:c r="AA404" s="153" t="n">
        <x:f>IFERROR(Y404-Y403,"")</x:f>
        <x:v>-0.030000000000000027</x:v>
      </x:c>
      <x:c r="AB404" s="153" t="n">
        <x:v>2.37</x:v>
      </x:c>
      <x:c r="AC404" s="153" t="n">
        <x:v>119.6202</x:v>
      </x:c>
      <x:c r="AD404" s="155" t="n">
        <x:v>45923</x:v>
      </x:c>
      <x:c r="AE404" s="154" t="n">
        <x:f>IFERROR(AC404/AC403-1,"")</x:f>
        <x:v>-0.0016275063597941397</x:v>
      </x:c>
      <x:c r="AF404" s="153" t="n">
        <x:v>16.64</x:v>
      </x:c>
      <x:c r="AG404" s="155" t="n">
        <x:v>45923</x:v>
      </x:c>
      <x:c r="AH404" s="153" t="n">
        <x:f>IFERROR(AF404-AF403,"")</x:f>
        <x:v>0.5399999999999991</x:v>
      </x:c>
      <x:c r="AI404" s="153" t="n">
        <x:v>4.09</x:v>
      </x:c>
      <x:c r="AJ404" s="155" t="n">
        <x:v>45919</x:v>
      </x:c>
      <x:c r="AK404" s="159" t="n">
        <x:v>158971</x:v>
      </x:c>
      <x:c r="AL404" s="154" t="n">
        <x:v>0.3079514394028914</x:v>
      </x:c>
      <x:c r="AM404" s="159" t="n">
        <x:v>-65384</x:v>
      </x:c>
      <x:c r="AN404" s="155" t="n">
        <x:v>45919</x:v>
      </x:c>
      <x:c r="AO404" s="159" t="n">
        <x:v>35806</x:v>
      </x:c>
      <x:c r="AP404" s="154" t="n">
        <x:v>0.2197307215533218</x:v>
      </x:c>
      <x:c r="AQ404" s="159" t="n">
        <x:v>-27925</x:v>
      </x:c>
      <x:c r="AR404" s="147" t="str">
        <x:v>美国市场指标与CFTC数据均使用严格早于上金所交易日的最后已发布值</x:v>
      </x:c>
    </x:row>
    <x:row r="405">
      <x:c r="A405" s="155" t="n">
        <x:v>45925</x:v>
      </x:c>
      <x:c r="B405" s="153" t="n">
        <x:v>856.5</x:v>
      </x:c>
      <x:c r="C405" s="153" t="n">
        <x:v>857</x:v>
      </x:c>
      <x:c r="D405" s="153" t="n">
        <x:v>848</x:v>
      </x:c>
      <x:c r="E405" s="153" t="n">
        <x:v>851.74</x:v>
      </x:c>
      <x:c r="F405" s="154" t="n">
        <x:f>IFERROR(E405/E404-1,"")</x:f>
        <x:v>-0.005708415535295219</x:v>
      </x:c>
      <x:c r="G405" s="154" t="n">
        <x:f>IFERROR((C405-D405)/E404,"")</x:f>
        <x:v>0.010506286261279666</x:v>
      </x:c>
      <x:c r="H405" s="153" t="n">
        <x:v>850.1</x:v>
      </x:c>
      <x:c r="I405" s="158" t="n">
        <x:v>10303.38</x:v>
      </x:c>
      <x:c r="J405" s="158" t="n">
        <x:v>8758924676.6</x:v>
      </x:c>
      <x:c r="K405" s="158"/>
      <x:c r="L405" s="153" t="n">
        <x:v>10339</x:v>
      </x:c>
      <x:c r="M405" s="153" t="n">
        <x:v>10400</x:v>
      </x:c>
      <x:c r="N405" s="153" t="n">
        <x:v>10278</x:v>
      </x:c>
      <x:c r="O405" s="153" t="n">
        <x:v>10353</x:v>
      </x:c>
      <x:c r="P405" s="154" t="n">
        <x:f>IFERROR(O405/O404-1,"")</x:f>
        <x:v>0.00038651077398776934</x:v>
      </x:c>
      <x:c r="Q405" s="154" t="n">
        <x:f>IFERROR((M405-N405)/O404,"")</x:f>
        <x:v>0.01178857860662866</x:v>
      </x:c>
      <x:c r="R405" s="153" t="n">
        <x:v>10340</x:v>
      </x:c>
      <x:c r="S405" s="158" t="n">
        <x:v>485896</x:v>
      </x:c>
      <x:c r="T405" s="158" t="n">
        <x:v>5024538580</x:v>
      </x:c>
      <x:c r="U405" s="158" t="n">
        <x:v>3310104</x:v>
      </x:c>
      <x:c r="V405" s="153" t="n">
        <x:f>IFERROR(E405*1000/O405,"")</x:f>
        <x:v>82.26987346662803</x:v>
      </x:c>
      <x:c r="W405" s="153" t="n">
        <x:v>4.16</x:v>
      </x:c>
      <x:c r="X405" s="155" t="n">
        <x:v>45924</x:v>
      </x:c>
      <x:c r="Y405" s="153" t="n">
        <x:v>1.78</x:v>
      </x:c>
      <x:c r="Z405" s="155" t="n">
        <x:v>45924</x:v>
      </x:c>
      <x:c r="AA405" s="153" t="n">
        <x:f>IFERROR(Y405-Y404,"")</x:f>
        <x:v>0.030000000000000027</x:v>
      </x:c>
      <x:c r="AB405" s="153" t="n">
        <x:v>2.38</x:v>
      </x:c>
      <x:c r="AC405" s="153" t="n">
        <x:v>120.1707</x:v>
      </x:c>
      <x:c r="AD405" s="155" t="n">
        <x:v>45924</x:v>
      </x:c>
      <x:c r="AE405" s="154" t="n">
        <x:f>IFERROR(AC405/AC404-1,"")</x:f>
        <x:v>0.004602065537425926</x:v>
      </x:c>
      <x:c r="AF405" s="153" t="n">
        <x:v>16.18</x:v>
      </x:c>
      <x:c r="AG405" s="155" t="n">
        <x:v>45924</x:v>
      </x:c>
      <x:c r="AH405" s="153" t="n">
        <x:f>IFERROR(AF405-AF404,"")</x:f>
        <x:v>-0.46000000000000085</x:v>
      </x:c>
      <x:c r="AI405" s="153" t="n">
        <x:v>4.09</x:v>
      </x:c>
      <x:c r="AJ405" s="155" t="n">
        <x:v>45919</x:v>
      </x:c>
      <x:c r="AK405" s="159" t="n">
        <x:v>158971</x:v>
      </x:c>
      <x:c r="AL405" s="154" t="n">
        <x:v>0.3079514394028914</x:v>
      </x:c>
      <x:c r="AM405" s="159" t="n">
        <x:v>-65384</x:v>
      </x:c>
      <x:c r="AN405" s="155" t="n">
        <x:v>45919</x:v>
      </x:c>
      <x:c r="AO405" s="159" t="n">
        <x:v>35806</x:v>
      </x:c>
      <x:c r="AP405" s="154" t="n">
        <x:v>0.2197307215533218</x:v>
      </x:c>
      <x:c r="AQ405" s="159" t="n">
        <x:v>-27925</x:v>
      </x:c>
      <x:c r="AR405" s="147" t="str">
        <x:v>美国市场指标与CFTC数据均使用严格早于上金所交易日的最后已发布值</x:v>
      </x:c>
    </x:row>
    <x:row r="406">
      <x:c r="A406" s="155" t="n">
        <x:v>45926</x:v>
      </x:c>
      <x:c r="B406" s="153" t="n">
        <x:v>853</x:v>
      </x:c>
      <x:c r="C406" s="153" t="n">
        <x:v>854.8</x:v>
      </x:c>
      <x:c r="D406" s="153" t="n">
        <x:v>847.6</x:v>
      </x:c>
      <x:c r="E406" s="153" t="n">
        <x:v>853</x:v>
      </x:c>
      <x:c r="F406" s="154" t="n">
        <x:f>IFERROR(E406/E405-1,"")</x:f>
        <x:v>0.0014793246765445467</x:v>
      </x:c>
      <x:c r="G406" s="154" t="n">
        <x:f>IFERROR((C406-D406)/E405,"")</x:f>
        <x:v>0.008453283865968407</x:v>
      </x:c>
      <x:c r="H406" s="153" t="n">
        <x:v>852.32</x:v>
      </x:c>
      <x:c r="I406" s="158" t="n">
        <x:v>9286.48</x:v>
      </x:c>
      <x:c r="J406" s="158" t="n">
        <x:v>7915076212.2</x:v>
      </x:c>
      <x:c r="K406" s="158"/>
      <x:c r="L406" s="153" t="n">
        <x:v>10495</x:v>
      </x:c>
      <x:c r="M406" s="153" t="n">
        <x:v>10588</x:v>
      </x:c>
      <x:c r="N406" s="153" t="n">
        <x:v>10377</x:v>
      </x:c>
      <x:c r="O406" s="153" t="n">
        <x:v>10551</x:v>
      </x:c>
      <x:c r="P406" s="154" t="n">
        <x:f>IFERROR(O406/O405-1,"")</x:f>
        <x:v>0.019124891335844607</x:v>
      </x:c>
      <x:c r="Q406" s="154" t="n">
        <x:f>IFERROR((M406-N406)/O405,"")</x:f>
        <x:v>0.020380566019511253</x:v>
      </x:c>
      <x:c r="R406" s="153" t="n">
        <x:v>10493</x:v>
      </x:c>
      <x:c r="S406" s="158" t="n">
        <x:v>698132</x:v>
      </x:c>
      <x:c r="T406" s="158" t="n">
        <x:v>7325644448</x:v>
      </x:c>
      <x:c r="U406" s="158" t="n">
        <x:v>3354936</x:v>
      </x:c>
      <x:c r="V406" s="153" t="n">
        <x:f>IFERROR(E406*1000/O406,"")</x:f>
        <x:v>80.84541749597194</x:v>
      </x:c>
      <x:c r="W406" s="153" t="n">
        <x:v>4.18</x:v>
      </x:c>
      <x:c r="X406" s="155" t="n">
        <x:v>45925</x:v>
      </x:c>
      <x:c r="Y406" s="153" t="n">
        <x:v>1.8</x:v>
      </x:c>
      <x:c r="Z406" s="155" t="n">
        <x:v>45925</x:v>
      </x:c>
      <x:c r="AA406" s="153" t="n">
        <x:f>IFERROR(Y406-Y405,"")</x:f>
        <x:v>0.020000000000000018</x:v>
      </x:c>
      <x:c r="AB406" s="153" t="n">
        <x:v>2.38</x:v>
      </x:c>
      <x:c r="AC406" s="153" t="n">
        <x:v>120.5419</x:v>
      </x:c>
      <x:c r="AD406" s="155" t="n">
        <x:v>45925</x:v>
      </x:c>
      <x:c r="AE406" s="154" t="n">
        <x:f>IFERROR(AC406/AC405-1,"")</x:f>
        <x:v>0.003088939317154704</x:v>
      </x:c>
      <x:c r="AF406" s="153" t="n">
        <x:v>16.74</x:v>
      </x:c>
      <x:c r="AG406" s="155" t="n">
        <x:v>45925</x:v>
      </x:c>
      <x:c r="AH406" s="153" t="n">
        <x:f>IFERROR(AF406-AF405,"")</x:f>
        <x:v>0.5599999999999987</x:v>
      </x:c>
      <x:c r="AI406" s="153" t="n">
        <x:v>4.09</x:v>
      </x:c>
      <x:c r="AJ406" s="155" t="n">
        <x:v>45919</x:v>
      </x:c>
      <x:c r="AK406" s="159" t="n">
        <x:v>158971</x:v>
      </x:c>
      <x:c r="AL406" s="154" t="n">
        <x:v>0.3079514394028914</x:v>
      </x:c>
      <x:c r="AM406" s="159" t="n">
        <x:v>-65384</x:v>
      </x:c>
      <x:c r="AN406" s="155" t="n">
        <x:v>45919</x:v>
      </x:c>
      <x:c r="AO406" s="159" t="n">
        <x:v>35806</x:v>
      </x:c>
      <x:c r="AP406" s="154" t="n">
        <x:v>0.2197307215533218</x:v>
      </x:c>
      <x:c r="AQ406" s="159" t="n">
        <x:v>-27925</x:v>
      </x:c>
      <x:c r="AR406" s="147" t="str">
        <x:v>美国市场指标与CFTC数据均使用严格早于上金所交易日的最后已发布值</x:v>
      </x:c>
    </x:row>
    <x:row r="407">
      <x:c r="A407" s="155" t="n">
        <x:v>45929</x:v>
      </x:c>
      <x:c r="B407" s="153" t="n">
        <x:v>853.3</x:v>
      </x:c>
      <x:c r="C407" s="153" t="n">
        <x:v>864.99</x:v>
      </x:c>
      <x:c r="D407" s="153" t="n">
        <x:v>852.5</x:v>
      </x:c>
      <x:c r="E407" s="153" t="n">
        <x:v>862.9</x:v>
      </x:c>
      <x:c r="F407" s="154" t="n">
        <x:f>IFERROR(E407/E406-1,"")</x:f>
        <x:v>0.011606096131301369</x:v>
      </x:c>
      <x:c r="G407" s="154" t="n">
        <x:f>IFERROR((C407-D407)/E406,"")</x:f>
        <x:v>0.014642438452520527</x:v>
      </x:c>
      <x:c r="H407" s="153" t="n">
        <x:v>859.03</x:v>
      </x:c>
      <x:c r="I407" s="158" t="n">
        <x:v>14795.68</x:v>
      </x:c>
      <x:c r="J407" s="158" t="n">
        <x:v>12709938729.2</x:v>
      </x:c>
      <x:c r="K407" s="158"/>
      <x:c r="L407" s="153" t="n">
        <x:v>10573</x:v>
      </x:c>
      <x:c r="M407" s="153" t="n">
        <x:v>10949</x:v>
      </x:c>
      <x:c r="N407" s="153" t="n">
        <x:v>10552</x:v>
      </x:c>
      <x:c r="O407" s="153" t="n">
        <x:v>10878</x:v>
      </x:c>
      <x:c r="P407" s="154" t="n">
        <x:f>IFERROR(O407/O406-1,"")</x:f>
        <x:v>0.030992323002559052</x:v>
      </x:c>
      <x:c r="Q407" s="154" t="n">
        <x:f>IFERROR((M407-N407)/O406,"")</x:f>
        <x:v>0.0376267652355227</x:v>
      </x:c>
      <x:c r="R407" s="153" t="n">
        <x:v>10811</x:v>
      </x:c>
      <x:c r="S407" s="158" t="n">
        <x:v>538718</x:v>
      </x:c>
      <x:c r="T407" s="158" t="n">
        <x:v>5824551078</x:v>
      </x:c>
      <x:c r="U407" s="158" t="n">
        <x:v>3333912</x:v>
      </x:c>
      <x:c r="V407" s="153" t="n">
        <x:f>IFERROR(E407*1000/O407,"")</x:f>
        <x:v>79.3252436109579</x:v>
      </x:c>
      <x:c r="W407" s="153" t="n">
        <x:v>4.2</x:v>
      </x:c>
      <x:c r="X407" s="155" t="n">
        <x:v>45926</x:v>
      </x:c>
      <x:c r="Y407" s="153" t="n">
        <x:v>1.82</x:v>
      </x:c>
      <x:c r="Z407" s="155" t="n">
        <x:v>45926</x:v>
      </x:c>
      <x:c r="AA407" s="153" t="n">
        <x:f>IFERROR(Y407-Y406,"")</x:f>
        <x:v>0.020000000000000018</x:v>
      </x:c>
      <x:c r="AB407" s="153" t="n">
        <x:v>2.38</x:v>
      </x:c>
      <x:c r="AC407" s="153" t="n">
        <x:v>120.4349</x:v>
      </x:c>
      <x:c r="AD407" s="155" t="n">
        <x:v>45926</x:v>
      </x:c>
      <x:c r="AE407" s="154" t="n">
        <x:f>IFERROR(AC407/AC406-1,"")</x:f>
        <x:v>-0.0008876581504024816</x:v>
      </x:c>
      <x:c r="AF407" s="153" t="n">
        <x:v>15.29</x:v>
      </x:c>
      <x:c r="AG407" s="155" t="n">
        <x:v>45926</x:v>
      </x:c>
      <x:c r="AH407" s="153" t="n">
        <x:f>IFERROR(AF407-AF406,"")</x:f>
        <x:v>-1.4499999999999993</x:v>
      </x:c>
      <x:c r="AI407" s="153" t="n">
        <x:v>4.09</x:v>
      </x:c>
      <x:c r="AJ407" s="155" t="n">
        <x:v>45926</x:v>
      </x:c>
      <x:c r="AK407" s="159" t="n">
        <x:v>160549</x:v>
      </x:c>
      <x:c r="AL407" s="154" t="n">
        <x:v>0.30361637628619353</x:v>
      </x:c>
      <x:c r="AM407" s="159" t="n">
        <x:v>-67152</x:v>
      </x:c>
      <x:c r="AN407" s="155" t="n">
        <x:v>45926</x:v>
      </x:c>
      <x:c r="AO407" s="159" t="n">
        <x:v>37099</x:v>
      </x:c>
      <x:c r="AP407" s="154" t="n">
        <x:v>0.2237507915925334</x:v>
      </x:c>
      <x:c r="AQ407" s="159" t="n">
        <x:v>-28823</x:v>
      </x:c>
      <x:c r="AR407" s="147" t="str">
        <x:v>美国市场指标与CFTC数据均使用严格早于上金所交易日的最后已发布值</x:v>
      </x:c>
    </x:row>
    <x:row r="408">
      <x:c r="A408" s="155" t="n">
        <x:v>45930</x:v>
      </x:c>
      <x:c r="B408" s="153" t="n">
        <x:v>865</x:v>
      </x:c>
      <x:c r="C408" s="153" t="n">
        <x:v>880</x:v>
      </x:c>
      <x:c r="D408" s="153" t="n">
        <x:v>861</x:v>
      </x:c>
      <x:c r="E408" s="153" t="n">
        <x:v>871.86</x:v>
      </x:c>
      <x:c r="F408" s="154" t="n">
        <x:f>IFERROR(E408/E407-1,"")</x:f>
        <x:v>0.010383590219028793</x:v>
      </x:c>
      <x:c r="G408" s="154" t="n">
        <x:f>IFERROR((C408-D408)/E407,"")</x:f>
        <x:v>0.022018773901958513</x:v>
      </x:c>
      <x:c r="H408" s="153" t="n">
        <x:v>872.9</x:v>
      </x:c>
      <x:c r="I408" s="158" t="n">
        <x:v>8471.24</x:v>
      </x:c>
      <x:c r="J408" s="158" t="n">
        <x:v>7394573848.6</x:v>
      </x:c>
      <x:c r="K408" s="158"/>
      <x:c r="L408" s="153" t="n">
        <x:v>10900</x:v>
      </x:c>
      <x:c r="M408" s="153" t="n">
        <x:v>10971</x:v>
      </x:c>
      <x:c r="N408" s="153" t="n">
        <x:v>10640</x:v>
      </x:c>
      <x:c r="O408" s="153" t="n">
        <x:v>10857</x:v>
      </x:c>
      <x:c r="P408" s="154" t="n">
        <x:f>IFERROR(O408/O407-1,"")</x:f>
        <x:v>-0.0019305019305019266</x:v>
      </x:c>
      <x:c r="Q408" s="154" t="n">
        <x:f>IFERROR((M408-N408)/O407,"")</x:f>
        <x:v>0.030428387571244712</x:v>
      </x:c>
      <x:c r="R408" s="153" t="n">
        <x:v>10863</x:v>
      </x:c>
      <x:c r="S408" s="158" t="n">
        <x:v>1206336</x:v>
      </x:c>
      <x:c r="T408" s="158" t="n">
        <x:v>13104999068</x:v>
      </x:c>
      <x:c r="U408" s="158" t="n">
        <x:v>3189502</x:v>
      </x:c>
      <x:c r="V408" s="153" t="n">
        <x:f>IFERROR(E408*1000/O408,"")</x:f>
        <x:v>80.30395136778115</x:v>
      </x:c>
      <x:c r="W408" s="153" t="n">
        <x:v>4.15</x:v>
      </x:c>
      <x:c r="X408" s="155" t="n">
        <x:v>45929</x:v>
      </x:c>
      <x:c r="Y408" s="153" t="n">
        <x:v>1.8</x:v>
      </x:c>
      <x:c r="Z408" s="155" t="n">
        <x:v>45929</x:v>
      </x:c>
      <x:c r="AA408" s="153" t="n">
        <x:f>IFERROR(Y408-Y407,"")</x:f>
        <x:v>-0.020000000000000018</x:v>
      </x:c>
      <x:c r="AB408" s="153" t="n">
        <x:v>2.35</x:v>
      </x:c>
      <x:c r="AC408" s="153" t="n">
        <x:v>120.115</x:v>
      </x:c>
      <x:c r="AD408" s="155" t="n">
        <x:v>45929</x:v>
      </x:c>
      <x:c r="AE408" s="154" t="n">
        <x:f>IFERROR(AC408/AC407-1,"")</x:f>
        <x:v>-0.0026562067971991343</x:v>
      </x:c>
      <x:c r="AF408" s="153" t="n">
        <x:v>16.12</x:v>
      </x:c>
      <x:c r="AG408" s="155" t="n">
        <x:v>45929</x:v>
      </x:c>
      <x:c r="AH408" s="153" t="n">
        <x:f>IFERROR(AF408-AF407,"")</x:f>
        <x:v>0.8300000000000018</x:v>
      </x:c>
      <x:c r="AI408" s="153" t="n">
        <x:v>4.09</x:v>
      </x:c>
      <x:c r="AJ408" s="155" t="n">
        <x:v>45926</x:v>
      </x:c>
      <x:c r="AK408" s="159" t="n">
        <x:v>160549</x:v>
      </x:c>
      <x:c r="AL408" s="154" t="n">
        <x:v>0.30361637628619353</x:v>
      </x:c>
      <x:c r="AM408" s="159" t="n">
        <x:v>-67152</x:v>
      </x:c>
      <x:c r="AN408" s="155" t="n">
        <x:v>45926</x:v>
      </x:c>
      <x:c r="AO408" s="159" t="n">
        <x:v>37099</x:v>
      </x:c>
      <x:c r="AP408" s="154" t="n">
        <x:v>0.2237507915925334</x:v>
      </x:c>
      <x:c r="AQ408" s="159" t="n">
        <x:v>-28823</x:v>
      </x:c>
      <x:c r="AR408" s="147" t="str">
        <x:v>美国市场指标与CFTC数据均使用严格早于上金所交易日的最后已发布值</x:v>
      </x:c>
    </x:row>
    <x:row r="409">
      <x:c r="A409" s="155" t="n">
        <x:v>45939</x:v>
      </x:c>
      <x:c r="B409" s="153" t="n">
        <x:v>917.9</x:v>
      </x:c>
      <x:c r="C409" s="153" t="n">
        <x:v>918.8</x:v>
      </x:c>
      <x:c r="D409" s="153" t="n">
        <x:v>902</x:v>
      </x:c>
      <x:c r="E409" s="153" t="n">
        <x:v>911.5</x:v>
      </x:c>
      <x:c r="F409" s="154" t="n">
        <x:f>IFERROR(E409/E408-1,"")</x:f>
        <x:v>0.0454660151859243</x:v>
      </x:c>
      <x:c r="G409" s="154" t="n">
        <x:f>IFERROR((C409-D409)/E408,"")</x:f>
        <x:v>0.019269148716537007</x:v>
      </x:c>
      <x:c r="H409" s="153" t="n">
        <x:v>911.81</x:v>
      </x:c>
      <x:c r="I409" s="158" t="n">
        <x:v>15595.42</x:v>
      </x:c>
      <x:c r="J409" s="158" t="n">
        <x:v>14220162364.6</x:v>
      </x:c>
      <x:c r="K409" s="158"/>
      <x:c r="L409" s="153" t="n">
        <x:v>11145</x:v>
      </x:c>
      <x:c r="M409" s="153" t="n">
        <x:v>11245</x:v>
      </x:c>
      <x:c r="N409" s="153" t="n">
        <x:v>11026</x:v>
      </x:c>
      <x:c r="O409" s="153" t="n">
        <x:v>11176</x:v>
      </x:c>
      <x:c r="P409" s="154" t="n">
        <x:f>IFERROR(O409/O408-1,"")</x:f>
        <x:v>0.029381965552178313</x:v>
      </x:c>
      <x:c r="Q409" s="154" t="n">
        <x:f>IFERROR((M409-N409)/O408,"")</x:f>
        <x:v>0.02017131804365847</x:v>
      </x:c>
      <x:c r="R409" s="153" t="n">
        <x:v>11155</x:v>
      </x:c>
      <x:c r="S409" s="158" t="n">
        <x:v>592680</x:v>
      </x:c>
      <x:c r="T409" s="158" t="n">
        <x:v>6611492702</x:v>
      </x:c>
      <x:c r="U409" s="158" t="n">
        <x:v>3102180</x:v>
      </x:c>
      <x:c r="V409" s="153" t="n">
        <x:f>IFERROR(E409*1000/O409,"")</x:f>
        <x:v>81.55869720830351</x:v>
      </x:c>
      <x:c r="W409" s="153" t="n">
        <x:v>4.13</x:v>
      </x:c>
      <x:c r="X409" s="155" t="n">
        <x:v>45938</x:v>
      </x:c>
      <x:c r="Y409" s="153" t="n">
        <x:v>1.78</x:v>
      </x:c>
      <x:c r="Z409" s="155" t="n">
        <x:v>45938</x:v>
      </x:c>
      <x:c r="AA409" s="153" t="n">
        <x:f>IFERROR(Y409-Y408,"")</x:f>
        <x:v>-0.020000000000000018</x:v>
      </x:c>
      <x:c r="AB409" s="153" t="n">
        <x:v>2.35</x:v>
      </x:c>
      <x:c r="AC409" s="153" t="n">
        <x:v>120.7766</x:v>
      </x:c>
      <x:c r="AD409" s="155" t="n">
        <x:v>45938</x:v>
      </x:c>
      <x:c r="AE409" s="154" t="n">
        <x:f>IFERROR(AC409/AC408-1,"")</x:f>
        <x:v>0.005508054780835048</x:v>
      </x:c>
      <x:c r="AF409" s="153" t="n">
        <x:v>16.3</x:v>
      </x:c>
      <x:c r="AG409" s="155" t="n">
        <x:v>45938</x:v>
      </x:c>
      <x:c r="AH409" s="153" t="n">
        <x:f>IFERROR(AF409-AF408,"")</x:f>
        <x:v>0.17999999999999972</x:v>
      </x:c>
      <x:c r="AI409" s="153" t="n">
        <x:v>4.1</x:v>
      </x:c>
      <x:c r="AJ409" s="155" t="n">
        <x:v>45933</x:v>
      </x:c>
      <x:c r="AK409" s="159" t="n">
        <x:v>145227</x:v>
      </x:c>
      <x:c r="AL409" s="154" t="n">
        <x:v>0.2941318243314403</x:v>
      </x:c>
      <x:c r="AM409" s="159" t="n">
        <x:v>-65397</x:v>
      </x:c>
      <x:c r="AN409" s="155" t="n">
        <x:v>45933</x:v>
      </x:c>
      <x:c r="AO409" s="159" t="n">
        <x:v>34921</x:v>
      </x:c>
      <x:c r="AP409" s="154" t="n">
        <x:v>0.21314477193796272</x:v>
      </x:c>
      <x:c r="AQ409" s="159" t="n">
        <x:v>-26823</x:v>
      </x:c>
      <x:c r="AR409" s="147" t="str">
        <x:v>美国市场指标与CFTC数据均使用严格早于上金所交易日的最后已发布值</x:v>
      </x:c>
    </x:row>
    <x:row r="410">
      <x:c r="A410" s="155" t="n">
        <x:v>45940</x:v>
      </x:c>
      <x:c r="B410" s="153" t="n">
        <x:v>913.5</x:v>
      </x:c>
      <x:c r="C410" s="153" t="n">
        <x:v>917.8</x:v>
      </x:c>
      <x:c r="D410" s="153" t="n">
        <x:v>896.05</x:v>
      </x:c>
      <x:c r="E410" s="153" t="n">
        <x:v>897.63</x:v>
      </x:c>
      <x:c r="F410" s="154" t="n">
        <x:f>IFERROR(E410/E409-1,"")</x:f>
        <x:v>-0.015216675809105906</x:v>
      </x:c>
      <x:c r="G410" s="154" t="n">
        <x:f>IFERROR((C410-D410)/E409,"")</x:f>
        <x:v>0.023861766319253977</x:v>
      </x:c>
      <x:c r="H410" s="153" t="n">
        <x:v>900.7</x:v>
      </x:c>
      <x:c r="I410" s="158" t="n">
        <x:v>16002</x:v>
      </x:c>
      <x:c r="J410" s="158" t="n">
        <x:v>14413113037.2</x:v>
      </x:c>
      <x:c r="K410" s="158"/>
      <x:c r="L410" s="153" t="n">
        <x:v>11230</x:v>
      </x:c>
      <x:c r="M410" s="153" t="n">
        <x:v>11435</x:v>
      </x:c>
      <x:c r="N410" s="153" t="n">
        <x:v>10866</x:v>
      </x:c>
      <x:c r="O410" s="153" t="n">
        <x:v>11059</x:v>
      </x:c>
      <x:c r="P410" s="154" t="n">
        <x:f>IFERROR(O410/O409-1,"")</x:f>
        <x:v>-0.010468861846814614</x:v>
      </x:c>
      <x:c r="Q410" s="154" t="n">
        <x:f>IFERROR((M410-N410)/O409,"")</x:f>
        <x:v>0.0509126700071582</x:v>
      </x:c>
      <x:c r="R410" s="153" t="n">
        <x:v>11088</x:v>
      </x:c>
      <x:c r="S410" s="158" t="n">
        <x:v>711324</x:v>
      </x:c>
      <x:c r="T410" s="158" t="n">
        <x:v>7887245198</x:v>
      </x:c>
      <x:c r="U410" s="158" t="n">
        <x:v>3156570</x:v>
      </x:c>
      <x:c r="V410" s="153" t="n">
        <x:f>IFERROR(E410*1000/O410,"")</x:f>
        <x:v>81.16737498869699</x:v>
      </x:c>
      <x:c r="W410" s="153" t="n">
        <x:v>4.14</x:v>
      </x:c>
      <x:c r="X410" s="155" t="n">
        <x:v>45939</x:v>
      </x:c>
      <x:c r="Y410" s="153" t="n">
        <x:v>1.8</x:v>
      </x:c>
      <x:c r="Z410" s="155" t="n">
        <x:v>45939</x:v>
      </x:c>
      <x:c r="AA410" s="153" t="n">
        <x:f>IFERROR(Y410-Y409,"")</x:f>
        <x:v>0.020000000000000018</x:v>
      </x:c>
      <x:c r="AB410" s="153" t="n">
        <x:v>2.34</x:v>
      </x:c>
      <x:c r="AC410" s="153" t="n">
        <x:v>121.0902</x:v>
      </x:c>
      <x:c r="AD410" s="155" t="n">
        <x:v>45939</x:v>
      </x:c>
      <x:c r="AE410" s="154" t="n">
        <x:f>IFERROR(AC410/AC409-1,"")</x:f>
        <x:v>0.002596529460176855</x:v>
      </x:c>
      <x:c r="AF410" s="153" t="n">
        <x:v>16.43</x:v>
      </x:c>
      <x:c r="AG410" s="155" t="n">
        <x:v>45939</x:v>
      </x:c>
      <x:c r="AH410" s="153" t="n">
        <x:f>IFERROR(AF410-AF409,"")</x:f>
        <x:v>0.129999999999999</x:v>
      </x:c>
      <x:c r="AI410" s="153" t="n">
        <x:v>4.1</x:v>
      </x:c>
      <x:c r="AJ410" s="155" t="n">
        <x:v>45933</x:v>
      </x:c>
      <x:c r="AK410" s="159" t="n">
        <x:v>145227</x:v>
      </x:c>
      <x:c r="AL410" s="154" t="n">
        <x:v>0.2941318243314403</x:v>
      </x:c>
      <x:c r="AM410" s="159" t="n">
        <x:v>-65397</x:v>
      </x:c>
      <x:c r="AN410" s="155" t="n">
        <x:v>45933</x:v>
      </x:c>
      <x:c r="AO410" s="159" t="n">
        <x:v>34921</x:v>
      </x:c>
      <x:c r="AP410" s="154" t="n">
        <x:v>0.21314477193796272</x:v>
      </x:c>
      <x:c r="AQ410" s="159" t="n">
        <x:v>-26823</x:v>
      </x:c>
      <x:c r="AR410" s="147" t="str">
        <x:v>美国市场指标与CFTC数据均使用严格早于上金所交易日的最后已发布值</x:v>
      </x:c>
    </x:row>
    <x:row r="411">
      <x:c r="A411" s="155" t="n">
        <x:v>45943</x:v>
      </x:c>
      <x:c r="B411" s="153" t="n">
        <x:v>901</x:v>
      </x:c>
      <x:c r="C411" s="153" t="n">
        <x:v>927.9</x:v>
      </x:c>
      <x:c r="D411" s="153" t="n">
        <x:v>895</x:v>
      </x:c>
      <x:c r="E411" s="153" t="n">
        <x:v>926.73</x:v>
      </x:c>
      <x:c r="F411" s="154" t="n">
        <x:f>IFERROR(E411/E410-1,"")</x:f>
        <x:v>0.032418702583469905</x:v>
      </x:c>
      <x:c r="G411" s="154" t="n">
        <x:f>IFERROR((C411-D411)/E410,"")</x:f>
        <x:v>0.03665207268028027</x:v>
      </x:c>
      <x:c r="H411" s="153" t="n">
        <x:v>921.88</x:v>
      </x:c>
      <x:c r="I411" s="158" t="n">
        <x:v>18575.14</x:v>
      </x:c>
      <x:c r="J411" s="158" t="n">
        <x:v>17124068728.6</x:v>
      </x:c>
      <x:c r="K411" s="158"/>
      <x:c r="L411" s="153" t="n">
        <x:v>11120</x:v>
      </x:c>
      <x:c r="M411" s="153" t="n">
        <x:v>11558</x:v>
      </x:c>
      <x:c r="N411" s="153" t="n">
        <x:v>10868</x:v>
      </x:c>
      <x:c r="O411" s="153" t="n">
        <x:v>11453</x:v>
      </x:c>
      <x:c r="P411" s="154" t="n">
        <x:f>IFERROR(O411/O410-1,"")</x:f>
        <x:v>0.035627091057057525</x:v>
      </x:c>
      <x:c r="Q411" s="154" t="n">
        <x:f>IFERROR((M411-N411)/O410,"")</x:f>
        <x:v>0.06239262139433945</x:v>
      </x:c>
      <x:c r="R411" s="153" t="n">
        <x:v>11379</x:v>
      </x:c>
      <x:c r="S411" s="158" t="n">
        <x:v>1573640</x:v>
      </x:c>
      <x:c r="T411" s="158" t="n">
        <x:v>17907121532</x:v>
      </x:c>
      <x:c r="U411" s="158" t="n">
        <x:v>3166696</x:v>
      </x:c>
      <x:c r="V411" s="153" t="n">
        <x:f>IFERROR(E411*1000/O411,"")</x:f>
        <x:v>80.91591722692745</x:v>
      </x:c>
      <x:c r="W411" s="153" t="n">
        <x:v>4.05</x:v>
      </x:c>
      <x:c r="X411" s="155" t="n">
        <x:v>45940</x:v>
      </x:c>
      <x:c r="Y411" s="153" t="n">
        <x:v>1.75</x:v>
      </x:c>
      <x:c r="Z411" s="155" t="n">
        <x:v>45940</x:v>
      </x:c>
      <x:c r="AA411" s="153" t="n">
        <x:f>IFERROR(Y411-Y410,"")</x:f>
        <x:v>-0.050000000000000044</x:v>
      </x:c>
      <x:c r="AB411" s="153" t="n">
        <x:v>2.3</x:v>
      </x:c>
      <x:c r="AC411" s="153" t="n">
        <x:v>121.1163</x:v>
      </x:c>
      <x:c r="AD411" s="155" t="n">
        <x:v>45940</x:v>
      </x:c>
      <x:c r="AE411" s="154" t="n">
        <x:f>IFERROR(AC411/AC410-1,"")</x:f>
        <x:v>0.00021554180272231882</x:v>
      </x:c>
      <x:c r="AF411" s="153" t="n">
        <x:v>21.66</x:v>
      </x:c>
      <x:c r="AG411" s="155" t="n">
        <x:v>45940</x:v>
      </x:c>
      <x:c r="AH411" s="153" t="n">
        <x:f>IFERROR(AF411-AF410,"")</x:f>
        <x:v>5.23</x:v>
      </x:c>
      <x:c r="AI411" s="153" t="n">
        <x:v>4.1</x:v>
      </x:c>
      <x:c r="AJ411" s="155" t="n">
        <x:v>45940</x:v>
      </x:c>
      <x:c r="AK411" s="159" t="n">
        <x:v>129759</x:v>
      </x:c>
      <x:c r="AL411" s="154" t="n">
        <x:v>0.2672363193762241</x:v>
      </x:c>
      <x:c r="AM411" s="159" t="n">
        <x:v>-65352</x:v>
      </x:c>
      <x:c r="AN411" s="155" t="n">
        <x:v>45940</x:v>
      </x:c>
      <x:c r="AO411" s="159" t="n">
        <x:v>27493</x:v>
      </x:c>
      <x:c r="AP411" s="154" t="n">
        <x:v>0.16514891214243665</x:v>
      </x:c>
      <x:c r="AQ411" s="159" t="n">
        <x:v>-24038</x:v>
      </x:c>
      <x:c r="AR411" s="147" t="str">
        <x:v>美国市场指标与CFTC数据均使用严格早于上金所交易日的最后已发布值</x:v>
      </x:c>
    </x:row>
    <x:row r="412">
      <x:c r="A412" s="155" t="n">
        <x:v>45944</x:v>
      </x:c>
      <x:c r="B412" s="153" t="n">
        <x:v>928</x:v>
      </x:c>
      <x:c r="C412" s="153" t="n">
        <x:v>957.8</x:v>
      </x:c>
      <x:c r="D412" s="153" t="n">
        <x:v>927</x:v>
      </x:c>
      <x:c r="E412" s="153" t="n">
        <x:v>940.72</x:v>
      </x:c>
      <x:c r="F412" s="154" t="n">
        <x:f>IFERROR(E412/E411-1,"")</x:f>
        <x:v>0.015096090554961972</x:v>
      </x:c>
      <x:c r="G412" s="154" t="n">
        <x:f>IFERROR((C412-D412)/E411,"")</x:f>
        <x:v>0.03323513860563482</x:v>
      </x:c>
      <x:c r="H412" s="153" t="n">
        <x:v>943.87</x:v>
      </x:c>
      <x:c r="I412" s="158" t="n">
        <x:v>26900.24</x:v>
      </x:c>
      <x:c r="J412" s="158" t="n">
        <x:v>25390339743.4</x:v>
      </x:c>
      <x:c r="K412" s="158"/>
      <x:c r="L412" s="153" t="n">
        <x:v>11429</x:v>
      </x:c>
      <x:c r="M412" s="153" t="n">
        <x:v>12090</x:v>
      </x:c>
      <x:c r="N412" s="153" t="n">
        <x:v>11318</x:v>
      </x:c>
      <x:c r="O412" s="153" t="n">
        <x:v>11530</x:v>
      </x:c>
      <x:c r="P412" s="154" t="n">
        <x:f>IFERROR(O412/O411-1,"")</x:f>
        <x:v>0.00672312931109742</x:v>
      </x:c>
      <x:c r="Q412" s="154" t="n">
        <x:f>IFERROR((M412-N412)/O411,"")</x:f>
        <x:v>0.06740591984632847</x:v>
      </x:c>
      <x:c r="R412" s="153" t="n">
        <x:v>11694</x:v>
      </x:c>
      <x:c r="S412" s="158" t="n">
        <x:v>1249250</x:v>
      </x:c>
      <x:c r="T412" s="158" t="n">
        <x:v>14609730074</x:v>
      </x:c>
      <x:c r="U412" s="158" t="n">
        <x:v>3325914</x:v>
      </x:c>
      <x:c r="V412" s="153" t="n">
        <x:f>IFERROR(E412*1000/O412,"")</x:f>
        <x:v>81.58889852558544</x:v>
      </x:c>
      <x:c r="W412" s="153" t="n">
        <x:v>4.05</x:v>
      </x:c>
      <x:c r="X412" s="155" t="n">
        <x:v>45940</x:v>
      </x:c>
      <x:c r="Y412" s="153" t="n">
        <x:v>1.75</x:v>
      </x:c>
      <x:c r="Z412" s="155" t="n">
        <x:v>45940</x:v>
      </x:c>
      <x:c r="AA412" s="153" t="n">
        <x:f>IFERROR(Y412-Y411,"")</x:f>
        <x:v>0</x:v>
      </x:c>
      <x:c r="AB412" s="153" t="n">
        <x:v>2.3</x:v>
      </x:c>
      <x:c r="AC412" s="153" t="n">
        <x:v>121.1163</x:v>
      </x:c>
      <x:c r="AD412" s="155" t="n">
        <x:v>45940</x:v>
      </x:c>
      <x:c r="AE412" s="154" t="n">
        <x:f>IFERROR(AC412/AC411-1,"")</x:f>
        <x:v>0</x:v>
      </x:c>
      <x:c r="AF412" s="153" t="n">
        <x:v>19.03</x:v>
      </x:c>
      <x:c r="AG412" s="155" t="n">
        <x:v>45943</x:v>
      </x:c>
      <x:c r="AH412" s="153" t="n">
        <x:f>IFERROR(AF412-AF411,"")</x:f>
        <x:v>-2.629999999999999</x:v>
      </x:c>
      <x:c r="AI412" s="153" t="n">
        <x:v>4.1</x:v>
      </x:c>
      <x:c r="AJ412" s="155" t="n">
        <x:v>45940</x:v>
      </x:c>
      <x:c r="AK412" s="159" t="n">
        <x:v>129759</x:v>
      </x:c>
      <x:c r="AL412" s="154" t="n">
        <x:v>0.2672363193762241</x:v>
      </x:c>
      <x:c r="AM412" s="159" t="n">
        <x:v>-65352</x:v>
      </x:c>
      <x:c r="AN412" s="155" t="n">
        <x:v>45940</x:v>
      </x:c>
      <x:c r="AO412" s="159" t="n">
        <x:v>27493</x:v>
      </x:c>
      <x:c r="AP412" s="154" t="n">
        <x:v>0.16514891214243665</x:v>
      </x:c>
      <x:c r="AQ412" s="159" t="n">
        <x:v>-24038</x:v>
      </x:c>
      <x:c r="AR412" s="147" t="str">
        <x:v>美国市场指标与CFTC数据均使用严格早于上金所交易日的最后已发布值</x:v>
      </x:c>
    </x:row>
    <x:row r="413">
      <x:c r="A413" s="155" t="n">
        <x:v>45945</x:v>
      </x:c>
      <x:c r="B413" s="153" t="n">
        <x:v>940</x:v>
      </x:c>
      <x:c r="C413" s="153" t="n">
        <x:v>960</x:v>
      </x:c>
      <x:c r="D413" s="153" t="n">
        <x:v>933.8</x:v>
      </x:c>
      <x:c r="E413" s="153" t="n">
        <x:v>959.04</x:v>
      </x:c>
      <x:c r="F413" s="154" t="n">
        <x:f>IFERROR(E413/E412-1,"")</x:f>
        <x:v>0.01947444510587637</x:v>
      </x:c>
      <x:c r="G413" s="154" t="n">
        <x:f>IFERROR((C413-D413)/E412,"")</x:f>
        <x:v>0.027851007738753344</x:v>
      </x:c>
      <x:c r="H413" s="153" t="n">
        <x:v>954.84</x:v>
      </x:c>
      <x:c r="I413" s="158" t="n">
        <x:v>17322.68</x:v>
      </x:c>
      <x:c r="J413" s="158" t="n">
        <x:v>16540544487.8</x:v>
      </x:c>
      <x:c r="K413" s="158"/>
      <x:c r="L413" s="153" t="n">
        <x:v>11560</x:v>
      </x:c>
      <x:c r="M413" s="153" t="n">
        <x:v>11975</x:v>
      </x:c>
      <x:c r="N413" s="153" t="n">
        <x:v>11345</x:v>
      </x:c>
      <x:c r="O413" s="153" t="n">
        <x:v>11961</x:v>
      </x:c>
      <x:c r="P413" s="154" t="n">
        <x:f>IFERROR(O413/O412-1,"")</x:f>
        <x:v>0.03738074588031215</x:v>
      </x:c>
      <x:c r="Q413" s="154" t="n">
        <x:f>IFERROR((M413-N413)/O412,"")</x:f>
        <x:v>0.05464006938421509</x:v>
      </x:c>
      <x:c r="R413" s="153" t="n">
        <x:v>11759</x:v>
      </x:c>
      <x:c r="S413" s="158" t="n">
        <x:v>1699552</x:v>
      </x:c>
      <x:c r="T413" s="158" t="n">
        <x:v>19985846570</x:v>
      </x:c>
      <x:c r="U413" s="158" t="n">
        <x:v>3554962</x:v>
      </x:c>
      <x:c r="V413" s="153" t="n">
        <x:f>IFERROR(E413*1000/O413,"")</x:f>
        <x:v>80.18058690744921</x:v>
      </x:c>
      <x:c r="W413" s="153" t="n">
        <x:v>4.03</x:v>
      </x:c>
      <x:c r="X413" s="155" t="n">
        <x:v>45944</x:v>
      </x:c>
      <x:c r="Y413" s="153" t="n">
        <x:v>1.73</x:v>
      </x:c>
      <x:c r="Z413" s="155" t="n">
        <x:v>45944</x:v>
      </x:c>
      <x:c r="AA413" s="153" t="n">
        <x:f>IFERROR(Y413-Y412,"")</x:f>
        <x:v>-0.020000000000000018</x:v>
      </x:c>
      <x:c r="AB413" s="153" t="n">
        <x:v>2.3</x:v>
      </x:c>
      <x:c r="AC413" s="153" t="n">
        <x:v>121.1822</x:v>
      </x:c>
      <x:c r="AD413" s="155" t="n">
        <x:v>45944</x:v>
      </x:c>
      <x:c r="AE413" s="154" t="n">
        <x:f>IFERROR(AC413/AC412-1,"")</x:f>
        <x:v>0.0005441051287069509</x:v>
      </x:c>
      <x:c r="AF413" s="153" t="n">
        <x:v>20.81</x:v>
      </x:c>
      <x:c r="AG413" s="155" t="n">
        <x:v>45944</x:v>
      </x:c>
      <x:c r="AH413" s="153" t="n">
        <x:f>IFERROR(AF413-AF412,"")</x:f>
        <x:v>1.7799999999999976</x:v>
      </x:c>
      <x:c r="AI413" s="153" t="n">
        <x:v>4.1</x:v>
      </x:c>
      <x:c r="AJ413" s="155" t="n">
        <x:v>45940</x:v>
      </x:c>
      <x:c r="AK413" s="159" t="n">
        <x:v>129759</x:v>
      </x:c>
      <x:c r="AL413" s="154" t="n">
        <x:v>0.2672363193762241</x:v>
      </x:c>
      <x:c r="AM413" s="159" t="n">
        <x:v>-65352</x:v>
      </x:c>
      <x:c r="AN413" s="155" t="n">
        <x:v>45940</x:v>
      </x:c>
      <x:c r="AO413" s="159" t="n">
        <x:v>27493</x:v>
      </x:c>
      <x:c r="AP413" s="154" t="n">
        <x:v>0.16514891214243665</x:v>
      </x:c>
      <x:c r="AQ413" s="159" t="n">
        <x:v>-24038</x:v>
      </x:c>
      <x:c r="AR413" s="147" t="str">
        <x:v>美国市场指标与CFTC数据均使用严格早于上金所交易日的最后已发布值</x:v>
      </x:c>
    </x:row>
    <x:row r="414">
      <x:c r="A414" s="155" t="n">
        <x:v>45946</x:v>
      </x:c>
      <x:c r="B414" s="153" t="n">
        <x:v>958</x:v>
      </x:c>
      <x:c r="C414" s="153" t="n">
        <x:v>970</x:v>
      </x:c>
      <x:c r="D414" s="153" t="n">
        <x:v>955</x:v>
      </x:c>
      <x:c r="E414" s="153" t="n">
        <x:v>968.14</x:v>
      </x:c>
      <x:c r="F414" s="154" t="n">
        <x:f>IFERROR(E414/E413-1,"")</x:f>
        <x:v>0.009488655321988615</x:v>
      </x:c>
      <x:c r="G414" s="154" t="n">
        <x:f>IFERROR((C414-D414)/E413,"")</x:f>
        <x:v>0.015640640640640642</x:v>
      </x:c>
      <x:c r="H414" s="153" t="n">
        <x:v>966.35</x:v>
      </x:c>
      <x:c r="I414" s="158" t="n">
        <x:v>22388.04</x:v>
      </x:c>
      <x:c r="J414" s="158" t="n">
        <x:v>21634709899.6</x:v>
      </x:c>
      <x:c r="K414" s="158"/>
      <x:c r="L414" s="153" t="n">
        <x:v>11959</x:v>
      </x:c>
      <x:c r="M414" s="153" t="n">
        <x:v>12256</x:v>
      </x:c>
      <x:c r="N414" s="153" t="n">
        <x:v>11807</x:v>
      </x:c>
      <x:c r="O414" s="153" t="n">
        <x:v>11981</x:v>
      </x:c>
      <x:c r="P414" s="154" t="n">
        <x:f>IFERROR(O414/O413-1,"")</x:f>
        <x:v>0.0016721009949001164</x:v>
      </x:c>
      <x:c r="Q414" s="154" t="n">
        <x:f>IFERROR((M414-N414)/O413,"")</x:f>
        <x:v>0.037538667335507064</x:v>
      </x:c>
      <x:c r="R414" s="153" t="n">
        <x:v>12042</x:v>
      </x:c>
      <x:c r="S414" s="158" t="n">
        <x:v>1365382</x:v>
      </x:c>
      <x:c r="T414" s="158" t="n">
        <x:v>16442811444</x:v>
      </x:c>
      <x:c r="U414" s="158" t="n">
        <x:v>3689574</x:v>
      </x:c>
      <x:c r="V414" s="153" t="n">
        <x:f>IFERROR(E414*1000/O414,"")</x:f>
        <x:v>80.80627660462399</x:v>
      </x:c>
      <x:c r="W414" s="153" t="n">
        <x:v>4.05</x:v>
      </x:c>
      <x:c r="X414" s="155" t="n">
        <x:v>45945</x:v>
      </x:c>
      <x:c r="Y414" s="153" t="n">
        <x:v>1.76</x:v>
      </x:c>
      <x:c r="Z414" s="155" t="n">
        <x:v>45945</x:v>
      </x:c>
      <x:c r="AA414" s="153" t="n">
        <x:f>IFERROR(Y414-Y413,"")</x:f>
        <x:v>0.030000000000000027</x:v>
      </x:c>
      <x:c r="AB414" s="153" t="n">
        <x:v>2.29</x:v>
      </x:c>
      <x:c r="AC414" s="153" t="n">
        <x:v>120.8642</x:v>
      </x:c>
      <x:c r="AD414" s="155" t="n">
        <x:v>45945</x:v>
      </x:c>
      <x:c r="AE414" s="154" t="n">
        <x:f>IFERROR(AC414/AC413-1,"")</x:f>
        <x:v>-0.002624147770877272</x:v>
      </x:c>
      <x:c r="AF414" s="153" t="n">
        <x:v>20.64</x:v>
      </x:c>
      <x:c r="AG414" s="155" t="n">
        <x:v>45945</x:v>
      </x:c>
      <x:c r="AH414" s="153" t="n">
        <x:f>IFERROR(AF414-AF413,"")</x:f>
        <x:v>-0.16999999999999815</x:v>
      </x:c>
      <x:c r="AI414" s="153" t="n">
        <x:v>4.1</x:v>
      </x:c>
      <x:c r="AJ414" s="155" t="n">
        <x:v>45940</x:v>
      </x:c>
      <x:c r="AK414" s="159" t="n">
        <x:v>129759</x:v>
      </x:c>
      <x:c r="AL414" s="154" t="n">
        <x:v>0.2672363193762241</x:v>
      </x:c>
      <x:c r="AM414" s="159" t="n">
        <x:v>-65352</x:v>
      </x:c>
      <x:c r="AN414" s="155" t="n">
        <x:v>45940</x:v>
      </x:c>
      <x:c r="AO414" s="159" t="n">
        <x:v>27493</x:v>
      </x:c>
      <x:c r="AP414" s="154" t="n">
        <x:v>0.16514891214243665</x:v>
      </x:c>
      <x:c r="AQ414" s="159" t="n">
        <x:v>-24038</x:v>
      </x:c>
      <x:c r="AR414" s="147" t="str">
        <x:v>美国市场指标与CFTC数据均使用严格早于上金所交易日的最后已发布值</x:v>
      </x:c>
    </x:row>
    <x:row r="415">
      <x:c r="A415" s="155" t="n">
        <x:v>45947</x:v>
      </x:c>
      <x:c r="B415" s="153" t="n">
        <x:v>969</x:v>
      </x:c>
      <x:c r="C415" s="153" t="n">
        <x:v>1002</x:v>
      </x:c>
      <x:c r="D415" s="153" t="n">
        <x:v>965</x:v>
      </x:c>
      <x:c r="E415" s="153" t="n">
        <x:v>997.17</x:v>
      </x:c>
      <x:c r="F415" s="154" t="n">
        <x:f>IFERROR(E415/E414-1,"")</x:f>
        <x:v>0.02998533269981607</x:v>
      </x:c>
      <x:c r="G415" s="154" t="n">
        <x:f>IFERROR((C415-D415)/E414,"")</x:f>
        <x:v>0.03821761315512219</x:v>
      </x:c>
      <x:c r="H415" s="153" t="n">
        <x:v>994.79</x:v>
      </x:c>
      <x:c r="I415" s="158" t="n">
        <x:v>24473.98</x:v>
      </x:c>
      <x:c r="J415" s="158" t="n">
        <x:v>24346534308.2</x:v>
      </x:c>
      <x:c r="K415" s="158"/>
      <x:c r="L415" s="153" t="n">
        <x:v>12025</x:v>
      </x:c>
      <x:c r="M415" s="153" t="n">
        <x:v>12329</x:v>
      </x:c>
      <x:c r="N415" s="153" t="n">
        <x:v>11996</x:v>
      </x:c>
      <x:c r="O415" s="153" t="n">
        <x:v>12228</x:v>
      </x:c>
      <x:c r="P415" s="154" t="n">
        <x:f>IFERROR(O415/O414-1,"")</x:f>
        <x:v>0.020615975294215882</x:v>
      </x:c>
      <x:c r="Q415" s="154" t="n">
        <x:f>IFERROR((M415-N415)/O414,"")</x:f>
        <x:v>0.027794007178031883</x:v>
      </x:c>
      <x:c r="R415" s="153" t="n">
        <x:v>12191</x:v>
      </x:c>
      <x:c r="S415" s="158" t="n">
        <x:v>1451174</x:v>
      </x:c>
      <x:c r="T415" s="158" t="n">
        <x:v>17691697436</x:v>
      </x:c>
      <x:c r="U415" s="158" t="n">
        <x:v>3623146</x:v>
      </x:c>
      <x:c r="V415" s="153" t="n">
        <x:f>IFERROR(E415*1000/O415,"")</x:f>
        <x:v>81.54808635917566</x:v>
      </x:c>
      <x:c r="W415" s="153" t="n">
        <x:v>3.99</x:v>
      </x:c>
      <x:c r="X415" s="155" t="n">
        <x:v>45946</x:v>
      </x:c>
      <x:c r="Y415" s="153" t="n">
        <x:v>1.71</x:v>
      </x:c>
      <x:c r="Z415" s="155" t="n">
        <x:v>45946</x:v>
      </x:c>
      <x:c r="AA415" s="153" t="n">
        <x:f>IFERROR(Y415-Y414,"")</x:f>
        <x:v>-0.050000000000000044</x:v>
      </x:c>
      <x:c r="AB415" s="153" t="n">
        <x:v>2.28</x:v>
      </x:c>
      <x:c r="AC415" s="153" t="n">
        <x:v>120.6698</x:v>
      </x:c>
      <x:c r="AD415" s="155" t="n">
        <x:v>45946</x:v>
      </x:c>
      <x:c r="AE415" s="154" t="n">
        <x:f>IFERROR(AC415/AC414-1,"")</x:f>
        <x:v>-0.0016084167189291954</x:v>
      </x:c>
      <x:c r="AF415" s="153" t="n">
        <x:v>25.31</x:v>
      </x:c>
      <x:c r="AG415" s="155" t="n">
        <x:v>45946</x:v>
      </x:c>
      <x:c r="AH415" s="153" t="n">
        <x:f>IFERROR(AF415-AF414,"")</x:f>
        <x:v>4.669999999999998</x:v>
      </x:c>
      <x:c r="AI415" s="153" t="n">
        <x:v>4.11</x:v>
      </x:c>
      <x:c r="AJ415" s="155" t="n">
        <x:v>45940</x:v>
      </x:c>
      <x:c r="AK415" s="159" t="n">
        <x:v>129759</x:v>
      </x:c>
      <x:c r="AL415" s="154" t="n">
        <x:v>0.2672363193762241</x:v>
      </x:c>
      <x:c r="AM415" s="159" t="n">
        <x:v>-65352</x:v>
      </x:c>
      <x:c r="AN415" s="155" t="n">
        <x:v>45940</x:v>
      </x:c>
      <x:c r="AO415" s="159" t="n">
        <x:v>27493</x:v>
      </x:c>
      <x:c r="AP415" s="154" t="n">
        <x:v>0.16514891214243665</x:v>
      </x:c>
      <x:c r="AQ415" s="159" t="n">
        <x:v>-24038</x:v>
      </x:c>
      <x:c r="AR415" s="147" t="str">
        <x:v>美国市场指标与CFTC数据均使用严格早于上金所交易日的最后已发布值</x:v>
      </x:c>
    </x:row>
    <x:row r="416">
      <x:c r="A416" s="155" t="n">
        <x:v>45950</x:v>
      </x:c>
      <x:c r="B416" s="153" t="n">
        <x:v>999.99</x:v>
      </x:c>
      <x:c r="C416" s="153" t="n">
        <x:v>999.99</x:v>
      </x:c>
      <x:c r="D416" s="153" t="n">
        <x:v>962</x:v>
      </x:c>
      <x:c r="E416" s="153" t="n">
        <x:v>974.3</x:v>
      </x:c>
      <x:c r="F416" s="154" t="n">
        <x:f>IFERROR(E416/E415-1,"")</x:f>
        <x:v>-0.022934905783366988</x:v>
      </x:c>
      <x:c r="G416" s="154" t="n">
        <x:f>IFERROR((C416-D416)/E415,"")</x:f>
        <x:v>0.03809781682160515</x:v>
      </x:c>
      <x:c r="H416" s="153" t="n">
        <x:v>974.16</x:v>
      </x:c>
      <x:c r="I416" s="158" t="n">
        <x:v>28444.44</x:v>
      </x:c>
      <x:c r="J416" s="158" t="n">
        <x:v>27709505856.6</x:v>
      </x:c>
      <x:c r="K416" s="158"/>
      <x:c r="L416" s="153" t="n">
        <x:v>12089</x:v>
      </x:c>
      <x:c r="M416" s="153" t="n">
        <x:v>12150</x:v>
      </x:c>
      <x:c r="N416" s="153" t="n">
        <x:v>11580</x:v>
      </x:c>
      <x:c r="O416" s="153" t="n">
        <x:v>11779</x:v>
      </x:c>
      <x:c r="P416" s="154" t="n">
        <x:f>IFERROR(O416/O415-1,"")</x:f>
        <x:v>-0.03671900556100749</x:v>
      </x:c>
      <x:c r="Q416" s="154" t="n">
        <x:f>IFERROR((M416-N416)/O415,"")</x:f>
        <x:v>0.04661432777232581</x:v>
      </x:c>
      <x:c r="R416" s="153" t="n">
        <x:v>11783</x:v>
      </x:c>
      <x:c r="S416" s="158" t="n">
        <x:v>1658292</x:v>
      </x:c>
      <x:c r="T416" s="158" t="n">
        <x:v>19541300138</x:v>
      </x:c>
      <x:c r="U416" s="158" t="n">
        <x:v>3830738</x:v>
      </x:c>
      <x:c r="V416" s="153" t="n">
        <x:f>IFERROR(E416*1000/O416,"")</x:f>
        <x:v>82.71500127345276</x:v>
      </x:c>
      <x:c r="W416" s="153" t="n">
        <x:v>4.02</x:v>
      </x:c>
      <x:c r="X416" s="155" t="n">
        <x:v>45947</x:v>
      </x:c>
      <x:c r="Y416" s="153" t="n">
        <x:v>1.75</x:v>
      </x:c>
      <x:c r="Z416" s="155" t="n">
        <x:v>45947</x:v>
      </x:c>
      <x:c r="AA416" s="153" t="n">
        <x:f>IFERROR(Y416-Y415,"")</x:f>
        <x:v>0.040000000000000036</x:v>
      </x:c>
      <x:c r="AB416" s="153" t="n">
        <x:v>2.27</x:v>
      </x:c>
      <x:c r="AC416" s="153" t="n">
        <x:v>120.7028</x:v>
      </x:c>
      <x:c r="AD416" s="155" t="n">
        <x:v>45947</x:v>
      </x:c>
      <x:c r="AE416" s="154" t="n">
        <x:f>IFERROR(AC416/AC415-1,"")</x:f>
        <x:v>0.00027347356173623716</x:v>
      </x:c>
      <x:c r="AF416" s="153" t="n">
        <x:v>20.78</x:v>
      </x:c>
      <x:c r="AG416" s="155" t="n">
        <x:v>45947</x:v>
      </x:c>
      <x:c r="AH416" s="153" t="n">
        <x:f>IFERROR(AF416-AF415,"")</x:f>
        <x:v>-4.529999999999998</x:v>
      </x:c>
      <x:c r="AI416" s="153" t="n">
        <x:v>4.11</x:v>
      </x:c>
      <x:c r="AJ416" s="155" t="n">
        <x:v>45947</x:v>
      </x:c>
      <x:c r="AK416" s="159" t="n">
        <x:v>108310</x:v>
      </x:c>
      <x:c r="AL416" s="154" t="n">
        <x:v>0.22295733941554752</x:v>
      </x:c>
      <x:c r="AM416" s="159" t="n">
        <x:v>-61457</x:v>
      </x:c>
      <x:c r="AN416" s="155" t="n">
        <x:v>45947</x:v>
      </x:c>
      <x:c r="AO416" s="159" t="n">
        <x:v>23038</x:v>
      </x:c>
      <x:c r="AP416" s="154" t="n">
        <x:v>0.13361946466374736</x:v>
      </x:c>
      <x:c r="AQ416" s="159" t="n">
        <x:v>-26013</x:v>
      </x:c>
      <x:c r="AR416" s="147" t="str">
        <x:v>美国市场指标与CFTC数据均使用严格早于上金所交易日的最后已发布值</x:v>
      </x:c>
    </x:row>
    <x:row r="417">
      <x:c r="A417" s="155" t="n">
        <x:v>45951</x:v>
      </x:c>
      <x:c r="B417" s="153" t="n">
        <x:v>977</x:v>
      </x:c>
      <x:c r="C417" s="153" t="n">
        <x:v>999</x:v>
      </x:c>
      <x:c r="D417" s="153" t="n">
        <x:v>977</x:v>
      </x:c>
      <x:c r="E417" s="153" t="n">
        <x:v>987.12</x:v>
      </x:c>
      <x:c r="F417" s="154" t="n">
        <x:f>IFERROR(E417/E416-1,"")</x:f>
        <x:v>0.01315816483629284</x:v>
      </x:c>
      <x:c r="G417" s="154" t="n">
        <x:f>IFERROR((C417-D417)/E416,"")</x:f>
        <x:v>0.02258031407164118</x:v>
      </x:c>
      <x:c r="H417" s="153" t="n">
        <x:v>990.75</x:v>
      </x:c>
      <x:c r="I417" s="158" t="n">
        <x:v>15935.76</x:v>
      </x:c>
      <x:c r="J417" s="158" t="n">
        <x:v>15788512567.2</x:v>
      </x:c>
      <x:c r="K417" s="158"/>
      <x:c r="L417" s="153" t="n">
        <x:v>11799</x:v>
      </x:c>
      <x:c r="M417" s="153" t="n">
        <x:v>12058</x:v>
      </x:c>
      <x:c r="N417" s="153" t="n">
        <x:v>11679</x:v>
      </x:c>
      <x:c r="O417" s="153" t="n">
        <x:v>11759</x:v>
      </x:c>
      <x:c r="P417" s="154" t="n">
        <x:f>IFERROR(O417/O416-1,"")</x:f>
        <x:v>-0.001697937006537087</x:v>
      </x:c>
      <x:c r="Q417" s="154" t="n">
        <x:f>IFERROR((M417-N417)/O416,"")</x:f>
        <x:v>0.03217590627387724</x:v>
      </x:c>
      <x:c r="R417" s="153" t="n">
        <x:v>11836</x:v>
      </x:c>
      <x:c r="S417" s="158" t="n">
        <x:v>2116166</x:v>
      </x:c>
      <x:c r="T417" s="158" t="n">
        <x:v>25047503190</x:v>
      </x:c>
      <x:c r="U417" s="158" t="n">
        <x:v>3977852</x:v>
      </x:c>
      <x:c r="V417" s="153" t="n">
        <x:f>IFERROR(E417*1000/O417,"")</x:f>
        <x:v>83.94591376817756</x:v>
      </x:c>
      <x:c r="W417" s="153" t="n">
        <x:v>4</x:v>
      </x:c>
      <x:c r="X417" s="155" t="n">
        <x:v>45950</x:v>
      </x:c>
      <x:c r="Y417" s="153" t="n">
        <x:v>1.74</x:v>
      </x:c>
      <x:c r="Z417" s="155" t="n">
        <x:v>45950</x:v>
      </x:c>
      <x:c r="AA417" s="153" t="n">
        <x:f>IFERROR(Y417-Y416,"")</x:f>
        <x:v>-0.010000000000000009</x:v>
      </x:c>
      <x:c r="AB417" s="153" t="n">
        <x:v>2.26</x:v>
      </x:c>
      <x:c r="AC417" s="153" t="n">
        <x:v>120.6209</x:v>
      </x:c>
      <x:c r="AD417" s="155" t="n">
        <x:v>45950</x:v>
      </x:c>
      <x:c r="AE417" s="154" t="n">
        <x:f>IFERROR(AC417/AC416-1,"")</x:f>
        <x:v>-0.0006785260988145803</x:v>
      </x:c>
      <x:c r="AF417" s="153" t="n">
        <x:v>18.23</x:v>
      </x:c>
      <x:c r="AG417" s="155" t="n">
        <x:v>45950</x:v>
      </x:c>
      <x:c r="AH417" s="153" t="n">
        <x:f>IFERROR(AF417-AF416,"")</x:f>
        <x:v>-2.5500000000000007</x:v>
      </x:c>
      <x:c r="AI417" s="153" t="n">
        <x:v>4.11</x:v>
      </x:c>
      <x:c r="AJ417" s="155" t="n">
        <x:v>45947</x:v>
      </x:c>
      <x:c r="AK417" s="159" t="n">
        <x:v>108310</x:v>
      </x:c>
      <x:c r="AL417" s="154" t="n">
        <x:v>0.22295733941554752</x:v>
      </x:c>
      <x:c r="AM417" s="159" t="n">
        <x:v>-61457</x:v>
      </x:c>
      <x:c r="AN417" s="155" t="n">
        <x:v>45947</x:v>
      </x:c>
      <x:c r="AO417" s="159" t="n">
        <x:v>23038</x:v>
      </x:c>
      <x:c r="AP417" s="154" t="n">
        <x:v>0.13361946466374736</x:v>
      </x:c>
      <x:c r="AQ417" s="159" t="n">
        <x:v>-26013</x:v>
      </x:c>
      <x:c r="AR417" s="147" t="str">
        <x:v>美国市场指标与CFTC数据均使用严格早于上金所交易日的最后已发布值</x:v>
      </x:c>
    </x:row>
    <x:row r="418">
      <x:c r="A418" s="155" t="n">
        <x:v>45952</x:v>
      </x:c>
      <x:c r="B418" s="153" t="n">
        <x:v>976.8</x:v>
      </x:c>
      <x:c r="C418" s="153" t="n">
        <x:v>976.8</x:v>
      </x:c>
      <x:c r="D418" s="153" t="n">
        <x:v>932</x:v>
      </x:c>
      <x:c r="E418" s="153" t="n">
        <x:v>948.8</x:v>
      </x:c>
      <x:c r="F418" s="154" t="n">
        <x:f>IFERROR(E418/E417-1,"")</x:f>
        <x:v>-0.038820001620876954</x:v>
      </x:c>
      <x:c r="G418" s="154" t="n">
        <x:f>IFERROR((C418-D418)/E417,"")</x:f>
        <x:v>0.04538455304319632</x:v>
      </x:c>
      <x:c r="H418" s="153" t="n">
        <x:v>944.7</x:v>
      </x:c>
      <x:c r="I418" s="158" t="n">
        <x:v>22212.1</x:v>
      </x:c>
      <x:c r="J418" s="158" t="n">
        <x:v>20983916149.8</x:v>
      </x:c>
      <x:c r="K418" s="158"/>
      <x:c r="L418" s="153" t="n">
        <x:v>11490</x:v>
      </x:c>
      <x:c r="M418" s="153" t="n">
        <x:v>11500</x:v>
      </x:c>
      <x:c r="N418" s="153" t="n">
        <x:v>11191</x:v>
      </x:c>
      <x:c r="O418" s="153" t="n">
        <x:v>11381</x:v>
      </x:c>
      <x:c r="P418" s="154" t="n">
        <x:f>IFERROR(O418/O417-1,"")</x:f>
        <x:v>-0.032145590611446506</x:v>
      </x:c>
      <x:c r="Q418" s="154" t="n">
        <x:f>IFERROR((M418-N418)/O417,"")</x:f>
        <x:v>0.0262777447061825</x:v>
      </x:c>
      <x:c r="R418" s="153" t="n">
        <x:v>11307</x:v>
      </x:c>
      <x:c r="S418" s="158" t="n">
        <x:v>2347356</x:v>
      </x:c>
      <x:c r="T418" s="158" t="n">
        <x:v>26542465988</x:v>
      </x:c>
      <x:c r="U418" s="158" t="n">
        <x:v>3795302</x:v>
      </x:c>
      <x:c r="V418" s="153" t="n">
        <x:f>IFERROR(E418*1000/O418,"")</x:f>
        <x:v>83.36701520077322</x:v>
      </x:c>
      <x:c r="W418" s="153" t="n">
        <x:v>3.98</x:v>
      </x:c>
      <x:c r="X418" s="155" t="n">
        <x:v>45951</x:v>
      </x:c>
      <x:c r="Y418" s="153" t="n">
        <x:v>1.7</x:v>
      </x:c>
      <x:c r="Z418" s="155" t="n">
        <x:v>45951</x:v>
      </x:c>
      <x:c r="AA418" s="153" t="n">
        <x:f>IFERROR(Y418-Y417,"")</x:f>
        <x:v>-0.040000000000000036</x:v>
      </x:c>
      <x:c r="AB418" s="153" t="n">
        <x:v>2.28</x:v>
      </x:c>
      <x:c r="AC418" s="153" t="n">
        <x:v>120.8895</x:v>
      </x:c>
      <x:c r="AD418" s="155" t="n">
        <x:v>45951</x:v>
      </x:c>
      <x:c r="AE418" s="154" t="n">
        <x:f>IFERROR(AC418/AC417-1,"")</x:f>
        <x:v>0.002226811439808518</x:v>
      </x:c>
      <x:c r="AF418" s="153" t="n">
        <x:v>17.87</x:v>
      </x:c>
      <x:c r="AG418" s="155" t="n">
        <x:v>45951</x:v>
      </x:c>
      <x:c r="AH418" s="153" t="n">
        <x:f>IFERROR(AF418-AF417,"")</x:f>
        <x:v>-0.35999999999999943</x:v>
      </x:c>
      <x:c r="AI418" s="153" t="n">
        <x:v>4.11</x:v>
      </x:c>
      <x:c r="AJ418" s="155" t="n">
        <x:v>45947</x:v>
      </x:c>
      <x:c r="AK418" s="159" t="n">
        <x:v>108310</x:v>
      </x:c>
      <x:c r="AL418" s="154" t="n">
        <x:v>0.22295733941554752</x:v>
      </x:c>
      <x:c r="AM418" s="159" t="n">
        <x:v>-61457</x:v>
      </x:c>
      <x:c r="AN418" s="155" t="n">
        <x:v>45947</x:v>
      </x:c>
      <x:c r="AO418" s="159" t="n">
        <x:v>23038</x:v>
      </x:c>
      <x:c r="AP418" s="154" t="n">
        <x:v>0.13361946466374736</x:v>
      </x:c>
      <x:c r="AQ418" s="159" t="n">
        <x:v>-26013</x:v>
      </x:c>
      <x:c r="AR418" s="147" t="str">
        <x:v>美国市场指标与CFTC数据均使用严格早于上金所交易日的最后已发布值</x:v>
      </x:c>
    </x:row>
    <x:row r="419">
      <x:c r="A419" s="155" t="n">
        <x:v>45953</x:v>
      </x:c>
      <x:c r="B419" s="153" t="n">
        <x:v>920</x:v>
      </x:c>
      <x:c r="C419" s="153" t="n">
        <x:v>946</x:v>
      </x:c>
      <x:c r="D419" s="153" t="n">
        <x:v>920</x:v>
      </x:c>
      <x:c r="E419" s="153" t="n">
        <x:v>941.21</x:v>
      </x:c>
      <x:c r="F419" s="154" t="n">
        <x:f>IFERROR(E419/E418-1,"")</x:f>
        <x:v>-0.00799957841483967</x:v>
      </x:c>
      <x:c r="G419" s="154" t="n">
        <x:f>IFERROR((C419-D419)/E418,"")</x:f>
        <x:v>0.02740303541315346</x:v>
      </x:c>
      <x:c r="H419" s="153" t="n">
        <x:v>938.68</x:v>
      </x:c>
      <x:c r="I419" s="158" t="n">
        <x:v>9994.46</x:v>
      </x:c>
      <x:c r="J419" s="158" t="n">
        <x:v>9381642754</x:v>
      </x:c>
      <x:c r="K419" s="158"/>
      <x:c r="L419" s="153" t="n">
        <x:v>11111</x:v>
      </x:c>
      <x:c r="M419" s="153" t="n">
        <x:v>11465</x:v>
      </x:c>
      <x:c r="N419" s="153" t="n">
        <x:v>11111</x:v>
      </x:c>
      <x:c r="O419" s="153" t="n">
        <x:v>11463</x:v>
      </x:c>
      <x:c r="P419" s="154" t="n">
        <x:f>IFERROR(O419/O418-1,"")</x:f>
        <x:v>0.0072049907740971975</x:v>
      </x:c>
      <x:c r="Q419" s="154" t="n">
        <x:f>IFERROR((M419-N419)/O418,"")</x:f>
        <x:v>0.03110447236622441</x:v>
      </x:c>
      <x:c r="R419" s="153" t="n">
        <x:v>11361</x:v>
      </x:c>
      <x:c r="S419" s="158" t="n">
        <x:v>985702</x:v>
      </x:c>
      <x:c r="T419" s="158" t="n">
        <x:v>11199168656</x:v>
      </x:c>
      <x:c r="U419" s="158" t="n">
        <x:v>3863514</x:v>
      </x:c>
      <x:c r="V419" s="153" t="n">
        <x:f>IFERROR(E419*1000/O419,"")</x:f>
        <x:v>82.10852307423886</x:v>
      </x:c>
      <x:c r="W419" s="153" t="n">
        <x:v>3.97</x:v>
      </x:c>
      <x:c r="X419" s="155" t="n">
        <x:v>45952</x:v>
      </x:c>
      <x:c r="Y419" s="153" t="n">
        <x:v>1.68</x:v>
      </x:c>
      <x:c r="Z419" s="155" t="n">
        <x:v>45952</x:v>
      </x:c>
      <x:c r="AA419" s="153" t="n">
        <x:f>IFERROR(Y419-Y418,"")</x:f>
        <x:v>-0.020000000000000018</x:v>
      </x:c>
      <x:c r="AB419" s="153" t="n">
        <x:v>2.29</x:v>
      </x:c>
      <x:c r="AC419" s="153" t="n">
        <x:v>120.8958</x:v>
      </x:c>
      <x:c r="AD419" s="155" t="n">
        <x:v>45952</x:v>
      </x:c>
      <x:c r="AE419" s="154" t="n">
        <x:f>IFERROR(AC419/AC418-1,"")</x:f>
        <x:v>0.00005211370714564012</x:v>
      </x:c>
      <x:c r="AF419" s="153" t="n">
        <x:v>18.6</x:v>
      </x:c>
      <x:c r="AG419" s="155" t="n">
        <x:v>45952</x:v>
      </x:c>
      <x:c r="AH419" s="153" t="n">
        <x:f>IFERROR(AF419-AF418,"")</x:f>
        <x:v>0.7300000000000004</x:v>
      </x:c>
      <x:c r="AI419" s="153" t="n">
        <x:v>4.11</x:v>
      </x:c>
      <x:c r="AJ419" s="155" t="n">
        <x:v>45947</x:v>
      </x:c>
      <x:c r="AK419" s="159" t="n">
        <x:v>108310</x:v>
      </x:c>
      <x:c r="AL419" s="154" t="n">
        <x:v>0.22295733941554752</x:v>
      </x:c>
      <x:c r="AM419" s="159" t="n">
        <x:v>-61457</x:v>
      </x:c>
      <x:c r="AN419" s="155" t="n">
        <x:v>45947</x:v>
      </x:c>
      <x:c r="AO419" s="159" t="n">
        <x:v>23038</x:v>
      </x:c>
      <x:c r="AP419" s="154" t="n">
        <x:v>0.13361946466374736</x:v>
      </x:c>
      <x:c r="AQ419" s="159" t="n">
        <x:v>-26013</x:v>
      </x:c>
      <x:c r="AR419" s="147" t="str">
        <x:v>美国市场指标与CFTC数据均使用严格早于上金所交易日的最后已发布值</x:v>
      </x:c>
    </x:row>
    <x:row r="420">
      <x:c r="A420" s="155" t="n">
        <x:v>45954</x:v>
      </x:c>
      <x:c r="B420" s="153" t="n">
        <x:v>945</x:v>
      </x:c>
      <x:c r="C420" s="153" t="n">
        <x:v>955</x:v>
      </x:c>
      <x:c r="D420" s="153" t="n">
        <x:v>934.3</x:v>
      </x:c>
      <x:c r="E420" s="153" t="n">
        <x:v>935.6</x:v>
      </x:c>
      <x:c r="F420" s="154" t="n">
        <x:f>IFERROR(E420/E419-1,"")</x:f>
        <x:v>-0.005960412660299008</x:v>
      </x:c>
      <x:c r="G420" s="154" t="n">
        <x:f>IFERROR((C420-D420)/E419,"")</x:f>
        <x:v>0.021992966500568464</x:v>
      </x:c>
      <x:c r="H420" s="153" t="n">
        <x:v>940.19</x:v>
      </x:c>
      <x:c r="I420" s="158" t="n">
        <x:v>10507.48</x:v>
      </x:c>
      <x:c r="J420" s="158" t="n">
        <x:v>9879030401</x:v>
      </x:c>
      <x:c r="K420" s="158"/>
      <x:c r="L420" s="153" t="n">
        <x:v>11485</x:v>
      </x:c>
      <x:c r="M420" s="153" t="n">
        <x:v>11550</x:v>
      </x:c>
      <x:c r="N420" s="153" t="n">
        <x:v>11262</x:v>
      </x:c>
      <x:c r="O420" s="153" t="n">
        <x:v>11317</x:v>
      </x:c>
      <x:c r="P420" s="154" t="n">
        <x:f>IFERROR(O420/O419-1,"")</x:f>
        <x:v>-0.012736630899415458</x:v>
      </x:c>
      <x:c r="Q420" s="154" t="n">
        <x:f>IFERROR((M420-N420)/O419,"")</x:f>
        <x:v>0.025124313007066214</x:v>
      </x:c>
      <x:c r="R420" s="153" t="n">
        <x:v>11350</x:v>
      </x:c>
      <x:c r="S420" s="158" t="n">
        <x:v>955860</x:v>
      </x:c>
      <x:c r="T420" s="158" t="n">
        <x:v>10849847992</x:v>
      </x:c>
      <x:c r="U420" s="158" t="n">
        <x:v>3645194</x:v>
      </x:c>
      <x:c r="V420" s="153" t="n">
        <x:f>IFERROR(E420*1000/O420,"")</x:f>
        <x:v>82.67208624193691</x:v>
      </x:c>
      <x:c r="W420" s="153" t="n">
        <x:v>4.01</x:v>
      </x:c>
      <x:c r="X420" s="155" t="n">
        <x:v>45953</x:v>
      </x:c>
      <x:c r="Y420" s="153" t="n">
        <x:v>1.71</x:v>
      </x:c>
      <x:c r="Z420" s="155" t="n">
        <x:v>45953</x:v>
      </x:c>
      <x:c r="AA420" s="153" t="n">
        <x:f>IFERROR(Y420-Y419,"")</x:f>
        <x:v>0.030000000000000027</x:v>
      </x:c>
      <x:c r="AB420" s="153" t="n">
        <x:v>2.3</x:v>
      </x:c>
      <x:c r="AC420" s="153" t="n">
        <x:v>120.9531</x:v>
      </x:c>
      <x:c r="AD420" s="155" t="n">
        <x:v>45953</x:v>
      </x:c>
      <x:c r="AE420" s="154" t="n">
        <x:f>IFERROR(AC420/AC419-1,"")</x:f>
        <x:v>0.0004739618746061325</x:v>
      </x:c>
      <x:c r="AF420" s="153" t="n">
        <x:v>17.3</x:v>
      </x:c>
      <x:c r="AG420" s="155" t="n">
        <x:v>45953</x:v>
      </x:c>
      <x:c r="AH420" s="153" t="n">
        <x:f>IFERROR(AF420-AF419,"")</x:f>
        <x:v>-1.3000000000000007</x:v>
      </x:c>
      <x:c r="AI420" s="153" t="n">
        <x:v>4.11</x:v>
      </x:c>
      <x:c r="AJ420" s="155" t="n">
        <x:v>45947</x:v>
      </x:c>
      <x:c r="AK420" s="159" t="n">
        <x:v>108310</x:v>
      </x:c>
      <x:c r="AL420" s="154" t="n">
        <x:v>0.22295733941554752</x:v>
      </x:c>
      <x:c r="AM420" s="159" t="n">
        <x:v>-61457</x:v>
      </x:c>
      <x:c r="AN420" s="155" t="n">
        <x:v>45947</x:v>
      </x:c>
      <x:c r="AO420" s="159" t="n">
        <x:v>23038</x:v>
      </x:c>
      <x:c r="AP420" s="154" t="n">
        <x:v>0.13361946466374736</x:v>
      </x:c>
      <x:c r="AQ420" s="159" t="n">
        <x:v>-26013</x:v>
      </x:c>
      <x:c r="AR420" s="147" t="str">
        <x:v>美国市场指标与CFTC数据均使用严格早于上金所交易日的最后已发布值</x:v>
      </x:c>
    </x:row>
    <x:row r="421">
      <x:c r="A421" s="155" t="n">
        <x:v>45957</x:v>
      </x:c>
      <x:c r="B421" s="153" t="n">
        <x:v>928.6</x:v>
      </x:c>
      <x:c r="C421" s="153" t="n">
        <x:v>953</x:v>
      </x:c>
      <x:c r="D421" s="153" t="n">
        <x:v>928</x:v>
      </x:c>
      <x:c r="E421" s="153" t="n">
        <x:v>930.79</x:v>
      </x:c>
      <x:c r="F421" s="154" t="n">
        <x:f>IFERROR(E421/E420-1,"")</x:f>
        <x:v>-0.005141085934159961</x:v>
      </x:c>
      <x:c r="G421" s="154" t="n">
        <x:f>IFERROR((C421-D421)/E420,"")</x:f>
        <x:v>0.02672082086361693</x:v>
      </x:c>
      <x:c r="H421" s="153" t="n">
        <x:v>932.75</x:v>
      </x:c>
      <x:c r="I421" s="158" t="n">
        <x:v>11298.4</x:v>
      </x:c>
      <x:c r="J421" s="158" t="n">
        <x:v>10538653477.6</x:v>
      </x:c>
      <x:c r="K421" s="158"/>
      <x:c r="L421" s="153" t="n">
        <x:v>11275</x:v>
      </x:c>
      <x:c r="M421" s="153" t="n">
        <x:v>11481</x:v>
      </x:c>
      <x:c r="N421" s="153" t="n">
        <x:v>11267</x:v>
      </x:c>
      <x:c r="O421" s="153" t="n">
        <x:v>11345</x:v>
      </x:c>
      <x:c r="P421" s="154" t="n">
        <x:f>IFERROR(O421/O420-1,"")</x:f>
        <x:v>0.0024741539277193247</x:v>
      </x:c>
      <x:c r="Q421" s="154" t="n">
        <x:f>IFERROR((M421-N421)/O420,"")</x:f>
        <x:v>0.01890960501899797</x:v>
      </x:c>
      <x:c r="R421" s="153" t="n">
        <x:v>11384</x:v>
      </x:c>
      <x:c r="S421" s="158" t="n">
        <x:v>653624</x:v>
      </x:c>
      <x:c r="T421" s="158" t="n">
        <x:v>7441272754</x:v>
      </x:c>
      <x:c r="U421" s="158" t="n">
        <x:v>3710536</x:v>
      </x:c>
      <x:c r="V421" s="153" t="n">
        <x:f>IFERROR(E421*1000/O421,"")</x:f>
        <x:v>82.0440722785368</x:v>
      </x:c>
      <x:c r="W421" s="153" t="n">
        <x:v>4.02</x:v>
      </x:c>
      <x:c r="X421" s="155" t="n">
        <x:v>45954</x:v>
      </x:c>
      <x:c r="Y421" s="153" t="n">
        <x:v>1.73</x:v>
      </x:c>
      <x:c r="Z421" s="155" t="n">
        <x:v>45954</x:v>
      </x:c>
      <x:c r="AA421" s="153" t="n">
        <x:f>IFERROR(Y421-Y420,"")</x:f>
        <x:v>0.020000000000000018</x:v>
      </x:c>
      <x:c r="AB421" s="153" t="n">
        <x:v>2.29</x:v>
      </x:c>
      <x:c r="AC421" s="153" t="n">
        <x:v>120.9345</x:v>
      </x:c>
      <x:c r="AD421" s="155" t="n">
        <x:v>45954</x:v>
      </x:c>
      <x:c r="AE421" s="154" t="n">
        <x:f>IFERROR(AC421/AC420-1,"")</x:f>
        <x:v>-0.00015377861336340892</x:v>
      </x:c>
      <x:c r="AF421" s="153" t="n">
        <x:v>16.37</x:v>
      </x:c>
      <x:c r="AG421" s="155" t="n">
        <x:v>45954</x:v>
      </x:c>
      <x:c r="AH421" s="153" t="n">
        <x:f>IFERROR(AF421-AF420,"")</x:f>
        <x:v>-0.9299999999999997</x:v>
      </x:c>
      <x:c r="AI421" s="153" t="n">
        <x:v>4.11</x:v>
      </x:c>
      <x:c r="AJ421" s="155" t="n">
        <x:v>45954</x:v>
      </x:c>
      <x:c r="AK421" s="159" t="n">
        <x:v>92227</x:v>
      </x:c>
      <x:c r="AL421" s="154" t="n">
        <x:v>0.19522205829122752</x:v>
      </x:c>
      <x:c r="AM421" s="159" t="n">
        <x:v>-57778</x:v>
      </x:c>
      <x:c r="AN421" s="155" t="n">
        <x:v>45954</x:v>
      </x:c>
      <x:c r="AO421" s="159" t="n">
        <x:v>17212</x:v>
      </x:c>
      <x:c r="AP421" s="154" t="n">
        <x:v>0.10159487185541087</x:v>
      </x:c>
      <x:c r="AQ421" s="159" t="n">
        <x:v>-23490</x:v>
      </x:c>
      <x:c r="AR421" s="147" t="str">
        <x:v>美国市场指标与CFTC数据均使用严格早于上金所交易日的最后已发布值</x:v>
      </x:c>
    </x:row>
    <x:row r="422">
      <x:c r="A422" s="155" t="n">
        <x:v>45958</x:v>
      </x:c>
      <x:c r="B422" s="153" t="n">
        <x:v>930.79</x:v>
      </x:c>
      <x:c r="C422" s="153" t="n">
        <x:v>930.79</x:v>
      </x:c>
      <x:c r="D422" s="153" t="n">
        <x:v>896.52</x:v>
      </x:c>
      <x:c r="E422" s="153" t="n">
        <x:v>896.6</x:v>
      </x:c>
      <x:c r="F422" s="154" t="n">
        <x:f>IFERROR(E422/E421-1,"")</x:f>
        <x:v>-0.03673223820625482</x:v>
      </x:c>
      <x:c r="G422" s="154" t="n">
        <x:f>IFERROR((C422-D422)/E421,"")</x:f>
        <x:v>0.036818186701619036</x:v>
      </x:c>
      <x:c r="H422" s="153" t="n">
        <x:v>907.42</x:v>
      </x:c>
      <x:c r="I422" s="158" t="n">
        <x:v>14745.96</x:v>
      </x:c>
      <x:c r="J422" s="158" t="n">
        <x:v>13380871515.8</x:v>
      </x:c>
      <x:c r="K422" s="158"/>
      <x:c r="L422" s="153" t="n">
        <x:v>11178</x:v>
      </x:c>
      <x:c r="M422" s="153" t="n">
        <x:v>11290</x:v>
      </x:c>
      <x:c r="N422" s="153" t="n">
        <x:v>10985</x:v>
      </x:c>
      <x:c r="O422" s="153" t="n">
        <x:v>10996</x:v>
      </x:c>
      <x:c r="P422" s="154" t="n">
        <x:f>IFERROR(O422/O421-1,"")</x:f>
        <x:v>-0.030762450418686638</x:v>
      </x:c>
      <x:c r="Q422" s="154" t="n">
        <x:f>IFERROR((M422-N422)/O421,"")</x:f>
        <x:v>0.026884089907448214</x:v>
      </x:c>
      <x:c r="R422" s="153" t="n">
        <x:v>11070</x:v>
      </x:c>
      <x:c r="S422" s="158" t="n">
        <x:v>765416</x:v>
      </x:c>
      <x:c r="T422" s="158" t="n">
        <x:v>8473493014</x:v>
      </x:c>
      <x:c r="U422" s="158" t="n">
        <x:v>3717770</x:v>
      </x:c>
      <x:c r="V422" s="153" t="n">
        <x:f>IFERROR(E422*1000/O422,"")</x:f>
        <x:v>81.53874136049473</x:v>
      </x:c>
      <x:c r="W422" s="153" t="n">
        <x:v>4.01</x:v>
      </x:c>
      <x:c r="X422" s="155" t="n">
        <x:v>45957</x:v>
      </x:c>
      <x:c r="Y422" s="153" t="n">
        <x:v>1.73</x:v>
      </x:c>
      <x:c r="Z422" s="155" t="n">
        <x:v>45957</x:v>
      </x:c>
      <x:c r="AA422" s="153" t="n">
        <x:f>IFERROR(Y422-Y421,"")</x:f>
        <x:v>0</x:v>
      </x:c>
      <x:c r="AB422" s="153" t="n">
        <x:v>2.28</x:v>
      </x:c>
      <x:c r="AC422" s="153" t="n">
        <x:v>120.7988</x:v>
      </x:c>
      <x:c r="AD422" s="155" t="n">
        <x:v>45957</x:v>
      </x:c>
      <x:c r="AE422" s="154" t="n">
        <x:f>IFERROR(AC422/AC421-1,"")</x:f>
        <x:v>-0.0011220950183776779</x:v>
      </x:c>
      <x:c r="AF422" s="153" t="n">
        <x:v>15.79</x:v>
      </x:c>
      <x:c r="AG422" s="155" t="n">
        <x:v>45957</x:v>
      </x:c>
      <x:c r="AH422" s="153" t="n">
        <x:f>IFERROR(AF422-AF421,"")</x:f>
        <x:v>-0.5800000000000018</x:v>
      </x:c>
      <x:c r="AI422" s="153" t="n">
        <x:v>4.12</x:v>
      </x:c>
      <x:c r="AJ422" s="155" t="n">
        <x:v>45954</x:v>
      </x:c>
      <x:c r="AK422" s="159" t="n">
        <x:v>92227</x:v>
      </x:c>
      <x:c r="AL422" s="154" t="n">
        <x:v>0.19522205829122752</x:v>
      </x:c>
      <x:c r="AM422" s="159" t="n">
        <x:v>-57778</x:v>
      </x:c>
      <x:c r="AN422" s="155" t="n">
        <x:v>45954</x:v>
      </x:c>
      <x:c r="AO422" s="159" t="n">
        <x:v>17212</x:v>
      </x:c>
      <x:c r="AP422" s="154" t="n">
        <x:v>0.10159487185541087</x:v>
      </x:c>
      <x:c r="AQ422" s="159" t="n">
        <x:v>-23490</x:v>
      </x:c>
      <x:c r="AR422" s="147" t="str">
        <x:v>美国市场指标与CFTC数据均使用严格早于上金所交易日的最后已发布值</x:v>
      </x:c>
    </x:row>
    <x:row r="423">
      <x:c r="A423" s="155" t="n">
        <x:v>45959</x:v>
      </x:c>
      <x:c r="B423" s="153" t="n">
        <x:v>895</x:v>
      </x:c>
      <x:c r="C423" s="153" t="n">
        <x:v>913.7</x:v>
      </x:c>
      <x:c r="D423" s="153" t="n">
        <x:v>895</x:v>
      </x:c>
      <x:c r="E423" s="153" t="n">
        <x:v>912.94</x:v>
      </x:c>
      <x:c r="F423" s="154" t="n">
        <x:f>IFERROR(E423/E422-1,"")</x:f>
        <x:v>0.01822440330136077</x:v>
      </x:c>
      <x:c r="G423" s="154" t="n">
        <x:f>IFERROR((C423-D423)/E422,"")</x:f>
        <x:v>0.020856569261655192</x:v>
      </x:c>
      <x:c r="H423" s="153" t="n">
        <x:v>906.24</x:v>
      </x:c>
      <x:c r="I423" s="158" t="n">
        <x:v>14314.76</x:v>
      </x:c>
      <x:c r="J423" s="158" t="n">
        <x:v>12972616688.4</x:v>
      </x:c>
      <x:c r="K423" s="158"/>
      <x:c r="L423" s="153" t="n">
        <x:v>11000</x:v>
      </x:c>
      <x:c r="M423" s="153" t="n">
        <x:v>11351</x:v>
      </x:c>
      <x:c r="N423" s="153" t="n">
        <x:v>10969</x:v>
      </x:c>
      <x:c r="O423" s="153" t="n">
        <x:v>11351</x:v>
      </x:c>
      <x:c r="P423" s="154" t="n">
        <x:f>IFERROR(O423/O422-1,"")</x:f>
        <x:v>0.03228446707893773</x:v>
      </x:c>
      <x:c r="Q423" s="154" t="n">
        <x:f>IFERROR((M423-N423)/O422,"")</x:f>
        <x:v>0.03473990542015278</x:v>
      </x:c>
      <x:c r="R423" s="153" t="n">
        <x:v>11207</x:v>
      </x:c>
      <x:c r="S423" s="158" t="n">
        <x:v>605454</x:v>
      </x:c>
      <x:c r="T423" s="158" t="n">
        <x:v>6785738220</x:v>
      </x:c>
      <x:c r="U423" s="158" t="n">
        <x:v>3609146</x:v>
      </x:c>
      <x:c r="V423" s="153" t="n">
        <x:f>IFERROR(E423*1000/O423,"")</x:f>
        <x:v>80.42815610959387</x:v>
      </x:c>
      <x:c r="W423" s="153" t="n">
        <x:v>3.99</x:v>
      </x:c>
      <x:c r="X423" s="155" t="n">
        <x:v>45958</x:v>
      </x:c>
      <x:c r="Y423" s="153" t="n">
        <x:v>1.71</x:v>
      </x:c>
      <x:c r="Z423" s="155" t="n">
        <x:v>45958</x:v>
      </x:c>
      <x:c r="AA423" s="153" t="n">
        <x:f>IFERROR(Y423-Y422,"")</x:f>
        <x:v>-0.020000000000000018</x:v>
      </x:c>
      <x:c r="AB423" s="153" t="n">
        <x:v>2.28</x:v>
      </x:c>
      <x:c r="AC423" s="153" t="n">
        <x:v>120.6361</x:v>
      </x:c>
      <x:c r="AD423" s="155" t="n">
        <x:v>45958</x:v>
      </x:c>
      <x:c r="AE423" s="154" t="n">
        <x:f>IFERROR(AC423/AC422-1,"")</x:f>
        <x:v>-0.001346867684116071</x:v>
      </x:c>
      <x:c r="AF423" s="153" t="n">
        <x:v>16.42</x:v>
      </x:c>
      <x:c r="AG423" s="155" t="n">
        <x:v>45958</x:v>
      </x:c>
      <x:c r="AH423" s="153" t="n">
        <x:f>IFERROR(AF423-AF422,"")</x:f>
        <x:v>0.6300000000000026</x:v>
      </x:c>
      <x:c r="AI423" s="153" t="n">
        <x:v>4.12</x:v>
      </x:c>
      <x:c r="AJ423" s="155" t="n">
        <x:v>45954</x:v>
      </x:c>
      <x:c r="AK423" s="159" t="n">
        <x:v>92227</x:v>
      </x:c>
      <x:c r="AL423" s="154" t="n">
        <x:v>0.19522205829122752</x:v>
      </x:c>
      <x:c r="AM423" s="159" t="n">
        <x:v>-57778</x:v>
      </x:c>
      <x:c r="AN423" s="155" t="n">
        <x:v>45954</x:v>
      </x:c>
      <x:c r="AO423" s="159" t="n">
        <x:v>17212</x:v>
      </x:c>
      <x:c r="AP423" s="154" t="n">
        <x:v>0.10159487185541087</x:v>
      </x:c>
      <x:c r="AQ423" s="159" t="n">
        <x:v>-23490</x:v>
      </x:c>
      <x:c r="AR423" s="147" t="str">
        <x:v>美国市场指标与CFTC数据均使用严格早于上金所交易日的最后已发布值</x:v>
      </x:c>
    </x:row>
    <x:row r="424">
      <x:c r="A424" s="155" t="n">
        <x:v>45960</x:v>
      </x:c>
      <x:c r="B424" s="153" t="n">
        <x:v>917</x:v>
      </x:c>
      <x:c r="C424" s="153" t="n">
        <x:v>922</x:v>
      </x:c>
      <x:c r="D424" s="153" t="n">
        <x:v>894.01</x:v>
      </x:c>
      <x:c r="E424" s="153" t="n">
        <x:v>906.89</x:v>
      </x:c>
      <x:c r="F424" s="154" t="n">
        <x:f>IFERROR(E424/E423-1,"")</x:f>
        <x:v>-0.00662694152956389</x:v>
      </x:c>
      <x:c r="G424" s="154" t="n">
        <x:f>IFERROR((C424-D424)/E423,"")</x:f>
        <x:v>0.030659188993800258</x:v>
      </x:c>
      <x:c r="H424" s="153" t="n">
        <x:v>903.5</x:v>
      </x:c>
      <x:c r="I424" s="158" t="n">
        <x:v>11985.42</x:v>
      </x:c>
      <x:c r="J424" s="158" t="n">
        <x:v>10828891714.6</x:v>
      </x:c>
      <x:c r="K424" s="158"/>
      <x:c r="L424" s="153" t="n">
        <x:v>11375</x:v>
      </x:c>
      <x:c r="M424" s="153" t="n">
        <x:v>11450</x:v>
      </x:c>
      <x:c r="N424" s="153" t="n">
        <x:v>11091</x:v>
      </x:c>
      <x:c r="O424" s="153" t="n">
        <x:v>11197</x:v>
      </x:c>
      <x:c r="P424" s="154" t="n">
        <x:f>IFERROR(O424/O423-1,"")</x:f>
        <x:v>-0.013567086600299483</x:v>
      </x:c>
      <x:c r="Q424" s="154" t="n">
        <x:f>IFERROR((M424-N424)/O423,"")</x:f>
        <x:v>0.03162716941238657</x:v>
      </x:c>
      <x:c r="R424" s="153" t="n">
        <x:v>11163</x:v>
      </x:c>
      <x:c r="S424" s="158" t="n">
        <x:v>1294530</x:v>
      </x:c>
      <x:c r="T424" s="158" t="n">
        <x:v>14451019440</x:v>
      </x:c>
      <x:c r="U424" s="158" t="n">
        <x:v>3995390</x:v>
      </x:c>
      <x:c r="V424" s="153" t="n">
        <x:f>IFERROR(E424*1000/O424,"")</x:f>
        <x:v>80.99401625435384</x:v>
      </x:c>
      <x:c r="W424" s="153" t="n">
        <x:v>4.08</x:v>
      </x:c>
      <x:c r="X424" s="155" t="n">
        <x:v>45959</x:v>
      </x:c>
      <x:c r="Y424" s="153" t="n">
        <x:v>1.78</x:v>
      </x:c>
      <x:c r="Z424" s="155" t="n">
        <x:v>45959</x:v>
      </x:c>
      <x:c r="AA424" s="153" t="n">
        <x:f>IFERROR(Y424-Y423,"")</x:f>
        <x:v>0.07000000000000006</x:v>
      </x:c>
      <x:c r="AB424" s="153" t="n">
        <x:v>2.3</x:v>
      </x:c>
      <x:c r="AC424" s="153" t="n">
        <x:v>120.5312</x:v>
      </x:c>
      <x:c r="AD424" s="155" t="n">
        <x:v>45959</x:v>
      </x:c>
      <x:c r="AE424" s="154" t="n">
        <x:f>IFERROR(AC424/AC423-1,"")</x:f>
        <x:v>-0.0008695572884069858</x:v>
      </x:c>
      <x:c r="AF424" s="153" t="n">
        <x:v>16.92</x:v>
      </x:c>
      <x:c r="AG424" s="155" t="n">
        <x:v>45959</x:v>
      </x:c>
      <x:c r="AH424" s="153" t="n">
        <x:f>IFERROR(AF424-AF423,"")</x:f>
        <x:v>0.5</x:v>
      </x:c>
      <x:c r="AI424" s="153" t="n">
        <x:v>4.12</x:v>
      </x:c>
      <x:c r="AJ424" s="155" t="n">
        <x:v>45954</x:v>
      </x:c>
      <x:c r="AK424" s="159" t="n">
        <x:v>92227</x:v>
      </x:c>
      <x:c r="AL424" s="154" t="n">
        <x:v>0.19522205829122752</x:v>
      </x:c>
      <x:c r="AM424" s="159" t="n">
        <x:v>-57778</x:v>
      </x:c>
      <x:c r="AN424" s="155" t="n">
        <x:v>45954</x:v>
      </x:c>
      <x:c r="AO424" s="159" t="n">
        <x:v>17212</x:v>
      </x:c>
      <x:c r="AP424" s="154" t="n">
        <x:v>0.10159487185541087</x:v>
      </x:c>
      <x:c r="AQ424" s="159" t="n">
        <x:v>-23490</x:v>
      </x:c>
      <x:c r="AR424" s="147" t="str">
        <x:v>美国市场指标与CFTC数据均使用严格早于上金所交易日的最后已发布值</x:v>
      </x:c>
    </x:row>
    <x:row r="425">
      <x:c r="A425" s="155" t="n">
        <x:v>45961</x:v>
      </x:c>
      <x:c r="B425" s="153" t="n">
        <x:v>910.5</x:v>
      </x:c>
      <x:c r="C425" s="153" t="n">
        <x:v>925</x:v>
      </x:c>
      <x:c r="D425" s="153" t="n">
        <x:v>909</x:v>
      </x:c>
      <x:c r="E425" s="153" t="n">
        <x:v>921.5</x:v>
      </x:c>
      <x:c r="F425" s="154" t="n">
        <x:f>IFERROR(E425/E424-1,"")</x:f>
        <x:v>0.016110002315605998</x:v>
      </x:c>
      <x:c r="G425" s="154" t="n">
        <x:f>IFERROR((C425-D425)/E424,"")</x:f>
        <x:v>0.017642713008192836</x:v>
      </x:c>
      <x:c r="H425" s="153" t="n">
        <x:v>918.69</x:v>
      </x:c>
      <x:c r="I425" s="158" t="n">
        <x:v>8142.68</x:v>
      </x:c>
      <x:c r="J425" s="158" t="n">
        <x:v>7480651559.8</x:v>
      </x:c>
      <x:c r="K425" s="158"/>
      <x:c r="L425" s="153" t="n">
        <x:v>11260</x:v>
      </x:c>
      <x:c r="M425" s="153" t="n">
        <x:v>11495</x:v>
      </x:c>
      <x:c r="N425" s="153" t="n">
        <x:v>11209</x:v>
      </x:c>
      <x:c r="O425" s="153" t="n">
        <x:v>11410</x:v>
      </x:c>
      <x:c r="P425" s="154" t="n">
        <x:f>IFERROR(O425/O424-1,"")</x:f>
        <x:v>0.01902295257658304</x:v>
      </x:c>
      <x:c r="Q425" s="154" t="n">
        <x:f>IFERROR((M425-N425)/O424,"")</x:f>
        <x:v>0.02554255604179691</x:v>
      </x:c>
      <x:c r="R425" s="153" t="n">
        <x:v>11382</x:v>
      </x:c>
      <x:c r="S425" s="158" t="n">
        <x:v>1394914</x:v>
      </x:c>
      <x:c r="T425" s="158" t="n">
        <x:v>15877012586</x:v>
      </x:c>
      <x:c r="U425" s="158" t="n">
        <x:v>4355604</x:v>
      </x:c>
      <x:c r="V425" s="153" t="n">
        <x:f>IFERROR(E425*1000/O425,"")</x:f>
        <x:v>80.76248904469763</x:v>
      </x:c>
      <x:c r="W425" s="153" t="n">
        <x:v>4.11</x:v>
      </x:c>
      <x:c r="X425" s="155" t="n">
        <x:v>45960</x:v>
      </x:c>
      <x:c r="Y425" s="153" t="n">
        <x:v>1.82</x:v>
      </x:c>
      <x:c r="Z425" s="155" t="n">
        <x:v>45960</x:v>
      </x:c>
      <x:c r="AA425" s="153" t="n">
        <x:f>IFERROR(Y425-Y424,"")</x:f>
        <x:v>0.040000000000000036</x:v>
      </x:c>
      <x:c r="AB425" s="153" t="n">
        <x:v>2.29</x:v>
      </x:c>
      <x:c r="AC425" s="153" t="n">
        <x:v>121.2832</x:v>
      </x:c>
      <x:c r="AD425" s="155" t="n">
        <x:v>45960</x:v>
      </x:c>
      <x:c r="AE425" s="154" t="n">
        <x:f>IFERROR(AC425/AC424-1,"")</x:f>
        <x:v>0.006239048478734022</x:v>
      </x:c>
      <x:c r="AF425" s="153" t="n">
        <x:v>16.91</x:v>
      </x:c>
      <x:c r="AG425" s="155" t="n">
        <x:v>45960</x:v>
      </x:c>
      <x:c r="AH425" s="153" t="n">
        <x:f>IFERROR(AF425-AF424,"")</x:f>
        <x:v>-0.010000000000001563</x:v>
      </x:c>
      <x:c r="AI425" s="153" t="n">
        <x:v>3.87</x:v>
      </x:c>
      <x:c r="AJ425" s="155" t="n">
        <x:v>45954</x:v>
      </x:c>
      <x:c r="AK425" s="159" t="n">
        <x:v>92227</x:v>
      </x:c>
      <x:c r="AL425" s="154" t="n">
        <x:v>0.19522205829122752</x:v>
      </x:c>
      <x:c r="AM425" s="159" t="n">
        <x:v>-57778</x:v>
      </x:c>
      <x:c r="AN425" s="155" t="n">
        <x:v>45954</x:v>
      </x:c>
      <x:c r="AO425" s="159" t="n">
        <x:v>17212</x:v>
      </x:c>
      <x:c r="AP425" s="154" t="n">
        <x:v>0.10159487185541087</x:v>
      </x:c>
      <x:c r="AQ425" s="159" t="n">
        <x:v>-23490</x:v>
      </x:c>
      <x:c r="AR425" s="147" t="str">
        <x:v>美国市场指标与CFTC数据均使用严格早于上金所交易日的最后已发布值</x:v>
      </x:c>
    </x:row>
    <x:row r="426">
      <x:c r="A426" s="155" t="n">
        <x:v>45964</x:v>
      </x:c>
      <x:c r="B426" s="153" t="n">
        <x:v>924</x:v>
      </x:c>
      <x:c r="C426" s="153" t="n">
        <x:v>925</x:v>
      </x:c>
      <x:c r="D426" s="153" t="n">
        <x:v>909</x:v>
      </x:c>
      <x:c r="E426" s="153" t="n">
        <x:v>920</x:v>
      </x:c>
      <x:c r="F426" s="154" t="n">
        <x:f>IFERROR(E426/E425-1,"")</x:f>
        <x:v>-0.0016277807921866172</x:v>
      </x:c>
      <x:c r="G426" s="154" t="n">
        <x:f>IFERROR((C426-D426)/E425,"")</x:f>
        <x:v>0.017362995116657624</x:v>
      </x:c>
      <x:c r="H426" s="153" t="n">
        <x:v>917.37</x:v>
      </x:c>
      <x:c r="I426" s="158" t="n">
        <x:v>8788.62</x:v>
      </x:c>
      <x:c r="J426" s="158" t="n">
        <x:v>8062461334.2</x:v>
      </x:c>
      <x:c r="K426" s="158"/>
      <x:c r="L426" s="153" t="n">
        <x:v>11410</x:v>
      </x:c>
      <x:c r="M426" s="153" t="n">
        <x:v>11448</x:v>
      </x:c>
      <x:c r="N426" s="153" t="n">
        <x:v>11211</x:v>
      </x:c>
      <x:c r="O426" s="153" t="n">
        <x:v>11442</x:v>
      </x:c>
      <x:c r="P426" s="154" t="n">
        <x:f>IFERROR(O426/O425-1,"")</x:f>
        <x:v>0.002804557405784447</x:v>
      </x:c>
      <x:c r="Q426" s="154" t="n">
        <x:f>IFERROR((M426-N426)/O425,"")</x:f>
        <x:v>0.02077125328659071</x:v>
      </x:c>
      <x:c r="R426" s="153" t="n">
        <x:v>11370</x:v>
      </x:c>
      <x:c r="S426" s="158" t="n">
        <x:v>525416</x:v>
      </x:c>
      <x:c r="T426" s="158" t="n">
        <x:v>5974475082</x:v>
      </x:c>
      <x:c r="U426" s="158" t="n">
        <x:v>4352308</x:v>
      </x:c>
      <x:c r="V426" s="153" t="n">
        <x:f>IFERROR(E426*1000/O426,"")</x:f>
        <x:v>80.40552350987589</x:v>
      </x:c>
      <x:c r="W426" s="153" t="n">
        <x:v>4.11</x:v>
      </x:c>
      <x:c r="X426" s="155" t="n">
        <x:v>45961</x:v>
      </x:c>
      <x:c r="Y426" s="153" t="n">
        <x:v>1.81</x:v>
      </x:c>
      <x:c r="Z426" s="155" t="n">
        <x:v>45961</x:v>
      </x:c>
      <x:c r="AA426" s="153" t="n">
        <x:f>IFERROR(Y426-Y425,"")</x:f>
        <x:v>-0.010000000000000009</x:v>
      </x:c>
      <x:c r="AB426" s="153" t="n">
        <x:v>2.3</x:v>
      </x:c>
      <x:c r="AC426" s="153" t="n">
        <x:v>121.3859</x:v>
      </x:c>
      <x:c r="AD426" s="155" t="n">
        <x:v>45961</x:v>
      </x:c>
      <x:c r="AE426" s="154" t="n">
        <x:f>IFERROR(AC426/AC425-1,"")</x:f>
        <x:v>0.0008467784491175134</x:v>
      </x:c>
      <x:c r="AF426" s="153" t="n">
        <x:v>17.44</x:v>
      </x:c>
      <x:c r="AG426" s="155" t="n">
        <x:v>45961</x:v>
      </x:c>
      <x:c r="AH426" s="153" t="n">
        <x:f>IFERROR(AF426-AF425,"")</x:f>
        <x:v>0.5300000000000011</x:v>
      </x:c>
      <x:c r="AI426" s="153" t="n">
        <x:v>3.86</x:v>
      </x:c>
      <x:c r="AJ426" s="155" t="n">
        <x:v>45961</x:v>
      </x:c>
      <x:c r="AK426" s="159" t="n">
        <x:v>104159</x:v>
      </x:c>
      <x:c r="AL426" s="154" t="n">
        <x:v>0.22785820853076422</x:v>
      </x:c>
      <x:c r="AM426" s="159" t="n">
        <x:v>-58194</x:v>
      </x:c>
      <x:c r="AN426" s="155" t="n">
        <x:v>45961</x:v>
      </x:c>
      <x:c r="AO426" s="159" t="n">
        <x:v>21899</x:v>
      </x:c>
      <x:c r="AP426" s="154" t="n">
        <x:v>0.1384374190040901</x:v>
      </x:c>
      <x:c r="AQ426" s="159" t="n">
        <x:v>-23520</x:v>
      </x:c>
      <x:c r="AR426" s="147" t="str">
        <x:v>美国市场指标与CFTC数据均使用严格早于上金所交易日的最后已发布值</x:v>
      </x:c>
    </x:row>
    <x:row r="427">
      <x:c r="A427" s="155" t="n">
        <x:v>45965</x:v>
      </x:c>
      <x:c r="B427" s="153" t="n">
        <x:v>918</x:v>
      </x:c>
      <x:c r="C427" s="153" t="n">
        <x:v>925</x:v>
      </x:c>
      <x:c r="D427" s="153" t="n">
        <x:v>910.5</x:v>
      </x:c>
      <x:c r="E427" s="153" t="n">
        <x:v>916.49</x:v>
      </x:c>
      <x:c r="F427" s="154" t="n">
        <x:f>IFERROR(E427/E426-1,"")</x:f>
        <x:v>-0.003815217391304304</x:v>
      </x:c>
      <x:c r="G427" s="154" t="n">
        <x:f>IFERROR((C427-D427)/E426,"")</x:f>
        <x:v>0.01576086956521739</x:v>
      </x:c>
      <x:c r="H427" s="153" t="n">
        <x:v>913.82</x:v>
      </x:c>
      <x:c r="I427" s="158" t="n">
        <x:v>7689.06</x:v>
      </x:c>
      <x:c r="J427" s="158" t="n">
        <x:v>7026420871.6</x:v>
      </x:c>
      <x:c r="K427" s="158"/>
      <x:c r="L427" s="153" t="n">
        <x:v>11416</x:v>
      </x:c>
      <x:c r="M427" s="153" t="n">
        <x:v>11469</x:v>
      </x:c>
      <x:c r="N427" s="153" t="n">
        <x:v>11172</x:v>
      </x:c>
      <x:c r="O427" s="153" t="n">
        <x:v>11242</x:v>
      </x:c>
      <x:c r="P427" s="154" t="n">
        <x:f>IFERROR(O427/O426-1,"")</x:f>
        <x:v>-0.01747946163258174</x:v>
      </x:c>
      <x:c r="Q427" s="154" t="n">
        <x:f>IFERROR((M427-N427)/O426,"")</x:f>
        <x:v>0.02595700052438385</x:v>
      </x:c>
      <x:c r="R427" s="153" t="n">
        <x:v>11270</x:v>
      </x:c>
      <x:c r="S427" s="158" t="n">
        <x:v>659480</x:v>
      </x:c>
      <x:c r="T427" s="158" t="n">
        <x:v>7432545422</x:v>
      </x:c>
      <x:c r="U427" s="158" t="n">
        <x:v>4270780</x:v>
      </x:c>
      <x:c r="V427" s="153" t="n">
        <x:f>IFERROR(E427*1000/O427,"")</x:f>
        <x:v>81.52375022238036</x:v>
      </x:c>
      <x:c r="W427" s="153" t="n">
        <x:v>4.13</x:v>
      </x:c>
      <x:c r="X427" s="155" t="n">
        <x:v>45964</x:v>
      </x:c>
      <x:c r="Y427" s="153" t="n">
        <x:v>1.82</x:v>
      </x:c>
      <x:c r="Z427" s="155" t="n">
        <x:v>45964</x:v>
      </x:c>
      <x:c r="AA427" s="153" t="n">
        <x:f>IFERROR(Y427-Y426,"")</x:f>
        <x:v>0.010000000000000009</x:v>
      </x:c>
      <x:c r="AB427" s="153" t="n">
        <x:v>2.31</x:v>
      </x:c>
      <x:c r="AC427" s="153" t="n">
        <x:v>121.4512</x:v>
      </x:c>
      <x:c r="AD427" s="155" t="n">
        <x:v>45964</x:v>
      </x:c>
      <x:c r="AE427" s="154" t="n">
        <x:f>IFERROR(AC427/AC426-1,"")</x:f>
        <x:v>0.0005379537491585484</x:v>
      </x:c>
      <x:c r="AF427" s="153" t="n">
        <x:v>17.17</x:v>
      </x:c>
      <x:c r="AG427" s="155" t="n">
        <x:v>45964</x:v>
      </x:c>
      <x:c r="AH427" s="153" t="n">
        <x:f>IFERROR(AF427-AF426,"")</x:f>
        <x:v>-0.2699999999999996</x:v>
      </x:c>
      <x:c r="AI427" s="153" t="n">
        <x:v>3.87</x:v>
      </x:c>
      <x:c r="AJ427" s="155" t="n">
        <x:v>45961</x:v>
      </x:c>
      <x:c r="AK427" s="159" t="n">
        <x:v>104159</x:v>
      </x:c>
      <x:c r="AL427" s="154" t="n">
        <x:v>0.22785820853076422</x:v>
      </x:c>
      <x:c r="AM427" s="159" t="n">
        <x:v>-58194</x:v>
      </x:c>
      <x:c r="AN427" s="155" t="n">
        <x:v>45961</x:v>
      </x:c>
      <x:c r="AO427" s="159" t="n">
        <x:v>21899</x:v>
      </x:c>
      <x:c r="AP427" s="154" t="n">
        <x:v>0.1384374190040901</x:v>
      </x:c>
      <x:c r="AQ427" s="159" t="n">
        <x:v>-23520</x:v>
      </x:c>
      <x:c r="AR427" s="147" t="str">
        <x:v>美国市场指标与CFTC数据均使用严格早于上金所交易日的最后已发布值</x:v>
      </x:c>
    </x:row>
    <x:row r="428">
      <x:c r="A428" s="155" t="n">
        <x:v>45966</x:v>
      </x:c>
      <x:c r="B428" s="153" t="n">
        <x:v>912</x:v>
      </x:c>
      <x:c r="C428" s="153" t="n">
        <x:v>916.5</x:v>
      </x:c>
      <x:c r="D428" s="153" t="n">
        <x:v>903</x:v>
      </x:c>
      <x:c r="E428" s="153" t="n">
        <x:v>910</x:v>
      </x:c>
      <x:c r="F428" s="154" t="n">
        <x:f>IFERROR(E428/E427-1,"")</x:f>
        <x:v>-0.007081364772119736</x:v>
      </x:c>
      <x:c r="G428" s="154" t="n">
        <x:f>IFERROR((C428-D428)/E427,"")</x:f>
        <x:v>0.014730111621512509</x:v>
      </x:c>
      <x:c r="H428" s="153" t="n">
        <x:v>907.06</x:v>
      </x:c>
      <x:c r="I428" s="158" t="n">
        <x:v>8812.92</x:v>
      </x:c>
      <x:c r="J428" s="158" t="n">
        <x:v>7993879122.2</x:v>
      </x:c>
      <x:c r="K428" s="158"/>
      <x:c r="L428" s="153" t="n">
        <x:v>11258</x:v>
      </x:c>
      <x:c r="M428" s="153" t="n">
        <x:v>11301</x:v>
      </x:c>
      <x:c r="N428" s="153" t="n">
        <x:v>11093</x:v>
      </x:c>
      <x:c r="O428" s="153" t="n">
        <x:v>11240</x:v>
      </x:c>
      <x:c r="P428" s="154" t="n">
        <x:f>IFERROR(O428/O427-1,"")</x:f>
        <x:v>-0.00017790428749331344</x:v>
      </x:c>
      <x:c r="Q428" s="154" t="n">
        <x:f>IFERROR((M428-N428)/O427,"")</x:f>
        <x:v>0.018502045899306173</x:v>
      </x:c>
      <x:c r="R428" s="153" t="n">
        <x:v>11208</x:v>
      </x:c>
      <x:c r="S428" s="158" t="n">
        <x:v>508790</x:v>
      </x:c>
      <x:c r="T428" s="158" t="n">
        <x:v>5702593578</x:v>
      </x:c>
      <x:c r="U428" s="158" t="n">
        <x:v>4279586</x:v>
      </x:c>
      <x:c r="V428" s="153" t="n">
        <x:f>IFERROR(E428*1000/O428,"")</x:f>
        <x:v>80.96085409252669</x:v>
      </x:c>
      <x:c r="W428" s="153" t="n">
        <x:v>4.1</x:v>
      </x:c>
      <x:c r="X428" s="155" t="n">
        <x:v>45965</x:v>
      </x:c>
      <x:c r="Y428" s="153" t="n">
        <x:v>1.81</x:v>
      </x:c>
      <x:c r="Z428" s="155" t="n">
        <x:v>45965</x:v>
      </x:c>
      <x:c r="AA428" s="153" t="n">
        <x:f>IFERROR(Y428-Y427,"")</x:f>
        <x:v>-0.010000000000000009</x:v>
      </x:c>
      <x:c r="AB428" s="153" t="n">
        <x:v>2.29</x:v>
      </x:c>
      <x:c r="AC428" s="153" t="n">
        <x:v>121.8271</x:v>
      </x:c>
      <x:c r="AD428" s="155" t="n">
        <x:v>45965</x:v>
      </x:c>
      <x:c r="AE428" s="154" t="n">
        <x:f>IFERROR(AC428/AC427-1,"")</x:f>
        <x:v>0.0030950702833731913</x:v>
      </x:c>
      <x:c r="AF428" s="153" t="n">
        <x:v>19</x:v>
      </x:c>
      <x:c r="AG428" s="155" t="n">
        <x:v>45965</x:v>
      </x:c>
      <x:c r="AH428" s="153" t="n">
        <x:f>IFERROR(AF428-AF427,"")</x:f>
        <x:v>1.8299999999999983</x:v>
      </x:c>
      <x:c r="AI428" s="153" t="n">
        <x:v>3.87</x:v>
      </x:c>
      <x:c r="AJ428" s="155" t="n">
        <x:v>45961</x:v>
      </x:c>
      <x:c r="AK428" s="159" t="n">
        <x:v>104159</x:v>
      </x:c>
      <x:c r="AL428" s="154" t="n">
        <x:v>0.22785820853076422</x:v>
      </x:c>
      <x:c r="AM428" s="159" t="n">
        <x:v>-58194</x:v>
      </x:c>
      <x:c r="AN428" s="155" t="n">
        <x:v>45961</x:v>
      </x:c>
      <x:c r="AO428" s="159" t="n">
        <x:v>21899</x:v>
      </x:c>
      <x:c r="AP428" s="154" t="n">
        <x:v>0.1384374190040901</x:v>
      </x:c>
      <x:c r="AQ428" s="159" t="n">
        <x:v>-23520</x:v>
      </x:c>
      <x:c r="AR428" s="147" t="str">
        <x:v>美国市场指标与CFTC数据均使用严格早于上金所交易日的最后已发布值</x:v>
      </x:c>
    </x:row>
    <x:row r="429">
      <x:c r="A429" s="155" t="n">
        <x:v>45967</x:v>
      </x:c>
      <x:c r="B429" s="153" t="n">
        <x:v>910</x:v>
      </x:c>
      <x:c r="C429" s="153" t="n">
        <x:v>919.8</x:v>
      </x:c>
      <x:c r="D429" s="153" t="n">
        <x:v>910</x:v>
      </x:c>
      <x:c r="E429" s="153" t="n">
        <x:v>918</x:v>
      </x:c>
      <x:c r="F429" s="154" t="n">
        <x:f>IFERROR(E429/E428-1,"")</x:f>
        <x:v>0.00879120879120876</x:v>
      </x:c>
      <x:c r="G429" s="154" t="n">
        <x:f>IFERROR((C429-D429)/E428,"")</x:f>
        <x:v>0.010769230769230718</x:v>
      </x:c>
      <x:c r="H429" s="153" t="n">
        <x:v>914.01</x:v>
      </x:c>
      <x:c r="I429" s="158" t="n">
        <x:v>5339.48</x:v>
      </x:c>
      <x:c r="J429" s="158" t="n">
        <x:v>4880354659.2</x:v>
      </x:c>
      <x:c r="K429" s="158"/>
      <x:c r="L429" s="153" t="n">
        <x:v>11240</x:v>
      </x:c>
      <x:c r="M429" s="153" t="n">
        <x:v>11435</x:v>
      </x:c>
      <x:c r="N429" s="153" t="n">
        <x:v>11220</x:v>
      </x:c>
      <x:c r="O429" s="153" t="n">
        <x:v>11421</x:v>
      </x:c>
      <x:c r="P429" s="154" t="n">
        <x:f>IFERROR(O429/O428-1,"")</x:f>
        <x:v>0.016103202846975195</x:v>
      </x:c>
      <x:c r="Q429" s="154" t="n">
        <x:f>IFERROR((M429-N429)/O428,"")</x:f>
        <x:v>0.01912811387900356</x:v>
      </x:c>
      <x:c r="R429" s="153" t="n">
        <x:v>11346</x:v>
      </x:c>
      <x:c r="S429" s="158" t="n">
        <x:v>460064</x:v>
      </x:c>
      <x:c r="T429" s="158" t="n">
        <x:v>5220198770</x:v>
      </x:c>
      <x:c r="U429" s="158" t="n">
        <x:v>4303142</x:v>
      </x:c>
      <x:c r="V429" s="153" t="n">
        <x:f>IFERROR(E429*1000/O429,"")</x:f>
        <x:v>80.37825059101655</x:v>
      </x:c>
      <x:c r="W429" s="153" t="n">
        <x:v>4.17</x:v>
      </x:c>
      <x:c r="X429" s="155" t="n">
        <x:v>45966</x:v>
      </x:c>
      <x:c r="Y429" s="153" t="n">
        <x:v>1.87</x:v>
      </x:c>
      <x:c r="Z429" s="155" t="n">
        <x:v>45966</x:v>
      </x:c>
      <x:c r="AA429" s="153" t="n">
        <x:f>IFERROR(Y429-Y428,"")</x:f>
        <x:v>0.06000000000000005</x:v>
      </x:c>
      <x:c r="AB429" s="153" t="n">
        <x:v>2.3</x:v>
      </x:c>
      <x:c r="AC429" s="153" t="n">
        <x:v>121.8482</x:v>
      </x:c>
      <x:c r="AD429" s="155" t="n">
        <x:v>45966</x:v>
      </x:c>
      <x:c r="AE429" s="154" t="n">
        <x:f>IFERROR(AC429/AC428-1,"")</x:f>
        <x:v>0.00017319627570544505</x:v>
      </x:c>
      <x:c r="AF429" s="153" t="n">
        <x:v>18.01</x:v>
      </x:c>
      <x:c r="AG429" s="155" t="n">
        <x:v>45966</x:v>
      </x:c>
      <x:c r="AH429" s="153" t="n">
        <x:f>IFERROR(AF429-AF428,"")</x:f>
        <x:v>-0.9899999999999984</x:v>
      </x:c>
      <x:c r="AI429" s="153" t="n">
        <x:v>3.87</x:v>
      </x:c>
      <x:c r="AJ429" s="155" t="n">
        <x:v>45961</x:v>
      </x:c>
      <x:c r="AK429" s="159" t="n">
        <x:v>104159</x:v>
      </x:c>
      <x:c r="AL429" s="154" t="n">
        <x:v>0.22785820853076422</x:v>
      </x:c>
      <x:c r="AM429" s="159" t="n">
        <x:v>-58194</x:v>
      </x:c>
      <x:c r="AN429" s="155" t="n">
        <x:v>45961</x:v>
      </x:c>
      <x:c r="AO429" s="159" t="n">
        <x:v>21899</x:v>
      </x:c>
      <x:c r="AP429" s="154" t="n">
        <x:v>0.1384374190040901</x:v>
      </x:c>
      <x:c r="AQ429" s="159" t="n">
        <x:v>-23520</x:v>
      </x:c>
      <x:c r="AR429" s="147" t="str">
        <x:v>美国市场指标与CFTC数据均使用严格早于上金所交易日的最后已发布值</x:v>
      </x:c>
    </x:row>
    <x:row r="430">
      <x:c r="A430" s="155" t="n">
        <x:v>45968</x:v>
      </x:c>
      <x:c r="B430" s="153" t="n">
        <x:v>920</x:v>
      </x:c>
      <x:c r="C430" s="153" t="n">
        <x:v>924</x:v>
      </x:c>
      <x:c r="D430" s="153" t="n">
        <x:v>912</x:v>
      </x:c>
      <x:c r="E430" s="153" t="n">
        <x:v>918.03</x:v>
      </x:c>
      <x:c r="F430" s="154" t="n">
        <x:f>IFERROR(E430/E429-1,"")</x:f>
        <x:v>0.000032679738562135796</x:v>
      </x:c>
      <x:c r="G430" s="154" t="n">
        <x:f>IFERROR((C430-D430)/E429,"")</x:f>
        <x:v>0.013071895424836602</x:v>
      </x:c>
      <x:c r="H430" s="153" t="n">
        <x:v>916.98</x:v>
      </x:c>
      <x:c r="I430" s="158" t="n">
        <x:v>5809.64</x:v>
      </x:c>
      <x:c r="J430" s="158" t="n">
        <x:v>5327342836</x:v>
      </x:c>
      <x:c r="K430" s="158"/>
      <x:c r="L430" s="153" t="n">
        <x:v>11465</x:v>
      </x:c>
      <x:c r="M430" s="153" t="n">
        <x:v>11485</x:v>
      </x:c>
      <x:c r="N430" s="153" t="n">
        <x:v>11260</x:v>
      </x:c>
      <x:c r="O430" s="153" t="n">
        <x:v>11480</x:v>
      </x:c>
      <x:c r="P430" s="154" t="n">
        <x:f>IFERROR(O430/O429-1,"")</x:f>
        <x:v>0.0051659224236055845</x:v>
      </x:c>
      <x:c r="Q430" s="154" t="n">
        <x:f>IFERROR((M430-N430)/O429,"")</x:f>
        <x:v>0.019700551615445233</x:v>
      </x:c>
      <x:c r="R430" s="153" t="n">
        <x:v>11426</x:v>
      </x:c>
      <x:c r="S430" s="158" t="n">
        <x:v>619304</x:v>
      </x:c>
      <x:c r="T430" s="158" t="n">
        <x:v>7076560342</x:v>
      </x:c>
      <x:c r="U430" s="158" t="n">
        <x:v>4294018</x:v>
      </x:c>
      <x:c r="V430" s="153" t="n">
        <x:f>IFERROR(E430*1000/O430,"")</x:f>
        <x:v>79.96777003484321</x:v>
      </x:c>
      <x:c r="W430" s="153" t="n">
        <x:v>4.11</x:v>
      </x:c>
      <x:c r="X430" s="155" t="n">
        <x:v>45967</x:v>
      </x:c>
      <x:c r="Y430" s="153" t="n">
        <x:v>1.83</x:v>
      </x:c>
      <x:c r="Z430" s="155" t="n">
        <x:v>45967</x:v>
      </x:c>
      <x:c r="AA430" s="153" t="n">
        <x:f>IFERROR(Y430-Y429,"")</x:f>
        <x:v>-0.040000000000000036</x:v>
      </x:c>
      <x:c r="AB430" s="153" t="n">
        <x:v>2.28</x:v>
      </x:c>
      <x:c r="AC430" s="153" t="n">
        <x:v>121.6948</x:v>
      </x:c>
      <x:c r="AD430" s="155" t="n">
        <x:v>45967</x:v>
      </x:c>
      <x:c r="AE430" s="154" t="n">
        <x:f>IFERROR(AC430/AC429-1,"")</x:f>
        <x:v>-0.0012589435051154618</x:v>
      </x:c>
      <x:c r="AF430" s="153" t="n">
        <x:v>19.5</x:v>
      </x:c>
      <x:c r="AG430" s="155" t="n">
        <x:v>45967</x:v>
      </x:c>
      <x:c r="AH430" s="153" t="n">
        <x:f>IFERROR(AF430-AF429,"")</x:f>
        <x:v>1.4899999999999984</x:v>
      </x:c>
      <x:c r="AI430" s="153" t="n">
        <x:v>3.87</x:v>
      </x:c>
      <x:c r="AJ430" s="155" t="n">
        <x:v>45961</x:v>
      </x:c>
      <x:c r="AK430" s="159" t="n">
        <x:v>104159</x:v>
      </x:c>
      <x:c r="AL430" s="154" t="n">
        <x:v>0.22785820853076422</x:v>
      </x:c>
      <x:c r="AM430" s="159" t="n">
        <x:v>-58194</x:v>
      </x:c>
      <x:c r="AN430" s="155" t="n">
        <x:v>45961</x:v>
      </x:c>
      <x:c r="AO430" s="159" t="n">
        <x:v>21899</x:v>
      </x:c>
      <x:c r="AP430" s="154" t="n">
        <x:v>0.1384374190040901</x:v>
      </x:c>
      <x:c r="AQ430" s="159" t="n">
        <x:v>-23520</x:v>
      </x:c>
      <x:c r="AR430" s="147" t="str">
        <x:v>美国市场指标与CFTC数据均使用严格早于上金所交易日的最后已发布值</x:v>
      </x:c>
    </x:row>
    <x:row r="431">
      <x:c r="A431" s="155" t="n">
        <x:v>45971</x:v>
      </x:c>
      <x:c r="B431" s="153" t="n">
        <x:v>919</x:v>
      </x:c>
      <x:c r="C431" s="153" t="n">
        <x:v>935</x:v>
      </x:c>
      <x:c r="D431" s="153" t="n">
        <x:v>914</x:v>
      </x:c>
      <x:c r="E431" s="153" t="n">
        <x:v>934.81</x:v>
      </x:c>
      <x:c r="F431" s="154" t="n">
        <x:f>IFERROR(E431/E430-1,"")</x:f>
        <x:v>0.018278269773319034</x:v>
      </x:c>
      <x:c r="G431" s="154" t="n">
        <x:f>IFERROR((C431-D431)/E430,"")</x:f>
        <x:v>0.022875069442175093</x:v>
      </x:c>
      <x:c r="H431" s="153" t="n">
        <x:v>930.1</x:v>
      </x:c>
      <x:c r="I431" s="158" t="n">
        <x:v>8082.38</x:v>
      </x:c>
      <x:c r="J431" s="158" t="n">
        <x:v>7517487367.2</x:v>
      </x:c>
      <x:c r="K431" s="158"/>
      <x:c r="L431" s="153" t="n">
        <x:v>11480</x:v>
      </x:c>
      <x:c r="M431" s="153" t="n">
        <x:v>11731</x:v>
      </x:c>
      <x:c r="N431" s="153" t="n">
        <x:v>11363</x:v>
      </x:c>
      <x:c r="O431" s="153" t="n">
        <x:v>11726</x:v>
      </x:c>
      <x:c r="P431" s="154" t="n">
        <x:f>IFERROR(O431/O430-1,"")</x:f>
        <x:v>0.021428571428571352</x:v>
      </x:c>
      <x:c r="Q431" s="154" t="n">
        <x:f>IFERROR((M431-N431)/O430,"")</x:f>
        <x:v>0.03205574912891986</x:v>
      </x:c>
      <x:c r="R431" s="153" t="n">
        <x:v>11613</x:v>
      </x:c>
      <x:c r="S431" s="158" t="n">
        <x:v>712714</x:v>
      </x:c>
      <x:c r="T431" s="158" t="n">
        <x:v>8277279952</x:v>
      </x:c>
      <x:c r="U431" s="158" t="n">
        <x:v>4236766</x:v>
      </x:c>
      <x:c r="V431" s="153" t="n">
        <x:f>IFERROR(E431*1000/O431,"")</x:f>
        <x:v>79.72113252601058</x:v>
      </x:c>
      <x:c r="W431" s="153" t="n">
        <x:v>4.11</x:v>
      </x:c>
      <x:c r="X431" s="155" t="n">
        <x:v>45968</x:v>
      </x:c>
      <x:c r="Y431" s="153" t="n">
        <x:v>1.83</x:v>
      </x:c>
      <x:c r="Z431" s="155" t="n">
        <x:v>45968</x:v>
      </x:c>
      <x:c r="AA431" s="153" t="n">
        <x:f>IFERROR(Y431-Y430,"")</x:f>
        <x:v>0</x:v>
      </x:c>
      <x:c r="AB431" s="153" t="n">
        <x:v>2.28</x:v>
      </x:c>
      <x:c r="AC431" s="153" t="n">
        <x:v>121.388</x:v>
      </x:c>
      <x:c r="AD431" s="155" t="n">
        <x:v>45968</x:v>
      </x:c>
      <x:c r="AE431" s="154" t="n">
        <x:f>IFERROR(AC431/AC430-1,"")</x:f>
        <x:v>-0.002521060883455939</x:v>
      </x:c>
      <x:c r="AF431" s="153" t="n">
        <x:v>19.08</x:v>
      </x:c>
      <x:c r="AG431" s="155" t="n">
        <x:v>45968</x:v>
      </x:c>
      <x:c r="AH431" s="153" t="n">
        <x:f>IFERROR(AF431-AF430,"")</x:f>
        <x:v>-0.4200000000000017</x:v>
      </x:c>
      <x:c r="AI431" s="153" t="n">
        <x:v>3.87</x:v>
      </x:c>
      <x:c r="AJ431" s="155" t="n">
        <x:v>45968</x:v>
      </x:c>
      <x:c r="AK431" s="159" t="n">
        <x:v>100545</x:v>
      </x:c>
      <x:c r="AL431" s="154" t="n">
        <x:v>0.22323539794715352</x:v>
      </x:c>
      <x:c r="AM431" s="159" t="n">
        <x:v>-59451</x:v>
      </x:c>
      <x:c r="AN431" s="155" t="n">
        <x:v>45968</x:v>
      </x:c>
      <x:c r="AO431" s="159" t="n">
        <x:v>19157</x:v>
      </x:c>
      <x:c r="AP431" s="154" t="n">
        <x:v>0.12338896152830468</x:v>
      </x:c>
      <x:c r="AQ431" s="159" t="n">
        <x:v>-22607</x:v>
      </x:c>
      <x:c r="AR431" s="147" t="str">
        <x:v>美国市场指标与CFTC数据均使用严格早于上金所交易日的最后已发布值</x:v>
      </x:c>
    </x:row>
    <x:row r="432">
      <x:c r="A432" s="155" t="n">
        <x:v>45972</x:v>
      </x:c>
      <x:c r="B432" s="153" t="n">
        <x:v>938.9</x:v>
      </x:c>
      <x:c r="C432" s="153" t="n">
        <x:v>950.99</x:v>
      </x:c>
      <x:c r="D432" s="153" t="n">
        <x:v>935</x:v>
      </x:c>
      <x:c r="E432" s="153" t="n">
        <x:v>946.79</x:v>
      </x:c>
      <x:c r="F432" s="154" t="n">
        <x:f>IFERROR(E432/E431-1,"")</x:f>
        <x:v>0.012815438431339032</x:v>
      </x:c>
      <x:c r="G432" s="154" t="n">
        <x:f>IFERROR((C432-D432)/E431,"")</x:f>
        <x:v>0.017105080176720414</x:v>
      </x:c>
      <x:c r="H432" s="153" t="n">
        <x:v>948.34</x:v>
      </x:c>
      <x:c r="I432" s="158" t="n">
        <x:v>11202.26</x:v>
      </x:c>
      <x:c r="J432" s="158" t="n">
        <x:v>10623625872.6</x:v>
      </x:c>
      <x:c r="K432" s="158"/>
      <x:c r="L432" s="153" t="n">
        <x:v>11760</x:v>
      </x:c>
      <x:c r="M432" s="153" t="n">
        <x:v>11982</x:v>
      </x:c>
      <x:c r="N432" s="153" t="n">
        <x:v>11696</x:v>
      </x:c>
      <x:c r="O432" s="153" t="n">
        <x:v>11865</x:v>
      </x:c>
      <x:c r="P432" s="154" t="n">
        <x:f>IFERROR(O432/O431-1,"")</x:f>
        <x:v>0.01185399965887779</x:v>
      </x:c>
      <x:c r="Q432" s="154" t="n">
        <x:f>IFERROR((M432-N432)/O431,"")</x:f>
        <x:v>0.024390243902439025</x:v>
      </x:c>
      <x:c r="R432" s="153" t="n">
        <x:v>11895</x:v>
      </x:c>
      <x:c r="S432" s="158" t="n">
        <x:v>725114</x:v>
      </x:c>
      <x:c r="T432" s="158" t="n">
        <x:v>8625680258</x:v>
      </x:c>
      <x:c r="U432" s="158" t="n">
        <x:v>4243002</x:v>
      </x:c>
      <x:c r="V432" s="153" t="n">
        <x:f>IFERROR(E432*1000/O432,"")</x:f>
        <x:v>79.7968815844922</x:v>
      </x:c>
      <x:c r="W432" s="153" t="n">
        <x:v>4.13</x:v>
      </x:c>
      <x:c r="X432" s="155" t="n">
        <x:v>45971</x:v>
      </x:c>
      <x:c r="Y432" s="153" t="n">
        <x:v>1.84</x:v>
      </x:c>
      <x:c r="Z432" s="155" t="n">
        <x:v>45971</x:v>
      </x:c>
      <x:c r="AA432" s="153" t="n">
        <x:f>IFERROR(Y432-Y431,"")</x:f>
        <x:v>0.010000000000000009</x:v>
      </x:c>
      <x:c r="AB432" s="153" t="n">
        <x:v>2.29</x:v>
      </x:c>
      <x:c r="AC432" s="153" t="n">
        <x:v>121.2984</x:v>
      </x:c>
      <x:c r="AD432" s="155" t="n">
        <x:v>45971</x:v>
      </x:c>
      <x:c r="AE432" s="154" t="n">
        <x:f>IFERROR(AC432/AC431-1,"")</x:f>
        <x:v>-0.0007381289748574771</x:v>
      </x:c>
      <x:c r="AF432" s="153" t="n">
        <x:v>17.6</x:v>
      </x:c>
      <x:c r="AG432" s="155" t="n">
        <x:v>45971</x:v>
      </x:c>
      <x:c r="AH432" s="153" t="n">
        <x:f>IFERROR(AF432-AF431,"")</x:f>
        <x:v>-1.4799999999999969</x:v>
      </x:c>
      <x:c r="AI432" s="153" t="n">
        <x:v>3.87</x:v>
      </x:c>
      <x:c r="AJ432" s="155" t="n">
        <x:v>45968</x:v>
      </x:c>
      <x:c r="AK432" s="159" t="n">
        <x:v>100545</x:v>
      </x:c>
      <x:c r="AL432" s="154" t="n">
        <x:v>0.22323539794715352</x:v>
      </x:c>
      <x:c r="AM432" s="159" t="n">
        <x:v>-59451</x:v>
      </x:c>
      <x:c r="AN432" s="155" t="n">
        <x:v>45968</x:v>
      </x:c>
      <x:c r="AO432" s="159" t="n">
        <x:v>19157</x:v>
      </x:c>
      <x:c r="AP432" s="154" t="n">
        <x:v>0.12338896152830468</x:v>
      </x:c>
      <x:c r="AQ432" s="159" t="n">
        <x:v>-22607</x:v>
      </x:c>
      <x:c r="AR432" s="147" t="str">
        <x:v>美国市场指标与CFTC数据均使用严格早于上金所交易日的最后已发布值</x:v>
      </x:c>
    </x:row>
    <x:row r="433">
      <x:c r="A433" s="155" t="n">
        <x:v>45973</x:v>
      </x:c>
      <x:c r="B433" s="153" t="n">
        <x:v>949</x:v>
      </x:c>
      <x:c r="C433" s="153" t="n">
        <x:v>949</x:v>
      </x:c>
      <x:c r="D433" s="153" t="n">
        <x:v>939</x:v>
      </x:c>
      <x:c r="E433" s="153" t="n">
        <x:v>944.84</x:v>
      </x:c>
      <x:c r="F433" s="154" t="n">
        <x:f>IFERROR(E433/E432-1,"")</x:f>
        <x:v>-0.002059590827955482</x:v>
      </x:c>
      <x:c r="G433" s="154" t="n">
        <x:f>IFERROR((C433-D433)/E432,"")</x:f>
        <x:v>0.010562004245925707</x:v>
      </x:c>
      <x:c r="H433" s="153" t="n">
        <x:v>944.44</x:v>
      </x:c>
      <x:c r="I433" s="158" t="n">
        <x:v>7978.8</x:v>
      </x:c>
      <x:c r="J433" s="158" t="n">
        <x:v>7535557357.2</x:v>
      </x:c>
      <x:c r="K433" s="158"/>
      <x:c r="L433" s="153" t="n">
        <x:v>11970</x:v>
      </x:c>
      <x:c r="M433" s="153" t="n">
        <x:v>12095</x:v>
      </x:c>
      <x:c r="N433" s="153" t="n">
        <x:v>11820</x:v>
      </x:c>
      <x:c r="O433" s="153" t="n">
        <x:v>12092</x:v>
      </x:c>
      <x:c r="P433" s="154" t="n">
        <x:f>IFERROR(O433/O432-1,"")</x:f>
        <x:v>0.01913190054782965</x:v>
      </x:c>
      <x:c r="Q433" s="154" t="n">
        <x:f>IFERROR((M433-N433)/O432,"")</x:f>
        <x:v>0.023177412557943533</x:v>
      </x:c>
      <x:c r="R433" s="153" t="n">
        <x:v>11949</x:v>
      </x:c>
      <x:c r="S433" s="158" t="n">
        <x:v>870430</x:v>
      </x:c>
      <x:c r="T433" s="158" t="n">
        <x:v>10401237350</x:v>
      </x:c>
      <x:c r="U433" s="158" t="n">
        <x:v>4077296</x:v>
      </x:c>
      <x:c r="V433" s="153" t="n">
        <x:f>IFERROR(E433*1000/O433,"")</x:f>
        <x:v>78.13761164406219</x:v>
      </x:c>
      <x:c r="W433" s="153" t="n">
        <x:v>4.13</x:v>
      </x:c>
      <x:c r="X433" s="155" t="n">
        <x:v>45971</x:v>
      </x:c>
      <x:c r="Y433" s="153" t="n">
        <x:v>1.84</x:v>
      </x:c>
      <x:c r="Z433" s="155" t="n">
        <x:v>45971</x:v>
      </x:c>
      <x:c r="AA433" s="153" t="n">
        <x:f>IFERROR(Y433-Y432,"")</x:f>
        <x:v>0</x:v>
      </x:c>
      <x:c r="AB433" s="153" t="n">
        <x:v>2.29</x:v>
      </x:c>
      <x:c r="AC433" s="153" t="n">
        <x:v>121.2984</x:v>
      </x:c>
      <x:c r="AD433" s="155" t="n">
        <x:v>45971</x:v>
      </x:c>
      <x:c r="AE433" s="154" t="n">
        <x:f>IFERROR(AC433/AC432-1,"")</x:f>
        <x:v>0</x:v>
      </x:c>
      <x:c r="AF433" s="153" t="n">
        <x:v>17.28</x:v>
      </x:c>
      <x:c r="AG433" s="155" t="n">
        <x:v>45972</x:v>
      </x:c>
      <x:c r="AH433" s="153" t="n">
        <x:f>IFERROR(AF433-AF432,"")</x:f>
        <x:v>-0.3200000000000003</x:v>
      </x:c>
      <x:c r="AI433" s="153" t="n">
        <x:v>3.87</x:v>
      </x:c>
      <x:c r="AJ433" s="155" t="n">
        <x:v>45968</x:v>
      </x:c>
      <x:c r="AK433" s="159" t="n">
        <x:v>100545</x:v>
      </x:c>
      <x:c r="AL433" s="154" t="n">
        <x:v>0.22323539794715352</x:v>
      </x:c>
      <x:c r="AM433" s="159" t="n">
        <x:v>-59451</x:v>
      </x:c>
      <x:c r="AN433" s="155" t="n">
        <x:v>45968</x:v>
      </x:c>
      <x:c r="AO433" s="159" t="n">
        <x:v>19157</x:v>
      </x:c>
      <x:c r="AP433" s="154" t="n">
        <x:v>0.12338896152830468</x:v>
      </x:c>
      <x:c r="AQ433" s="159" t="n">
        <x:v>-22607</x:v>
      </x:c>
      <x:c r="AR433" s="147" t="str">
        <x:v>美国市场指标与CFTC数据均使用严格早于上金所交易日的最后已发布值</x:v>
      </x:c>
    </x:row>
    <x:row r="434">
      <x:c r="A434" s="155" t="n">
        <x:v>45974</x:v>
      </x:c>
      <x:c r="B434" s="153" t="n">
        <x:v>946</x:v>
      </x:c>
      <x:c r="C434" s="153" t="n">
        <x:v>960</x:v>
      </x:c>
      <x:c r="D434" s="153" t="n">
        <x:v>940.1</x:v>
      </x:c>
      <x:c r="E434" s="153" t="n">
        <x:v>959.14</x:v>
      </x:c>
      <x:c r="F434" s="154" t="n">
        <x:f>IFERROR(E434/E433-1,"")</x:f>
        <x:v>0.01513483764446888</x:v>
      </x:c>
      <x:c r="G434" s="154" t="n">
        <x:f>IFERROR((C434-D434)/E433,"")</x:f>
        <x:v>0.021061767071673485</x:v>
      </x:c>
      <x:c r="H434" s="153" t="n">
        <x:v>957.76</x:v>
      </x:c>
      <x:c r="I434" s="158" t="n">
        <x:v>8263.64</x:v>
      </x:c>
      <x:c r="J434" s="158" t="n">
        <x:v>7914661211.2</x:v>
      </x:c>
      <x:c r="K434" s="158"/>
      <x:c r="L434" s="153" t="n">
        <x:v>12081</x:v>
      </x:c>
      <x:c r="M434" s="153" t="n">
        <x:v>12650</x:v>
      </x:c>
      <x:c r="N434" s="153" t="n">
        <x:v>12037</x:v>
      </x:c>
      <x:c r="O434" s="153" t="n">
        <x:v>12563</x:v>
      </x:c>
      <x:c r="P434" s="154" t="n">
        <x:f>IFERROR(O434/O433-1,"")</x:f>
        <x:v>0.0389513728084685</x:v>
      </x:c>
      <x:c r="Q434" s="154" t="n">
        <x:f>IFERROR((M434-N434)/O433,"")</x:f>
        <x:v>0.05069467416473702</x:v>
      </x:c>
      <x:c r="R434" s="153" t="n">
        <x:v>12469</x:v>
      </x:c>
      <x:c r="S434" s="158" t="n">
        <x:v>605638</x:v>
      </x:c>
      <x:c r="T434" s="158" t="n">
        <x:v>7552243376</x:v>
      </x:c>
      <x:c r="U434" s="158" t="n">
        <x:v>4076290</x:v>
      </x:c>
      <x:c r="V434" s="153" t="n">
        <x:f>IFERROR(E434*1000/O434,"")</x:f>
        <x:v>76.34641407307171</x:v>
      </x:c>
      <x:c r="W434" s="153" t="n">
        <x:v>4.08</x:v>
      </x:c>
      <x:c r="X434" s="155" t="n">
        <x:v>45973</x:v>
      </x:c>
      <x:c r="Y434" s="153" t="n">
        <x:v>1.81</x:v>
      </x:c>
      <x:c r="Z434" s="155" t="n">
        <x:v>45973</x:v>
      </x:c>
      <x:c r="AA434" s="153" t="n">
        <x:f>IFERROR(Y434-Y433,"")</x:f>
        <x:v>-0.030000000000000027</x:v>
      </x:c>
      <x:c r="AB434" s="153" t="n">
        <x:v>2.27</x:v>
      </x:c>
      <x:c r="AC434" s="153" t="n">
        <x:v>121.0458</x:v>
      </x:c>
      <x:c r="AD434" s="155" t="n">
        <x:v>45973</x:v>
      </x:c>
      <x:c r="AE434" s="154" t="n">
        <x:f>IFERROR(AC434/AC433-1,"")</x:f>
        <x:v>-0.002082467699491497</x:v>
      </x:c>
      <x:c r="AF434" s="153" t="n">
        <x:v>17.51</x:v>
      </x:c>
      <x:c r="AG434" s="155" t="n">
        <x:v>45973</x:v>
      </x:c>
      <x:c r="AH434" s="153" t="n">
        <x:f>IFERROR(AF434-AF433,"")</x:f>
        <x:v>0.23000000000000043</x:v>
      </x:c>
      <x:c r="AI434" s="153" t="n">
        <x:v>3.87</x:v>
      </x:c>
      <x:c r="AJ434" s="155" t="n">
        <x:v>45968</x:v>
      </x:c>
      <x:c r="AK434" s="159" t="n">
        <x:v>100545</x:v>
      </x:c>
      <x:c r="AL434" s="154" t="n">
        <x:v>0.22323539794715352</x:v>
      </x:c>
      <x:c r="AM434" s="159" t="n">
        <x:v>-59451</x:v>
      </x:c>
      <x:c r="AN434" s="155" t="n">
        <x:v>45968</x:v>
      </x:c>
      <x:c r="AO434" s="159" t="n">
        <x:v>19157</x:v>
      </x:c>
      <x:c r="AP434" s="154" t="n">
        <x:v>0.12338896152830468</x:v>
      </x:c>
      <x:c r="AQ434" s="159" t="n">
        <x:v>-22607</x:v>
      </x:c>
      <x:c r="AR434" s="147" t="str">
        <x:v>美国市场指标与CFTC数据均使用严格早于上金所交易日的最后已发布值</x:v>
      </x:c>
    </x:row>
    <x:row r="435">
      <x:c r="A435" s="155" t="n">
        <x:v>45975</x:v>
      </x:c>
      <x:c r="B435" s="153" t="n">
        <x:v>959.55</x:v>
      </x:c>
      <x:c r="C435" s="153" t="n">
        <x:v>968</x:v>
      </x:c>
      <x:c r="D435" s="153" t="n">
        <x:v>948</x:v>
      </x:c>
      <x:c r="E435" s="153" t="n">
        <x:v>948.03</x:v>
      </x:c>
      <x:c r="F435" s="154" t="n">
        <x:f>IFERROR(E435/E434-1,"")</x:f>
        <x:v>-0.011583293366974612</x:v>
      </x:c>
      <x:c r="G435" s="154" t="n">
        <x:f>IFERROR((C435-D435)/E434,"")</x:f>
        <x:v>0.020852013261880437</x:v>
      </x:c>
      <x:c r="H435" s="153" t="n">
        <x:v>954.73</x:v>
      </x:c>
      <x:c r="I435" s="158" t="n">
        <x:v>7413.22</x:v>
      </x:c>
      <x:c r="J435" s="158" t="n">
        <x:v>7077691693</x:v>
      </x:c>
      <x:c r="K435" s="158"/>
      <x:c r="L435" s="153" t="n">
        <x:v>12520</x:v>
      </x:c>
      <x:c r="M435" s="153" t="n">
        <x:v>12575</x:v>
      </x:c>
      <x:c r="N435" s="153" t="n">
        <x:v>12313</x:v>
      </x:c>
      <x:c r="O435" s="153" t="n">
        <x:v>12326</x:v>
      </x:c>
      <x:c r="P435" s="154" t="n">
        <x:f>IFERROR(O435/O434-1,"")</x:f>
        <x:v>-0.018864920799172125</x:v>
      </x:c>
      <x:c r="Q435" s="154" t="n">
        <x:f>IFERROR((M435-N435)/O434,"")</x:f>
        <x:v>0.020854891347608054</x:v>
      </x:c>
      <x:c r="R435" s="153" t="n">
        <x:v>12414</x:v>
      </x:c>
      <x:c r="S435" s="158" t="n">
        <x:v>800156</x:v>
      </x:c>
      <x:c r="T435" s="158" t="n">
        <x:v>9933724174</x:v>
      </x:c>
      <x:c r="U435" s="158" t="n">
        <x:v>4040198</x:v>
      </x:c>
      <x:c r="V435" s="153" t="n">
        <x:f>IFERROR(E435*1000/O435,"")</x:f>
        <x:v>76.9130293688139</x:v>
      </x:c>
      <x:c r="W435" s="153" t="n">
        <x:v>4.11</x:v>
      </x:c>
      <x:c r="X435" s="155" t="n">
        <x:v>45974</x:v>
      </x:c>
      <x:c r="Y435" s="153" t="n">
        <x:v>1.83</x:v>
      </x:c>
      <x:c r="Z435" s="155" t="n">
        <x:v>45974</x:v>
      </x:c>
      <x:c r="AA435" s="153" t="n">
        <x:f>IFERROR(Y435-Y434,"")</x:f>
        <x:v>0.020000000000000018</x:v>
      </x:c>
      <x:c r="AB435" s="153" t="n">
        <x:v>2.28</x:v>
      </x:c>
      <x:c r="AC435" s="153" t="n">
        <x:v>120.7725</x:v>
      </x:c>
      <x:c r="AD435" s="155" t="n">
        <x:v>45974</x:v>
      </x:c>
      <x:c r="AE435" s="154" t="n">
        <x:f>IFERROR(AC435/AC434-1,"")</x:f>
        <x:v>-0.0022578230719282333</x:v>
      </x:c>
      <x:c r="AF435" s="153" t="n">
        <x:v>20</x:v>
      </x:c>
      <x:c r="AG435" s="155" t="n">
        <x:v>45974</x:v>
      </x:c>
      <x:c r="AH435" s="153" t="n">
        <x:f>IFERROR(AF435-AF434,"")</x:f>
        <x:v>2.4899999999999984</x:v>
      </x:c>
      <x:c r="AI435" s="153" t="n">
        <x:v>3.88</x:v>
      </x:c>
      <x:c r="AJ435" s="155" t="n">
        <x:v>45974</x:v>
      </x:c>
      <x:c r="AK435" s="159" t="n">
        <x:v>104087</x:v>
      </x:c>
      <x:c r="AL435" s="154" t="n">
        <x:v>0.2262775626797566</x:v>
      </x:c>
      <x:c r="AM435" s="159" t="n">
        <x:v>-58746</x:v>
      </x:c>
      <x:c r="AN435" s="155" t="n">
        <x:v>45974</x:v>
      </x:c>
      <x:c r="AO435" s="159" t="n">
        <x:v>22655</x:v>
      </x:c>
      <x:c r="AP435" s="154" t="n">
        <x:v>0.14190505421267907</x:v>
      </x:c>
      <x:c r="AQ435" s="159" t="n">
        <x:v>-23125</x:v>
      </x:c>
      <x:c r="AR435" s="147" t="str">
        <x:v>美国市场指标与CFTC数据均使用严格早于上金所交易日的最后已发布值</x:v>
      </x:c>
    </x:row>
    <x:row r="436">
      <x:c r="A436" s="155" t="n">
        <x:v>45978</x:v>
      </x:c>
      <x:c r="B436" s="153" t="n">
        <x:v>942</x:v>
      </x:c>
      <x:c r="C436" s="153" t="n">
        <x:v>943</x:v>
      </x:c>
      <x:c r="D436" s="153" t="n">
        <x:v>921</x:v>
      </x:c>
      <x:c r="E436" s="153" t="n">
        <x:v>931.42</x:v>
      </x:c>
      <x:c r="F436" s="154" t="n">
        <x:f>IFERROR(E436/E435-1,"")</x:f>
        <x:v>-0.01752054259886293</x:v>
      </x:c>
      <x:c r="G436" s="154" t="n">
        <x:f>IFERROR((C436-D436)/E435,"")</x:f>
        <x:v>0.023206016687235636</x:v>
      </x:c>
      <x:c r="H436" s="153" t="n">
        <x:v>930.81</x:v>
      </x:c>
      <x:c r="I436" s="158" t="n">
        <x:v>9930.64</x:v>
      </x:c>
      <x:c r="J436" s="158" t="n">
        <x:v>9243600446.6</x:v>
      </x:c>
      <x:c r="K436" s="158"/>
      <x:c r="L436" s="153" t="n">
        <x:v>12260</x:v>
      </x:c>
      <x:c r="M436" s="153" t="n">
        <x:v>12260</x:v>
      </x:c>
      <x:c r="N436" s="153" t="n">
        <x:v>11840</x:v>
      </x:c>
      <x:c r="O436" s="153" t="n">
        <x:v>11970</x:v>
      </x:c>
      <x:c r="P436" s="154" t="n">
        <x:f>IFERROR(O436/O435-1,"")</x:f>
        <x:v>-0.028882037968521845</x:v>
      </x:c>
      <x:c r="Q436" s="154" t="n">
        <x:f>IFERROR((M436-N436)/O435,"")</x:f>
        <x:v>0.03407431445724485</x:v>
      </x:c>
      <x:c r="R436" s="153" t="n">
        <x:v>11958</x:v>
      </x:c>
      <x:c r="S436" s="158" t="n">
        <x:v>759026</x:v>
      </x:c>
      <x:c r="T436" s="158" t="n">
        <x:v>9076678922</x:v>
      </x:c>
      <x:c r="U436" s="158" t="n">
        <x:v>4091434</x:v>
      </x:c>
      <x:c r="V436" s="153" t="n">
        <x:f>IFERROR(E436*1000/O436,"")</x:f>
        <x:v>77.81286549707602</x:v>
      </x:c>
      <x:c r="W436" s="153" t="n">
        <x:v>4.14</x:v>
      </x:c>
      <x:c r="X436" s="155" t="n">
        <x:v>45975</x:v>
      </x:c>
      <x:c r="Y436" s="153" t="n">
        <x:v>1.86</x:v>
      </x:c>
      <x:c r="Z436" s="155" t="n">
        <x:v>45975</x:v>
      </x:c>
      <x:c r="AA436" s="153" t="n">
        <x:f>IFERROR(Y436-Y435,"")</x:f>
        <x:v>0.030000000000000027</x:v>
      </x:c>
      <x:c r="AB436" s="153" t="n">
        <x:v>2.28</x:v>
      </x:c>
      <x:c r="AC436" s="153" t="n">
        <x:v>120.9666</x:v>
      </x:c>
      <x:c r="AD436" s="155" t="n">
        <x:v>45975</x:v>
      </x:c>
      <x:c r="AE436" s="154" t="n">
        <x:f>IFERROR(AC436/AC435-1,"")</x:f>
        <x:v>0.0016071539464697082</x:v>
      </x:c>
      <x:c r="AF436" s="153" t="n">
        <x:v>19.83</x:v>
      </x:c>
      <x:c r="AG436" s="155" t="n">
        <x:v>45975</x:v>
      </x:c>
      <x:c r="AH436" s="153" t="n">
        <x:f>IFERROR(AF436-AF435,"")</x:f>
        <x:v>-0.1700000000000017</x:v>
      </x:c>
      <x:c r="AI436" s="153" t="n">
        <x:v>3.88</x:v>
      </x:c>
      <x:c r="AJ436" s="155" t="n">
        <x:v>45974</x:v>
      </x:c>
      <x:c r="AK436" s="159" t="n">
        <x:v>104087</x:v>
      </x:c>
      <x:c r="AL436" s="154" t="n">
        <x:v>0.2262775626797566</x:v>
      </x:c>
      <x:c r="AM436" s="159" t="n">
        <x:v>-58746</x:v>
      </x:c>
      <x:c r="AN436" s="155" t="n">
        <x:v>45974</x:v>
      </x:c>
      <x:c r="AO436" s="159" t="n">
        <x:v>22655</x:v>
      </x:c>
      <x:c r="AP436" s="154" t="n">
        <x:v>0.14190505421267907</x:v>
      </x:c>
      <x:c r="AQ436" s="159" t="n">
        <x:v>-23125</x:v>
      </x:c>
      <x:c r="AR436" s="147" t="str">
        <x:v>美国市场指标与CFTC数据均使用严格早于上金所交易日的最后已发布值</x:v>
      </x:c>
    </x:row>
    <x:row r="437">
      <x:c r="A437" s="155" t="n">
        <x:v>45979</x:v>
      </x:c>
      <x:c r="B437" s="153" t="n">
        <x:v>935.5</x:v>
      </x:c>
      <x:c r="C437" s="153" t="n">
        <x:v>938</x:v>
      </x:c>
      <x:c r="D437" s="153" t="n">
        <x:v>916.04</x:v>
      </x:c>
      <x:c r="E437" s="153" t="n">
        <x:v>916.96</x:v>
      </x:c>
      <x:c r="F437" s="154" t="n">
        <x:f>IFERROR(E437/E436-1,"")</x:f>
        <x:v>-0.01552468274247909</x:v>
      </x:c>
      <x:c r="G437" s="154" t="n">
        <x:f>IFERROR((C437-D437)/E436,"")</x:f>
        <x:v>0.023576904081939444</x:v>
      </x:c>
      <x:c r="H437" s="153" t="n">
        <x:v>919.43</x:v>
      </x:c>
      <x:c r="I437" s="158" t="n">
        <x:v>9662.46</x:v>
      </x:c>
      <x:c r="J437" s="158" t="n">
        <x:v>8884013918</x:v>
      </x:c>
      <x:c r="K437" s="158"/>
      <x:c r="L437" s="153" t="n">
        <x:v>11980</x:v>
      </x:c>
      <x:c r="M437" s="153" t="n">
        <x:v>12012</x:v>
      </x:c>
      <x:c r="N437" s="153" t="n">
        <x:v>11686</x:v>
      </x:c>
      <x:c r="O437" s="153" t="n">
        <x:v>11697</x:v>
      </x:c>
      <x:c r="P437" s="154" t="n">
        <x:f>IFERROR(O437/O436-1,"")</x:f>
        <x:v>-0.02280701754385961</x:v>
      </x:c>
      <x:c r="Q437" s="154" t="n">
        <x:f>IFERROR((M437-N437)/O436,"")</x:f>
        <x:v>0.027234753550543025</x:v>
      </x:c>
      <x:c r="R437" s="153" t="n">
        <x:v>11802</x:v>
      </x:c>
      <x:c r="S437" s="158" t="n">
        <x:v>623148</x:v>
      </x:c>
      <x:c r="T437" s="158" t="n">
        <x:v>7354470654</x:v>
      </x:c>
      <x:c r="U437" s="158" t="n">
        <x:v>4170070</x:v>
      </x:c>
      <x:c r="V437" s="153" t="n">
        <x:f>IFERROR(E437*1000/O437,"")</x:f>
        <x:v>78.39275027784902</x:v>
      </x:c>
      <x:c r="W437" s="153" t="n">
        <x:v>4.13</x:v>
      </x:c>
      <x:c r="X437" s="155" t="n">
        <x:v>45978</x:v>
      </x:c>
      <x:c r="Y437" s="153" t="n">
        <x:v>1.85</x:v>
      </x:c>
      <x:c r="Z437" s="155" t="n">
        <x:v>45978</x:v>
      </x:c>
      <x:c r="AA437" s="153" t="n">
        <x:f>IFERROR(Y437-Y436,"")</x:f>
        <x:v>-0.010000000000000009</x:v>
      </x:c>
      <x:c r="AB437" s="153" t="n">
        <x:v>2.28</x:v>
      </x:c>
      <x:c r="AC437" s="153" t="n">
        <x:v>121.1146</x:v>
      </x:c>
      <x:c r="AD437" s="155" t="n">
        <x:v>45978</x:v>
      </x:c>
      <x:c r="AE437" s="154" t="n">
        <x:f>IFERROR(AC437/AC436-1,"")</x:f>
        <x:v>0.0012234782163009772</x:v>
      </x:c>
      <x:c r="AF437" s="153" t="n">
        <x:v>22.38</x:v>
      </x:c>
      <x:c r="AG437" s="155" t="n">
        <x:v>45978</x:v>
      </x:c>
      <x:c r="AH437" s="153" t="n">
        <x:f>IFERROR(AF437-AF436,"")</x:f>
        <x:v>2.5500000000000007</x:v>
      </x:c>
      <x:c r="AI437" s="153" t="n">
        <x:v>3.88</x:v>
      </x:c>
      <x:c r="AJ437" s="155" t="n">
        <x:v>45974</x:v>
      </x:c>
      <x:c r="AK437" s="159" t="n">
        <x:v>104087</x:v>
      </x:c>
      <x:c r="AL437" s="154" t="n">
        <x:v>0.2262775626797566</x:v>
      </x:c>
      <x:c r="AM437" s="159" t="n">
        <x:v>-58746</x:v>
      </x:c>
      <x:c r="AN437" s="155" t="n">
        <x:v>45974</x:v>
      </x:c>
      <x:c r="AO437" s="159" t="n">
        <x:v>22655</x:v>
      </x:c>
      <x:c r="AP437" s="154" t="n">
        <x:v>0.14190505421267907</x:v>
      </x:c>
      <x:c r="AQ437" s="159" t="n">
        <x:v>-23125</x:v>
      </x:c>
      <x:c r="AR437" s="147" t="str">
        <x:v>美国市场指标与CFTC数据均使用严格早于上金所交易日的最后已发布值</x:v>
      </x:c>
    </x:row>
    <x:row r="438">
      <x:c r="A438" s="155" t="n">
        <x:v>45980</x:v>
      </x:c>
      <x:c r="B438" s="153" t="n">
        <x:v>923.5</x:v>
      </x:c>
      <x:c r="C438" s="153" t="n">
        <x:v>937.8</x:v>
      </x:c>
      <x:c r="D438" s="153" t="n">
        <x:v>921.05</x:v>
      </x:c>
      <x:c r="E438" s="153" t="n">
        <x:v>935.33</x:v>
      </x:c>
      <x:c r="F438" s="154" t="n">
        <x:f>IFERROR(E438/E437-1,"")</x:f>
        <x:v>0.02003358925143961</x:v>
      </x:c>
      <x:c r="G438" s="154" t="n">
        <x:f>IFERROR((C438-D438)/E437,"")</x:f>
        <x:v>0.018266881870528703</x:v>
      </x:c>
      <x:c r="H438" s="153" t="n">
        <x:v>932.77</x:v>
      </x:c>
      <x:c r="I438" s="158" t="n">
        <x:v>6310.06</x:v>
      </x:c>
      <x:c r="J438" s="158" t="n">
        <x:v>5885835317.2</x:v>
      </x:c>
      <x:c r="K438" s="158"/>
      <x:c r="L438" s="153" t="n">
        <x:v>11855</x:v>
      </x:c>
      <x:c r="M438" s="153" t="n">
        <x:v>12161</x:v>
      </x:c>
      <x:c r="N438" s="153" t="n">
        <x:v>11755</x:v>
      </x:c>
      <x:c r="O438" s="153" t="n">
        <x:v>12150</x:v>
      </x:c>
      <x:c r="P438" s="154" t="n">
        <x:f>IFERROR(O438/O437-1,"")</x:f>
        <x:v>0.03872787894331875</x:v>
      </x:c>
      <x:c r="Q438" s="154" t="n">
        <x:f>IFERROR((M438-N438)/O437,"")</x:f>
        <x:v>0.034709754637941355</x:v>
      </x:c>
      <x:c r="R438" s="153" t="n">
        <x:v>11999</x:v>
      </x:c>
      <x:c r="S438" s="158" t="n">
        <x:v>785682</x:v>
      </x:c>
      <x:c r="T438" s="158" t="n">
        <x:v>9427464950</x:v>
      </x:c>
      <x:c r="U438" s="158" t="n">
        <x:v>4107262</x:v>
      </x:c>
      <x:c r="V438" s="153" t="n">
        <x:f>IFERROR(E438*1000/O438,"")</x:f>
        <x:v>76.98189300411522</x:v>
      </x:c>
      <x:c r="W438" s="153" t="n">
        <x:v>4.12</x:v>
      </x:c>
      <x:c r="X438" s="155" t="n">
        <x:v>45979</x:v>
      </x:c>
      <x:c r="Y438" s="153" t="n">
        <x:v>1.85</x:v>
      </x:c>
      <x:c r="Z438" s="155" t="n">
        <x:v>45979</x:v>
      </x:c>
      <x:c r="AA438" s="153" t="n">
        <x:f>IFERROR(Y438-Y437,"")</x:f>
        <x:v>0</x:v>
      </x:c>
      <x:c r="AB438" s="153" t="n">
        <x:v>2.27</x:v>
      </x:c>
      <x:c r="AC438" s="153" t="n">
        <x:v>121.2127</x:v>
      </x:c>
      <x:c r="AD438" s="155" t="n">
        <x:v>45979</x:v>
      </x:c>
      <x:c r="AE438" s="154" t="n">
        <x:f>IFERROR(AC438/AC437-1,"")</x:f>
        <x:v>0.00080997666672733</x:v>
      </x:c>
      <x:c r="AF438" s="153" t="n">
        <x:v>24.69</x:v>
      </x:c>
      <x:c r="AG438" s="155" t="n">
        <x:v>45979</x:v>
      </x:c>
      <x:c r="AH438" s="153" t="n">
        <x:f>IFERROR(AF438-AF437,"")</x:f>
        <x:v>2.3100000000000023</x:v>
      </x:c>
      <x:c r="AI438" s="153" t="n">
        <x:v>3.88</x:v>
      </x:c>
      <x:c r="AJ438" s="155" t="n">
        <x:v>45974</x:v>
      </x:c>
      <x:c r="AK438" s="159" t="n">
        <x:v>104087</x:v>
      </x:c>
      <x:c r="AL438" s="154" t="n">
        <x:v>0.2262775626797566</x:v>
      </x:c>
      <x:c r="AM438" s="159" t="n">
        <x:v>-58746</x:v>
      </x:c>
      <x:c r="AN438" s="155" t="n">
        <x:v>45974</x:v>
      </x:c>
      <x:c r="AO438" s="159" t="n">
        <x:v>22655</x:v>
      </x:c>
      <x:c r="AP438" s="154" t="n">
        <x:v>0.14190505421267907</x:v>
      </x:c>
      <x:c r="AQ438" s="159" t="n">
        <x:v>-23125</x:v>
      </x:c>
      <x:c r="AR438" s="147" t="str">
        <x:v>美国市场指标与CFTC数据均使用严格早于上金所交易日的最后已发布值</x:v>
      </x:c>
    </x:row>
    <x:row r="439">
      <x:c r="A439" s="155" t="n">
        <x:v>45981</x:v>
      </x:c>
      <x:c r="B439" s="153" t="n">
        <x:v>940</x:v>
      </x:c>
      <x:c r="C439" s="153" t="n">
        <x:v>942.5</x:v>
      </x:c>
      <x:c r="D439" s="153" t="n">
        <x:v>927</x:v>
      </x:c>
      <x:c r="E439" s="153" t="n">
        <x:v>929.95</x:v>
      </x:c>
      <x:c r="F439" s="154" t="n">
        <x:f>IFERROR(E439/E438-1,"")</x:f>
        <x:v>-0.005751980584392635</x:v>
      </x:c>
      <x:c r="G439" s="154" t="n">
        <x:f>IFERROR((C439-D439)/E438,"")</x:f>
        <x:v>0.016571691274737257</x:v>
      </x:c>
      <x:c r="H439" s="153" t="n">
        <x:v>932.07</x:v>
      </x:c>
      <x:c r="I439" s="158" t="n">
        <x:v>5951.7</x:v>
      </x:c>
      <x:c r="J439" s="158" t="n">
        <x:v>5547450956.4</x:v>
      </x:c>
      <x:c r="K439" s="158"/>
      <x:c r="L439" s="153" t="n">
        <x:v>12257</x:v>
      </x:c>
      <x:c r="M439" s="153" t="n">
        <x:v>12310</x:v>
      </x:c>
      <x:c r="N439" s="153" t="n">
        <x:v>11927</x:v>
      </x:c>
      <x:c r="O439" s="153" t="n">
        <x:v>12030</x:v>
      </x:c>
      <x:c r="P439" s="154" t="n">
        <x:f>IFERROR(O439/O438-1,"")</x:f>
        <x:v>-0.00987654320987652</x:v>
      </x:c>
      <x:c r="Q439" s="154" t="n">
        <x:f>IFERROR((M439-N439)/O438,"")</x:f>
        <x:v>0.03152263374485597</x:v>
      </x:c>
      <x:c r="R439" s="153" t="n">
        <x:v>12098</x:v>
      </x:c>
      <x:c r="S439" s="158" t="n">
        <x:v>603732</x:v>
      </x:c>
      <x:c r="T439" s="158" t="n">
        <x:v>7304465722</x:v>
      </x:c>
      <x:c r="U439" s="158" t="n">
        <x:v>4118612</x:v>
      </x:c>
      <x:c r="V439" s="153" t="n">
        <x:f>IFERROR(E439*1000/O439,"")</x:f>
        <x:v>77.30257689110557</x:v>
      </x:c>
      <x:c r="W439" s="153" t="n">
        <x:v>4.13</x:v>
      </x:c>
      <x:c r="X439" s="155" t="n">
        <x:v>45980</x:v>
      </x:c>
      <x:c r="Y439" s="153" t="n">
        <x:v>1.86</x:v>
      </x:c>
      <x:c r="Z439" s="155" t="n">
        <x:v>45980</x:v>
      </x:c>
      <x:c r="AA439" s="153" t="n">
        <x:f>IFERROR(Y439-Y438,"")</x:f>
        <x:v>0.010000000000000009</x:v>
      </x:c>
      <x:c r="AB439" s="153" t="n">
        <x:v>2.27</x:v>
      </x:c>
      <x:c r="AC439" s="153" t="n">
        <x:v>121.4978</x:v>
      </x:c>
      <x:c r="AD439" s="155" t="n">
        <x:v>45980</x:v>
      </x:c>
      <x:c r="AE439" s="154" t="n">
        <x:f>IFERROR(AC439/AC438-1,"")</x:f>
        <x:v>0.002352063768895407</x:v>
      </x:c>
      <x:c r="AF439" s="153" t="n">
        <x:v>23.66</x:v>
      </x:c>
      <x:c r="AG439" s="155" t="n">
        <x:v>45980</x:v>
      </x:c>
      <x:c r="AH439" s="153" t="n">
        <x:f>IFERROR(AF439-AF438,"")</x:f>
        <x:v>-1.0300000000000011</x:v>
      </x:c>
      <x:c r="AI439" s="153" t="n">
        <x:v>3.88</x:v>
      </x:c>
      <x:c r="AJ439" s="155" t="n">
        <x:v>45974</x:v>
      </x:c>
      <x:c r="AK439" s="159" t="n">
        <x:v>104087</x:v>
      </x:c>
      <x:c r="AL439" s="154" t="n">
        <x:v>0.2262775626797566</x:v>
      </x:c>
      <x:c r="AM439" s="159" t="n">
        <x:v>-58746</x:v>
      </x:c>
      <x:c r="AN439" s="155" t="n">
        <x:v>45974</x:v>
      </x:c>
      <x:c r="AO439" s="159" t="n">
        <x:v>22655</x:v>
      </x:c>
      <x:c r="AP439" s="154" t="n">
        <x:v>0.14190505421267907</x:v>
      </x:c>
      <x:c r="AQ439" s="159" t="n">
        <x:v>-23125</x:v>
      </x:c>
      <x:c r="AR439" s="147" t="str">
        <x:v>美国市场指标与CFTC数据均使用严格早于上金所交易日的最后已发布值</x:v>
      </x:c>
    </x:row>
    <x:row r="440">
      <x:c r="A440" s="155" t="n">
        <x:v>45982</x:v>
      </x:c>
      <x:c r="B440" s="153" t="n">
        <x:v>933</x:v>
      </x:c>
      <x:c r="C440" s="153" t="n">
        <x:v>938</x:v>
      </x:c>
      <x:c r="D440" s="153" t="n">
        <x:v>918</x:v>
      </x:c>
      <x:c r="E440" s="153" t="n">
        <x:v>924.44</x:v>
      </x:c>
      <x:c r="F440" s="154" t="n">
        <x:f>IFERROR(E440/E439-1,"")</x:f>
        <x:v>-0.005925049733856658</x:v>
      </x:c>
      <x:c r="G440" s="154" t="n">
        <x:f>IFERROR((C440-D440)/E439,"")</x:f>
        <x:v>0.02150653260928007</x:v>
      </x:c>
      <x:c r="H440" s="153" t="n">
        <x:v>927.16</x:v>
      </x:c>
      <x:c r="I440" s="158" t="n">
        <x:v>5905.54</x:v>
      </x:c>
      <x:c r="J440" s="158" t="n">
        <x:v>5475389793.4</x:v>
      </x:c>
      <x:c r="K440" s="158"/>
      <x:c r="L440" s="153" t="n">
        <x:v>11999</x:v>
      </x:c>
      <x:c r="M440" s="153" t="n">
        <x:v>12150</x:v>
      </x:c>
      <x:c r="N440" s="153" t="n">
        <x:v>11666</x:v>
      </x:c>
      <x:c r="O440" s="153" t="n">
        <x:v>11697</x:v>
      </x:c>
      <x:c r="P440" s="154" t="n">
        <x:f>IFERROR(O440/O439-1,"")</x:f>
        <x:v>-0.027680798004987572</x:v>
      </x:c>
      <x:c r="Q440" s="154" t="n">
        <x:f>IFERROR((M440-N440)/O439,"")</x:f>
        <x:v>0.04023275145469659</x:v>
      </x:c>
      <x:c r="R440" s="153" t="n">
        <x:v>11830</x:v>
      </x:c>
      <x:c r="S440" s="158" t="n">
        <x:v>1243994</x:v>
      </x:c>
      <x:c r="T440" s="158" t="n">
        <x:v>14717368830</x:v>
      </x:c>
      <x:c r="U440" s="158" t="n">
        <x:v>4030310</x:v>
      </x:c>
      <x:c r="V440" s="153" t="n">
        <x:f>IFERROR(E440*1000/O440,"")</x:f>
        <x:v>79.03223048644952</x:v>
      </x:c>
      <x:c r="W440" s="153" t="n">
        <x:v>4.1</x:v>
      </x:c>
      <x:c r="X440" s="155" t="n">
        <x:v>45981</x:v>
      </x:c>
      <x:c r="Y440" s="153" t="n">
        <x:v>1.86</x:v>
      </x:c>
      <x:c r="Z440" s="155" t="n">
        <x:v>45981</x:v>
      </x:c>
      <x:c r="AA440" s="153" t="n">
        <x:f>IFERROR(Y440-Y439,"")</x:f>
        <x:v>0</x:v>
      </x:c>
      <x:c r="AB440" s="153" t="n">
        <x:v>2.24</x:v>
      </x:c>
      <x:c r="AC440" s="153" t="n">
        <x:v>121.6889</x:v>
      </x:c>
      <x:c r="AD440" s="155" t="n">
        <x:v>45981</x:v>
      </x:c>
      <x:c r="AE440" s="154" t="n">
        <x:f>IFERROR(AC440/AC439-1,"")</x:f>
        <x:v>0.0015728679860871342</x:v>
      </x:c>
      <x:c r="AF440" s="153" t="n">
        <x:v>26.42</x:v>
      </x:c>
      <x:c r="AG440" s="155" t="n">
        <x:v>45981</x:v>
      </x:c>
      <x:c r="AH440" s="153" t="n">
        <x:f>IFERROR(AF440-AF439,"")</x:f>
        <x:v>2.7600000000000016</x:v>
      </x:c>
      <x:c r="AI440" s="153" t="n">
        <x:v>3.88</x:v>
      </x:c>
      <x:c r="AJ440" s="155" t="n">
        <x:v>45974</x:v>
      </x:c>
      <x:c r="AK440" s="159" t="n">
        <x:v>104087</x:v>
      </x:c>
      <x:c r="AL440" s="154" t="n">
        <x:v>0.2262775626797566</x:v>
      </x:c>
      <x:c r="AM440" s="159" t="n">
        <x:v>-58746</x:v>
      </x:c>
      <x:c r="AN440" s="155" t="n">
        <x:v>45974</x:v>
      </x:c>
      <x:c r="AO440" s="159" t="n">
        <x:v>22655</x:v>
      </x:c>
      <x:c r="AP440" s="154" t="n">
        <x:v>0.14190505421267907</x:v>
      </x:c>
      <x:c r="AQ440" s="159" t="n">
        <x:v>-23125</x:v>
      </x:c>
      <x:c r="AR440" s="147" t="str">
        <x:v>美国市场指标与CFTC数据均使用严格早于上金所交易日的最后已发布值</x:v>
      </x:c>
    </x:row>
    <x:row r="441">
      <x:c r="A441" s="155" t="n">
        <x:v>45985</x:v>
      </x:c>
      <x:c r="B441" s="153" t="n">
        <x:v>924</x:v>
      </x:c>
      <x:c r="C441" s="153" t="n">
        <x:v>935</x:v>
      </x:c>
      <x:c r="D441" s="153" t="n">
        <x:v>923.8</x:v>
      </x:c>
      <x:c r="E441" s="153" t="n">
        <x:v>926</x:v>
      </x:c>
      <x:c r="F441" s="154" t="n">
        <x:f>IFERROR(E441/E440-1,"")</x:f>
        <x:v>0.0016875081130196534</x:v>
      </x:c>
      <x:c r="G441" s="154" t="n">
        <x:f>IFERROR((C441-D441)/E440,"")</x:f>
        <x:v>0.012115442862706119</x:v>
      </x:c>
      <x:c r="H441" s="153" t="n">
        <x:v>925.54</x:v>
      </x:c>
      <x:c r="I441" s="158" t="n">
        <x:v>6484.96</x:v>
      </x:c>
      <x:c r="J441" s="158" t="n">
        <x:v>6002095281.4</x:v>
      </x:c>
      <x:c r="K441" s="158"/>
      <x:c r="L441" s="153" t="n">
        <x:v>11613</x:v>
      </x:c>
      <x:c r="M441" s="153" t="n">
        <x:v>11960</x:v>
      </x:c>
      <x:c r="N441" s="153" t="n">
        <x:v>11553</x:v>
      </x:c>
      <x:c r="O441" s="153" t="n">
        <x:v>11827</x:v>
      </x:c>
      <x:c r="P441" s="154" t="n">
        <x:f>IFERROR(O441/O440-1,"")</x:f>
        <x:v>0.011113960844661097</x:v>
      </x:c>
      <x:c r="Q441" s="154" t="n">
        <x:f>IFERROR((M441-N441)/O440,"")</x:f>
        <x:v>0.03479524664443875</x:v>
      </x:c>
      <x:c r="R441" s="153" t="n">
        <x:v>11809</x:v>
      </x:c>
      <x:c r="S441" s="158" t="n">
        <x:v>724146</x:v>
      </x:c>
      <x:c r="T441" s="158" t="n">
        <x:v>8552157704</x:v>
      </x:c>
      <x:c r="U441" s="158" t="n">
        <x:v>4090494</x:v>
      </x:c>
      <x:c r="V441" s="153" t="n">
        <x:f>IFERROR(E441*1000/O441,"")</x:f>
        <x:v>78.29542572080832</x:v>
      </x:c>
      <x:c r="W441" s="153" t="n">
        <x:v>4.06</x:v>
      </x:c>
      <x:c r="X441" s="155" t="n">
        <x:v>45982</x:v>
      </x:c>
      <x:c r="Y441" s="153" t="n">
        <x:v>1.82</x:v>
      </x:c>
      <x:c r="Z441" s="155" t="n">
        <x:v>45982</x:v>
      </x:c>
      <x:c r="AA441" s="153" t="n">
        <x:f>IFERROR(Y441-Y440,"")</x:f>
        <x:v>-0.040000000000000036</x:v>
      </x:c>
      <x:c r="AB441" s="153" t="n">
        <x:v>2.24</x:v>
      </x:c>
      <x:c r="AC441" s="153" t="n">
        <x:v>121.8653</x:v>
      </x:c>
      <x:c r="AD441" s="155" t="n">
        <x:v>45982</x:v>
      </x:c>
      <x:c r="AE441" s="154" t="n">
        <x:f>IFERROR(AC441/AC440-1,"")</x:f>
        <x:v>0.0014495981145363768</x:v>
      </x:c>
      <x:c r="AF441" s="153" t="n">
        <x:v>23.43</x:v>
      </x:c>
      <x:c r="AG441" s="155" t="n">
        <x:v>45982</x:v>
      </x:c>
      <x:c r="AH441" s="153" t="n">
        <x:f>IFERROR(AF441-AF440,"")</x:f>
        <x:v>-2.990000000000002</x:v>
      </x:c>
      <x:c r="AI441" s="153" t="n">
        <x:v>3.88</x:v>
      </x:c>
      <x:c r="AJ441" s="155" t="n">
        <x:v>45982</x:v>
      </x:c>
      <x:c r="AK441" s="159" t="n">
        <x:v>98205</x:v>
      </x:c>
      <x:c r="AL441" s="154" t="n">
        <x:v>0.20808216072363137</x:v>
      </x:c>
      <x:c r="AM441" s="159" t="n">
        <x:v>-58897</x:v>
      </x:c>
      <x:c r="AN441" s="155" t="n">
        <x:v>45982</x:v>
      </x:c>
      <x:c r="AO441" s="159" t="n">
        <x:v>20234</x:v>
      </x:c>
      <x:c r="AP441" s="154" t="n">
        <x:v>0.13199386803222546</x:v>
      </x:c>
      <x:c r="AQ441" s="159" t="n">
        <x:v>-23552</x:v>
      </x:c>
      <x:c r="AR441" s="147" t="str">
        <x:v>美国市场指标与CFTC数据均使用严格早于上金所交易日的最后已发布值</x:v>
      </x:c>
    </x:row>
    <x:row r="442">
      <x:c r="A442" s="155" t="n">
        <x:v>45986</x:v>
      </x:c>
      <x:c r="B442" s="153" t="n">
        <x:v>930</x:v>
      </x:c>
      <x:c r="C442" s="153" t="n">
        <x:v>945</x:v>
      </x:c>
      <x:c r="D442" s="153" t="n">
        <x:v>930</x:v>
      </x:c>
      <x:c r="E442" s="153" t="n">
        <x:v>941.54</x:v>
      </x:c>
      <x:c r="F442" s="154" t="n">
        <x:f>IFERROR(E442/E441-1,"")</x:f>
        <x:v>0.016781857451403814</x:v>
      </x:c>
      <x:c r="G442" s="154" t="n">
        <x:f>IFERROR((C442-D442)/E441,"")</x:f>
        <x:v>0.016198704103671708</x:v>
      </x:c>
      <x:c r="H442" s="153" t="n">
        <x:v>942.61</x:v>
      </x:c>
      <x:c r="I442" s="158" t="n">
        <x:v>5636.04</x:v>
      </x:c>
      <x:c r="J442" s="158" t="n">
        <x:v>5312635537.2</x:v>
      </x:c>
      <x:c r="K442" s="158"/>
      <x:c r="L442" s="153" t="n">
        <x:v>11855</x:v>
      </x:c>
      <x:c r="M442" s="153" t="n">
        <x:v>12205</x:v>
      </x:c>
      <x:c r="N442" s="153" t="n">
        <x:v>11813</x:v>
      </x:c>
      <x:c r="O442" s="153" t="n">
        <x:v>12132</x:v>
      </x:c>
      <x:c r="P442" s="154" t="n">
        <x:f>IFERROR(O442/O441-1,"")</x:f>
        <x:v>0.025788450156421838</x:v>
      </x:c>
      <x:c r="Q442" s="154" t="n">
        <x:f>IFERROR((M442-N442)/O441,"")</x:f>
        <x:v>0.03314449987317156</x:v>
      </x:c>
      <x:c r="R442" s="153" t="n">
        <x:v>12129</x:v>
      </x:c>
      <x:c r="S442" s="158" t="n">
        <x:v>1071092</x:v>
      </x:c>
      <x:c r="T442" s="158" t="n">
        <x:v>12991939650</x:v>
      </x:c>
      <x:c r="U442" s="158" t="n">
        <x:v>3987894</x:v>
      </x:c>
      <x:c r="V442" s="153" t="n">
        <x:f>IFERROR(E442*1000/O442,"")</x:f>
        <x:v>77.60797889878009</x:v>
      </x:c>
      <x:c r="W442" s="153" t="n">
        <x:v>4.04</x:v>
      </x:c>
      <x:c r="X442" s="155" t="n">
        <x:v>45985</x:v>
      </x:c>
      <x:c r="Y442" s="153" t="n">
        <x:v>1.81</x:v>
      </x:c>
      <x:c r="Z442" s="155" t="n">
        <x:v>45985</x:v>
      </x:c>
      <x:c r="AA442" s="153" t="n">
        <x:f>IFERROR(Y442-Y441,"")</x:f>
        <x:v>-0.010000000000000009</x:v>
      </x:c>
      <x:c r="AB442" s="153" t="n">
        <x:v>2.23</x:v>
      </x:c>
      <x:c r="AC442" s="153" t="n">
        <x:v>121.9171</x:v>
      </x:c>
      <x:c r="AD442" s="155" t="n">
        <x:v>45985</x:v>
      </x:c>
      <x:c r="AE442" s="154" t="n">
        <x:f>IFERROR(AC442/AC441-1,"")</x:f>
        <x:v>0.0004250594713999245</x:v>
      </x:c>
      <x:c r="AF442" s="153" t="n">
        <x:v>20.52</x:v>
      </x:c>
      <x:c r="AG442" s="155" t="n">
        <x:v>45985</x:v>
      </x:c>
      <x:c r="AH442" s="153" t="n">
        <x:f>IFERROR(AF442-AF441,"")</x:f>
        <x:v>-2.91</x:v>
      </x:c>
      <x:c r="AI442" s="153" t="n">
        <x:v>3.88</x:v>
      </x:c>
      <x:c r="AJ442" s="155" t="n">
        <x:v>45982</x:v>
      </x:c>
      <x:c r="AK442" s="159" t="n">
        <x:v>98205</x:v>
      </x:c>
      <x:c r="AL442" s="154" t="n">
        <x:v>0.20808216072363137</x:v>
      </x:c>
      <x:c r="AM442" s="159" t="n">
        <x:v>-58897</x:v>
      </x:c>
      <x:c r="AN442" s="155" t="n">
        <x:v>45982</x:v>
      </x:c>
      <x:c r="AO442" s="159" t="n">
        <x:v>20234</x:v>
      </x:c>
      <x:c r="AP442" s="154" t="n">
        <x:v>0.13199386803222546</x:v>
      </x:c>
      <x:c r="AQ442" s="159" t="n">
        <x:v>-23552</x:v>
      </x:c>
      <x:c r="AR442" s="147" t="str">
        <x:v>美国市场指标与CFTC数据均使用严格早于上金所交易日的最后已发布值</x:v>
      </x:c>
    </x:row>
    <x:row r="443">
      <x:c r="A443" s="155" t="n">
        <x:v>45987</x:v>
      </x:c>
      <x:c r="B443" s="153" t="n">
        <x:v>940</x:v>
      </x:c>
      <x:c r="C443" s="153" t="n">
        <x:v>945.9</x:v>
      </x:c>
      <x:c r="D443" s="153" t="n">
        <x:v>935</x:v>
      </x:c>
      <x:c r="E443" s="153" t="n">
        <x:v>941.16</x:v>
      </x:c>
      <x:c r="F443" s="154" t="n">
        <x:f>IFERROR(E443/E442-1,"")</x:f>
        <x:v>-0.00040359411177437465</x:v>
      </x:c>
      <x:c r="G443" s="154" t="n">
        <x:f>IFERROR((C443-D443)/E442,"")</x:f>
        <x:v>0.011576778469316203</x:v>
      </x:c>
      <x:c r="H443" s="153" t="n">
        <x:v>943.78</x:v>
      </x:c>
      <x:c r="I443" s="158" t="n">
        <x:v>5591.84</x:v>
      </x:c>
      <x:c r="J443" s="158" t="n">
        <x:v>5277487508</x:v>
      </x:c>
      <x:c r="K443" s="158"/>
      <x:c r="L443" s="153" t="n">
        <x:v>12080</x:v>
      </x:c>
      <x:c r="M443" s="153" t="n">
        <x:v>12255</x:v>
      </x:c>
      <x:c r="N443" s="153" t="n">
        <x:v>11939</x:v>
      </x:c>
      <x:c r="O443" s="153" t="n">
        <x:v>12209</x:v>
      </x:c>
      <x:c r="P443" s="154" t="n">
        <x:f>IFERROR(O443/O442-1,"")</x:f>
        <x:v>0.006346851302340806</x:v>
      </x:c>
      <x:c r="Q443" s="154" t="n">
        <x:f>IFERROR((M443-N443)/O442,"")</x:f>
        <x:v>0.0260468183316848</x:v>
      </x:c>
      <x:c r="R443" s="153" t="n">
        <x:v>12180</x:v>
      </x:c>
      <x:c r="S443" s="158" t="n">
        <x:v>668376</x:v>
      </x:c>
      <x:c r="T443" s="158" t="n">
        <x:v>8141201948</x:v>
      </x:c>
      <x:c r="U443" s="158" t="n">
        <x:v>3991986</x:v>
      </x:c>
      <x:c r="V443" s="153" t="n">
        <x:f>IFERROR(E443*1000/O443,"")</x:f>
        <x:v>77.08739454500778</x:v>
      </x:c>
      <x:c r="W443" s="153" t="n">
        <x:v>4.01</x:v>
      </x:c>
      <x:c r="X443" s="155" t="n">
        <x:v>45986</x:v>
      </x:c>
      <x:c r="Y443" s="153" t="n">
        <x:v>1.79</x:v>
      </x:c>
      <x:c r="Z443" s="155" t="n">
        <x:v>45986</x:v>
      </x:c>
      <x:c r="AA443" s="153" t="n">
        <x:f>IFERROR(Y443-Y442,"")</x:f>
        <x:v>-0.020000000000000018</x:v>
      </x:c>
      <x:c r="AB443" s="153" t="n">
        <x:v>2.22</x:v>
      </x:c>
      <x:c r="AC443" s="153" t="n">
        <x:v>121.6335</x:v>
      </x:c>
      <x:c r="AD443" s="155" t="n">
        <x:v>45986</x:v>
      </x:c>
      <x:c r="AE443" s="154" t="n">
        <x:f>IFERROR(AC443/AC442-1,"")</x:f>
        <x:v>-0.002326170816071005</x:v>
      </x:c>
      <x:c r="AF443" s="153" t="n">
        <x:v>18.56</x:v>
      </x:c>
      <x:c r="AG443" s="155" t="n">
        <x:v>45986</x:v>
      </x:c>
      <x:c r="AH443" s="153" t="n">
        <x:f>IFERROR(AF443-AF442,"")</x:f>
        <x:v>-1.9600000000000009</x:v>
      </x:c>
      <x:c r="AI443" s="153" t="n">
        <x:v>3.88</x:v>
      </x:c>
      <x:c r="AJ443" s="155" t="n">
        <x:v>45982</x:v>
      </x:c>
      <x:c r="AK443" s="159" t="n">
        <x:v>98205</x:v>
      </x:c>
      <x:c r="AL443" s="154" t="n">
        <x:v>0.20808216072363137</x:v>
      </x:c>
      <x:c r="AM443" s="159" t="n">
        <x:v>-58897</x:v>
      </x:c>
      <x:c r="AN443" s="155" t="n">
        <x:v>45982</x:v>
      </x:c>
      <x:c r="AO443" s="159" t="n">
        <x:v>20234</x:v>
      </x:c>
      <x:c r="AP443" s="154" t="n">
        <x:v>0.13199386803222546</x:v>
      </x:c>
      <x:c r="AQ443" s="159" t="n">
        <x:v>-23552</x:v>
      </x:c>
      <x:c r="AR443" s="147" t="str">
        <x:v>美国市场指标与CFTC数据均使用严格早于上金所交易日的最后已发布值</x:v>
      </x:c>
    </x:row>
    <x:row r="444">
      <x:c r="A444" s="155" t="n">
        <x:v>45988</x:v>
      </x:c>
      <x:c r="B444" s="153" t="n">
        <x:v>945.8</x:v>
      </x:c>
      <x:c r="C444" s="153" t="n">
        <x:v>945.8</x:v>
      </x:c>
      <x:c r="D444" s="153" t="n">
        <x:v>940</x:v>
      </x:c>
      <x:c r="E444" s="153" t="n">
        <x:v>943.98</x:v>
      </x:c>
      <x:c r="F444" s="154" t="n">
        <x:f>IFERROR(E444/E443-1,"")</x:f>
        <x:v>0.002996302435292586</x:v>
      </x:c>
      <x:c r="G444" s="154" t="n">
        <x:f>IFERROR((C444-D444)/E443,"")</x:f>
        <x:v>0.006162607845637251</x:v>
      </x:c>
      <x:c r="H444" s="153" t="n">
        <x:v>941.57</x:v>
      </x:c>
      <x:c r="I444" s="158" t="n">
        <x:v>3788.12</x:v>
      </x:c>
      <x:c r="J444" s="158" t="n">
        <x:v>3566812989.8</x:v>
      </x:c>
      <x:c r="K444" s="158"/>
      <x:c r="L444" s="153" t="n">
        <x:v>12286</x:v>
      </x:c>
      <x:c r="M444" s="153" t="n">
        <x:v>12558</x:v>
      </x:c>
      <x:c r="N444" s="153" t="n">
        <x:v>12145</x:v>
      </x:c>
      <x:c r="O444" s="153" t="n">
        <x:v>12545</x:v>
      </x:c>
      <x:c r="P444" s="154" t="n">
        <x:f>IFERROR(O444/O443-1,"")</x:f>
        <x:v>0.02752068146449349</x:v>
      </x:c>
      <x:c r="Q444" s="154" t="n">
        <x:f>IFERROR((M444-N444)/O443,"")</x:f>
        <x:v>0.033827504300106476</x:v>
      </x:c>
      <x:c r="R444" s="153" t="n">
        <x:v>12368</x:v>
      </x:c>
      <x:c r="S444" s="158" t="n">
        <x:v>864016</x:v>
      </x:c>
      <x:c r="T444" s="158" t="n">
        <x:v>10686484872</x:v>
      </x:c>
      <x:c r="U444" s="158" t="n">
        <x:v>3983000</x:v>
      </x:c>
      <x:c r="V444" s="153" t="n">
        <x:f>IFERROR(E444*1000/O444,"")</x:f>
        <x:v>75.24750896771621</x:v>
      </x:c>
      <x:c r="W444" s="153" t="n">
        <x:v>4</x:v>
      </x:c>
      <x:c r="X444" s="155" t="n">
        <x:v>45987</x:v>
      </x:c>
      <x:c r="Y444" s="153" t="n">
        <x:v>1.77</x:v>
      </x:c>
      <x:c r="Z444" s="155" t="n">
        <x:v>45987</x:v>
      </x:c>
      <x:c r="AA444" s="153" t="n">
        <x:f>IFERROR(Y444-Y443,"")</x:f>
        <x:v>-0.020000000000000018</x:v>
      </x:c>
      <x:c r="AB444" s="153" t="n">
        <x:v>2.23</x:v>
      </x:c>
      <x:c r="AC444" s="153" t="n">
        <x:v>121.2437</x:v>
      </x:c>
      <x:c r="AD444" s="155" t="n">
        <x:v>45987</x:v>
      </x:c>
      <x:c r="AE444" s="154" t="n">
        <x:f>IFERROR(AC444/AC443-1,"")</x:f>
        <x:v>-0.0032047092289541057</x:v>
      </x:c>
      <x:c r="AF444" s="153" t="n">
        <x:v>17.19</x:v>
      </x:c>
      <x:c r="AG444" s="155" t="n">
        <x:v>45987</x:v>
      </x:c>
      <x:c r="AH444" s="153" t="n">
        <x:f>IFERROR(AF444-AF443,"")</x:f>
        <x:v>-1.3699999999999974</x:v>
      </x:c>
      <x:c r="AI444" s="153" t="n">
        <x:v>3.88</x:v>
      </x:c>
      <x:c r="AJ444" s="155" t="n">
        <x:v>45982</x:v>
      </x:c>
      <x:c r="AK444" s="159" t="n">
        <x:v>98205</x:v>
      </x:c>
      <x:c r="AL444" s="154" t="n">
        <x:v>0.20808216072363137</x:v>
      </x:c>
      <x:c r="AM444" s="159" t="n">
        <x:v>-58897</x:v>
      </x:c>
      <x:c r="AN444" s="155" t="n">
        <x:v>45982</x:v>
      </x:c>
      <x:c r="AO444" s="159" t="n">
        <x:v>20234</x:v>
      </x:c>
      <x:c r="AP444" s="154" t="n">
        <x:v>0.13199386803222546</x:v>
      </x:c>
      <x:c r="AQ444" s="159" t="n">
        <x:v>-23552</x:v>
      </x:c>
      <x:c r="AR444" s="147" t="str">
        <x:v>美国市场指标与CFTC数据均使用严格早于上金所交易日的最后已发布值</x:v>
      </x:c>
    </x:row>
    <x:row r="445">
      <x:c r="A445" s="155" t="n">
        <x:v>45989</x:v>
      </x:c>
      <x:c r="B445" s="153" t="n">
        <x:v>942.5</x:v>
      </x:c>
      <x:c r="C445" s="153" t="n">
        <x:v>950.9</x:v>
      </x:c>
      <x:c r="D445" s="153" t="n">
        <x:v>942</x:v>
      </x:c>
      <x:c r="E445" s="153" t="n">
        <x:v>948.15</x:v>
      </x:c>
      <x:c r="F445" s="154" t="n">
        <x:f>IFERROR(E445/E444-1,"")</x:f>
        <x:v>0.004417466471747344</x:v>
      </x:c>
      <x:c r="G445" s="154" t="n">
        <x:f>IFERROR((C445-D445)/E444,"")</x:f>
        <x:v>0.009428165850971395</x:v>
      </x:c>
      <x:c r="H445" s="153" t="n">
        <x:v>948.21</x:v>
      </x:c>
      <x:c r="I445" s="158" t="n">
        <x:v>5676.4</x:v>
      </x:c>
      <x:c r="J445" s="158" t="n">
        <x:v>5382430823.2</x:v>
      </x:c>
      <x:c r="K445" s="158"/>
      <x:c r="L445" s="153" t="n">
        <x:v>12469</x:v>
      </x:c>
      <x:c r="M445" s="153" t="n">
        <x:v>12707</x:v>
      </x:c>
      <x:c r="N445" s="153" t="n">
        <x:v>12360</x:v>
      </x:c>
      <x:c r="O445" s="153" t="n">
        <x:v>12669</x:v>
      </x:c>
      <x:c r="P445" s="154" t="n">
        <x:f>IFERROR(O445/O444-1,"")</x:f>
        <x:v>0.009884416102032612</x:v>
      </x:c>
      <x:c r="Q445" s="154" t="n">
        <x:f>IFERROR((M445-N445)/O444,"")</x:f>
        <x:v>0.02766042247907533</x:v>
      </x:c>
      <x:c r="R445" s="153" t="n">
        <x:v>12568</x:v>
      </x:c>
      <x:c r="S445" s="158" t="n">
        <x:v>1248782</x:v>
      </x:c>
      <x:c r="T445" s="158" t="n">
        <x:v>15695392748</x:v>
      </x:c>
      <x:c r="U445" s="158" t="n">
        <x:v>4008616</x:v>
      </x:c>
      <x:c r="V445" s="153" t="n">
        <x:f>IFERROR(E445*1000/O445,"")</x:f>
        <x:v>74.84016102296945</x:v>
      </x:c>
      <x:c r="W445" s="153" t="n">
        <x:v>4</x:v>
      </x:c>
      <x:c r="X445" s="155" t="n">
        <x:v>45987</x:v>
      </x:c>
      <x:c r="Y445" s="153" t="n">
        <x:v>1.77</x:v>
      </x:c>
      <x:c r="Z445" s="155" t="n">
        <x:v>45987</x:v>
      </x:c>
      <x:c r="AA445" s="153" t="n">
        <x:f>IFERROR(Y445-Y444,"")</x:f>
        <x:v>0</x:v>
      </x:c>
      <x:c r="AB445" s="153" t="n">
        <x:v>2.23</x:v>
      </x:c>
      <x:c r="AC445" s="153" t="n">
        <x:v>121.2437</x:v>
      </x:c>
      <x:c r="AD445" s="155" t="n">
        <x:v>45987</x:v>
      </x:c>
      <x:c r="AE445" s="154" t="n">
        <x:f>IFERROR(AC445/AC444-1,"")</x:f>
        <x:v>0</x:v>
      </x:c>
      <x:c r="AF445" s="153" t="n">
        <x:v>17.21</x:v>
      </x:c>
      <x:c r="AG445" s="155" t="n">
        <x:v>45988</x:v>
      </x:c>
      <x:c r="AH445" s="153" t="n">
        <x:f>IFERROR(AF445-AF444,"")</x:f>
        <x:v>0.019999999999999574</x:v>
      </x:c>
      <x:c r="AI445" s="153" t="n">
        <x:v>3.88</x:v>
      </x:c>
      <x:c r="AJ445" s="155" t="n">
        <x:v>45982</x:v>
      </x:c>
      <x:c r="AK445" s="159" t="n">
        <x:v>98205</x:v>
      </x:c>
      <x:c r="AL445" s="154" t="n">
        <x:v>0.20808216072363137</x:v>
      </x:c>
      <x:c r="AM445" s="159" t="n">
        <x:v>-58897</x:v>
      </x:c>
      <x:c r="AN445" s="155" t="n">
        <x:v>45982</x:v>
      </x:c>
      <x:c r="AO445" s="159" t="n">
        <x:v>20234</x:v>
      </x:c>
      <x:c r="AP445" s="154" t="n">
        <x:v>0.13199386803222546</x:v>
      </x:c>
      <x:c r="AQ445" s="159" t="n">
        <x:v>-23552</x:v>
      </x:c>
      <x:c r="AR445" s="147" t="str">
        <x:v>美国市场指标与CFTC数据均使用严格早于上金所交易日的最后已发布值</x:v>
      </x:c>
    </x:row>
    <x:row r="446">
      <x:c r="A446" s="155" t="n">
        <x:v>45995</x:v>
      </x:c>
      <x:c r="B446" s="153" t="n">
        <x:v>948.4</x:v>
      </x:c>
      <x:c r="C446" s="153" t="n">
        <x:v>958.88</x:v>
      </x:c>
      <x:c r="D446" s="153" t="n">
        <x:v>946</x:v>
      </x:c>
      <x:c r="E446" s="153" t="n">
        <x:v>949.32</x:v>
      </x:c>
      <x:c r="F446" s="154" t="n">
        <x:f>IFERROR(E446/E445-1,"")</x:f>
        <x:v>0.0012339819648790051</x:v>
      </x:c>
      <x:c r="G446" s="154" t="n">
        <x:f>IFERROR((C446-D446)/E445,"")</x:f>
        <x:v>0.013584348468069394</x:v>
      </x:c>
      <x:c r="H446" s="153" t="n">
        <x:v>949.82</x:v>
      </x:c>
      <x:c r="I446" s="158" t="n">
        <x:v>5272.56</x:v>
      </x:c>
      <x:c r="J446" s="158" t="n">
        <x:v>5008025051.2</x:v>
      </x:c>
      <x:c r="K446" s="158"/>
      <x:c r="L446" s="153" t="n">
        <x:v>13602</x:v>
      </x:c>
      <x:c r="M446" s="153" t="n">
        <x:v>13799</x:v>
      </x:c>
      <x:c r="N446" s="153" t="n">
        <x:v>13304</x:v>
      </x:c>
      <x:c r="O446" s="153" t="n">
        <x:v>13425</x:v>
      </x:c>
      <x:c r="P446" s="154" t="n">
        <x:f>IFERROR(O446/O445-1,"")</x:f>
        <x:v>0.059673218091404134</x:v>
      </x:c>
      <x:c r="Q446" s="154" t="n">
        <x:f>IFERROR((M446-N446)/O445,"")</x:f>
        <x:v>0.03907174994080038</x:v>
      </x:c>
      <x:c r="R446" s="153" t="n">
        <x:v>13538</x:v>
      </x:c>
      <x:c r="S446" s="158" t="n">
        <x:v>848996</x:v>
      </x:c>
      <x:c r="T446" s="158" t="n">
        <x:v>11494358390</x:v>
      </x:c>
      <x:c r="U446" s="158" t="n">
        <x:v>3882626</x:v>
      </x:c>
      <x:c r="V446" s="153" t="n">
        <x:f>IFERROR(E446*1000/O446,"")</x:f>
        <x:v>70.71284916201117</x:v>
      </x:c>
      <x:c r="W446" s="153" t="n">
        <x:v>4.06</x:v>
      </x:c>
      <x:c r="X446" s="155" t="n">
        <x:v>45994</x:v>
      </x:c>
      <x:c r="Y446" s="153" t="n">
        <x:v>1.82</x:v>
      </x:c>
      <x:c r="Z446" s="155" t="n">
        <x:v>45994</x:v>
      </x:c>
      <x:c r="AA446" s="153" t="n">
        <x:f>IFERROR(Y446-Y445,"")</x:f>
        <x:v>0.050000000000000044</x:v>
      </x:c>
      <x:c r="AB446" s="153" t="n">
        <x:v>2.24</x:v>
      </x:c>
      <x:c r="AC446" s="153" t="n">
        <x:v>120.7336</x:v>
      </x:c>
      <x:c r="AD446" s="155" t="n">
        <x:v>45994</x:v>
      </x:c>
      <x:c r="AE446" s="154" t="n">
        <x:f>IFERROR(AC446/AC445-1,"")</x:f>
        <x:v>-0.004207228911687899</x:v>
      </x:c>
      <x:c r="AF446" s="153" t="n">
        <x:v>16.08</x:v>
      </x:c>
      <x:c r="AG446" s="155" t="n">
        <x:v>45994</x:v>
      </x:c>
      <x:c r="AH446" s="153" t="n">
        <x:f>IFERROR(AF446-AF445,"")</x:f>
        <x:v>-1.1300000000000026</x:v>
      </x:c>
      <x:c r="AI446" s="153" t="n">
        <x:v>3.89</x:v>
      </x:c>
      <x:c r="AJ446" s="155" t="n">
        <x:v>45989</x:v>
      </x:c>
      <x:c r="AK446" s="159" t="n">
        <x:v>109309</x:v>
      </x:c>
      <x:c r="AL446" s="154" t="n">
        <x:v>0.25247721424842823</x:v>
      </x:c>
      <x:c r="AM446" s="159" t="n">
        <x:v>-46692</x:v>
      </x:c>
      <x:c r="AN446" s="155" t="n">
        <x:v>45989</x:v>
      </x:c>
      <x:c r="AO446" s="159" t="n">
        <x:v>19061</x:v>
      </x:c>
      <x:c r="AP446" s="154" t="n">
        <x:v>0.13187261745802228</x:v>
      </x:c>
      <x:c r="AQ446" s="159" t="n">
        <x:v>-24193</x:v>
      </x:c>
      <x:c r="AR446" s="147" t="str">
        <x:v>美国市场指标与CFTC数据均使用严格早于上金所交易日的最后已发布值</x:v>
      </x:c>
    </x:row>
    <x:row r="447">
      <x:c r="A447" s="155" t="n">
        <x:v>45996</x:v>
      </x:c>
      <x:c r="B447" s="153" t="n">
        <x:v>951</x:v>
      </x:c>
      <x:c r="C447" s="153" t="n">
        <x:v>957</x:v>
      </x:c>
      <x:c r="D447" s="153" t="n">
        <x:v>950</x:v>
      </x:c>
      <x:c r="E447" s="153" t="n">
        <x:v>956.5</x:v>
      </x:c>
      <x:c r="F447" s="154" t="n">
        <x:f>IFERROR(E447/E446-1,"")</x:f>
        <x:v>0.007563308473433672</x:v>
      </x:c>
      <x:c r="G447" s="154" t="n">
        <x:f>IFERROR((C447-D447)/E446,"")</x:f>
        <x:v>0.007373699068807146</x:v>
      </x:c>
      <x:c r="H447" s="153" t="n">
        <x:v>954.25</x:v>
      </x:c>
      <x:c r="I447" s="158" t="n">
        <x:v>6051.62</x:v>
      </x:c>
      <x:c r="J447" s="158" t="n">
        <x:v>5774797713</x:v>
      </x:c>
      <x:c r="K447" s="158"/>
      <x:c r="L447" s="153" t="n">
        <x:v>13416</x:v>
      </x:c>
      <x:c r="M447" s="153" t="n">
        <x:v>13718</x:v>
      </x:c>
      <x:c r="N447" s="153" t="n">
        <x:v>13220</x:v>
      </x:c>
      <x:c r="O447" s="153" t="n">
        <x:v>13639</x:v>
      </x:c>
      <x:c r="P447" s="154" t="n">
        <x:f>IFERROR(O447/O446-1,"")</x:f>
        <x:v>0.01594040968342636</x:v>
      </x:c>
      <x:c r="Q447" s="154" t="n">
        <x:f>IFERROR((M447-N447)/O446,"")</x:f>
        <x:v>0.03709497206703911</x:v>
      </x:c>
      <x:c r="R447" s="153" t="n">
        <x:v>13498</x:v>
      </x:c>
      <x:c r="S447" s="158" t="n">
        <x:v>691674</x:v>
      </x:c>
      <x:c r="T447" s="158" t="n">
        <x:v>9336767260</x:v>
      </x:c>
      <x:c r="U447" s="158" t="n">
        <x:v>3895460</x:v>
      </x:c>
      <x:c r="V447" s="153" t="n">
        <x:f>IFERROR(E447*1000/O447,"")</x:f>
        <x:v>70.12977491018403</x:v>
      </x:c>
      <x:c r="W447" s="153" t="n">
        <x:v>4.11</x:v>
      </x:c>
      <x:c r="X447" s="155" t="n">
        <x:v>45995</x:v>
      </x:c>
      <x:c r="Y447" s="153" t="n">
        <x:v>1.85</x:v>
      </x:c>
      <x:c r="Z447" s="155" t="n">
        <x:v>45995</x:v>
      </x:c>
      <x:c r="AA447" s="153" t="n">
        <x:f>IFERROR(Y447-Y446,"")</x:f>
        <x:v>0.030000000000000027</x:v>
      </x:c>
      <x:c r="AB447" s="153" t="n">
        <x:v>2.26</x:v>
      </x:c>
      <x:c r="AC447" s="153" t="n">
        <x:v>120.6766</x:v>
      </x:c>
      <x:c r="AD447" s="155" t="n">
        <x:v>45995</x:v>
      </x:c>
      <x:c r="AE447" s="154" t="n">
        <x:f>IFERROR(AC447/AC446-1,"")</x:f>
        <x:v>-0.0004721138109027301</x:v>
      </x:c>
      <x:c r="AF447" s="153" t="n">
        <x:v>15.78</x:v>
      </x:c>
      <x:c r="AG447" s="155" t="n">
        <x:v>45995</x:v>
      </x:c>
      <x:c r="AH447" s="153" t="n">
        <x:f>IFERROR(AF447-AF446,"")</x:f>
        <x:v>-0.29999999999999893</x:v>
      </x:c>
      <x:c r="AI447" s="153" t="n">
        <x:v>3.89</x:v>
      </x:c>
      <x:c r="AJ447" s="155" t="n">
        <x:v>45989</x:v>
      </x:c>
      <x:c r="AK447" s="159" t="n">
        <x:v>109309</x:v>
      </x:c>
      <x:c r="AL447" s="154" t="n">
        <x:v>0.25247721424842823</x:v>
      </x:c>
      <x:c r="AM447" s="159" t="n">
        <x:v>-46692</x:v>
      </x:c>
      <x:c r="AN447" s="155" t="n">
        <x:v>45989</x:v>
      </x:c>
      <x:c r="AO447" s="159" t="n">
        <x:v>19061</x:v>
      </x:c>
      <x:c r="AP447" s="154" t="n">
        <x:v>0.13187261745802228</x:v>
      </x:c>
      <x:c r="AQ447" s="159" t="n">
        <x:v>-24193</x:v>
      </x:c>
      <x:c r="AR447" s="147" t="str">
        <x:v>美国市场指标与CFTC数据均使用严格早于上金所交易日的最后已发布值</x:v>
      </x:c>
    </x:row>
    <x:row r="448">
      <x:c r="A448" s="155" t="n">
        <x:v>45999</x:v>
      </x:c>
      <x:c r="B448" s="153" t="n">
        <x:v>956</x:v>
      </x:c>
      <x:c r="C448" s="153" t="n">
        <x:v>961</x:v>
      </x:c>
      <x:c r="D448" s="153" t="n">
        <x:v>950.3</x:v>
      </x:c>
      <x:c r="E448" s="153" t="n">
        <x:v>954.1</x:v>
      </x:c>
      <x:c r="F448" s="154" t="n">
        <x:f>IFERROR(E448/E447-1,"")</x:f>
        <x:v>-0.0025091479351803114</x:v>
      </x:c>
      <x:c r="G448" s="154" t="n">
        <x:f>IFERROR((C448-D448)/E447,"")</x:f>
        <x:v>0.011186617877679085</x:v>
      </x:c>
      <x:c r="H448" s="153" t="n">
        <x:v>952.62</x:v>
      </x:c>
      <x:c r="I448" s="158" t="n">
        <x:v>7447.92</x:v>
      </x:c>
      <x:c r="J448" s="158" t="n">
        <x:v>7095070203.2</x:v>
      </x:c>
      <x:c r="K448" s="158"/>
      <x:c r="L448" s="153" t="n">
        <x:v>13631</x:v>
      </x:c>
      <x:c r="M448" s="153" t="n">
        <x:v>13882</x:v>
      </x:c>
      <x:c r="N448" s="153" t="n">
        <x:v>13450</x:v>
      </x:c>
      <x:c r="O448" s="153" t="n">
        <x:v>13649</x:v>
      </x:c>
      <x:c r="P448" s="154" t="n">
        <x:f>IFERROR(O448/O447-1,"")</x:f>
        <x:v>0.0007331915829607016</x:v>
      </x:c>
      <x:c r="Q448" s="154" t="n">
        <x:f>IFERROR((M448-N448)/O447,"")</x:f>
        <x:v>0.03167387638389911</x:v>
      </x:c>
      <x:c r="R448" s="153" t="n">
        <x:v>13609</x:v>
      </x:c>
      <x:c r="S448" s="158" t="n">
        <x:v>889540</x:v>
      </x:c>
      <x:c r="T448" s="158" t="n">
        <x:v>12106589636</x:v>
      </x:c>
      <x:c r="U448" s="158" t="n">
        <x:v>3894722</x:v>
      </x:c>
      <x:c r="V448" s="153" t="n">
        <x:f>IFERROR(E448*1000/O448,"")</x:f>
        <x:v>69.90255696388014</x:v>
      </x:c>
      <x:c r="W448" s="153" t="n">
        <x:v>4.14</x:v>
      </x:c>
      <x:c r="X448" s="155" t="n">
        <x:v>45996</x:v>
      </x:c>
      <x:c r="Y448" s="153" t="n">
        <x:v>1.88</x:v>
      </x:c>
      <x:c r="Z448" s="155" t="n">
        <x:v>45996</x:v>
      </x:c>
      <x:c r="AA448" s="153" t="n">
        <x:f>IFERROR(Y448-Y447,"")</x:f>
        <x:v>0.029999999999999805</x:v>
      </x:c>
      <x:c r="AB448" s="153" t="n">
        <x:v>2.26</x:v>
      </x:c>
      <x:c r="AC448" s="153" t="n">
        <x:v>120.6863</x:v>
      </x:c>
      <x:c r="AD448" s="155" t="n">
        <x:v>45996</x:v>
      </x:c>
      <x:c r="AE448" s="154" t="n">
        <x:f>IFERROR(AC448/AC447-1,"")</x:f>
        <x:v>0.00008038012340438883</x:v>
      </x:c>
      <x:c r="AF448" s="153" t="n">
        <x:v>15.41</x:v>
      </x:c>
      <x:c r="AG448" s="155" t="n">
        <x:v>45996</x:v>
      </x:c>
      <x:c r="AH448" s="153" t="n">
        <x:f>IFERROR(AF448-AF447,"")</x:f>
        <x:v>-0.3699999999999992</x:v>
      </x:c>
      <x:c r="AI448" s="153" t="n">
        <x:v>3.89</x:v>
      </x:c>
      <x:c r="AJ448" s="155" t="n">
        <x:v>45996</x:v>
      </x:c>
      <x:c r="AK448" s="159" t="n">
        <x:v>120324</x:v>
      </x:c>
      <x:c r="AL448" s="154" t="n">
        <x:v>0.2875194150397859</x:v>
      </x:c>
      <x:c r="AM448" s="159" t="n">
        <x:v>-48707</x:v>
      </x:c>
      <x:c r="AN448" s="155" t="n">
        <x:v>45996</x:v>
      </x:c>
      <x:c r="AO448" s="159" t="n">
        <x:v>18974</x:v>
      </x:c>
      <x:c r="AP448" s="154" t="n">
        <x:v>0.12579558714331177</x:v>
      </x:c>
      <x:c r="AQ448" s="159" t="n">
        <x:v>-26739</x:v>
      </x:c>
      <x:c r="AR448" s="147" t="str">
        <x:v>美国市场指标与CFTC数据均使用严格早于上金所交易日的最后已发布值</x:v>
      </x:c>
    </x:row>
    <x:row r="449">
      <x:c r="A449" s="155" t="n">
        <x:v>46000</x:v>
      </x:c>
      <x:c r="B449" s="153" t="n">
        <x:v>954.3</x:v>
      </x:c>
      <x:c r="C449" s="153" t="n">
        <x:v>954.3</x:v>
      </x:c>
      <x:c r="D449" s="153" t="n">
        <x:v>945</x:v>
      </x:c>
      <x:c r="E449" s="153" t="n">
        <x:v>947.13</x:v>
      </x:c>
      <x:c r="F449" s="154" t="n">
        <x:f>IFERROR(E449/E448-1,"")</x:f>
        <x:v>-0.007305313908395394</x:v>
      </x:c>
      <x:c r="G449" s="154" t="n">
        <x:f>IFERROR((C449-D449)/E448,"")</x:f>
        <x:v>0.009747405932292164</x:v>
      </x:c>
      <x:c r="H449" s="153" t="n">
        <x:v>948.2</x:v>
      </x:c>
      <x:c r="I449" s="158" t="n">
        <x:v>6100.88</x:v>
      </x:c>
      <x:c r="J449" s="158" t="n">
        <x:v>5784895501.4</x:v>
      </x:c>
      <x:c r="K449" s="158"/>
      <x:c r="L449" s="153" t="n">
        <x:v>13653</x:v>
      </x:c>
      <x:c r="M449" s="153" t="n">
        <x:v>13730</x:v>
      </x:c>
      <x:c r="N449" s="153" t="n">
        <x:v>13502</x:v>
      </x:c>
      <x:c r="O449" s="153" t="n">
        <x:v>13596</x:v>
      </x:c>
      <x:c r="P449" s="154" t="n">
        <x:f>IFERROR(O449/O448-1,"")</x:f>
        <x:v>-0.003883068356656194</x:v>
      </x:c>
      <x:c r="Q449" s="154" t="n">
        <x:f>IFERROR((M449-N449)/O448,"")</x:f>
        <x:v>0.016704520477690672</x:v>
      </x:c>
      <x:c r="R449" s="153" t="n">
        <x:v>13608</x:v>
      </x:c>
      <x:c r="S449" s="158" t="n">
        <x:v>775390</x:v>
      </x:c>
      <x:c r="T449" s="158" t="n">
        <x:v>10552006728</x:v>
      </x:c>
      <x:c r="U449" s="158" t="n">
        <x:v>3844778</x:v>
      </x:c>
      <x:c r="V449" s="153" t="n">
        <x:f>IFERROR(E449*1000/O449,"")</x:f>
        <x:v>69.66240070609003</x:v>
      </x:c>
      <x:c r="W449" s="153" t="n">
        <x:v>4.17</x:v>
      </x:c>
      <x:c r="X449" s="155" t="n">
        <x:v>45999</x:v>
      </x:c>
      <x:c r="Y449" s="153" t="n">
        <x:v>1.91</x:v>
      </x:c>
      <x:c r="Z449" s="155" t="n">
        <x:v>45999</x:v>
      </x:c>
      <x:c r="AA449" s="153" t="n">
        <x:f>IFERROR(Y449-Y448,"")</x:f>
        <x:v>0.030000000000000027</x:v>
      </x:c>
      <x:c r="AB449" s="153" t="n">
        <x:v>2.26</x:v>
      </x:c>
      <x:c r="AC449" s="153" t="n">
        <x:v>120.776</x:v>
      </x:c>
      <x:c r="AD449" s="155" t="n">
        <x:v>45999</x:v>
      </x:c>
      <x:c r="AE449" s="154" t="n">
        <x:f>IFERROR(AC449/AC448-1,"")</x:f>
        <x:v>0.0007432492337571261</x:v>
      </x:c>
      <x:c r="AF449" s="153" t="n">
        <x:v>16.66</x:v>
      </x:c>
      <x:c r="AG449" s="155" t="n">
        <x:v>45999</x:v>
      </x:c>
      <x:c r="AH449" s="153" t="n">
        <x:f>IFERROR(AF449-AF448,"")</x:f>
        <x:v>1.25</x:v>
      </x:c>
      <x:c r="AI449" s="153" t="n">
        <x:v>3.89</x:v>
      </x:c>
      <x:c r="AJ449" s="155" t="n">
        <x:v>45996</x:v>
      </x:c>
      <x:c r="AK449" s="159" t="n">
        <x:v>120324</x:v>
      </x:c>
      <x:c r="AL449" s="154" t="n">
        <x:v>0.2875194150397859</x:v>
      </x:c>
      <x:c r="AM449" s="159" t="n">
        <x:v>-48707</x:v>
      </x:c>
      <x:c r="AN449" s="155" t="n">
        <x:v>45996</x:v>
      </x:c>
      <x:c r="AO449" s="159" t="n">
        <x:v>18974</x:v>
      </x:c>
      <x:c r="AP449" s="154" t="n">
        <x:v>0.12579558714331177</x:v>
      </x:c>
      <x:c r="AQ449" s="159" t="n">
        <x:v>-26739</x:v>
      </x:c>
      <x:c r="AR449" s="147" t="str">
        <x:v>美国市场指标与CFTC数据均使用严格早于上金所交易日的最后已发布值</x:v>
      </x:c>
    </x:row>
    <x:row r="450">
      <x:c r="A450" s="155" t="n">
        <x:v>46001</x:v>
      </x:c>
      <x:c r="B450" s="153" t="n">
        <x:v>950</x:v>
      </x:c>
      <x:c r="C450" s="153" t="n">
        <x:v>955.9</x:v>
      </x:c>
      <x:c r="D450" s="153" t="n">
        <x:v>948.5</x:v>
      </x:c>
      <x:c r="E450" s="153" t="n">
        <x:v>950.91</x:v>
      </x:c>
      <x:c r="F450" s="154" t="n">
        <x:f>IFERROR(E450/E449-1,"")</x:f>
        <x:v>0.003991004402774667</x:v>
      </x:c>
      <x:c r="G450" s="154" t="n">
        <x:f>IFERROR((C450-D450)/E449,"")</x:f>
        <x:v>0.007813077402257321</x:v>
      </x:c>
      <x:c r="H450" s="153" t="n">
        <x:v>952.38</x:v>
      </x:c>
      <x:c r="I450" s="158" t="n">
        <x:v>6329.82</x:v>
      </x:c>
      <x:c r="J450" s="158" t="n">
        <x:v>6028432715.2</x:v>
      </x:c>
      <x:c r="K450" s="158"/>
      <x:c r="L450" s="153" t="n">
        <x:v>13690</x:v>
      </x:c>
      <x:c r="M450" s="153" t="n">
        <x:v>14398</x:v>
      </x:c>
      <x:c r="N450" s="153" t="n">
        <x:v>13690</x:v>
      </x:c>
      <x:c r="O450" s="153" t="n">
        <x:v>14377</x:v>
      </x:c>
      <x:c r="P450" s="154" t="n">
        <x:f>IFERROR(O450/O449-1,"")</x:f>
        <x:v>0.05744336569579289</x:v>
      </x:c>
      <x:c r="Q450" s="154" t="n">
        <x:f>IFERROR((M450-N450)/O449,"")</x:f>
        <x:v>0.05207413945278023</x:v>
      </x:c>
      <x:c r="R450" s="153" t="n">
        <x:v>14218</x:v>
      </x:c>
      <x:c r="S450" s="158" t="n">
        <x:v>822474</x:v>
      </x:c>
      <x:c r="T450" s="158" t="n">
        <x:v>11694611550</x:v>
      </x:c>
      <x:c r="U450" s="158" t="n">
        <x:v>3833750</x:v>
      </x:c>
      <x:c r="V450" s="153" t="n">
        <x:f>IFERROR(E450*1000/O450,"")</x:f>
        <x:v>66.1410586353203</x:v>
      </x:c>
      <x:c r="W450" s="153" t="n">
        <x:v>4.18</x:v>
      </x:c>
      <x:c r="X450" s="155" t="n">
        <x:v>46000</x:v>
      </x:c>
      <x:c r="Y450" s="153" t="n">
        <x:v>1.92</x:v>
      </x:c>
      <x:c r="Z450" s="155" t="n">
        <x:v>46000</x:v>
      </x:c>
      <x:c r="AA450" s="153" t="n">
        <x:f>IFERROR(Y450-Y449,"")</x:f>
        <x:v>0.010000000000000009</x:v>
      </x:c>
      <x:c r="AB450" s="153" t="n">
        <x:v>2.26</x:v>
      </x:c>
      <x:c r="AC450" s="153" t="n">
        <x:v>120.6832</x:v>
      </x:c>
      <x:c r="AD450" s="155" t="n">
        <x:v>46000</x:v>
      </x:c>
      <x:c r="AE450" s="154" t="n">
        <x:f>IFERROR(AC450/AC449-1,"")</x:f>
        <x:v>-0.0007683645757434743</x:v>
      </x:c>
      <x:c r="AF450" s="153" t="n">
        <x:v>16.93</x:v>
      </x:c>
      <x:c r="AG450" s="155" t="n">
        <x:v>46000</x:v>
      </x:c>
      <x:c r="AH450" s="153" t="n">
        <x:f>IFERROR(AF450-AF449,"")</x:f>
        <x:v>0.2699999999999996</x:v>
      </x:c>
      <x:c r="AI450" s="153" t="n">
        <x:v>3.89</x:v>
      </x:c>
      <x:c r="AJ450" s="155" t="n">
        <x:v>45996</x:v>
      </x:c>
      <x:c r="AK450" s="159" t="n">
        <x:v>120324</x:v>
      </x:c>
      <x:c r="AL450" s="154" t="n">
        <x:v>0.2875194150397859</x:v>
      </x:c>
      <x:c r="AM450" s="159" t="n">
        <x:v>-48707</x:v>
      </x:c>
      <x:c r="AN450" s="155" t="n">
        <x:v>45996</x:v>
      </x:c>
      <x:c r="AO450" s="159" t="n">
        <x:v>18974</x:v>
      </x:c>
      <x:c r="AP450" s="154" t="n">
        <x:v>0.12579558714331177</x:v>
      </x:c>
      <x:c r="AQ450" s="159" t="n">
        <x:v>-26739</x:v>
      </x:c>
      <x:c r="AR450" s="147" t="str">
        <x:v>美国市场指标与CFTC数据均使用严格早于上金所交易日的最后已发布值</x:v>
      </x:c>
    </x:row>
    <x:row r="451">
      <x:c r="A451" s="155" t="n">
        <x:v>46002</x:v>
      </x:c>
      <x:c r="B451" s="153" t="n">
        <x:v>950.91</x:v>
      </x:c>
      <x:c r="C451" s="153" t="n">
        <x:v>962</x:v>
      </x:c>
      <x:c r="D451" s="153" t="n">
        <x:v>950</x:v>
      </x:c>
      <x:c r="E451" s="153" t="n">
        <x:v>952.39</x:v>
      </x:c>
      <x:c r="F451" s="154" t="n">
        <x:f>IFERROR(E451/E450-1,"")</x:f>
        <x:v>0.0015564038657707169</x:v>
      </x:c>
      <x:c r="G451" s="154" t="n">
        <x:f>IFERROR((C451-D451)/E450,"")</x:f>
        <x:v>0.012619490803546077</x:v>
      </x:c>
      <x:c r="H451" s="153" t="n">
        <x:v>954.51</x:v>
      </x:c>
      <x:c r="I451" s="158" t="n">
        <x:v>4865.7</x:v>
      </x:c>
      <x:c r="J451" s="158" t="n">
        <x:v>4644403895.8</x:v>
      </x:c>
      <x:c r="K451" s="158"/>
      <x:c r="L451" s="153" t="n">
        <x:v>14290</x:v>
      </x:c>
      <x:c r="M451" s="153" t="n">
        <x:v>14649</x:v>
      </x:c>
      <x:c r="N451" s="153" t="n">
        <x:v>14062</x:v>
      </x:c>
      <x:c r="O451" s="153" t="n">
        <x:v>14447</x:v>
      </x:c>
      <x:c r="P451" s="154" t="n">
        <x:f>IFERROR(O451/O450-1,"")</x:f>
        <x:v>0.0048688878069138575</x:v>
      </x:c>
      <x:c r="Q451" s="154" t="n">
        <x:f>IFERROR((M451-N451)/O450,"")</x:f>
        <x:v>0.04082910203797732</x:v>
      </x:c>
      <x:c r="R451" s="153" t="n">
        <x:v>14472</x:v>
      </x:c>
      <x:c r="S451" s="158" t="n">
        <x:v>894426</x:v>
      </x:c>
      <x:c r="T451" s="158" t="n">
        <x:v>12944927266</x:v>
      </x:c>
      <x:c r="U451" s="158" t="n">
        <x:v>3823854</x:v>
      </x:c>
      <x:c r="V451" s="153" t="n">
        <x:f>IFERROR(E451*1000/O451,"")</x:f>
        <x:v>65.92302900256108</x:v>
      </x:c>
      <x:c r="W451" s="153" t="n">
        <x:v>4.13</x:v>
      </x:c>
      <x:c r="X451" s="155" t="n">
        <x:v>46001</x:v>
      </x:c>
      <x:c r="Y451" s="153" t="n">
        <x:v>1.88</x:v>
      </x:c>
      <x:c r="Z451" s="155" t="n">
        <x:v>46001</x:v>
      </x:c>
      <x:c r="AA451" s="153" t="n">
        <x:f>IFERROR(Y451-Y450,"")</x:f>
        <x:v>-0.040000000000000036</x:v>
      </x:c>
      <x:c r="AB451" s="153" t="n">
        <x:v>2.25</x:v>
      </x:c>
      <x:c r="AC451" s="153" t="n">
        <x:v>120.6752</x:v>
      </x:c>
      <x:c r="AD451" s="155" t="n">
        <x:v>46001</x:v>
      </x:c>
      <x:c r="AE451" s="154" t="n">
        <x:f>IFERROR(AC451/AC450-1,"")</x:f>
        <x:v>-0.00006628925981411182</x:v>
      </x:c>
      <x:c r="AF451" s="153" t="n">
        <x:v>15.77</x:v>
      </x:c>
      <x:c r="AG451" s="155" t="n">
        <x:v>46001</x:v>
      </x:c>
      <x:c r="AH451" s="153" t="n">
        <x:f>IFERROR(AF451-AF450,"")</x:f>
        <x:v>-1.1600000000000001</x:v>
      </x:c>
      <x:c r="AI451" s="153" t="n">
        <x:v>3.89</x:v>
      </x:c>
      <x:c r="AJ451" s="155" t="n">
        <x:v>45996</x:v>
      </x:c>
      <x:c r="AK451" s="159" t="n">
        <x:v>120324</x:v>
      </x:c>
      <x:c r="AL451" s="154" t="n">
        <x:v>0.2875194150397859</x:v>
      </x:c>
      <x:c r="AM451" s="159" t="n">
        <x:v>-48707</x:v>
      </x:c>
      <x:c r="AN451" s="155" t="n">
        <x:v>45996</x:v>
      </x:c>
      <x:c r="AO451" s="159" t="n">
        <x:v>18974</x:v>
      </x:c>
      <x:c r="AP451" s="154" t="n">
        <x:v>0.12579558714331177</x:v>
      </x:c>
      <x:c r="AQ451" s="159" t="n">
        <x:v>-26739</x:v>
      </x:c>
      <x:c r="AR451" s="147" t="str">
        <x:v>美国市场指标与CFTC数据均使用严格早于上金所交易日的最后已发布值</x:v>
      </x:c>
    </x:row>
    <x:row r="452">
      <x:c r="A452" s="155" t="n">
        <x:v>46003</x:v>
      </x:c>
      <x:c r="B452" s="153" t="n">
        <x:v>955</x:v>
      </x:c>
      <x:c r="C452" s="153" t="n">
        <x:v>965.9</x:v>
      </x:c>
      <x:c r="D452" s="153" t="n">
        <x:v>951.5</x:v>
      </x:c>
      <x:c r="E452" s="153" t="n">
        <x:v>964.25</x:v>
      </x:c>
      <x:c r="F452" s="154" t="n">
        <x:f>IFERROR(E452/E451-1,"")</x:f>
        <x:v>0.01245288169762393</x:v>
      </x:c>
      <x:c r="G452" s="154" t="n">
        <x:f>IFERROR((C452-D452)/E451,"")</x:f>
        <x:v>0.015119856361364543</x:v>
      </x:c>
      <x:c r="H452" s="153" t="n">
        <x:v>963.57</x:v>
      </x:c>
      <x:c r="I452" s="158" t="n">
        <x:v>6611.64</x:v>
      </x:c>
      <x:c r="J452" s="158" t="n">
        <x:v>6370782949.6</x:v>
      </x:c>
      <x:c r="K452" s="158"/>
      <x:c r="L452" s="153" t="n">
        <x:v>14482</x:v>
      </x:c>
      <x:c r="M452" s="153" t="n">
        <x:v>15010</x:v>
      </x:c>
      <x:c r="N452" s="153" t="n">
        <x:v>14464</x:v>
      </x:c>
      <x:c r="O452" s="153" t="n">
        <x:v>14921</x:v>
      </x:c>
      <x:c r="P452" s="154" t="n">
        <x:f>IFERROR(O452/O451-1,"")</x:f>
        <x:v>0.03280957984356614</x:v>
      </x:c>
      <x:c r="Q452" s="154" t="n">
        <x:f>IFERROR((M452-N452)/O451,"")</x:f>
        <x:v>0.03779331349069011</x:v>
      </x:c>
      <x:c r="R452" s="153" t="n">
        <x:v>14845</x:v>
      </x:c>
      <x:c r="S452" s="158" t="n">
        <x:v>681542</x:v>
      </x:c>
      <x:c r="T452" s="158" t="n">
        <x:v>10117612110</x:v>
      </x:c>
      <x:c r="U452" s="158" t="n">
        <x:v>3775942</x:v>
      </x:c>
      <x:c r="V452" s="153" t="n">
        <x:f>IFERROR(E452*1000/O452,"")</x:f>
        <x:v>64.62368473962871</x:v>
      </x:c>
      <x:c r="W452" s="153" t="n">
        <x:v>4.14</x:v>
      </x:c>
      <x:c r="X452" s="155" t="n">
        <x:v>46002</x:v>
      </x:c>
      <x:c r="Y452" s="153" t="n">
        <x:v>1.89</x:v>
      </x:c>
      <x:c r="Z452" s="155" t="n">
        <x:v>46002</x:v>
      </x:c>
      <x:c r="AA452" s="153" t="n">
        <x:f>IFERROR(Y452-Y451,"")</x:f>
        <x:v>0.010000000000000009</x:v>
      </x:c>
      <x:c r="AB452" s="153" t="n">
        <x:v>2.25</x:v>
      </x:c>
      <x:c r="AC452" s="153" t="n">
        <x:v>119.98</x:v>
      </x:c>
      <x:c r="AD452" s="155" t="n">
        <x:v>46002</x:v>
      </x:c>
      <x:c r="AE452" s="154" t="n">
        <x:f>IFERROR(AC452/AC451-1,"")</x:f>
        <x:v>-0.005760918564874928</x:v>
      </x:c>
      <x:c r="AF452" s="153" t="n">
        <x:v>14.85</x:v>
      </x:c>
      <x:c r="AG452" s="155" t="n">
        <x:v>46002</x:v>
      </x:c>
      <x:c r="AH452" s="153" t="n">
        <x:f>IFERROR(AF452-AF451,"")</x:f>
        <x:v>-0.9199999999999999</x:v>
      </x:c>
      <x:c r="AI452" s="153" t="n">
        <x:v>3.64</x:v>
      </x:c>
      <x:c r="AJ452" s="155" t="n">
        <x:v>45996</x:v>
      </x:c>
      <x:c r="AK452" s="159" t="n">
        <x:v>120324</x:v>
      </x:c>
      <x:c r="AL452" s="154" t="n">
        <x:v>0.2875194150397859</x:v>
      </x:c>
      <x:c r="AM452" s="159" t="n">
        <x:v>-48707</x:v>
      </x:c>
      <x:c r="AN452" s="155" t="n">
        <x:v>45996</x:v>
      </x:c>
      <x:c r="AO452" s="159" t="n">
        <x:v>18974</x:v>
      </x:c>
      <x:c r="AP452" s="154" t="n">
        <x:v>0.12579558714331177</x:v>
      </x:c>
      <x:c r="AQ452" s="159" t="n">
        <x:v>-26739</x:v>
      </x:c>
      <x:c r="AR452" s="147" t="str">
        <x:v>美国市场指标与CFTC数据均使用严格早于上金所交易日的最后已发布值</x:v>
      </x:c>
    </x:row>
    <x:row r="453">
      <x:c r="A453" s="155" t="n">
        <x:v>46006</x:v>
      </x:c>
      <x:c r="B453" s="153" t="n">
        <x:v>978.9</x:v>
      </x:c>
      <x:c r="C453" s="153" t="n">
        <x:v>979</x:v>
      </x:c>
      <x:c r="D453" s="153" t="n">
        <x:v>960</x:v>
      </x:c>
      <x:c r="E453" s="153" t="n">
        <x:v>976.82</x:v>
      </x:c>
      <x:c r="F453" s="154" t="n">
        <x:f>IFERROR(E453/E452-1,"")</x:f>
        <x:v>0.01303603837179157</x:v>
      </x:c>
      <x:c r="G453" s="154" t="n">
        <x:f>IFERROR((C453-D453)/E452,"")</x:f>
        <x:v>0.019704433497536946</x:v>
      </x:c>
      <x:c r="H453" s="153" t="n">
        <x:v>975.4</x:v>
      </x:c>
      <x:c r="I453" s="158" t="n">
        <x:v>7231.66</x:v>
      </x:c>
      <x:c r="J453" s="158" t="n">
        <x:v>7053824733.6</x:v>
      </x:c>
      <x:c r="K453" s="158"/>
      <x:c r="L453" s="153" t="n">
        <x:v>15078</x:v>
      </x:c>
      <x:c r="M453" s="153" t="n">
        <x:v>15175</x:v>
      </x:c>
      <x:c r="N453" s="153" t="n">
        <x:v>14239</x:v>
      </x:c>
      <x:c r="O453" s="153" t="n">
        <x:v>14795</x:v>
      </x:c>
      <x:c r="P453" s="154" t="n">
        <x:f>IFERROR(O453/O452-1,"")</x:f>
        <x:v>-0.008444474230949628</x:v>
      </x:c>
      <x:c r="Q453" s="154" t="n">
        <x:f>IFERROR((M453-N453)/O452,"")</x:f>
        <x:v>0.06273038000134039</x:v>
      </x:c>
      <x:c r="R453" s="153" t="n">
        <x:v>14669</x:v>
      </x:c>
      <x:c r="S453" s="158" t="n">
        <x:v>919052</x:v>
      </x:c>
      <x:c r="T453" s="158" t="n">
        <x:v>13481686564</x:v>
      </x:c>
      <x:c r="U453" s="158" t="n">
        <x:v>3820788</x:v>
      </x:c>
      <x:c r="V453" s="153" t="n">
        <x:f>IFERROR(E453*1000/O453,"")</x:f>
        <x:v>66.02365664075701</x:v>
      </x:c>
      <x:c r="W453" s="153" t="n">
        <x:v>4.19</x:v>
      </x:c>
      <x:c r="X453" s="155" t="n">
        <x:v>46003</x:v>
      </x:c>
      <x:c r="Y453" s="153" t="n">
        <x:v>1.93</x:v>
      </x:c>
      <x:c r="Z453" s="155" t="n">
        <x:v>46003</x:v>
      </x:c>
      <x:c r="AA453" s="153" t="n">
        <x:f>IFERROR(Y453-Y452,"")</x:f>
        <x:v>0.040000000000000036</x:v>
      </x:c>
      <x:c r="AB453" s="153" t="n">
        <x:v>2.26</x:v>
      </x:c>
      <x:c r="AC453" s="153" t="n">
        <x:v>120.1442</x:v>
      </x:c>
      <x:c r="AD453" s="155" t="n">
        <x:v>46003</x:v>
      </x:c>
      <x:c r="AE453" s="154" t="n">
        <x:f>IFERROR(AC453/AC452-1,"")</x:f>
        <x:v>0.0013685614269043356</x:v>
      </x:c>
      <x:c r="AF453" s="153" t="n">
        <x:v>15.74</x:v>
      </x:c>
      <x:c r="AG453" s="155" t="n">
        <x:v>46003</x:v>
      </x:c>
      <x:c r="AH453" s="153" t="n">
        <x:f>IFERROR(AF453-AF452,"")</x:f>
        <x:v>0.8900000000000006</x:v>
      </x:c>
      <x:c r="AI453" s="153" t="n">
        <x:v>3.64</x:v>
      </x:c>
      <x:c r="AJ453" s="155" t="n">
        <x:v>46003</x:v>
      </x:c>
      <x:c r="AK453" s="159" t="n">
        <x:v>123548</x:v>
      </x:c>
      <x:c r="AL453" s="154" t="n">
        <x:v>0.2856145493551318</x:v>
      </x:c>
      <x:c r="AM453" s="159" t="n">
        <x:v>-49393</x:v>
      </x:c>
      <x:c r="AN453" s="155" t="n">
        <x:v>46003</x:v>
      </x:c>
      <x:c r="AO453" s="159" t="n">
        <x:v>25775</x:v>
      </x:c>
      <x:c r="AP453" s="154" t="n">
        <x:v>0.1665460513562761</x:v>
      </x:c>
      <x:c r="AQ453" s="159" t="n">
        <x:v>-28837</x:v>
      </x:c>
      <x:c r="AR453" s="147" t="str">
        <x:v>美国市场指标与CFTC数据均使用严格早于上金所交易日的最后已发布值</x:v>
      </x:c>
    </x:row>
    <x:row r="454">
      <x:c r="A454" s="155" t="n">
        <x:v>46007</x:v>
      </x:c>
      <x:c r="B454" s="153" t="n">
        <x:v>978</x:v>
      </x:c>
      <x:c r="C454" s="153" t="n">
        <x:v>978.5</x:v>
      </x:c>
      <x:c r="D454" s="153" t="n">
        <x:v>963</x:v>
      </x:c>
      <x:c r="E454" s="153" t="n">
        <x:v>964.89</x:v>
      </x:c>
      <x:c r="F454" s="154" t="n">
        <x:f>IFERROR(E454/E453-1,"")</x:f>
        <x:v>-0.012213099649884374</x:v>
      </x:c>
      <x:c r="G454" s="154" t="n">
        <x:f>IFERROR((C454-D454)/E453,"")</x:f>
        <x:v>0.0158678159742839</x:v>
      </x:c>
      <x:c r="H454" s="153" t="n">
        <x:v>967.45</x:v>
      </x:c>
      <x:c r="I454" s="158" t="n">
        <x:v>7457.02</x:v>
      </x:c>
      <x:c r="J454" s="158" t="n">
        <x:v>7214366900.2</x:v>
      </x:c>
      <x:c r="K454" s="158"/>
      <x:c r="L454" s="153" t="n">
        <x:v>14887</x:v>
      </x:c>
      <x:c r="M454" s="153" t="n">
        <x:v>14941</x:v>
      </x:c>
      <x:c r="N454" s="153" t="n">
        <x:v>14450</x:v>
      </x:c>
      <x:c r="O454" s="153" t="n">
        <x:v>14649</x:v>
      </x:c>
      <x:c r="P454" s="154" t="n">
        <x:f>IFERROR(O454/O453-1,"")</x:f>
        <x:v>-0.009868198715782373</x:v>
      </x:c>
      <x:c r="Q454" s="154" t="n">
        <x:f>IFERROR((M454-N454)/O453,"")</x:f>
        <x:v>0.0331868874619804</x:v>
      </x:c>
      <x:c r="R454" s="153" t="n">
        <x:v>14674</x:v>
      </x:c>
      <x:c r="S454" s="158" t="n">
        <x:v>1064440</x:v>
      </x:c>
      <x:c r="T454" s="158" t="n">
        <x:v>15620019246</x:v>
      </x:c>
      <x:c r="U454" s="158" t="n">
        <x:v>3727118</x:v>
      </x:c>
      <x:c r="V454" s="153" t="n">
        <x:f>IFERROR(E454*1000/O454,"")</x:f>
        <x:v>65.86729469588367</x:v>
      </x:c>
      <x:c r="W454" s="153" t="n">
        <x:v>4.18</x:v>
      </x:c>
      <x:c r="X454" s="155" t="n">
        <x:v>46006</x:v>
      </x:c>
      <x:c r="Y454" s="153" t="n">
        <x:v>1.93</x:v>
      </x:c>
      <x:c r="Z454" s="155" t="n">
        <x:v>46006</x:v>
      </x:c>
      <x:c r="AA454" s="153" t="n">
        <x:f>IFERROR(Y454-Y453,"")</x:f>
        <x:v>0</x:v>
      </x:c>
      <x:c r="AB454" s="153" t="n">
        <x:v>2.25</x:v>
      </x:c>
      <x:c r="AC454" s="153" t="n">
        <x:v>119.9561</x:v>
      </x:c>
      <x:c r="AD454" s="155" t="n">
        <x:v>46006</x:v>
      </x:c>
      <x:c r="AE454" s="154" t="n">
        <x:f>IFERROR(AC454/AC453-1,"")</x:f>
        <x:v>-0.0015656186482576606</x:v>
      </x:c>
      <x:c r="AF454" s="153" t="n">
        <x:v>16.5</x:v>
      </x:c>
      <x:c r="AG454" s="155" t="n">
        <x:v>46006</x:v>
      </x:c>
      <x:c r="AH454" s="153" t="n">
        <x:f>IFERROR(AF454-AF453,"")</x:f>
        <x:v>0.7599999999999998</x:v>
      </x:c>
      <x:c r="AI454" s="153" t="n">
        <x:v>3.64</x:v>
      </x:c>
      <x:c r="AJ454" s="155" t="n">
        <x:v>46003</x:v>
      </x:c>
      <x:c r="AK454" s="159" t="n">
        <x:v>123548</x:v>
      </x:c>
      <x:c r="AL454" s="154" t="n">
        <x:v>0.2856145493551318</x:v>
      </x:c>
      <x:c r="AM454" s="159" t="n">
        <x:v>-49393</x:v>
      </x:c>
      <x:c r="AN454" s="155" t="n">
        <x:v>46003</x:v>
      </x:c>
      <x:c r="AO454" s="159" t="n">
        <x:v>25775</x:v>
      </x:c>
      <x:c r="AP454" s="154" t="n">
        <x:v>0.1665460513562761</x:v>
      </x:c>
      <x:c r="AQ454" s="159" t="n">
        <x:v>-28837</x:v>
      </x:c>
      <x:c r="AR454" s="147" t="str">
        <x:v>美国市场指标与CFTC数据均使用严格早于上金所交易日的最后已发布值</x:v>
      </x:c>
    </x:row>
    <x:row r="455">
      <x:c r="A455" s="155" t="n">
        <x:v>46008</x:v>
      </x:c>
      <x:c r="B455" s="153" t="n">
        <x:v>964</x:v>
      </x:c>
      <x:c r="C455" s="153" t="n">
        <x:v>977.94</x:v>
      </x:c>
      <x:c r="D455" s="153" t="n">
        <x:v>964</x:v>
      </x:c>
      <x:c r="E455" s="153" t="n">
        <x:v>972.71</x:v>
      </x:c>
      <x:c r="F455" s="154" t="n">
        <x:f>IFERROR(E455/E454-1,"")</x:f>
        <x:v>0.008104550777809028</x:v>
      </x:c>
      <x:c r="G455" s="154" t="n">
        <x:f>IFERROR((C455-D455)/E454,"")</x:f>
        <x:v>0.014447242690876737</x:v>
      </x:c>
      <x:c r="H455" s="153" t="n">
        <x:v>973.75</x:v>
      </x:c>
      <x:c r="I455" s="158" t="n">
        <x:v>6947.48</x:v>
      </x:c>
      <x:c r="J455" s="158" t="n">
        <x:v>6765122642.4</x:v>
      </x:c>
      <x:c r="K455" s="158"/>
      <x:c r="L455" s="153" t="n">
        <x:v>14655</x:v>
      </x:c>
      <x:c r="M455" s="153" t="n">
        <x:v>15535</x:v>
      </x:c>
      <x:c r="N455" s="153" t="n">
        <x:v>14620</x:v>
      </x:c>
      <x:c r="O455" s="153" t="n">
        <x:v>15455</x:v>
      </x:c>
      <x:c r="P455" s="154" t="n">
        <x:f>IFERROR(O455/O454-1,"")</x:f>
        <x:v>0.05502082053382473</x:v>
      </x:c>
      <x:c r="Q455" s="154" t="n">
        <x:f>IFERROR((M455-N455)/O454,"")</x:f>
        <x:v>0.06246160147450338</x:v>
      </x:c>
      <x:c r="R455" s="153" t="n">
        <x:v>15289</x:v>
      </x:c>
      <x:c r="S455" s="158" t="n">
        <x:v>1320846</x:v>
      </x:c>
      <x:c r="T455" s="158" t="n">
        <x:v>20194525006</x:v>
      </x:c>
      <x:c r="U455" s="158" t="n">
        <x:v>3762134</x:v>
      </x:c>
      <x:c r="V455" s="153" t="n">
        <x:f>IFERROR(E455*1000/O455,"")</x:f>
        <x:v>62.938207699773535</x:v>
      </x:c>
      <x:c r="W455" s="153" t="n">
        <x:v>4.15</x:v>
      </x:c>
      <x:c r="X455" s="155" t="n">
        <x:v>46007</x:v>
      </x:c>
      <x:c r="Y455" s="153" t="n">
        <x:v>1.92</x:v>
      </x:c>
      <x:c r="Z455" s="155" t="n">
        <x:v>46007</x:v>
      </x:c>
      <x:c r="AA455" s="153" t="n">
        <x:f>IFERROR(Y455-Y454,"")</x:f>
        <x:v>-0.010000000000000009</x:v>
      </x:c>
      <x:c r="AB455" s="153" t="n">
        <x:v>2.23</x:v>
      </x:c>
      <x:c r="AC455" s="153" t="n">
        <x:v>119.8902</x:v>
      </x:c>
      <x:c r="AD455" s="155" t="n">
        <x:v>46007</x:v>
      </x:c>
      <x:c r="AE455" s="154" t="n">
        <x:f>IFERROR(AC455/AC454-1,"")</x:f>
        <x:v>-0.0005493676436630901</x:v>
      </x:c>
      <x:c r="AF455" s="153" t="n">
        <x:v>16.48</x:v>
      </x:c>
      <x:c r="AG455" s="155" t="n">
        <x:v>46007</x:v>
      </x:c>
      <x:c r="AH455" s="153" t="n">
        <x:f>IFERROR(AF455-AF454,"")</x:f>
        <x:v>-0.019999999999999574</x:v>
      </x:c>
      <x:c r="AI455" s="153" t="n">
        <x:v>3.64</x:v>
      </x:c>
      <x:c r="AJ455" s="155" t="n">
        <x:v>46003</x:v>
      </x:c>
      <x:c r="AK455" s="159" t="n">
        <x:v>123548</x:v>
      </x:c>
      <x:c r="AL455" s="154" t="n">
        <x:v>0.2856145493551318</x:v>
      </x:c>
      <x:c r="AM455" s="159" t="n">
        <x:v>-49393</x:v>
      </x:c>
      <x:c r="AN455" s="155" t="n">
        <x:v>46003</x:v>
      </x:c>
      <x:c r="AO455" s="159" t="n">
        <x:v>25775</x:v>
      </x:c>
      <x:c r="AP455" s="154" t="n">
        <x:v>0.1665460513562761</x:v>
      </x:c>
      <x:c r="AQ455" s="159" t="n">
        <x:v>-28837</x:v>
      </x:c>
      <x:c r="AR455" s="147" t="str">
        <x:v>美国市场指标与CFTC数据均使用严格早于上金所交易日的最后已发布值</x:v>
      </x:c>
    </x:row>
    <x:row r="456">
      <x:c r="A456" s="155" t="n">
        <x:v>46009</x:v>
      </x:c>
      <x:c r="B456" s="153" t="n">
        <x:v>972.6</x:v>
      </x:c>
      <x:c r="C456" s="153" t="n">
        <x:v>977.99</x:v>
      </x:c>
      <x:c r="D456" s="153" t="n">
        <x:v>971.5</x:v>
      </x:c>
      <x:c r="E456" s="153" t="n">
        <x:v>975.55</x:v>
      </x:c>
      <x:c r="F456" s="154" t="n">
        <x:f>IFERROR(E456/E455-1,"")</x:f>
        <x:v>0.002919678012973881</x:v>
      </x:c>
      <x:c r="G456" s="154" t="n">
        <x:f>IFERROR((C456-D456)/E455,"")</x:f>
        <x:v>0.006672081093028764</x:v>
      </x:c>
      <x:c r="H456" s="153" t="n">
        <x:v>975.02</x:v>
      </x:c>
      <x:c r="I456" s="158" t="n">
        <x:v>4719.52</x:v>
      </x:c>
      <x:c r="J456" s="158" t="n">
        <x:v>4601653682</x:v>
      </x:c>
      <x:c r="K456" s="158"/>
      <x:c r="L456" s="153" t="n">
        <x:v>15425</x:v>
      </x:c>
      <x:c r="M456" s="153" t="n">
        <x:v>15641</x:v>
      </x:c>
      <x:c r="N456" s="153" t="n">
        <x:v>15210</x:v>
      </x:c>
      <x:c r="O456" s="153" t="n">
        <x:v>15463</x:v>
      </x:c>
      <x:c r="P456" s="154" t="n">
        <x:f>IFERROR(O456/O455-1,"")</x:f>
        <x:v>0.0005176318343578235</x:v>
      </x:c>
      <x:c r="Q456" s="154" t="n">
        <x:f>IFERROR((M456-N456)/O455,"")</x:f>
        <x:v>0.027887415076027176</x:v>
      </x:c>
      <x:c r="R456" s="153" t="n">
        <x:v>15464</x:v>
      </x:c>
      <x:c r="S456" s="158" t="n">
        <x:v>900984</x:v>
      </x:c>
      <x:c r="T456" s="158" t="n">
        <x:v>13933648374</x:v>
      </x:c>
      <x:c r="U456" s="158" t="n">
        <x:v>3622722</x:v>
      </x:c>
      <x:c r="V456" s="153" t="n">
        <x:f>IFERROR(E456*1000/O456,"")</x:f>
        <x:v>63.08930996572463</x:v>
      </x:c>
      <x:c r="W456" s="153" t="n">
        <x:v>4.16</x:v>
      </x:c>
      <x:c r="X456" s="155" t="n">
        <x:v>46008</x:v>
      </x:c>
      <x:c r="Y456" s="153" t="n">
        <x:v>1.92</x:v>
      </x:c>
      <x:c r="Z456" s="155" t="n">
        <x:v>46008</x:v>
      </x:c>
      <x:c r="AA456" s="153" t="n">
        <x:f>IFERROR(Y456-Y455,"")</x:f>
        <x:v>0</x:v>
      </x:c>
      <x:c r="AB456" s="153" t="n">
        <x:v>2.24</x:v>
      </x:c>
      <x:c r="AC456" s="153" t="n">
        <x:v>120.155</x:v>
      </x:c>
      <x:c r="AD456" s="155" t="n">
        <x:v>46008</x:v>
      </x:c>
      <x:c r="AE456" s="154" t="n">
        <x:f>IFERROR(AC456/AC455-1,"")</x:f>
        <x:v>0.0022086876158351476</x:v>
      </x:c>
      <x:c r="AF456" s="153" t="n">
        <x:v>17.62</x:v>
      </x:c>
      <x:c r="AG456" s="155" t="n">
        <x:v>46008</x:v>
      </x:c>
      <x:c r="AH456" s="153" t="n">
        <x:f>IFERROR(AF456-AF455,"")</x:f>
        <x:v>1.1400000000000006</x:v>
      </x:c>
      <x:c r="AI456" s="153" t="n">
        <x:v>3.64</x:v>
      </x:c>
      <x:c r="AJ456" s="155" t="n">
        <x:v>46003</x:v>
      </x:c>
      <x:c r="AK456" s="159" t="n">
        <x:v>123548</x:v>
      </x:c>
      <x:c r="AL456" s="154" t="n">
        <x:v>0.2856145493551318</x:v>
      </x:c>
      <x:c r="AM456" s="159" t="n">
        <x:v>-49393</x:v>
      </x:c>
      <x:c r="AN456" s="155" t="n">
        <x:v>46003</x:v>
      </x:c>
      <x:c r="AO456" s="159" t="n">
        <x:v>25775</x:v>
      </x:c>
      <x:c r="AP456" s="154" t="n">
        <x:v>0.1665460513562761</x:v>
      </x:c>
      <x:c r="AQ456" s="159" t="n">
        <x:v>-28837</x:v>
      </x:c>
      <x:c r="AR456" s="147" t="str">
        <x:v>美国市场指标与CFTC数据均使用严格早于上金所交易日的最后已发布值</x:v>
      </x:c>
    </x:row>
    <x:row r="457">
      <x:c r="A457" s="155" t="n">
        <x:v>46010</x:v>
      </x:c>
      <x:c r="B457" s="153" t="n">
        <x:v>974.66</x:v>
      </x:c>
      <x:c r="C457" s="153" t="n">
        <x:v>980</x:v>
      </x:c>
      <x:c r="D457" s="153" t="n">
        <x:v>970</x:v>
      </x:c>
      <x:c r="E457" s="153" t="n">
        <x:v>975.51</x:v>
      </x:c>
      <x:c r="F457" s="154" t="n">
        <x:f>IFERROR(E457/E456-1,"")</x:f>
        <x:v>-0.000041002511403820385</x:v>
      </x:c>
      <x:c r="G457" s="154" t="n">
        <x:f>IFERROR((C457-D457)/E456,"")</x:f>
        <x:v>0.010250627850955872</x:v>
      </x:c>
      <x:c r="H457" s="153" t="n">
        <x:v>974.04</x:v>
      </x:c>
      <x:c r="I457" s="158" t="n">
        <x:v>6643.58</x:v>
      </x:c>
      <x:c r="J457" s="158" t="n">
        <x:v>6471156869.4</x:v>
      </x:c>
      <x:c r="K457" s="158"/>
      <x:c r="L457" s="153" t="n">
        <x:v>15420</x:v>
      </x:c>
      <x:c r="M457" s="153" t="n">
        <x:v>15499</x:v>
      </x:c>
      <x:c r="N457" s="153" t="n">
        <x:v>15030</x:v>
      </x:c>
      <x:c r="O457" s="153" t="n">
        <x:v>15385</x:v>
      </x:c>
      <x:c r="P457" s="154" t="n">
        <x:f>IFERROR(O457/O456-1,"")</x:f>
        <x:v>-0.005044299295091537</x:v>
      </x:c>
      <x:c r="Q457" s="154" t="n">
        <x:f>IFERROR((M457-N457)/O456,"")</x:f>
        <x:v>0.030330466274332276</x:v>
      </x:c>
      <x:c r="R457" s="153" t="n">
        <x:v>15217</x:v>
      </x:c>
      <x:c r="S457" s="158" t="n">
        <x:v>905826</x:v>
      </x:c>
      <x:c r="T457" s="158" t="n">
        <x:v>13784808022</x:v>
      </x:c>
      <x:c r="U457" s="158" t="n">
        <x:v>3519090</x:v>
      </x:c>
      <x:c r="V457" s="153" t="n">
        <x:f>IFERROR(E457*1000/O457,"")</x:f>
        <x:v>63.4065648358791</x:v>
      </x:c>
      <x:c r="W457" s="153" t="n">
        <x:v>4.12</x:v>
      </x:c>
      <x:c r="X457" s="155" t="n">
        <x:v>46009</x:v>
      </x:c>
      <x:c r="Y457" s="153" t="n">
        <x:v>1.88</x:v>
      </x:c>
      <x:c r="Z457" s="155" t="n">
        <x:v>46009</x:v>
      </x:c>
      <x:c r="AA457" s="153" t="n">
        <x:f>IFERROR(Y457-Y456,"")</x:f>
        <x:v>-0.040000000000000036</x:v>
      </x:c>
      <x:c r="AB457" s="153" t="n">
        <x:v>2.24</x:v>
      </x:c>
      <x:c r="AC457" s="153" t="n">
        <x:v>120.0528</x:v>
      </x:c>
      <x:c r="AD457" s="155" t="n">
        <x:v>46009</x:v>
      </x:c>
      <x:c r="AE457" s="154" t="n">
        <x:f>IFERROR(AC457/AC456-1,"")</x:f>
        <x:v>-0.0008505680163122253</x:v>
      </x:c>
      <x:c r="AF457" s="153" t="n">
        <x:v>16.87</x:v>
      </x:c>
      <x:c r="AG457" s="155" t="n">
        <x:v>46009</x:v>
      </x:c>
      <x:c r="AH457" s="153" t="n">
        <x:f>IFERROR(AF457-AF456,"")</x:f>
        <x:v>-0.75</x:v>
      </x:c>
      <x:c r="AI457" s="153" t="n">
        <x:v>3.64</x:v>
      </x:c>
      <x:c r="AJ457" s="155" t="n">
        <x:v>46003</x:v>
      </x:c>
      <x:c r="AK457" s="159" t="n">
        <x:v>123548</x:v>
      </x:c>
      <x:c r="AL457" s="154" t="n">
        <x:v>0.2856145493551318</x:v>
      </x:c>
      <x:c r="AM457" s="159" t="n">
        <x:v>-49393</x:v>
      </x:c>
      <x:c r="AN457" s="155" t="n">
        <x:v>46003</x:v>
      </x:c>
      <x:c r="AO457" s="159" t="n">
        <x:v>25775</x:v>
      </x:c>
      <x:c r="AP457" s="154" t="n">
        <x:v>0.1665460513562761</x:v>
      </x:c>
      <x:c r="AQ457" s="159" t="n">
        <x:v>-28837</x:v>
      </x:c>
      <x:c r="AR457" s="147" t="str">
        <x:v>美国市场指标与CFTC数据均使用严格早于上金所交易日的最后已发布值</x:v>
      </x:c>
    </x:row>
    <x:row r="458">
      <x:c r="A458" s="155" t="n">
        <x:v>46013</x:v>
      </x:c>
      <x:c r="B458" s="153" t="n">
        <x:v>977</x:v>
      </x:c>
      <x:c r="C458" s="153" t="n">
        <x:v>995</x:v>
      </x:c>
      <x:c r="D458" s="153" t="n">
        <x:v>974</x:v>
      </x:c>
      <x:c r="E458" s="153" t="n">
        <x:v>992.79</x:v>
      </x:c>
      <x:c r="F458" s="154" t="n">
        <x:f>IFERROR(E458/E457-1,"")</x:f>
        <x:v>0.017713811237199062</x:v>
      </x:c>
      <x:c r="G458" s="154" t="n">
        <x:f>IFERROR((C458-D458)/E457,"")</x:f>
        <x:v>0.021527201156318235</x:v>
      </x:c>
      <x:c r="H458" s="153" t="n">
        <x:v>987.13</x:v>
      </x:c>
      <x:c r="I458" s="158" t="n">
        <x:v>12609.88</x:v>
      </x:c>
      <x:c r="J458" s="158" t="n">
        <x:v>12447683167.2</x:v>
      </x:c>
      <x:c r="K458" s="158"/>
      <x:c r="L458" s="153" t="n">
        <x:v>15390</x:v>
      </x:c>
      <x:c r="M458" s="153" t="n">
        <x:v>16280</x:v>
      </x:c>
      <x:c r="N458" s="153" t="n">
        <x:v>15314</x:v>
      </x:c>
      <x:c r="O458" s="153" t="n">
        <x:v>16186</x:v>
      </x:c>
      <x:c r="P458" s="154" t="n">
        <x:f>IFERROR(O458/O457-1,"")</x:f>
        <x:v>0.05206369840753977</x:v>
      </x:c>
      <x:c r="Q458" s="154" t="n">
        <x:f>IFERROR((M458-N458)/O457,"")</x:f>
        <x:v>0.06278843028924277</x:v>
      </x:c>
      <x:c r="R458" s="153" t="n">
        <x:v>16070</x:v>
      </x:c>
      <x:c r="S458" s="158" t="n">
        <x:v>1056792</x:v>
      </x:c>
      <x:c r="T458" s="158" t="n">
        <x:v>16983491350</x:v>
      </x:c>
      <x:c r="U458" s="158" t="n">
        <x:v>3378318</x:v>
      </x:c>
      <x:c r="V458" s="153" t="n">
        <x:f>IFERROR(E458*1000/O458,"")</x:f>
        <x:v>61.336340046954156</x:v>
      </x:c>
      <x:c r="W458" s="153" t="n">
        <x:v>4.16</x:v>
      </x:c>
      <x:c r="X458" s="155" t="n">
        <x:v>46010</x:v>
      </x:c>
      <x:c r="Y458" s="153" t="n">
        <x:v>1.92</x:v>
      </x:c>
      <x:c r="Z458" s="155" t="n">
        <x:v>46010</x:v>
      </x:c>
      <x:c r="AA458" s="153" t="n">
        <x:f>IFERROR(Y458-Y457,"")</x:f>
        <x:v>0.040000000000000036</x:v>
      </x:c>
      <x:c r="AB458" s="153" t="n">
        <x:v>2.24</x:v>
      </x:c>
      <x:c r="AC458" s="153" t="n">
        <x:v>120.1652</x:v>
      </x:c>
      <x:c r="AD458" s="155" t="n">
        <x:v>46010</x:v>
      </x:c>
      <x:c r="AE458" s="154" t="n">
        <x:f>IFERROR(AC458/AC457-1,"")</x:f>
        <x:v>0.0009362547145921329</x:v>
      </x:c>
      <x:c r="AF458" s="153" t="n">
        <x:v>14.91</x:v>
      </x:c>
      <x:c r="AG458" s="155" t="n">
        <x:v>46010</x:v>
      </x:c>
      <x:c r="AH458" s="153" t="n">
        <x:f>IFERROR(AF458-AF457,"")</x:f>
        <x:v>-1.9600000000000009</x:v>
      </x:c>
      <x:c r="AI458" s="153" t="n">
        <x:v>3.64</x:v>
      </x:c>
      <x:c r="AJ458" s="155" t="n">
        <x:v>46010</x:v>
      </x:c>
      <x:c r="AK458" s="159" t="n">
        <x:v>132596</x:v>
      </x:c>
      <x:c r="AL458" s="154" t="n">
        <x:v>0.28146459403981805</x:v>
      </x:c>
      <x:c r="AM458" s="159" t="n">
        <x:v>-44249</x:v>
      </x:c>
      <x:c r="AN458" s="155" t="n">
        <x:v>46010</x:v>
      </x:c>
      <x:c r="AO458" s="159" t="n">
        <x:v>21887</x:v>
      </x:c>
      <x:c r="AP458" s="154" t="n">
        <x:v>0.14312618933959365</x:v>
      </x:c>
      <x:c r="AQ458" s="159" t="n">
        <x:v>-25373</x:v>
      </x:c>
      <x:c r="AR458" s="147" t="str">
        <x:v>美国市场指标与CFTC数据均使用严格早于上金所交易日的最后已发布值</x:v>
      </x:c>
    </x:row>
    <x:row r="459">
      <x:c r="A459" s="155" t="n">
        <x:v>46014</x:v>
      </x:c>
      <x:c r="B459" s="153" t="n">
        <x:v>985</x:v>
      </x:c>
      <x:c r="C459" s="153" t="n">
        <x:v>1014</x:v>
      </x:c>
      <x:c r="D459" s="153" t="n">
        <x:v>985</x:v>
      </x:c>
      <x:c r="E459" s="153" t="n">
        <x:v>1006.87</x:v>
      </x:c>
      <x:c r="F459" s="154" t="n">
        <x:f>IFERROR(E459/E458-1,"")</x:f>
        <x:v>0.014182254051712917</x:v>
      </x:c>
      <x:c r="G459" s="154" t="n">
        <x:f>IFERROR((C459-D459)/E458,"")</x:f>
        <x:v>0.02921060848719266</x:v>
      </x:c>
      <x:c r="H459" s="153" t="n">
        <x:v>1009.22</x:v>
      </x:c>
      <x:c r="I459" s="158" t="n">
        <x:v>11494.44</x:v>
      </x:c>
      <x:c r="J459" s="158" t="n">
        <x:v>11600520069.8</x:v>
      </x:c>
      <x:c r="K459" s="158"/>
      <x:c r="L459" s="153" t="n">
        <x:v>16190</x:v>
      </x:c>
      <x:c r="M459" s="153" t="n">
        <x:v>16564</x:v>
      </x:c>
      <x:c r="N459" s="153" t="n">
        <x:v>16095</x:v>
      </x:c>
      <x:c r="O459" s="153" t="n">
        <x:v>16420</x:v>
      </x:c>
      <x:c r="P459" s="154" t="n">
        <x:f>IFERROR(O459/O458-1,"")</x:f>
        <x:v>0.014456938094649763</x:v>
      </x:c>
      <x:c r="Q459" s="154" t="n">
        <x:f>IFERROR((M459-N459)/O458,"")</x:f>
        <x:v>0.028975657976028666</x:v>
      </x:c>
      <x:c r="R459" s="153" t="n">
        <x:v>16409</x:v>
      </x:c>
      <x:c r="S459" s="158" t="n">
        <x:v>817112</x:v>
      </x:c>
      <x:c r="T459" s="158" t="n">
        <x:v>13408631526</x:v>
      </x:c>
      <x:c r="U459" s="158" t="n">
        <x:v>3283948</x:v>
      </x:c>
      <x:c r="V459" s="153" t="n">
        <x:f>IFERROR(E459*1000/O459,"")</x:f>
        <x:v>61.31973203410475</x:v>
      </x:c>
      <x:c r="W459" s="153" t="n">
        <x:v>4.17</x:v>
      </x:c>
      <x:c r="X459" s="155" t="n">
        <x:v>46013</x:v>
      </x:c>
      <x:c r="Y459" s="153" t="n">
        <x:v>1.94</x:v>
      </x:c>
      <x:c r="Z459" s="155" t="n">
        <x:v>46013</x:v>
      </x:c>
      <x:c r="AA459" s="153" t="n">
        <x:f>IFERROR(Y459-Y458,"")</x:f>
        <x:v>0.020000000000000018</x:v>
      </x:c>
      <x:c r="AB459" s="153" t="n">
        <x:v>2.23</x:v>
      </x:c>
      <x:c r="AC459" s="153" t="n">
        <x:v>119.9912</x:v>
      </x:c>
      <x:c r="AD459" s="155" t="n">
        <x:v>46013</x:v>
      </x:c>
      <x:c r="AE459" s="154" t="n">
        <x:f>IFERROR(AC459/AC458-1,"")</x:f>
        <x:v>-0.0014480065776114603</x:v>
      </x:c>
      <x:c r="AF459" s="153" t="n">
        <x:v>14.08</x:v>
      </x:c>
      <x:c r="AG459" s="155" t="n">
        <x:v>46013</x:v>
      </x:c>
      <x:c r="AH459" s="153" t="n">
        <x:f>IFERROR(AF459-AF458,"")</x:f>
        <x:v>-0.8300000000000001</x:v>
      </x:c>
      <x:c r="AI459" s="153" t="n">
        <x:v>3.64</x:v>
      </x:c>
      <x:c r="AJ459" s="155" t="n">
        <x:v>46010</x:v>
      </x:c>
      <x:c r="AK459" s="159" t="n">
        <x:v>132596</x:v>
      </x:c>
      <x:c r="AL459" s="154" t="n">
        <x:v>0.28146459403981805</x:v>
      </x:c>
      <x:c r="AM459" s="159" t="n">
        <x:v>-44249</x:v>
      </x:c>
      <x:c r="AN459" s="155" t="n">
        <x:v>46010</x:v>
      </x:c>
      <x:c r="AO459" s="159" t="n">
        <x:v>21887</x:v>
      </x:c>
      <x:c r="AP459" s="154" t="n">
        <x:v>0.14312618933959365</x:v>
      </x:c>
      <x:c r="AQ459" s="159" t="n">
        <x:v>-25373</x:v>
      </x:c>
      <x:c r="AR459" s="147" t="str">
        <x:v>美国市场指标与CFTC数据均使用严格早于上金所交易日的最后已发布值</x:v>
      </x:c>
    </x:row>
    <x:row r="460">
      <x:c r="A460" s="155" t="n">
        <x:v>46015</x:v>
      </x:c>
      <x:c r="B460" s="153" t="n">
        <x:v>1008.2</x:v>
      </x:c>
      <x:c r="C460" s="153" t="n">
        <x:v>1017.2</x:v>
      </x:c>
      <x:c r="D460" s="153" t="n">
        <x:v>995</x:v>
      </x:c>
      <x:c r="E460" s="153" t="n">
        <x:v>1007.69</x:v>
      </x:c>
      <x:c r="F460" s="154" t="n">
        <x:f>IFERROR(E460/E459-1,"")</x:f>
        <x:v>0.0008144050373930511</x:v>
      </x:c>
      <x:c r="G460" s="154" t="n">
        <x:f>IFERROR((C460-D460)/E459,"")</x:f>
        <x:v>0.022048526622106174</x:v>
      </x:c>
      <x:c r="H460" s="153" t="n">
        <x:v>1010.54</x:v>
      </x:c>
      <x:c r="I460" s="158" t="n">
        <x:v>9021.5</x:v>
      </x:c>
      <x:c r="J460" s="158" t="n">
        <x:v>9116643606.6</x:v>
      </x:c>
      <x:c r="K460" s="158"/>
      <x:c r="L460" s="153" t="n">
        <x:v>16470</x:v>
      </x:c>
      <x:c r="M460" s="153" t="n">
        <x:v>17755</x:v>
      </x:c>
      <x:c r="N460" s="153" t="n">
        <x:v>16422</x:v>
      </x:c>
      <x:c r="O460" s="153" t="n">
        <x:v>17714</x:v>
      </x:c>
      <x:c r="P460" s="154" t="n">
        <x:f>IFERROR(O460/O459-1,"")</x:f>
        <x:v>0.07880633373934232</x:v>
      </x:c>
      <x:c r="Q460" s="154" t="n">
        <x:f>IFERROR((M460-N460)/O459,"")</x:f>
        <x:v>0.08118148599269184</x:v>
      </x:c>
      <x:c r="R460" s="153" t="n">
        <x:v>17321</x:v>
      </x:c>
      <x:c r="S460" s="158" t="n">
        <x:v>1010776</x:v>
      </x:c>
      <x:c r="T460" s="158" t="n">
        <x:v>17507684054</x:v>
      </x:c>
      <x:c r="U460" s="158" t="n">
        <x:v>3184882</x:v>
      </x:c>
      <x:c r="V460" s="153" t="n">
        <x:f>IFERROR(E460*1000/O460,"")</x:f>
        <x:v>56.886643332956986</x:v>
      </x:c>
      <x:c r="W460" s="153" t="n">
        <x:v>4.18</x:v>
      </x:c>
      <x:c r="X460" s="155" t="n">
        <x:v>46014</x:v>
      </x:c>
      <x:c r="Y460" s="153" t="n">
        <x:v>1.94</x:v>
      </x:c>
      <x:c r="Z460" s="155" t="n">
        <x:v>46014</x:v>
      </x:c>
      <x:c r="AA460" s="153" t="n">
        <x:f>IFERROR(Y460-Y459,"")</x:f>
        <x:v>0</x:v>
      </x:c>
      <x:c r="AB460" s="153" t="n">
        <x:v>2.24</x:v>
      </x:c>
      <x:c r="AC460" s="153" t="n">
        <x:v>119.7057</x:v>
      </x:c>
      <x:c r="AD460" s="155" t="n">
        <x:v>46014</x:v>
      </x:c>
      <x:c r="AE460" s="154" t="n">
        <x:f>IFERROR(AC460/AC459-1,"")</x:f>
        <x:v>-0.0023793411516845886</x:v>
      </x:c>
      <x:c r="AF460" s="153" t="n">
        <x:v>14</x:v>
      </x:c>
      <x:c r="AG460" s="155" t="n">
        <x:v>46014</x:v>
      </x:c>
      <x:c r="AH460" s="153" t="n">
        <x:f>IFERROR(AF460-AF459,"")</x:f>
        <x:v>-0.08000000000000007</x:v>
      </x:c>
      <x:c r="AI460" s="153" t="n">
        <x:v>3.64</x:v>
      </x:c>
      <x:c r="AJ460" s="155" t="n">
        <x:v>46010</x:v>
      </x:c>
      <x:c r="AK460" s="159" t="n">
        <x:v>132596</x:v>
      </x:c>
      <x:c r="AL460" s="154" t="n">
        <x:v>0.28146459403981805</x:v>
      </x:c>
      <x:c r="AM460" s="159" t="n">
        <x:v>-44249</x:v>
      </x:c>
      <x:c r="AN460" s="155" t="n">
        <x:v>46010</x:v>
      </x:c>
      <x:c r="AO460" s="159" t="n">
        <x:v>21887</x:v>
      </x:c>
      <x:c r="AP460" s="154" t="n">
        <x:v>0.14312618933959365</x:v>
      </x:c>
      <x:c r="AQ460" s="159" t="n">
        <x:v>-25373</x:v>
      </x:c>
      <x:c r="AR460" s="147" t="str">
        <x:v>美国市场指标与CFTC数据均使用严格早于上金所交易日的最后已发布值</x:v>
      </x:c>
    </x:row>
    <x:row r="461">
      <x:c r="A461" s="155" t="n">
        <x:v>46016</x:v>
      </x:c>
      <x:c r="B461" s="153" t="n">
        <x:v>1009.5</x:v>
      </x:c>
      <x:c r="C461" s="153" t="n">
        <x:v>1009.5</x:v>
      </x:c>
      <x:c r="D461" s="153" t="n">
        <x:v>999.7</x:v>
      </x:c>
      <x:c r="E461" s="153" t="n">
        <x:v>1002.98</x:v>
      </x:c>
      <x:c r="F461" s="154" t="n">
        <x:f>IFERROR(E461/E460-1,"")</x:f>
        <x:v>-0.004674056505472923</x:v>
      </x:c>
      <x:c r="G461" s="154" t="n">
        <x:f>IFERROR((C461-D461)/E460,"")</x:f>
        <x:v>0.009725213111175019</x:v>
      </x:c>
      <x:c r="H461" s="153" t="n">
        <x:v>1002.01</x:v>
      </x:c>
      <x:c r="I461" s="158" t="n">
        <x:v>8305.14</x:v>
      </x:c>
      <x:c r="J461" s="158" t="n">
        <x:v>8321837111.4</x:v>
      </x:c>
      <x:c r="K461" s="158"/>
      <x:c r="L461" s="153" t="n">
        <x:v>17670</x:v>
      </x:c>
      <x:c r="M461" s="153" t="n">
        <x:v>17750</x:v>
      </x:c>
      <x:c r="N461" s="153" t="n">
        <x:v>16800</x:v>
      </x:c>
      <x:c r="O461" s="153" t="n">
        <x:v>17414</x:v>
      </x:c>
      <x:c r="P461" s="154" t="n">
        <x:f>IFERROR(O461/O460-1,"")</x:f>
        <x:v>-0.01693575702833916</x:v>
      </x:c>
      <x:c r="Q461" s="154" t="n">
        <x:f>IFERROR((M461-N461)/O460,"")</x:f>
        <x:v>0.05362989725640736</x:v>
      </x:c>
      <x:c r="R461" s="153" t="n">
        <x:v>17240</x:v>
      </x:c>
      <x:c r="S461" s="158" t="n">
        <x:v>502128</x:v>
      </x:c>
      <x:c r="T461" s="158" t="n">
        <x:v>8656981922</x:v>
      </x:c>
      <x:c r="U461" s="158" t="n">
        <x:v>3129440</x:v>
      </x:c>
      <x:c r="V461" s="153" t="n">
        <x:f>IFERROR(E461*1000/O461,"")</x:f>
        <x:v>57.596186975996325</x:v>
      </x:c>
      <x:c r="W461" s="153" t="n">
        <x:v>4.15</x:v>
      </x:c>
      <x:c r="X461" s="155" t="n">
        <x:v>46015</x:v>
      </x:c>
      <x:c r="Y461" s="153" t="n">
        <x:v>1.91</x:v>
      </x:c>
      <x:c r="Z461" s="155" t="n">
        <x:v>46015</x:v>
      </x:c>
      <x:c r="AA461" s="153" t="n">
        <x:f>IFERROR(Y461-Y460,"")</x:f>
        <x:v>-0.030000000000000027</x:v>
      </x:c>
      <x:c r="AB461" s="153" t="n">
        <x:v>2.24</x:v>
      </x:c>
      <x:c r="AC461" s="153" t="n">
        <x:v>119.4372</x:v>
      </x:c>
      <x:c r="AD461" s="155" t="n">
        <x:v>46015</x:v>
      </x:c>
      <x:c r="AE461" s="154" t="n">
        <x:f>IFERROR(AC461/AC460-1,"")</x:f>
        <x:v>-0.002243000959853969</x:v>
      </x:c>
      <x:c r="AF461" s="153" t="n">
        <x:v>13.47</x:v>
      </x:c>
      <x:c r="AG461" s="155" t="n">
        <x:v>46015</x:v>
      </x:c>
      <x:c r="AH461" s="153" t="n">
        <x:f>IFERROR(AF461-AF460,"")</x:f>
        <x:v>-0.5299999999999994</x:v>
      </x:c>
      <x:c r="AI461" s="153" t="n">
        <x:v>3.64</x:v>
      </x:c>
      <x:c r="AJ461" s="155" t="n">
        <x:v>46010</x:v>
      </x:c>
      <x:c r="AK461" s="159" t="n">
        <x:v>132596</x:v>
      </x:c>
      <x:c r="AL461" s="154" t="n">
        <x:v>0.28146459403981805</x:v>
      </x:c>
      <x:c r="AM461" s="159" t="n">
        <x:v>-44249</x:v>
      </x:c>
      <x:c r="AN461" s="155" t="n">
        <x:v>46010</x:v>
      </x:c>
      <x:c r="AO461" s="159" t="n">
        <x:v>21887</x:v>
      </x:c>
      <x:c r="AP461" s="154" t="n">
        <x:v>0.14312618933959365</x:v>
      </x:c>
      <x:c r="AQ461" s="159" t="n">
        <x:v>-25373</x:v>
      </x:c>
      <x:c r="AR461" s="147" t="str">
        <x:v>美国市场指标与CFTC数据均使用严格早于上金所交易日的最后已发布值</x:v>
      </x:c>
    </x:row>
    <x:row r="462">
      <x:c r="A462" s="155" t="n">
        <x:v>46017</x:v>
      </x:c>
      <x:c r="B462" s="153" t="n">
        <x:v>1004</x:v>
      </x:c>
      <x:c r="C462" s="153" t="n">
        <x:v>1017</x:v>
      </x:c>
      <x:c r="D462" s="153" t="n">
        <x:v>1003.51</x:v>
      </x:c>
      <x:c r="E462" s="153" t="n">
        <x:v>1007</x:v>
      </x:c>
      <x:c r="F462" s="154" t="n">
        <x:f>IFERROR(E462/E461-1,"")</x:f>
        <x:v>0.004008055993140358</x:v>
      </x:c>
      <x:c r="G462" s="154" t="n">
        <x:f>IFERROR((C462-D462)/E461,"")</x:f>
        <x:v>0.013449919240662833</x:v>
      </x:c>
      <x:c r="H462" s="153" t="n">
        <x:v>1010.2</x:v>
      </x:c>
      <x:c r="I462" s="158" t="n">
        <x:v>14250.86</x:v>
      </x:c>
      <x:c r="J462" s="158" t="n">
        <x:v>14396327243.6</x:v>
      </x:c>
      <x:c r="K462" s="158"/>
      <x:c r="L462" s="153" t="n">
        <x:v>17500</x:v>
      </x:c>
      <x:c r="M462" s="153" t="n">
        <x:v>18650</x:v>
      </x:c>
      <x:c r="N462" s="153" t="n">
        <x:v>17374</x:v>
      </x:c>
      <x:c r="O462" s="153" t="n">
        <x:v>18469</x:v>
      </x:c>
      <x:c r="P462" s="154" t="n">
        <x:f>IFERROR(O462/O461-1,"")</x:f>
        <x:v>0.06058343861261051</x:v>
      </x:c>
      <x:c r="Q462" s="154" t="n">
        <x:f>IFERROR((M462-N462)/O461,"")</x:f>
        <x:v>0.07327437693809578</x:v>
      </x:c>
      <x:c r="R462" s="153" t="n">
        <x:v>18368</x:v>
      </x:c>
      <x:c r="S462" s="158" t="n">
        <x:v>1034370</x:v>
      </x:c>
      <x:c r="T462" s="158" t="n">
        <x:v>18999422478</x:v>
      </x:c>
      <x:c r="U462" s="158" t="n">
        <x:v>2713464</x:v>
      </x:c>
      <x:c r="V462" s="153" t="n">
        <x:f>IFERROR(E462*1000/O462,"")</x:f>
        <x:v>54.52379663219449</x:v>
      </x:c>
      <x:c r="W462" s="153" t="n">
        <x:v>4.15</x:v>
      </x:c>
      <x:c r="X462" s="155" t="n">
        <x:v>46015</x:v>
      </x:c>
      <x:c r="Y462" s="153" t="n">
        <x:v>1.91</x:v>
      </x:c>
      <x:c r="Z462" s="155" t="n">
        <x:v>46015</x:v>
      </x:c>
      <x:c r="AA462" s="153" t="n">
        <x:f>IFERROR(Y462-Y461,"")</x:f>
        <x:v>0</x:v>
      </x:c>
      <x:c r="AB462" s="153" t="n">
        <x:v>2.24</x:v>
      </x:c>
      <x:c r="AC462" s="153" t="n">
        <x:v>119.4372</x:v>
      </x:c>
      <x:c r="AD462" s="155" t="n">
        <x:v>46015</x:v>
      </x:c>
      <x:c r="AE462" s="154" t="n">
        <x:f>IFERROR(AC462/AC461-1,"")</x:f>
        <x:v>0</x:v>
      </x:c>
      <x:c r="AF462" s="153" t="n">
        <x:v>13.47</x:v>
      </x:c>
      <x:c r="AG462" s="155" t="n">
        <x:v>46015</x:v>
      </x:c>
      <x:c r="AH462" s="153" t="n">
        <x:f>IFERROR(AF462-AF461,"")</x:f>
        <x:v>0</x:v>
      </x:c>
      <x:c r="AI462" s="153" t="n">
        <x:v>3.64</x:v>
      </x:c>
      <x:c r="AJ462" s="155" t="n">
        <x:v>46010</x:v>
      </x:c>
      <x:c r="AK462" s="159" t="n">
        <x:v>132596</x:v>
      </x:c>
      <x:c r="AL462" s="154" t="n">
        <x:v>0.28146459403981805</x:v>
      </x:c>
      <x:c r="AM462" s="159" t="n">
        <x:v>-44249</x:v>
      </x:c>
      <x:c r="AN462" s="155" t="n">
        <x:v>46010</x:v>
      </x:c>
      <x:c r="AO462" s="159" t="n">
        <x:v>21887</x:v>
      </x:c>
      <x:c r="AP462" s="154" t="n">
        <x:v>0.14312618933959365</x:v>
      </x:c>
      <x:c r="AQ462" s="159" t="n">
        <x:v>-25373</x:v>
      </x:c>
      <x:c r="AR462" s="147" t="str">
        <x:v>美国市场指标与CFTC数据均使用严格早于上金所交易日的最后已发布值</x:v>
      </x:c>
    </x:row>
    <x:row r="463">
      <x:c r="A463" s="155" t="n">
        <x:v>46020</x:v>
      </x:c>
      <x:c r="B463" s="153" t="n">
        <x:v>1010</x:v>
      </x:c>
      <x:c r="C463" s="153" t="n">
        <x:v>1015</x:v>
      </x:c>
      <x:c r="D463" s="153" t="n">
        <x:v>1000.01</x:v>
      </x:c>
      <x:c r="E463" s="153" t="n">
        <x:v>1004</x:v>
      </x:c>
      <x:c r="F463" s="154" t="n">
        <x:f>IFERROR(E463/E462-1,"")</x:f>
        <x:v>-0.002979145978152964</x:v>
      </x:c>
      <x:c r="G463" s="154" t="n">
        <x:f>IFERROR((C463-D463)/E462,"")</x:f>
        <x:v>0.014885799404170813</x:v>
      </x:c>
      <x:c r="H463" s="153" t="n">
        <x:v>1008.5</x:v>
      </x:c>
      <x:c r="I463" s="158" t="n">
        <x:v>22116.74</x:v>
      </x:c>
      <x:c r="J463" s="158" t="n">
        <x:v>22304861717</x:v>
      </x:c>
      <x:c r="K463" s="158"/>
      <x:c r="L463" s="153" t="n">
        <x:v>18364</x:v>
      </x:c>
      <x:c r="M463" s="153" t="n">
        <x:v>20150</x:v>
      </x:c>
      <x:c r="N463" s="153" t="n">
        <x:v>17800</x:v>
      </x:c>
      <x:c r="O463" s="153" t="n">
        <x:v>18797</x:v>
      </x:c>
      <x:c r="P463" s="154" t="n">
        <x:f>IFERROR(O463/O462-1,"")</x:f>
        <x:v>0.017759488873247076</x:v>
      </x:c>
      <x:c r="Q463" s="154" t="n">
        <x:f>IFERROR((M463-N463)/O462,"")</x:f>
        <x:v>0.12724024040283718</x:v>
      </x:c>
      <x:c r="R463" s="153" t="n">
        <x:v>19376</x:v>
      </x:c>
      <x:c r="S463" s="158" t="n">
        <x:v>1602424</x:v>
      </x:c>
      <x:c r="T463" s="158" t="n">
        <x:v>31049272174</x:v>
      </x:c>
      <x:c r="U463" s="158" t="n">
        <x:v>2872126</x:v>
      </x:c>
      <x:c r="V463" s="153" t="n">
        <x:f>IFERROR(E463*1000/O463,"")</x:f>
        <x:v>53.41277863488855</x:v>
      </x:c>
      <x:c r="W463" s="153" t="n">
        <x:v>4.14</x:v>
      </x:c>
      <x:c r="X463" s="155" t="n">
        <x:v>46017</x:v>
      </x:c>
      <x:c r="Y463" s="153" t="n">
        <x:v>1.91</x:v>
      </x:c>
      <x:c r="Z463" s="155" t="n">
        <x:v>46017</x:v>
      </x:c>
      <x:c r="AA463" s="153" t="n">
        <x:f>IFERROR(Y463-Y462,"")</x:f>
        <x:v>0</x:v>
      </x:c>
      <x:c r="AB463" s="153" t="n">
        <x:v>2.23</x:v>
      </x:c>
      <x:c r="AC463" s="153" t="n">
        <x:v>119.4723</x:v>
      </x:c>
      <x:c r="AD463" s="155" t="n">
        <x:v>46017</x:v>
      </x:c>
      <x:c r="AE463" s="154" t="n">
        <x:f>IFERROR(AC463/AC462-1,"")</x:f>
        <x:v>0.00029387828917615266</x:v>
      </x:c>
      <x:c r="AF463" s="153" t="n">
        <x:v>13.6</x:v>
      </x:c>
      <x:c r="AG463" s="155" t="n">
        <x:v>46017</x:v>
      </x:c>
      <x:c r="AH463" s="153" t="n">
        <x:f>IFERROR(AF463-AF462,"")</x:f>
        <x:v>0.129999999999999</x:v>
      </x:c>
      <x:c r="AI463" s="153" t="n">
        <x:v>3.64</x:v>
      </x:c>
      <x:c r="AJ463" s="155" t="n">
        <x:v>46017</x:v>
      </x:c>
      <x:c r="AK463" s="159" t="n">
        <x:v>136270</x:v>
      </x:c>
      <x:c r="AL463" s="154" t="n">
        <x:v>0.27691357297151203</x:v>
      </x:c>
      <x:c r="AM463" s="159" t="n">
        <x:v>-51284</x:v>
      </x:c>
      <x:c r="AN463" s="155" t="n">
        <x:v>46017</x:v>
      </x:c>
      <x:c r="AO463" s="159" t="n">
        <x:v>21608</x:v>
      </x:c>
      <x:c r="AP463" s="154" t="n">
        <x:v>0.1387707918566566</x:v>
      </x:c>
      <x:c r="AQ463" s="159" t="n">
        <x:v>-24229</x:v>
      </x:c>
      <x:c r="AR463" s="147" t="str">
        <x:v>美国市场指标与CFTC数据均使用严格早于上金所交易日的最后已发布值</x:v>
      </x:c>
    </x:row>
    <x:row r="464">
      <x:c r="A464" s="155" t="n">
        <x:v>46021</x:v>
      </x:c>
      <x:c r="B464" s="153" t="n">
        <x:v>1003.99</x:v>
      </x:c>
      <x:c r="C464" s="153" t="n">
        <x:v>1003.99</x:v>
      </x:c>
      <x:c r="D464" s="153" t="n">
        <x:v>970</x:v>
      </x:c>
      <x:c r="E464" s="153" t="n">
        <x:v>981.91</x:v>
      </x:c>
      <x:c r="F464" s="154" t="n">
        <x:f>IFERROR(E464/E463-1,"")</x:f>
        <x:v>-0.022001992031872586</x:v>
      </x:c>
      <x:c r="G464" s="154" t="n">
        <x:f>IFERROR((C464-D464)/E463,"")</x:f>
        <x:v>0.03385458167330678</x:v>
      </x:c>
      <x:c r="H464" s="153" t="n">
        <x:v>980.74</x:v>
      </x:c>
      <x:c r="I464" s="158" t="n">
        <x:v>19650.52</x:v>
      </x:c>
      <x:c r="J464" s="158" t="n">
        <x:v>19272244393</x:v>
      </x:c>
      <x:c r="K464" s="158"/>
      <x:c r="L464" s="153" t="n">
        <x:v>18050</x:v>
      </x:c>
      <x:c r="M464" s="153" t="n">
        <x:v>18779</x:v>
      </x:c>
      <x:c r="N464" s="153" t="n">
        <x:v>17350</x:v>
      </x:c>
      <x:c r="O464" s="153" t="n">
        <x:v>18119</x:v>
      </x:c>
      <x:c r="P464" s="154" t="n">
        <x:f>IFERROR(O464/O463-1,"")</x:f>
        <x:v>-0.036069585572165774</x:v>
      </x:c>
      <x:c r="Q464" s="154" t="n">
        <x:f>IFERROR((M464-N464)/O463,"")</x:f>
        <x:v>0.07602276959089216</x:v>
      </x:c>
      <x:c r="R464" s="153" t="n">
        <x:v>17962</x:v>
      </x:c>
      <x:c r="S464" s="158" t="n">
        <x:v>749908</x:v>
      </x:c>
      <x:c r="T464" s="158" t="n">
        <x:v>13469864886</x:v>
      </x:c>
      <x:c r="U464" s="158" t="n">
        <x:v>2873446</x:v>
      </x:c>
      <x:c r="V464" s="153" t="n">
        <x:f>IFERROR(E464*1000/O464,"")</x:f>
        <x:v>54.192284342403</x:v>
      </x:c>
      <x:c r="W464" s="153" t="n">
        <x:v>4.12</x:v>
      </x:c>
      <x:c r="X464" s="155" t="n">
        <x:v>46020</x:v>
      </x:c>
      <x:c r="Y464" s="153" t="n">
        <x:v>1.9</x:v>
      </x:c>
      <x:c r="Z464" s="155" t="n">
        <x:v>46020</x:v>
      </x:c>
      <x:c r="AA464" s="153" t="n">
        <x:f>IFERROR(Y464-Y463,"")</x:f>
        <x:v>-0.010000000000000009</x:v>
      </x:c>
      <x:c r="AB464" s="153" t="n">
        <x:v>2.22</x:v>
      </x:c>
      <x:c r="AC464" s="153" t="n">
        <x:v>119.5899</x:v>
      </x:c>
      <x:c r="AD464" s="155" t="n">
        <x:v>46020</x:v>
      </x:c>
      <x:c r="AE464" s="154" t="n">
        <x:f>IFERROR(AC464/AC463-1,"")</x:f>
        <x:v>0.000984328584952232</x:v>
      </x:c>
      <x:c r="AF464" s="153" t="n">
        <x:v>14.2</x:v>
      </x:c>
      <x:c r="AG464" s="155" t="n">
        <x:v>46020</x:v>
      </x:c>
      <x:c r="AH464" s="153" t="n">
        <x:f>IFERROR(AF464-AF463,"")</x:f>
        <x:v>0.5999999999999996</x:v>
      </x:c>
      <x:c r="AI464" s="153" t="n">
        <x:v>3.64</x:v>
      </x:c>
      <x:c r="AJ464" s="155" t="n">
        <x:v>46017</x:v>
      </x:c>
      <x:c r="AK464" s="159" t="n">
        <x:v>136270</x:v>
      </x:c>
      <x:c r="AL464" s="154" t="n">
        <x:v>0.27691357297151203</x:v>
      </x:c>
      <x:c r="AM464" s="159" t="n">
        <x:v>-51284</x:v>
      </x:c>
      <x:c r="AN464" s="155" t="n">
        <x:v>46017</x:v>
      </x:c>
      <x:c r="AO464" s="159" t="n">
        <x:v>21608</x:v>
      </x:c>
      <x:c r="AP464" s="154" t="n">
        <x:v>0.1387707918566566</x:v>
      </x:c>
      <x:c r="AQ464" s="159" t="n">
        <x:v>-24229</x:v>
      </x:c>
      <x:c r="AR464" s="147" t="str">
        <x:v>美国市场指标与CFTC数据均使用严格早于上金所交易日的最后已发布值</x:v>
      </x:c>
    </x:row>
    <x:row r="465">
      <x:c r="A465" s="155" t="n">
        <x:v>46022</x:v>
      </x:c>
      <x:c r="B465" s="153" t="n">
        <x:v>986</x:v>
      </x:c>
      <x:c r="C465" s="153" t="n">
        <x:v>990</x:v>
      </x:c>
      <x:c r="D465" s="153" t="n">
        <x:v>960</x:v>
      </x:c>
      <x:c r="E465" s="153" t="n">
        <x:v>974.9</x:v>
      </x:c>
      <x:c r="F465" s="154" t="n">
        <x:f>IFERROR(E465/E464-1,"")</x:f>
        <x:v>-0.0071391471723477595</x:v>
      </x:c>
      <x:c r="G465" s="154" t="n">
        <x:f>IFERROR((C465-D465)/E464,"")</x:f>
        <x:v>0.03055269831247263</x:v>
      </x:c>
      <x:c r="H465" s="153" t="n">
        <x:v>973.29</x:v>
      </x:c>
      <x:c r="I465" s="158" t="n">
        <x:v>16821.04</x:v>
      </x:c>
      <x:c r="J465" s="158" t="n">
        <x:v>16371913238</x:v>
      </x:c>
      <x:c r="K465" s="158"/>
      <x:c r="L465" s="153" t="n">
        <x:v>18200</x:v>
      </x:c>
      <x:c r="M465" s="153" t="n">
        <x:v>18881</x:v>
      </x:c>
      <x:c r="N465" s="153" t="n">
        <x:v>16900</x:v>
      </x:c>
      <x:c r="O465" s="153" t="n">
        <x:v>17059</x:v>
      </x:c>
      <x:c r="P465" s="154" t="n">
        <x:f>IFERROR(O465/O464-1,"")</x:f>
        <x:v>-0.058502124841326775</x:v>
      </x:c>
      <x:c r="Q465" s="154" t="n">
        <x:f>IFERROR((M465-N465)/O464,"")</x:f>
        <x:v>0.109332744632706</x:v>
      </x:c>
      <x:c r="R465" s="153" t="n">
        <x:v>17782</x:v>
      </x:c>
      <x:c r="S465" s="158" t="n">
        <x:v>728380</x:v>
      </x:c>
      <x:c r="T465" s="158" t="n">
        <x:v>12952686354</x:v>
      </x:c>
      <x:c r="U465" s="158" t="n">
        <x:v>2931198</x:v>
      </x:c>
      <x:c r="V465" s="153" t="n">
        <x:f>IFERROR(E465*1000/O465,"")</x:f>
        <x:v>57.1487191511812</x:v>
      </x:c>
      <x:c r="W465" s="153" t="n">
        <x:v>4.14</x:v>
      </x:c>
      <x:c r="X465" s="155" t="n">
        <x:v>46021</x:v>
      </x:c>
      <x:c r="Y465" s="153" t="n">
        <x:v>1.9</x:v>
      </x:c>
      <x:c r="Z465" s="155" t="n">
        <x:v>46021</x:v>
      </x:c>
      <x:c r="AA465" s="153" t="n">
        <x:f>IFERROR(Y465-Y464,"")</x:f>
        <x:v>0</x:v>
      </x:c>
      <x:c r="AB465" s="153" t="n">
        <x:v>2.24</x:v>
      </x:c>
      <x:c r="AC465" s="153" t="n">
        <x:v>119.4939</x:v>
      </x:c>
      <x:c r="AD465" s="155" t="n">
        <x:v>46021</x:v>
      </x:c>
      <x:c r="AE465" s="154" t="n">
        <x:f>IFERROR(AC465/AC464-1,"")</x:f>
        <x:v>-0.0008027433754858038</x:v>
      </x:c>
      <x:c r="AF465" s="153" t="n">
        <x:v>14.33</x:v>
      </x:c>
      <x:c r="AG465" s="155" t="n">
        <x:v>46021</x:v>
      </x:c>
      <x:c r="AH465" s="153" t="n">
        <x:f>IFERROR(AF465-AF464,"")</x:f>
        <x:v>0.13000000000000078</x:v>
      </x:c>
      <x:c r="AI465" s="153" t="n">
        <x:v>3.64</x:v>
      </x:c>
      <x:c r="AJ465" s="155" t="n">
        <x:v>46017</x:v>
      </x:c>
      <x:c r="AK465" s="159" t="n">
        <x:v>136270</x:v>
      </x:c>
      <x:c r="AL465" s="154" t="n">
        <x:v>0.27691357297151203</x:v>
      </x:c>
      <x:c r="AM465" s="159" t="n">
        <x:v>-51284</x:v>
      </x:c>
      <x:c r="AN465" s="155" t="n">
        <x:v>46017</x:v>
      </x:c>
      <x:c r="AO465" s="159" t="n">
        <x:v>21608</x:v>
      </x:c>
      <x:c r="AP465" s="154" t="n">
        <x:v>0.1387707918566566</x:v>
      </x:c>
      <x:c r="AQ465" s="159" t="n">
        <x:v>-24229</x:v>
      </x:c>
      <x:c r="AR465" s="147" t="str">
        <x:v>美国市场指标与CFTC数据均使用严格早于上金所交易日的最后已发布值</x:v>
      </x:c>
    </x:row>
    <x:row r="466">
      <x:c r="A466" s="155" t="n">
        <x:v>46027</x:v>
      </x:c>
      <x:c r="B466" s="153" t="n">
        <x:v>990</x:v>
      </x:c>
      <x:c r="C466" s="153" t="n">
        <x:v>996</x:v>
      </x:c>
      <x:c r="D466" s="153" t="n">
        <x:v>987.01</x:v>
      </x:c>
      <x:c r="E466" s="153" t="n">
        <x:v>993.57</x:v>
      </x:c>
      <x:c r="F466" s="154" t="n">
        <x:f>IFERROR(E466/E465-1,"")</x:f>
        <x:v>0.019150682121243268</x:v>
      </x:c>
      <x:c r="G466" s="154" t="n">
        <x:f>IFERROR((C466-D466)/E465,"")</x:f>
        <x:v>0.009221458611139613</x:v>
      </x:c>
      <x:c r="H466" s="153" t="n">
        <x:v>990.83</x:v>
      </x:c>
      <x:c r="I466" s="158" t="n">
        <x:v>18720.08</x:v>
      </x:c>
      <x:c r="J466" s="158" t="n">
        <x:v>18548433439.2</x:v>
      </x:c>
      <x:c r="K466" s="158"/>
      <x:c r="L466" s="153" t="n">
        <x:v>17850</x:v>
      </x:c>
      <x:c r="M466" s="153" t="n">
        <x:v>18338</x:v>
      </x:c>
      <x:c r="N466" s="153" t="n">
        <x:v>17850</x:v>
      </x:c>
      <x:c r="O466" s="153" t="n">
        <x:v>18319</x:v>
      </x:c>
      <x:c r="P466" s="154" t="n">
        <x:f>IFERROR(O466/O465-1,"")</x:f>
        <x:v>0.07386130488305298</x:v>
      </x:c>
      <x:c r="Q466" s="154" t="n">
        <x:f>IFERROR((M466-N466)/O465,"")</x:f>
        <x:v>0.028606600621372883</x:v>
      </x:c>
      <x:c r="R466" s="153" t="n">
        <x:v>18199</x:v>
      </x:c>
      <x:c r="S466" s="158" t="n">
        <x:v>657430</x:v>
      </x:c>
      <x:c r="T466" s="158" t="n">
        <x:v>11964992508</x:v>
      </x:c>
      <x:c r="U466" s="158" t="n">
        <x:v>2941532</x:v>
      </x:c>
      <x:c r="V466" s="153" t="n">
        <x:f>IFERROR(E466*1000/O466,"")</x:f>
        <x:v>54.2371308477537</x:v>
      </x:c>
      <x:c r="W466" s="153" t="n">
        <x:v>4.19</x:v>
      </x:c>
      <x:c r="X466" s="155" t="n">
        <x:v>46024</x:v>
      </x:c>
      <x:c r="Y466" s="153" t="n">
        <x:v>1.94</x:v>
      </x:c>
      <x:c r="Z466" s="155" t="n">
        <x:v>46024</x:v>
      </x:c>
      <x:c r="AA466" s="153" t="n">
        <x:f>IFERROR(Y466-Y465,"")</x:f>
        <x:v>0.040000000000000036</x:v>
      </x:c>
      <x:c r="AB466" s="153" t="n">
        <x:v>2.25</x:v>
      </x:c>
      <x:c r="AC466" s="153" t="n">
        <x:v>119.6059</x:v>
      </x:c>
      <x:c r="AD466" s="155" t="n">
        <x:v>46024</x:v>
      </x:c>
      <x:c r="AE466" s="154" t="n">
        <x:f>IFERROR(AC466/AC465-1,"")</x:f>
        <x:v>0.0009372863384657926</x:v>
      </x:c>
      <x:c r="AF466" s="153" t="n">
        <x:v>14.51</x:v>
      </x:c>
      <x:c r="AG466" s="155" t="n">
        <x:v>46024</x:v>
      </x:c>
      <x:c r="AH466" s="153" t="n">
        <x:f>IFERROR(AF466-AF465,"")</x:f>
        <x:v>0.17999999999999972</x:v>
      </x:c>
      <x:c r="AI466" s="153" t="n">
        <x:v>3.64</x:v>
      </x:c>
      <x:c r="AJ466" s="155" t="n">
        <x:v>46024</x:v>
      </x:c>
      <x:c r="AK466" s="159" t="n">
        <x:v>126040</x:v>
      </x:c>
      <x:c r="AL466" s="154" t="n">
        <x:v>0.2615664935895041</x:v>
      </x:c>
      <x:c r="AM466" s="159" t="n">
        <x:v>-54481</x:v>
      </x:c>
      <x:c r="AN466" s="155" t="n">
        <x:v>46024</x:v>
      </x:c>
      <x:c r="AO466" s="159" t="n">
        <x:v>14008</x:v>
      </x:c>
      <x:c r="AP466" s="154" t="n">
        <x:v>0.08900127707429269</x:v>
      </x:c>
      <x:c r="AQ466" s="159" t="n">
        <x:v>-26074</x:v>
      </x:c>
      <x:c r="AR466" s="147" t="str">
        <x:v>美国市场指标与CFTC数据均使用严格早于上金所交易日的最后已发布值</x:v>
      </x:c>
    </x:row>
    <x:row r="467">
      <x:c r="A467" s="155" t="n">
        <x:v>46028</x:v>
      </x:c>
      <x:c r="B467" s="153" t="n">
        <x:v>994</x:v>
      </x:c>
      <x:c r="C467" s="153" t="n">
        <x:v>1008</x:v>
      </x:c>
      <x:c r="D467" s="153" t="n">
        <x:v>990</x:v>
      </x:c>
      <x:c r="E467" s="153" t="n">
        <x:v>1003.01</x:v>
      </x:c>
      <x:c r="F467" s="154" t="n">
        <x:f>IFERROR(E467/E466-1,"")</x:f>
        <x:v>0.009501092021699575</x:v>
      </x:c>
      <x:c r="G467" s="154" t="n">
        <x:f>IFERROR((C467-D467)/E466,"")</x:f>
        <x:v>0.018116489024427064</x:v>
      </x:c>
      <x:c r="H467" s="153" t="n">
        <x:v>1001.92</x:v>
      </x:c>
      <x:c r="I467" s="158" t="n">
        <x:v>10741.62</x:v>
      </x:c>
      <x:c r="J467" s="158" t="n">
        <x:v>10762337189.4</x:v>
      </x:c>
      <x:c r="K467" s="158"/>
      <x:c r="L467" s="153" t="n">
        <x:v>18180</x:v>
      </x:c>
      <x:c r="M467" s="153" t="n">
        <x:v>19700</x:v>
      </x:c>
      <x:c r="N467" s="153" t="n">
        <x:v>18105</x:v>
      </x:c>
      <x:c r="O467" s="153" t="n">
        <x:v>19495</x:v>
      </x:c>
      <x:c r="P467" s="154" t="n">
        <x:f>IFERROR(O467/O466-1,"")</x:f>
        <x:v>0.06419564386702326</x:v>
      </x:c>
      <x:c r="Q467" s="154" t="n">
        <x:f>IFERROR((M467-N467)/O466,"")</x:f>
        <x:v>0.08706807140127736</x:v>
      </x:c>
      <x:c r="R467" s="153" t="n">
        <x:v>19243</x:v>
      </x:c>
      <x:c r="S467" s="158" t="n">
        <x:v>876640</x:v>
      </x:c>
      <x:c r="T467" s="158" t="n">
        <x:v>16869526732</x:v>
      </x:c>
      <x:c r="U467" s="158" t="n">
        <x:v>2993510</x:v>
      </x:c>
      <x:c r="V467" s="153" t="n">
        <x:f>IFERROR(E467*1000/O467,"")</x:f>
        <x:v>51.449602462169786</x:v>
      </x:c>
      <x:c r="W467" s="153" t="n">
        <x:v>4.17</x:v>
      </x:c>
      <x:c r="X467" s="155" t="n">
        <x:v>46027</x:v>
      </x:c>
      <x:c r="Y467" s="153" t="n">
        <x:v>1.91</x:v>
      </x:c>
      <x:c r="Z467" s="155" t="n">
        <x:v>46027</x:v>
      </x:c>
      <x:c r="AA467" s="153" t="n">
        <x:f>IFERROR(Y467-Y466,"")</x:f>
        <x:v>-0.030000000000000027</x:v>
      </x:c>
      <x:c r="AB467" s="153" t="n">
        <x:v>2.26</x:v>
      </x:c>
      <x:c r="AC467" s="153" t="n">
        <x:v>119.6192</x:v>
      </x:c>
      <x:c r="AD467" s="155" t="n">
        <x:v>46027</x:v>
      </x:c>
      <x:c r="AE467" s="154" t="n">
        <x:f>IFERROR(AC467/AC466-1,"")</x:f>
        <x:v>0.00011119852783192385</x:v>
      </x:c>
      <x:c r="AF467" s="153" t="n">
        <x:v>14.9</x:v>
      </x:c>
      <x:c r="AG467" s="155" t="n">
        <x:v>46027</x:v>
      </x:c>
      <x:c r="AH467" s="153" t="n">
        <x:f>IFERROR(AF467-AF466,"")</x:f>
        <x:v>0.39000000000000057</x:v>
      </x:c>
      <x:c r="AI467" s="153" t="n">
        <x:v>3.64</x:v>
      </x:c>
      <x:c r="AJ467" s="155" t="n">
        <x:v>46024</x:v>
      </x:c>
      <x:c r="AK467" s="159" t="n">
        <x:v>126040</x:v>
      </x:c>
      <x:c r="AL467" s="154" t="n">
        <x:v>0.2615664935895041</x:v>
      </x:c>
      <x:c r="AM467" s="159" t="n">
        <x:v>-54481</x:v>
      </x:c>
      <x:c r="AN467" s="155" t="n">
        <x:v>46024</x:v>
      </x:c>
      <x:c r="AO467" s="159" t="n">
        <x:v>14008</x:v>
      </x:c>
      <x:c r="AP467" s="154" t="n">
        <x:v>0.08900127707429269</x:v>
      </x:c>
      <x:c r="AQ467" s="159" t="n">
        <x:v>-26074</x:v>
      </x:c>
      <x:c r="AR467" s="147" t="str">
        <x:v>美国市场指标与CFTC数据均使用严格早于上金所交易日的最后已发布值</x:v>
      </x:c>
    </x:row>
    <x:row r="468">
      <x:c r="A468" s="155" t="n">
        <x:v>46029</x:v>
      </x:c>
      <x:c r="B468" s="153" t="n">
        <x:v>1002</x:v>
      </x:c>
      <x:c r="C468" s="153" t="n">
        <x:v>1007.3</x:v>
      </x:c>
      <x:c r="D468" s="153" t="n">
        <x:v>996.5</x:v>
      </x:c>
      <x:c r="E468" s="153" t="n">
        <x:v>999.68</x:v>
      </x:c>
      <x:c r="F468" s="154" t="n">
        <x:f>IFERROR(E468/E467-1,"")</x:f>
        <x:v>-0.003320006779593432</x:v>
      </x:c>
      <x:c r="G468" s="154" t="n">
        <x:f>IFERROR((C468-D468)/E467,"")</x:f>
        <x:v>0.010767589555438085</x:v>
      </x:c>
      <x:c r="H468" s="153" t="n">
        <x:v>1002.02</x:v>
      </x:c>
      <x:c r="I468" s="158" t="n">
        <x:v>9839.12</x:v>
      </x:c>
      <x:c r="J468" s="158" t="n">
        <x:v>9859033962.8</x:v>
      </x:c>
      <x:c r="K468" s="158"/>
      <x:c r="L468" s="153" t="n">
        <x:v>19465</x:v>
      </x:c>
      <x:c r="M468" s="153" t="n">
        <x:v>20209</x:v>
      </x:c>
      <x:c r="N468" s="153" t="n">
        <x:v>19051</x:v>
      </x:c>
      <x:c r="O468" s="153" t="n">
        <x:v>19365</x:v>
      </x:c>
      <x:c r="P468" s="154" t="n">
        <x:f>IFERROR(O468/O467-1,"")</x:f>
        <x:v>-0.006668376506796636</x:v>
      </x:c>
      <x:c r="Q468" s="154" t="n">
        <x:f>IFERROR((M468-N468)/O467,"")</x:f>
        <x:v>0.059399846114388304</x:v>
      </x:c>
      <x:c r="R468" s="153" t="n">
        <x:v>19537</x:v>
      </x:c>
      <x:c r="S468" s="158" t="n">
        <x:v>823590</x:v>
      </x:c>
      <x:c r="T468" s="158" t="n">
        <x:v>16091214266</x:v>
      </x:c>
      <x:c r="U468" s="158" t="n">
        <x:v>3033278</x:v>
      </x:c>
      <x:c r="V468" s="153" t="n">
        <x:f>IFERROR(E468*1000/O468,"")</x:f>
        <x:v>51.62303124193132</x:v>
      </x:c>
      <x:c r="W468" s="153" t="n">
        <x:v>4.18</x:v>
      </x:c>
      <x:c r="X468" s="155" t="n">
        <x:v>46028</x:v>
      </x:c>
      <x:c r="Y468" s="153" t="n">
        <x:v>1.91</x:v>
      </x:c>
      <x:c r="Z468" s="155" t="n">
        <x:v>46028</x:v>
      </x:c>
      <x:c r="AA468" s="153" t="n">
        <x:f>IFERROR(Y468-Y467,"")</x:f>
        <x:v>0</x:v>
      </x:c>
      <x:c r="AB468" s="153" t="n">
        <x:v>2.27</x:v>
      </x:c>
      <x:c r="AC468" s="153" t="n">
        <x:v>119.7807</x:v>
      </x:c>
      <x:c r="AD468" s="155" t="n">
        <x:v>46028</x:v>
      </x:c>
      <x:c r="AE468" s="154" t="n">
        <x:f>IFERROR(AC468/AC467-1,"")</x:f>
        <x:v>0.0013501177068564463</x:v>
      </x:c>
      <x:c r="AF468" s="153" t="n">
        <x:v>14.75</x:v>
      </x:c>
      <x:c r="AG468" s="155" t="n">
        <x:v>46028</x:v>
      </x:c>
      <x:c r="AH468" s="153" t="n">
        <x:f>IFERROR(AF468-AF467,"")</x:f>
        <x:v>-0.15000000000000036</x:v>
      </x:c>
      <x:c r="AI468" s="153" t="n">
        <x:v>3.64</x:v>
      </x:c>
      <x:c r="AJ468" s="155" t="n">
        <x:v>46024</x:v>
      </x:c>
      <x:c r="AK468" s="159" t="n">
        <x:v>126040</x:v>
      </x:c>
      <x:c r="AL468" s="154" t="n">
        <x:v>0.2615664935895041</x:v>
      </x:c>
      <x:c r="AM468" s="159" t="n">
        <x:v>-54481</x:v>
      </x:c>
      <x:c r="AN468" s="155" t="n">
        <x:v>46024</x:v>
      </x:c>
      <x:c r="AO468" s="159" t="n">
        <x:v>14008</x:v>
      </x:c>
      <x:c r="AP468" s="154" t="n">
        <x:v>0.08900127707429269</x:v>
      </x:c>
      <x:c r="AQ468" s="159" t="n">
        <x:v>-26074</x:v>
      </x:c>
      <x:c r="AR468" s="147" t="str">
        <x:v>美国市场指标与CFTC数据均使用严格早于上金所交易日的最后已发布值</x:v>
      </x:c>
    </x:row>
    <x:row r="469">
      <x:c r="A469" s="155" t="n">
        <x:v>46030</x:v>
      </x:c>
      <x:c r="B469" s="153" t="n">
        <x:v>1005</x:v>
      </x:c>
      <x:c r="C469" s="153" t="n">
        <x:v>1005</x:v>
      </x:c>
      <x:c r="D469" s="153" t="n">
        <x:v>992.01</x:v>
      </x:c>
      <x:c r="E469" s="153" t="n">
        <x:v>996.21</x:v>
      </x:c>
      <x:c r="F469" s="154" t="n">
        <x:f>IFERROR(E469/E468-1,"")</x:f>
        <x:v>-0.0034711107554417087</x:v>
      </x:c>
      <x:c r="G469" s="154" t="n">
        <x:f>IFERROR((C469-D469)/E468,"")</x:f>
        <x:v>0.012994158130601802</x:v>
      </x:c>
      <x:c r="H469" s="153" t="n">
        <x:v>996.57</x:v>
      </x:c>
      <x:c r="I469" s="158" t="n">
        <x:v>9878.04</x:v>
      </x:c>
      <x:c r="J469" s="158" t="n">
        <x:v>9844228079.8</x:v>
      </x:c>
      <x:c r="K469" s="158"/>
      <x:c r="L469" s="153" t="n">
        <x:v>19206</x:v>
      </x:c>
      <x:c r="M469" s="153" t="n">
        <x:v>19420</x:v>
      </x:c>
      <x:c r="N469" s="153" t="n">
        <x:v>18330</x:v>
      </x:c>
      <x:c r="O469" s="153" t="n">
        <x:v>18338</x:v>
      </x:c>
      <x:c r="P469" s="154" t="n">
        <x:f>IFERROR(O469/O468-1,"")</x:f>
        <x:v>-0.053033823909114375</x:v>
      </x:c>
      <x:c r="Q469" s="154" t="n">
        <x:f>IFERROR((M469-N469)/O468,"")</x:f>
        <x:v>0.056287115930802996</x:v>
      </x:c>
      <x:c r="R469" s="153" t="n">
        <x:v>19081</x:v>
      </x:c>
      <x:c r="S469" s="158" t="n">
        <x:v>2833448</x:v>
      </x:c>
      <x:c r="T469" s="158" t="n">
        <x:v>54067450752</x:v>
      </x:c>
      <x:c r="U469" s="158" t="n">
        <x:v>3071944</x:v>
      </x:c>
      <x:c r="V469" s="153" t="n">
        <x:f>IFERROR(E469*1000/O469,"")</x:f>
        <x:v>54.324899116588504</x:v>
      </x:c>
      <x:c r="W469" s="153" t="n">
        <x:v>4.15</x:v>
      </x:c>
      <x:c r="X469" s="155" t="n">
        <x:v>46029</x:v>
      </x:c>
      <x:c r="Y469" s="153" t="n">
        <x:v>1.88</x:v>
      </x:c>
      <x:c r="Z469" s="155" t="n">
        <x:v>46029</x:v>
      </x:c>
      <x:c r="AA469" s="153" t="n">
        <x:f>IFERROR(Y469-Y468,"")</x:f>
        <x:v>-0.030000000000000027</x:v>
      </x:c>
      <x:c r="AB469" s="153" t="n">
        <x:v>2.27</x:v>
      </x:c>
      <x:c r="AC469" s="153" t="n">
        <x:v>119.8719</x:v>
      </x:c>
      <x:c r="AD469" s="155" t="n">
        <x:v>46029</x:v>
      </x:c>
      <x:c r="AE469" s="154" t="n">
        <x:f>IFERROR(AC469/AC468-1,"")</x:f>
        <x:v>0.000761391442861914</x:v>
      </x:c>
      <x:c r="AF469" s="153" t="n">
        <x:v>15.38</x:v>
      </x:c>
      <x:c r="AG469" s="155" t="n">
        <x:v>46029</x:v>
      </x:c>
      <x:c r="AH469" s="153" t="n">
        <x:f>IFERROR(AF469-AF468,"")</x:f>
        <x:v>0.6300000000000008</x:v>
      </x:c>
      <x:c r="AI469" s="153" t="n">
        <x:v>3.64</x:v>
      </x:c>
      <x:c r="AJ469" s="155" t="n">
        <x:v>46024</x:v>
      </x:c>
      <x:c r="AK469" s="159" t="n">
        <x:v>126040</x:v>
      </x:c>
      <x:c r="AL469" s="154" t="n">
        <x:v>0.2615664935895041</x:v>
      </x:c>
      <x:c r="AM469" s="159" t="n">
        <x:v>-54481</x:v>
      </x:c>
      <x:c r="AN469" s="155" t="n">
        <x:v>46024</x:v>
      </x:c>
      <x:c r="AO469" s="159" t="n">
        <x:v>14008</x:v>
      </x:c>
      <x:c r="AP469" s="154" t="n">
        <x:v>0.08900127707429269</x:v>
      </x:c>
      <x:c r="AQ469" s="159" t="n">
        <x:v>-26074</x:v>
      </x:c>
      <x:c r="AR469" s="147" t="str">
        <x:v>美国市场指标与CFTC数据均使用严格早于上金所交易日的最后已发布值</x:v>
      </x:c>
    </x:row>
    <x:row r="470">
      <x:c r="A470" s="155" t="n">
        <x:v>46031</x:v>
      </x:c>
      <x:c r="B470" s="153" t="n">
        <x:v>995</x:v>
      </x:c>
      <x:c r="C470" s="153" t="n">
        <x:v>1004.88</x:v>
      </x:c>
      <x:c r="D470" s="153" t="n">
        <x:v>992.05</x:v>
      </x:c>
      <x:c r="E470" s="153" t="n">
        <x:v>1003.49</x:v>
      </x:c>
      <x:c r="F470" s="154" t="n">
        <x:f>IFERROR(E470/E469-1,"")</x:f>
        <x:v>0.007307696168478595</x:v>
      </x:c>
      <x:c r="G470" s="154" t="n">
        <x:f>IFERROR((C470-D470)/E469,"")</x:f>
        <x:v>0.012878810692524709</x:v>
      </x:c>
      <x:c r="H470" s="153" t="n">
        <x:v>1002.51</x:v>
      </x:c>
      <x:c r="I470" s="158" t="n">
        <x:v>7081.24</x:v>
      </x:c>
      <x:c r="J470" s="158" t="n">
        <x:v>7099043734.6</x:v>
      </x:c>
      <x:c r="K470" s="158"/>
      <x:c r="L470" s="153" t="n">
        <x:v>18245</x:v>
      </x:c>
      <x:c r="M470" s="153" t="n">
        <x:v>18872</x:v>
      </x:c>
      <x:c r="N470" s="153" t="n">
        <x:v>17830</x:v>
      </x:c>
      <x:c r="O470" s="153" t="n">
        <x:v>18759</x:v>
      </x:c>
      <x:c r="P470" s="154" t="n">
        <x:f>IFERROR(O470/O469-1,"")</x:f>
        <x:v>0.022957792561893342</x:v>
      </x:c>
      <x:c r="Q470" s="154" t="n">
        <x:f>IFERROR((M470-N470)/O469,"")</x:f>
        <x:v>0.05682189988003054</x:v>
      </x:c>
      <x:c r="R470" s="153" t="n">
        <x:v>18560</x:v>
      </x:c>
      <x:c r="S470" s="158" t="n">
        <x:v>308312</x:v>
      </x:c>
      <x:c r="T470" s="158" t="n">
        <x:v>5722377550</x:v>
      </x:c>
      <x:c r="U470" s="158" t="n">
        <x:v>3061282</x:v>
      </x:c>
      <x:c r="V470" s="153" t="n">
        <x:f>IFERROR(E470*1000/O470,"")</x:f>
        <x:v>53.4937896476358</x:v>
      </x:c>
      <x:c r="W470" s="153" t="n">
        <x:v>4.19</x:v>
      </x:c>
      <x:c r="X470" s="155" t="n">
        <x:v>46030</x:v>
      </x:c>
      <x:c r="Y470" s="153" t="n">
        <x:v>1.92</x:v>
      </x:c>
      <x:c r="Z470" s="155" t="n">
        <x:v>46030</x:v>
      </x:c>
      <x:c r="AA470" s="153" t="n">
        <x:f>IFERROR(Y470-Y469,"")</x:f>
        <x:v>0.040000000000000036</x:v>
      </x:c>
      <x:c r="AB470" s="153" t="n">
        <x:v>2.27</x:v>
      </x:c>
      <x:c r="AC470" s="153" t="n">
        <x:v>120.0904</x:v>
      </x:c>
      <x:c r="AD470" s="155" t="n">
        <x:v>46030</x:v>
      </x:c>
      <x:c r="AE470" s="154" t="n">
        <x:f>IFERROR(AC470/AC469-1,"")</x:f>
        <x:v>0.0018227791500760038</x:v>
      </x:c>
      <x:c r="AF470" s="153" t="n">
        <x:v>15.45</x:v>
      </x:c>
      <x:c r="AG470" s="155" t="n">
        <x:v>46030</x:v>
      </x:c>
      <x:c r="AH470" s="153" t="n">
        <x:f>IFERROR(AF470-AF469,"")</x:f>
        <x:v>0.06999999999999851</x:v>
      </x:c>
      <x:c r="AI470" s="153" t="n">
        <x:v>3.64</x:v>
      </x:c>
      <x:c r="AJ470" s="155" t="n">
        <x:v>46024</x:v>
      </x:c>
      <x:c r="AK470" s="159" t="n">
        <x:v>126040</x:v>
      </x:c>
      <x:c r="AL470" s="154" t="n">
        <x:v>0.2615664935895041</x:v>
      </x:c>
      <x:c r="AM470" s="159" t="n">
        <x:v>-54481</x:v>
      </x:c>
      <x:c r="AN470" s="155" t="n">
        <x:v>46024</x:v>
      </x:c>
      <x:c r="AO470" s="159" t="n">
        <x:v>14008</x:v>
      </x:c>
      <x:c r="AP470" s="154" t="n">
        <x:v>0.08900127707429269</x:v>
      </x:c>
      <x:c r="AQ470" s="159" t="n">
        <x:v>-26074</x:v>
      </x:c>
      <x:c r="AR470" s="147" t="str">
        <x:v>美国市场指标与CFTC数据均使用严格早于上金所交易日的最后已发布值</x:v>
      </x:c>
    </x:row>
    <x:row r="471">
      <x:c r="A471" s="155" t="n">
        <x:v>46034</x:v>
      </x:c>
      <x:c r="B471" s="153" t="n">
        <x:v>1003.5</x:v>
      </x:c>
      <x:c r="C471" s="153" t="n">
        <x:v>1029</x:v>
      </x:c>
      <x:c r="D471" s="153" t="n">
        <x:v>1001.49</x:v>
      </x:c>
      <x:c r="E471" s="153" t="n">
        <x:v>1023.71</x:v>
      </x:c>
      <x:c r="F471" s="154" t="n">
        <x:f>IFERROR(E471/E470-1,"")</x:f>
        <x:v>0.020149677625088458</x:v>
      </x:c>
      <x:c r="G471" s="154" t="n">
        <x:f>IFERROR((C471-D471)/E470,"")</x:f>
        <x:v>0.027414324009207854</x:v>
      </x:c>
      <x:c r="H471" s="153" t="n">
        <x:v>1022.57</x:v>
      </x:c>
      <x:c r="I471" s="158" t="n">
        <x:v>8996.42</x:v>
      </x:c>
      <x:c r="J471" s="158" t="n">
        <x:v>9199477588.2</x:v>
      </x:c>
      <x:c r="K471" s="158"/>
      <x:c r="L471" s="153" t="n">
        <x:v>18920</x:v>
      </x:c>
      <x:c r="M471" s="153" t="n">
        <x:v>20997</x:v>
      </x:c>
      <x:c r="N471" s="153" t="n">
        <x:v>18760</x:v>
      </x:c>
      <x:c r="O471" s="153" t="n">
        <x:v>20902</x:v>
      </x:c>
      <x:c r="P471" s="154" t="n">
        <x:f>IFERROR(O471/O470-1,"")</x:f>
        <x:v>0.11423849885388337</x:v>
      </x:c>
      <x:c r="Q471" s="154" t="n">
        <x:f>IFERROR((M471-N471)/O470,"")</x:f>
        <x:v>0.11924942694173464</x:v>
      </x:c>
      <x:c r="R471" s="153" t="n">
        <x:v>20310</x:v>
      </x:c>
      <x:c r="S471" s="158" t="n">
        <x:v>411208</x:v>
      </x:c>
      <x:c r="T471" s="158" t="n">
        <x:v>8351706350</x:v>
      </x:c>
      <x:c r="U471" s="158" t="n">
        <x:v>3042480</x:v>
      </x:c>
      <x:c r="V471" s="153" t="n">
        <x:f>IFERROR(E471*1000/O471,"")</x:f>
        <x:v>48.97665295187063</x:v>
      </x:c>
      <x:c r="W471" s="153" t="n">
        <x:v>4.18</x:v>
      </x:c>
      <x:c r="X471" s="155" t="n">
        <x:v>46031</x:v>
      </x:c>
      <x:c r="Y471" s="153" t="n">
        <x:v>1.9</x:v>
      </x:c>
      <x:c r="Z471" s="155" t="n">
        <x:v>46031</x:v>
      </x:c>
      <x:c r="AA471" s="153" t="n">
        <x:f>IFERROR(Y471-Y470,"")</x:f>
        <x:v>-0.020000000000000018</x:v>
      </x:c>
      <x:c r="AB471" s="153" t="n">
        <x:v>2.28</x:v>
      </x:c>
      <x:c r="AC471" s="153" t="n">
        <x:v>120.2215</x:v>
      </x:c>
      <x:c r="AD471" s="155" t="n">
        <x:v>46031</x:v>
      </x:c>
      <x:c r="AE471" s="154" t="n">
        <x:f>IFERROR(AC471/AC470-1,"")</x:f>
        <x:v>0.0010916776028724318</x:v>
      </x:c>
      <x:c r="AF471" s="153" t="n">
        <x:v>14.49</x:v>
      </x:c>
      <x:c r="AG471" s="155" t="n">
        <x:v>46031</x:v>
      </x:c>
      <x:c r="AH471" s="153" t="n">
        <x:f>IFERROR(AF471-AF470,"")</x:f>
        <x:v>-0.9599999999999991</x:v>
      </x:c>
      <x:c r="AI471" s="153" t="n">
        <x:v>3.64</x:v>
      </x:c>
      <x:c r="AJ471" s="155" t="n">
        <x:v>46031</x:v>
      </x:c>
      <x:c r="AK471" s="159" t="n">
        <x:v>123213</x:v>
      </x:c>
      <x:c r="AL471" s="154" t="n">
        <x:v>0.25242565291856855</x:v>
      </x:c>
      <x:c r="AM471" s="159" t="n">
        <x:v>-50542</x:v>
      </x:c>
      <x:c r="AN471" s="155" t="n">
        <x:v>46031</x:v>
      </x:c>
      <x:c r="AO471" s="159" t="n">
        <x:v>15822</x:v>
      </x:c>
      <x:c r="AP471" s="154" t="n">
        <x:v>0.10324980422866092</x:v>
      </x:c>
      <x:c r="AQ471" s="159" t="n">
        <x:v>-25545</x:v>
      </x:c>
      <x:c r="AR471" s="147" t="str">
        <x:v>美国市场指标与CFTC数据均使用严格早于上金所交易日的最后已发布值</x:v>
      </x:c>
    </x:row>
    <x:row r="472">
      <x:c r="A472" s="155" t="n">
        <x:v>46035</x:v>
      </x:c>
      <x:c r="B472" s="153" t="n">
        <x:v>1024</x:v>
      </x:c>
      <x:c r="C472" s="153" t="n">
        <x:v>1030.01</x:v>
      </x:c>
      <x:c r="D472" s="153" t="n">
        <x:v>1022.5</x:v>
      </x:c>
      <x:c r="E472" s="153" t="n">
        <x:v>1025.02</x:v>
      </x:c>
      <x:c r="F472" s="154" t="n">
        <x:f>IFERROR(E472/E471-1,"")</x:f>
        <x:v>0.0012796592785064842</x:v>
      </x:c>
      <x:c r="G472" s="154" t="n">
        <x:f>IFERROR((C472-D472)/E471,"")</x:f>
        <x:v>0.007336061970675279</x:v>
      </x:c>
      <x:c r="H472" s="153" t="n">
        <x:v>1025.84</x:v>
      </x:c>
      <x:c r="I472" s="158" t="n">
        <x:v>6099.56</x:v>
      </x:c>
      <x:c r="J472" s="158" t="n">
        <x:v>6257197771</x:v>
      </x:c>
      <x:c r="K472" s="158"/>
      <x:c r="L472" s="153" t="n">
        <x:v>20650</x:v>
      </x:c>
      <x:c r="M472" s="153" t="n">
        <x:v>21480</x:v>
      </x:c>
      <x:c r="N472" s="153" t="n">
        <x:v>20650</x:v>
      </x:c>
      <x:c r="O472" s="153" t="n">
        <x:v>21048</x:v>
      </x:c>
      <x:c r="P472" s="154" t="n">
        <x:f>IFERROR(O472/O471-1,"")</x:f>
        <x:v>0.006984977514113533</x:v>
      </x:c>
      <x:c r="Q472" s="154" t="n">
        <x:f>IFERROR((M472-N472)/O471,"")</x:f>
        <x:v>0.03970911874461774</x:v>
      </x:c>
      <x:c r="R472" s="153" t="n">
        <x:v>21060</x:v>
      </x:c>
      <x:c r="S472" s="158" t="n">
        <x:v>700304</x:v>
      </x:c>
      <x:c r="T472" s="158" t="n">
        <x:v>14748410218</x:v>
      </x:c>
      <x:c r="U472" s="158" t="n">
        <x:v>3081116</x:v>
      </x:c>
      <x:c r="V472" s="153" t="n">
        <x:f>IFERROR(E472*1000/O472,"")</x:f>
        <x:v>48.69916381603953</x:v>
      </x:c>
      <x:c r="W472" s="153" t="n">
        <x:v>4.19</x:v>
      </x:c>
      <x:c r="X472" s="155" t="n">
        <x:v>46034</x:v>
      </x:c>
      <x:c r="Y472" s="153" t="n">
        <x:v>1.9</x:v>
      </x:c>
      <x:c r="Z472" s="155" t="n">
        <x:v>46034</x:v>
      </x:c>
      <x:c r="AA472" s="153" t="n">
        <x:f>IFERROR(Y472-Y471,"")</x:f>
        <x:v>0</x:v>
      </x:c>
      <x:c r="AB472" s="153" t="n">
        <x:v>2.29</x:v>
      </x:c>
      <x:c r="AC472" s="153" t="n">
        <x:v>119.9958</x:v>
      </x:c>
      <x:c r="AD472" s="155" t="n">
        <x:v>46034</x:v>
      </x:c>
      <x:c r="AE472" s="154" t="n">
        <x:f>IFERROR(AC472/AC471-1,"")</x:f>
        <x:v>-0.0018773680248541647</x:v>
      </x:c>
      <x:c r="AF472" s="153" t="n">
        <x:v>15.12</x:v>
      </x:c>
      <x:c r="AG472" s="155" t="n">
        <x:v>46034</x:v>
      </x:c>
      <x:c r="AH472" s="153" t="n">
        <x:f>IFERROR(AF472-AF471,"")</x:f>
        <x:v>0.629999999999999</x:v>
      </x:c>
      <x:c r="AI472" s="153" t="n">
        <x:v>3.64</x:v>
      </x:c>
      <x:c r="AJ472" s="155" t="n">
        <x:v>46031</x:v>
      </x:c>
      <x:c r="AK472" s="159" t="n">
        <x:v>123213</x:v>
      </x:c>
      <x:c r="AL472" s="154" t="n">
        <x:v>0.25242565291856855</x:v>
      </x:c>
      <x:c r="AM472" s="159" t="n">
        <x:v>-50542</x:v>
      </x:c>
      <x:c r="AN472" s="155" t="n">
        <x:v>46031</x:v>
      </x:c>
      <x:c r="AO472" s="159" t="n">
        <x:v>15822</x:v>
      </x:c>
      <x:c r="AP472" s="154" t="n">
        <x:v>0.10324980422866092</x:v>
      </x:c>
      <x:c r="AQ472" s="159" t="n">
        <x:v>-25545</x:v>
      </x:c>
      <x:c r="AR472" s="147" t="str">
        <x:v>美国市场指标与CFTC数据均使用严格早于上金所交易日的最后已发布值</x:v>
      </x:c>
    </x:row>
    <x:row r="473">
      <x:c r="A473" s="155" t="n">
        <x:v>46036</x:v>
      </x:c>
      <x:c r="B473" s="153" t="n">
        <x:v>1028</x:v>
      </x:c>
      <x:c r="C473" s="153" t="n">
        <x:v>1038.58</x:v>
      </x:c>
      <x:c r="D473" s="153" t="n">
        <x:v>1024</x:v>
      </x:c>
      <x:c r="E473" s="153" t="n">
        <x:v>1038</x:v>
      </x:c>
      <x:c r="F473" s="154" t="n">
        <x:f>IFERROR(E473/E472-1,"")</x:f>
        <x:v>0.012663167547950271</x:v>
      </x:c>
      <x:c r="G473" s="154" t="n">
        <x:f>IFERROR((C473-D473)/E472,"")</x:f>
        <x:v>0.014224112700239924</x:v>
      </x:c>
      <x:c r="H473" s="153" t="n">
        <x:v>1035.39</x:v>
      </x:c>
      <x:c r="I473" s="158" t="n">
        <x:v>8032.7</x:v>
      </x:c>
      <x:c r="J473" s="158" t="n">
        <x:v>8316979603.6</x:v>
      </x:c>
      <x:c r="K473" s="158"/>
      <x:c r="L473" s="153" t="n">
        <x:v>21125</x:v>
      </x:c>
      <x:c r="M473" s="153" t="n">
        <x:v>23089</x:v>
      </x:c>
      <x:c r="N473" s="153" t="n">
        <x:v>21125</x:v>
      </x:c>
      <x:c r="O473" s="153" t="n">
        <x:v>22765</x:v>
      </x:c>
      <x:c r="P473" s="154" t="n">
        <x:f>IFERROR(O473/O472-1,"")</x:f>
        <x:v>0.08157544659825167</x:v>
      </x:c>
      <x:c r="Q473" s="154" t="n">
        <x:f>IFERROR((M473-N473)/O472,"")</x:f>
        <x:v>0.09331052831622957</x:v>
      </x:c>
      <x:c r="R473" s="153" t="n">
        <x:v>22343</x:v>
      </x:c>
      <x:c r="S473" s="158" t="n">
        <x:v>812282</x:v>
      </x:c>
      <x:c r="T473" s="158" t="n">
        <x:v>18149451994</x:v>
      </x:c>
      <x:c r="U473" s="158" t="n">
        <x:v>3079974</x:v>
      </x:c>
      <x:c r="V473" s="153" t="n">
        <x:f>IFERROR(E473*1000/O473,"")</x:f>
        <x:v>45.59631012519218</x:v>
      </x:c>
      <x:c r="W473" s="153" t="n">
        <x:v>4.18</x:v>
      </x:c>
      <x:c r="X473" s="155" t="n">
        <x:v>46035</x:v>
      </x:c>
      <x:c r="Y473" s="153" t="n">
        <x:v>1.88</x:v>
      </x:c>
      <x:c r="Z473" s="155" t="n">
        <x:v>46035</x:v>
      </x:c>
      <x:c r="AA473" s="153" t="n">
        <x:f>IFERROR(Y473-Y472,"")</x:f>
        <x:v>-0.020000000000000018</x:v>
      </x:c>
      <x:c r="AB473" s="153" t="n">
        <x:v>2.3</x:v>
      </x:c>
      <x:c r="AC473" s="153" t="n">
        <x:v>120.1401</x:v>
      </x:c>
      <x:c r="AD473" s="155" t="n">
        <x:v>46035</x:v>
      </x:c>
      <x:c r="AE473" s="154" t="n">
        <x:f>IFERROR(AC473/AC472-1,"")</x:f>
        <x:v>0.0012025420889731908</x:v>
      </x:c>
      <x:c r="AF473" s="153" t="n">
        <x:v>15.98</x:v>
      </x:c>
      <x:c r="AG473" s="155" t="n">
        <x:v>46035</x:v>
      </x:c>
      <x:c r="AH473" s="153" t="n">
        <x:f>IFERROR(AF473-AF472,"")</x:f>
        <x:v>0.8600000000000012</x:v>
      </x:c>
      <x:c r="AI473" s="153" t="n">
        <x:v>3.64</x:v>
      </x:c>
      <x:c r="AJ473" s="155" t="n">
        <x:v>46031</x:v>
      </x:c>
      <x:c r="AK473" s="159" t="n">
        <x:v>123213</x:v>
      </x:c>
      <x:c r="AL473" s="154" t="n">
        <x:v>0.25242565291856855</x:v>
      </x:c>
      <x:c r="AM473" s="159" t="n">
        <x:v>-50542</x:v>
      </x:c>
      <x:c r="AN473" s="155" t="n">
        <x:v>46031</x:v>
      </x:c>
      <x:c r="AO473" s="159" t="n">
        <x:v>15822</x:v>
      </x:c>
      <x:c r="AP473" s="154" t="n">
        <x:v>0.10324980422866092</x:v>
      </x:c>
      <x:c r="AQ473" s="159" t="n">
        <x:v>-25545</x:v>
      </x:c>
      <x:c r="AR473" s="147" t="str">
        <x:v>美国市场指标与CFTC数据均使用严格早于上金所交易日的最后已发布值</x:v>
      </x:c>
    </x:row>
    <x:row r="474">
      <x:c r="A474" s="155" t="n">
        <x:v>46037</x:v>
      </x:c>
      <x:c r="B474" s="153" t="n">
        <x:v>1040</x:v>
      </x:c>
      <x:c r="C474" s="153" t="n">
        <x:v>1040</x:v>
      </x:c>
      <x:c r="D474" s="153" t="n">
        <x:v>1027.5</x:v>
      </x:c>
      <x:c r="E474" s="153" t="n">
        <x:v>1034.27</x:v>
      </x:c>
      <x:c r="F474" s="154" t="n">
        <x:f>IFERROR(E474/E473-1,"")</x:f>
        <x:v>-0.0035934489402698055</x:v>
      </x:c>
      <x:c r="G474" s="154" t="n">
        <x:f>IFERROR((C474-D474)/E473,"")</x:f>
        <x:v>0.012042389210019268</x:v>
      </x:c>
      <x:c r="H474" s="153" t="n">
        <x:v>1031.07</x:v>
      </x:c>
      <x:c r="I474" s="158" t="n">
        <x:v>10278.2</x:v>
      </x:c>
      <x:c r="J474" s="158" t="n">
        <x:v>10597644337.2</x:v>
      </x:c>
      <x:c r="K474" s="158"/>
      <x:c r="L474" s="153" t="n">
        <x:v>22749</x:v>
      </x:c>
      <x:c r="M474" s="153" t="n">
        <x:v>23665</x:v>
      </x:c>
      <x:c r="N474" s="153" t="n">
        <x:v>21600</x:v>
      </x:c>
      <x:c r="O474" s="153" t="n">
        <x:v>22684</x:v>
      </x:c>
      <x:c r="P474" s="154" t="n">
        <x:f>IFERROR(O474/O473-1,"")</x:f>
        <x:v>-0.0035580935646826184</x:v>
      </x:c>
      <x:c r="Q474" s="154" t="n">
        <x:f>IFERROR((M474-N474)/O473,"")</x:f>
        <x:v>0.09070942235888425</x:v>
      </x:c>
      <x:c r="R474" s="153" t="n">
        <x:v>22604</x:v>
      </x:c>
      <x:c r="S474" s="158" t="n">
        <x:v>657202</x:v>
      </x:c>
      <x:c r="T474" s="158" t="n">
        <x:v>14855842336</x:v>
      </x:c>
      <x:c r="U474" s="158" t="n">
        <x:v>3125288</x:v>
      </x:c>
      <x:c r="V474" s="153" t="n">
        <x:f>IFERROR(E474*1000/O474,"")</x:f>
        <x:v>45.594692294128016</x:v>
      </x:c>
      <x:c r="W474" s="153" t="n">
        <x:v>4.15</x:v>
      </x:c>
      <x:c r="X474" s="155" t="n">
        <x:v>46036</x:v>
      </x:c>
      <x:c r="Y474" s="153" t="n">
        <x:v>1.86</x:v>
      </x:c>
      <x:c r="Z474" s="155" t="n">
        <x:v>46036</x:v>
      </x:c>
      <x:c r="AA474" s="153" t="n">
        <x:f>IFERROR(Y474-Y473,"")</x:f>
        <x:v>-0.019999999999999796</x:v>
      </x:c>
      <x:c r="AB474" s="153" t="n">
        <x:v>2.29</x:v>
      </x:c>
      <x:c r="AC474" s="153" t="n">
        <x:v>119.9537</x:v>
      </x:c>
      <x:c r="AD474" s="155" t="n">
        <x:v>46036</x:v>
      </x:c>
      <x:c r="AE474" s="154" t="n">
        <x:f>IFERROR(AC474/AC473-1,"")</x:f>
        <x:v>-0.001551521931478339</x:v>
      </x:c>
      <x:c r="AF474" s="153" t="n">
        <x:v>16.75</x:v>
      </x:c>
      <x:c r="AG474" s="155" t="n">
        <x:v>46036</x:v>
      </x:c>
      <x:c r="AH474" s="153" t="n">
        <x:f>IFERROR(AF474-AF473,"")</x:f>
        <x:v>0.7699999999999996</x:v>
      </x:c>
      <x:c r="AI474" s="153" t="n">
        <x:v>3.64</x:v>
      </x:c>
      <x:c r="AJ474" s="155" t="n">
        <x:v>46031</x:v>
      </x:c>
      <x:c r="AK474" s="159" t="n">
        <x:v>123213</x:v>
      </x:c>
      <x:c r="AL474" s="154" t="n">
        <x:v>0.25242565291856855</x:v>
      </x:c>
      <x:c r="AM474" s="159" t="n">
        <x:v>-50542</x:v>
      </x:c>
      <x:c r="AN474" s="155" t="n">
        <x:v>46031</x:v>
      </x:c>
      <x:c r="AO474" s="159" t="n">
        <x:v>15822</x:v>
      </x:c>
      <x:c r="AP474" s="154" t="n">
        <x:v>0.10324980422866092</x:v>
      </x:c>
      <x:c r="AQ474" s="159" t="n">
        <x:v>-25545</x:v>
      </x:c>
      <x:c r="AR474" s="147" t="str">
        <x:v>美国市场指标与CFTC数据均使用严格早于上金所交易日的最后已发布值</x:v>
      </x:c>
    </x:row>
    <x:row r="475">
      <x:c r="A475" s="155" t="n">
        <x:v>46038</x:v>
      </x:c>
      <x:c r="B475" s="153" t="n">
        <x:v>1036</x:v>
      </x:c>
      <x:c r="C475" s="153" t="n">
        <x:v>1036</x:v>
      </x:c>
      <x:c r="D475" s="153" t="n">
        <x:v>1028</x:v>
      </x:c>
      <x:c r="E475" s="153" t="n">
        <x:v>1032.63</x:v>
      </x:c>
      <x:c r="F475" s="154" t="n">
        <x:f>IFERROR(E475/E474-1,"")</x:f>
        <x:v>-0.0015856594506269417</x:v>
      </x:c>
      <x:c r="G475" s="154" t="n">
        <x:f>IFERROR((C475-D475)/E474,"")</x:f>
        <x:v>0.00773492414940006</x:v>
      </x:c>
      <x:c r="H475" s="153" t="n">
        <x:v>1030.91</x:v>
      </x:c>
      <x:c r="I475" s="158" t="n">
        <x:v>9432.52</x:v>
      </x:c>
      <x:c r="J475" s="158" t="n">
        <x:v>9724096698.4</x:v>
      </x:c>
      <x:c r="K475" s="158"/>
      <x:c r="L475" s="153" t="n">
        <x:v>22900</x:v>
      </x:c>
      <x:c r="M475" s="153" t="n">
        <x:v>23110</x:v>
      </x:c>
      <x:c r="N475" s="153" t="n">
        <x:v>22040</x:v>
      </x:c>
      <x:c r="O475" s="153" t="n">
        <x:v>22641</x:v>
      </x:c>
      <x:c r="P475" s="154" t="n">
        <x:f>IFERROR(O475/O474-1,"")</x:f>
        <x:v>-0.0018956092399929902</x:v>
      </x:c>
      <x:c r="Q475" s="154" t="n">
        <x:f>IFERROR((M475-N475)/O474,"")</x:f>
        <x:v>0.04716981132075472</x:v>
      </x:c>
      <x:c r="R475" s="153" t="n">
        <x:v>22707</x:v>
      </x:c>
      <x:c r="S475" s="158" t="n">
        <x:v>538580</x:v>
      </x:c>
      <x:c r="T475" s="158" t="n">
        <x:v>12229764738</x:v>
      </x:c>
      <x:c r="U475" s="158" t="n">
        <x:v>3156550</x:v>
      </x:c>
      <x:c r="V475" s="153" t="n">
        <x:f>IFERROR(E475*1000/O475,"")</x:f>
        <x:v>45.608851199151985</x:v>
      </x:c>
      <x:c r="W475" s="153" t="n">
        <x:v>4.17</x:v>
      </x:c>
      <x:c r="X475" s="155" t="n">
        <x:v>46037</x:v>
      </x:c>
      <x:c r="Y475" s="153" t="n">
        <x:v>1.88</x:v>
      </x:c>
      <x:c r="Z475" s="155" t="n">
        <x:v>46037</x:v>
      </x:c>
      <x:c r="AA475" s="153" t="n">
        <x:f>IFERROR(Y475-Y474,"")</x:f>
        <x:v>0.019999999999999796</x:v>
      </x:c>
      <x:c r="AB475" s="153" t="n">
        <x:v>2.29</x:v>
      </x:c>
      <x:c r="AC475" s="153" t="n">
        <x:v>119.9951</x:v>
      </x:c>
      <x:c r="AD475" s="155" t="n">
        <x:v>46037</x:v>
      </x:c>
      <x:c r="AE475" s="154" t="n">
        <x:f>IFERROR(AC475/AC474-1,"")</x:f>
        <x:v>0.00034513316387907444</x:v>
      </x:c>
      <x:c r="AF475" s="153" t="n">
        <x:v>15.84</x:v>
      </x:c>
      <x:c r="AG475" s="155" t="n">
        <x:v>46037</x:v>
      </x:c>
      <x:c r="AH475" s="153" t="n">
        <x:f>IFERROR(AF475-AF474,"")</x:f>
        <x:v>-0.9100000000000001</x:v>
      </x:c>
      <x:c r="AI475" s="153" t="n">
        <x:v>3.64</x:v>
      </x:c>
      <x:c r="AJ475" s="155" t="n">
        <x:v>46031</x:v>
      </x:c>
      <x:c r="AK475" s="159" t="n">
        <x:v>123213</x:v>
      </x:c>
      <x:c r="AL475" s="154" t="n">
        <x:v>0.25242565291856855</x:v>
      </x:c>
      <x:c r="AM475" s="159" t="n">
        <x:v>-50542</x:v>
      </x:c>
      <x:c r="AN475" s="155" t="n">
        <x:v>46031</x:v>
      </x:c>
      <x:c r="AO475" s="159" t="n">
        <x:v>15822</x:v>
      </x:c>
      <x:c r="AP475" s="154" t="n">
        <x:v>0.10324980422866092</x:v>
      </x:c>
      <x:c r="AQ475" s="159" t="n">
        <x:v>-25545</x:v>
      </x:c>
      <x:c r="AR475" s="147" t="str">
        <x:v>美国市场指标与CFTC数据均使用严格早于上金所交易日的最后已发布值</x:v>
      </x:c>
    </x:row>
    <x:row r="476">
      <x:c r="A476" s="155" t="n">
        <x:v>46041</x:v>
      </x:c>
      <x:c r="B476" s="153" t="n">
        <x:v>1033</x:v>
      </x:c>
      <x:c r="C476" s="153" t="n">
        <x:v>1049.99</x:v>
      </x:c>
      <x:c r="D476" s="153" t="n">
        <x:v>1020</x:v>
      </x:c>
      <x:c r="E476" s="153" t="n">
        <x:v>1045.72</x:v>
      </x:c>
      <x:c r="F476" s="154" t="n">
        <x:f>IFERROR(E476/E475-1,"")</x:f>
        <x:v>0.012676370045417995</x:v>
      </x:c>
      <x:c r="G476" s="154" t="n">
        <x:f>IFERROR((C476-D476)/E475,"")</x:f>
        <x:v>0.02904234817892179</x:v>
      </x:c>
      <x:c r="H476" s="153" t="n">
        <x:v>1044.06</x:v>
      </x:c>
      <x:c r="I476" s="158" t="n">
        <x:v>11766.16</x:v>
      </x:c>
      <x:c r="J476" s="158" t="n">
        <x:v>12284658302.2</x:v>
      </x:c>
      <x:c r="K476" s="158"/>
      <x:c r="L476" s="153" t="n">
        <x:v>22702</x:v>
      </x:c>
      <x:c r="M476" s="153" t="n">
        <x:v>23535</x:v>
      </x:c>
      <x:c r="N476" s="153" t="n">
        <x:v>21525</x:v>
      </x:c>
      <x:c r="O476" s="153" t="n">
        <x:v>23136</x:v>
      </x:c>
      <x:c r="P476" s="154" t="n">
        <x:f>IFERROR(O476/O475-1,"")</x:f>
        <x:v>0.02186299191731811</x:v>
      </x:c>
      <x:c r="Q476" s="154" t="n">
        <x:f>IFERROR((M476-N476)/O475,"")</x:f>
        <x:v>0.08877699748244336</x:v>
      </x:c>
      <x:c r="R476" s="153" t="n">
        <x:v>22706</x:v>
      </x:c>
      <x:c r="S476" s="158" t="n">
        <x:v>462472</x:v>
      </x:c>
      <x:c r="T476" s="158" t="n">
        <x:v>10501265914</x:v>
      </x:c>
      <x:c r="U476" s="158" t="n">
        <x:v>3144664</x:v>
      </x:c>
      <x:c r="V476" s="153" t="n">
        <x:f>IFERROR(E476*1000/O476,"")</x:f>
        <x:v>45.19882434301521</x:v>
      </x:c>
      <x:c r="W476" s="153" t="n">
        <x:v>4.24</x:v>
      </x:c>
      <x:c r="X476" s="155" t="n">
        <x:v>46038</x:v>
      </x:c>
      <x:c r="Y476" s="153" t="n">
        <x:v>1.91</x:v>
      </x:c>
      <x:c r="Z476" s="155" t="n">
        <x:v>46038</x:v>
      </x:c>
      <x:c r="AA476" s="153" t="n">
        <x:f>IFERROR(Y476-Y475,"")</x:f>
        <x:v>0.030000000000000027</x:v>
      </x:c>
      <x:c r="AB476" s="153" t="n">
        <x:v>2.33</x:v>
      </x:c>
      <x:c r="AC476" s="153" t="n">
        <x:v>120.0838</x:v>
      </x:c>
      <x:c r="AD476" s="155" t="n">
        <x:v>46038</x:v>
      </x:c>
      <x:c r="AE476" s="154" t="n">
        <x:f>IFERROR(AC476/AC475-1,"")</x:f>
        <x:v>0.0007391968505381374</x:v>
      </x:c>
      <x:c r="AF476" s="153" t="n">
        <x:v>15.86</x:v>
      </x:c>
      <x:c r="AG476" s="155" t="n">
        <x:v>46038</x:v>
      </x:c>
      <x:c r="AH476" s="153" t="n">
        <x:f>IFERROR(AF476-AF475,"")</x:f>
        <x:v>0.019999999999999574</x:v>
      </x:c>
      <x:c r="AI476" s="153" t="n">
        <x:v>3.64</x:v>
      </x:c>
      <x:c r="AJ476" s="155" t="n">
        <x:v>46038</x:v>
      </x:c>
      <x:c r="AK476" s="159" t="n">
        <x:v>134745</x:v>
      </x:c>
      <x:c r="AL476" s="154" t="n">
        <x:v>0.2554625513076945</x:v>
      </x:c>
      <x:c r="AM476" s="159" t="n">
        <x:v>-51165</x:v>
      </x:c>
      <x:c r="AN476" s="155" t="n">
        <x:v>46038</x:v>
      </x:c>
      <x:c r="AO476" s="159" t="n">
        <x:v>13792</x:v>
      </x:c>
      <x:c r="AP476" s="154" t="n">
        <x:v>0.09102849260459499</x:v>
      </x:c>
      <x:c r="AQ476" s="159" t="n">
        <x:v>-25511</x:v>
      </x:c>
      <x:c r="AR476" s="147" t="str">
        <x:v>美国市场指标与CFTC数据均使用严格早于上金所交易日的最后已发布值</x:v>
      </x:c>
    </x:row>
    <x:row r="477">
      <x:c r="A477" s="155" t="n">
        <x:v>46042</x:v>
      </x:c>
      <x:c r="B477" s="153" t="n">
        <x:v>1046</x:v>
      </x:c>
      <x:c r="C477" s="153" t="n">
        <x:v>1056.8</x:v>
      </x:c>
      <x:c r="D477" s="153" t="n">
        <x:v>1044.5</x:v>
      </x:c>
      <x:c r="E477" s="153" t="n">
        <x:v>1056.43</x:v>
      </x:c>
      <x:c r="F477" s="154" t="n">
        <x:f>IFERROR(E477/E476-1,"")</x:f>
        <x:v>0.010241747312856209</x:v>
      </x:c>
      <x:c r="G477" s="154" t="n">
        <x:f>IFERROR((C477-D477)/E476,"")</x:f>
        <x:v>0.011762230807481882</x:v>
      </x:c>
      <x:c r="H477" s="153" t="n">
        <x:v>1051.07</x:v>
      </x:c>
      <x:c r="I477" s="158" t="n">
        <x:v>13502.2</x:v>
      </x:c>
      <x:c r="J477" s="158" t="n">
        <x:v>14191880424.2</x:v>
      </x:c>
      <x:c r="K477" s="158"/>
      <x:c r="L477" s="153" t="n">
        <x:v>23100</x:v>
      </x:c>
      <x:c r="M477" s="153" t="n">
        <x:v>23574</x:v>
      </x:c>
      <x:c r="N477" s="153" t="n">
        <x:v>22831</x:v>
      </x:c>
      <x:c r="O477" s="153" t="n">
        <x:v>23149</x:v>
      </x:c>
      <x:c r="P477" s="154" t="n">
        <x:f>IFERROR(O477/O476-1,"")</x:f>
        <x:v>0.0005618948824344105</x:v>
      </x:c>
      <x:c r="Q477" s="154" t="n">
        <x:f>IFERROR((M477-N477)/O476,"")</x:f>
        <x:v>0.03211445366528354</x:v>
      </x:c>
      <x:c r="R477" s="153" t="n">
        <x:v>23135</x:v>
      </x:c>
      <x:c r="S477" s="158" t="n">
        <x:v>428876</x:v>
      </x:c>
      <x:c r="T477" s="158" t="n">
        <x:v>9922066288</x:v>
      </x:c>
      <x:c r="U477" s="158" t="n">
        <x:v>3176742</x:v>
      </x:c>
      <x:c r="V477" s="153" t="n">
        <x:f>IFERROR(E477*1000/O477,"")</x:f>
        <x:v>45.636096591645426</x:v>
      </x:c>
      <x:c r="W477" s="153" t="n">
        <x:v>4.24</x:v>
      </x:c>
      <x:c r="X477" s="155" t="n">
        <x:v>46038</x:v>
      </x:c>
      <x:c r="Y477" s="153" t="n">
        <x:v>1.91</x:v>
      </x:c>
      <x:c r="Z477" s="155" t="n">
        <x:v>46038</x:v>
      </x:c>
      <x:c r="AA477" s="153" t="n">
        <x:f>IFERROR(Y477-Y476,"")</x:f>
        <x:v>0</x:v>
      </x:c>
      <x:c r="AB477" s="153" t="n">
        <x:v>2.33</x:v>
      </x:c>
      <x:c r="AC477" s="153" t="n">
        <x:v>120.0838</x:v>
      </x:c>
      <x:c r="AD477" s="155" t="n">
        <x:v>46038</x:v>
      </x:c>
      <x:c r="AE477" s="154" t="n">
        <x:f>IFERROR(AC477/AC476-1,"")</x:f>
        <x:v>0</x:v>
      </x:c>
      <x:c r="AF477" s="153" t="n">
        <x:v>18.84</x:v>
      </x:c>
      <x:c r="AG477" s="155" t="n">
        <x:v>46041</x:v>
      </x:c>
      <x:c r="AH477" s="153" t="n">
        <x:f>IFERROR(AF477-AF476,"")</x:f>
        <x:v>2.9800000000000004</x:v>
      </x:c>
      <x:c r="AI477" s="153" t="n">
        <x:v>3.64</x:v>
      </x:c>
      <x:c r="AJ477" s="155" t="n">
        <x:v>46038</x:v>
      </x:c>
      <x:c r="AK477" s="159" t="n">
        <x:v>134745</x:v>
      </x:c>
      <x:c r="AL477" s="154" t="n">
        <x:v>0.2554625513076945</x:v>
      </x:c>
      <x:c r="AM477" s="159" t="n">
        <x:v>-51165</x:v>
      </x:c>
      <x:c r="AN477" s="155" t="n">
        <x:v>46038</x:v>
      </x:c>
      <x:c r="AO477" s="159" t="n">
        <x:v>13792</x:v>
      </x:c>
      <x:c r="AP477" s="154" t="n">
        <x:v>0.09102849260459499</x:v>
      </x:c>
      <x:c r="AQ477" s="159" t="n">
        <x:v>-25511</x:v>
      </x:c>
      <x:c r="AR477" s="147" t="str">
        <x:v>美国市场指标与CFTC数据均使用严格早于上金所交易日的最后已发布值</x:v>
      </x:c>
    </x:row>
    <x:row r="478">
      <x:c r="A478" s="155" t="n">
        <x:v>46043</x:v>
      </x:c>
      <x:c r="B478" s="153" t="n">
        <x:v>1058.99</x:v>
      </x:c>
      <x:c r="C478" s="153" t="n">
        <x:v>1099.99</x:v>
      </x:c>
      <x:c r="D478" s="153" t="n">
        <x:v>1055</x:v>
      </x:c>
      <x:c r="E478" s="153" t="n">
        <x:v>1087.81</x:v>
      </x:c>
      <x:c r="F478" s="154" t="n">
        <x:f>IFERROR(E478/E477-1,"")</x:f>
        <x:v>0.029703813787946176</x:v>
      </x:c>
      <x:c r="G478" s="154" t="n">
        <x:f>IFERROR((C478-D478)/E477,"")</x:f>
        <x:v>0.04258682544039833</x:v>
      </x:c>
      <x:c r="H478" s="153" t="n">
        <x:v>1085.99</x:v>
      </x:c>
      <x:c r="I478" s="158" t="n">
        <x:v>15974.12</x:v>
      </x:c>
      <x:c r="J478" s="158" t="n">
        <x:v>17347787044</x:v>
      </x:c>
      <x:c r="K478" s="158"/>
      <x:c r="L478" s="153" t="n">
        <x:v>23598</x:v>
      </x:c>
      <x:c r="M478" s="153" t="n">
        <x:v>23700</x:v>
      </x:c>
      <x:c r="N478" s="153" t="n">
        <x:v>22760</x:v>
      </x:c>
      <x:c r="O478" s="153" t="n">
        <x:v>23228</x:v>
      </x:c>
      <x:c r="P478" s="154" t="n">
        <x:f>IFERROR(O478/O477-1,"")</x:f>
        <x:v>0.003412674413581618</x:v>
      </x:c>
      <x:c r="Q478" s="154" t="n">
        <x:f>IFERROR((M478-N478)/O477,"")</x:f>
        <x:v>0.04060650568059095</x:v>
      </x:c>
      <x:c r="R478" s="153" t="n">
        <x:v>23052</x:v>
      </x:c>
      <x:c r="S478" s="158" t="n">
        <x:v>422976</x:v>
      </x:c>
      <x:c r="T478" s="158" t="n">
        <x:v>9750458776</x:v>
      </x:c>
      <x:c r="U478" s="158" t="n">
        <x:v>3188754</x:v>
      </x:c>
      <x:c r="V478" s="153" t="n">
        <x:f>IFERROR(E478*1000/O478,"")</x:f>
        <x:v>46.831840881694504</x:v>
      </x:c>
      <x:c r="W478" s="153" t="n">
        <x:v>4.3</x:v>
      </x:c>
      <x:c r="X478" s="155" t="n">
        <x:v>46042</x:v>
      </x:c>
      <x:c r="Y478" s="153" t="n">
        <x:v>1.97</x:v>
      </x:c>
      <x:c r="Z478" s="155" t="n">
        <x:v>46042</x:v>
      </x:c>
      <x:c r="AA478" s="153" t="n">
        <x:f>IFERROR(Y478-Y477,"")</x:f>
        <x:v>0.06000000000000005</x:v>
      </x:c>
      <x:c r="AB478" s="153" t="n">
        <x:v>2.33</x:v>
      </x:c>
      <x:c r="AC478" s="153" t="n">
        <x:v>119.4455</x:v>
      </x:c>
      <x:c r="AD478" s="155" t="n">
        <x:v>46042</x:v>
      </x:c>
      <x:c r="AE478" s="154" t="n">
        <x:f>IFERROR(AC478/AC477-1,"")</x:f>
        <x:v>-0.005315454707462641</x:v>
      </x:c>
      <x:c r="AF478" s="153" t="n">
        <x:v>20.09</x:v>
      </x:c>
      <x:c r="AG478" s="155" t="n">
        <x:v>46042</x:v>
      </x:c>
      <x:c r="AH478" s="153" t="n">
        <x:f>IFERROR(AF478-AF477,"")</x:f>
        <x:v>1.25</x:v>
      </x:c>
      <x:c r="AI478" s="153" t="n">
        <x:v>3.64</x:v>
      </x:c>
      <x:c r="AJ478" s="155" t="n">
        <x:v>46038</x:v>
      </x:c>
      <x:c r="AK478" s="159" t="n">
        <x:v>134745</x:v>
      </x:c>
      <x:c r="AL478" s="154" t="n">
        <x:v>0.2554625513076945</x:v>
      </x:c>
      <x:c r="AM478" s="159" t="n">
        <x:v>-51165</x:v>
      </x:c>
      <x:c r="AN478" s="155" t="n">
        <x:v>46038</x:v>
      </x:c>
      <x:c r="AO478" s="159" t="n">
        <x:v>13792</x:v>
      </x:c>
      <x:c r="AP478" s="154" t="n">
        <x:v>0.09102849260459499</x:v>
      </x:c>
      <x:c r="AQ478" s="159" t="n">
        <x:v>-25511</x:v>
      </x:c>
      <x:c r="AR478" s="147" t="str">
        <x:v>美国市场指标与CFTC数据均使用严格早于上金所交易日的最后已发布值</x:v>
      </x:c>
    </x:row>
    <x:row r="479">
      <x:c r="A479" s="155" t="n">
        <x:v>46044</x:v>
      </x:c>
      <x:c r="B479" s="153" t="n">
        <x:v>1090</x:v>
      </x:c>
      <x:c r="C479" s="153" t="n">
        <x:v>1098</x:v>
      </x:c>
      <x:c r="D479" s="153" t="n">
        <x:v>1066.01</x:v>
      </x:c>
      <x:c r="E479" s="153" t="n">
        <x:v>1083.69</x:v>
      </x:c>
      <x:c r="F479" s="154" t="n">
        <x:f>IFERROR(E479/E478-1,"")</x:f>
        <x:v>-0.003787426113015968</x:v>
      </x:c>
      <x:c r="G479" s="154" t="n">
        <x:f>IFERROR((C479-D479)/E478,"")</x:f>
        <x:v>0.029407709066840728</x:v>
      </x:c>
      <x:c r="H479" s="153" t="n">
        <x:v>1077</x:v>
      </x:c>
      <x:c r="I479" s="158" t="n">
        <x:v>11766.08</x:v>
      </x:c>
      <x:c r="J479" s="158" t="n">
        <x:v>12672072455.2</x:v>
      </x:c>
      <x:c r="K479" s="158"/>
      <x:c r="L479" s="153" t="n">
        <x:v>23220</x:v>
      </x:c>
      <x:c r="M479" s="153" t="n">
        <x:v>23404</x:v>
      </x:c>
      <x:c r="N479" s="153" t="n">
        <x:v>22500</x:v>
      </x:c>
      <x:c r="O479" s="153" t="n">
        <x:v>23366</x:v>
      </x:c>
      <x:c r="P479" s="154" t="n">
        <x:f>IFERROR(O479/O478-1,"")</x:f>
        <x:v>0.005941105562252469</x:v>
      </x:c>
      <x:c r="Q479" s="154" t="n">
        <x:f>IFERROR((M479-N479)/O478,"")</x:f>
        <x:v>0.038918546581711726</x:v>
      </x:c>
      <x:c r="R479" s="153" t="n">
        <x:v>23038</x:v>
      </x:c>
      <x:c r="S479" s="158" t="n">
        <x:v>417564</x:v>
      </x:c>
      <x:c r="T479" s="158" t="n">
        <x:v>9620051184</x:v>
      </x:c>
      <x:c r="U479" s="158" t="n">
        <x:v>3201484</x:v>
      </x:c>
      <x:c r="V479" s="153" t="n">
        <x:f>IFERROR(E479*1000/O479,"")</x:f>
        <x:v>46.37892664555337</x:v>
      </x:c>
      <x:c r="W479" s="153" t="n">
        <x:v>4.26</x:v>
      </x:c>
      <x:c r="X479" s="155" t="n">
        <x:v>46043</x:v>
      </x:c>
      <x:c r="Y479" s="153" t="n">
        <x:v>1.92</x:v>
      </x:c>
      <x:c r="Z479" s="155" t="n">
        <x:v>46043</x:v>
      </x:c>
      <x:c r="AA479" s="153" t="n">
        <x:f>IFERROR(Y479-Y478,"")</x:f>
        <x:v>-0.050000000000000044</x:v>
      </x:c>
      <x:c r="AB479" s="153" t="n">
        <x:v>2.34</x:v>
      </x:c>
      <x:c r="AC479" s="153" t="n">
        <x:v>119.3431</x:v>
      </x:c>
      <x:c r="AD479" s="155" t="n">
        <x:v>46043</x:v>
      </x:c>
      <x:c r="AE479" s="154" t="n">
        <x:f>IFERROR(AC479/AC478-1,"")</x:f>
        <x:v>-0.0008572947494881467</x:v>
      </x:c>
      <x:c r="AF479" s="153" t="n">
        <x:v>16.9</x:v>
      </x:c>
      <x:c r="AG479" s="155" t="n">
        <x:v>46043</x:v>
      </x:c>
      <x:c r="AH479" s="153" t="n">
        <x:f>IFERROR(AF479-AF478,"")</x:f>
        <x:v>-3.1900000000000013</x:v>
      </x:c>
      <x:c r="AI479" s="153" t="n">
        <x:v>3.64</x:v>
      </x:c>
      <x:c r="AJ479" s="155" t="n">
        <x:v>46038</x:v>
      </x:c>
      <x:c r="AK479" s="159" t="n">
        <x:v>134745</x:v>
      </x:c>
      <x:c r="AL479" s="154" t="n">
        <x:v>0.2554625513076945</x:v>
      </x:c>
      <x:c r="AM479" s="159" t="n">
        <x:v>-51165</x:v>
      </x:c>
      <x:c r="AN479" s="155" t="n">
        <x:v>46038</x:v>
      </x:c>
      <x:c r="AO479" s="159" t="n">
        <x:v>13792</x:v>
      </x:c>
      <x:c r="AP479" s="154" t="n">
        <x:v>0.09102849260459499</x:v>
      </x:c>
      <x:c r="AQ479" s="159" t="n">
        <x:v>-25511</x:v>
      </x:c>
      <x:c r="AR479" s="147" t="str">
        <x:v>美国市场指标与CFTC数据均使用严格早于上金所交易日的最后已发布值</x:v>
      </x:c>
    </x:row>
    <x:row r="480">
      <x:c r="A480" s="155" t="n">
        <x:v>46045</x:v>
      </x:c>
      <x:c r="B480" s="153" t="n">
        <x:v>1083.77</x:v>
      </x:c>
      <x:c r="C480" s="153" t="n">
        <x:v>1114</x:v>
      </x:c>
      <x:c r="D480" s="153" t="n">
        <x:v>1081</x:v>
      </x:c>
      <x:c r="E480" s="153" t="n">
        <x:v>1110.3</x:v>
      </x:c>
      <x:c r="F480" s="154" t="n">
        <x:f>IFERROR(E480/E479-1,"")</x:f>
        <x:v>0.024554992663953668</x:v>
      </x:c>
      <x:c r="G480" s="154" t="n">
        <x:f>IFERROR((C480-D480)/E479,"")</x:f>
        <x:v>0.03045151288652659</x:v>
      </x:c>
      <x:c r="H480" s="153" t="n">
        <x:v>1110.37</x:v>
      </x:c>
      <x:c r="I480" s="158" t="n">
        <x:v>16342.62</x:v>
      </x:c>
      <x:c r="J480" s="158" t="n">
        <x:v>18146515838.6</x:v>
      </x:c>
      <x:c r="K480" s="158"/>
      <x:c r="L480" s="153" t="n">
        <x:v>23203</x:v>
      </x:c>
      <x:c r="M480" s="153" t="n">
        <x:v>25080</x:v>
      </x:c>
      <x:c r="N480" s="153" t="n">
        <x:v>23120</x:v>
      </x:c>
      <x:c r="O480" s="153" t="n">
        <x:v>24988</x:v>
      </x:c>
      <x:c r="P480" s="154" t="n">
        <x:f>IFERROR(O480/O479-1,"")</x:f>
        <x:v>0.06941710177180527</x:v>
      </x:c>
      <x:c r="Q480" s="154" t="n">
        <x:f>IFERROR((M480-N480)/O479,"")</x:f>
        <x:v>0.08388256440982625</x:v>
      </x:c>
      <x:c r="R480" s="153" t="n">
        <x:v>24673</x:v>
      </x:c>
      <x:c r="S480" s="158" t="n">
        <x:v>436090</x:v>
      </x:c>
      <x:c r="T480" s="158" t="n">
        <x:v>10759759550</x:v>
      </x:c>
      <x:c r="U480" s="158" t="n">
        <x:v>3292636</x:v>
      </x:c>
      <x:c r="V480" s="153" t="n">
        <x:f>IFERROR(E480*1000/O480,"")</x:f>
        <x:v>44.433327997438774</x:v>
      </x:c>
      <x:c r="W480" s="153" t="n">
        <x:v>4.26</x:v>
      </x:c>
      <x:c r="X480" s="155" t="n">
        <x:v>46044</x:v>
      </x:c>
      <x:c r="Y480" s="153" t="n">
        <x:v>1.95</x:v>
      </x:c>
      <x:c r="Z480" s="155" t="n">
        <x:v>46044</x:v>
      </x:c>
      <x:c r="AA480" s="153" t="n">
        <x:f>IFERROR(Y480-Y479,"")</x:f>
        <x:v>0.030000000000000027</x:v>
      </x:c>
      <x:c r="AB480" s="153" t="n">
        <x:v>2.31</x:v>
      </x:c>
      <x:c r="AC480" s="153" t="n">
        <x:v>119.1962</x:v>
      </x:c>
      <x:c r="AD480" s="155" t="n">
        <x:v>46044</x:v>
      </x:c>
      <x:c r="AE480" s="154" t="n">
        <x:f>IFERROR(AC480/AC479-1,"")</x:f>
        <x:v>-0.0012309048449387072</x:v>
      </x:c>
      <x:c r="AF480" s="153" t="n">
        <x:v>15.64</x:v>
      </x:c>
      <x:c r="AG480" s="155" t="n">
        <x:v>46044</x:v>
      </x:c>
      <x:c r="AH480" s="153" t="n">
        <x:f>IFERROR(AF480-AF479,"")</x:f>
        <x:v>-1.259999999999998</x:v>
      </x:c>
      <x:c r="AI480" s="153" t="n">
        <x:v>3.64</x:v>
      </x:c>
      <x:c r="AJ480" s="155" t="n">
        <x:v>46038</x:v>
      </x:c>
      <x:c r="AK480" s="159" t="n">
        <x:v>134745</x:v>
      </x:c>
      <x:c r="AL480" s="154" t="n">
        <x:v>0.2554625513076945</x:v>
      </x:c>
      <x:c r="AM480" s="159" t="n">
        <x:v>-51165</x:v>
      </x:c>
      <x:c r="AN480" s="155" t="n">
        <x:v>46038</x:v>
      </x:c>
      <x:c r="AO480" s="159" t="n">
        <x:v>13792</x:v>
      </x:c>
      <x:c r="AP480" s="154" t="n">
        <x:v>0.09102849260459499</x:v>
      </x:c>
      <x:c r="AQ480" s="159" t="n">
        <x:v>-25511</x:v>
      </x:c>
      <x:c r="AR480" s="147" t="str">
        <x:v>美国市场指标与CFTC数据均使用严格早于上金所交易日的最后已发布值</x:v>
      </x:c>
    </x:row>
    <x:row r="481">
      <x:c r="A481" s="155" t="n">
        <x:v>46048</x:v>
      </x:c>
      <x:c r="B481" s="153" t="n">
        <x:v>1107</x:v>
      </x:c>
      <x:c r="C481" s="153" t="n">
        <x:v>1147</x:v>
      </x:c>
      <x:c r="D481" s="153" t="n">
        <x:v>1105</x:v>
      </x:c>
      <x:c r="E481" s="153" t="n">
        <x:v>1144.45</x:v>
      </x:c>
      <x:c r="F481" s="154" t="n">
        <x:f>IFERROR(E481/E480-1,"")</x:f>
        <x:v>0.03075745294064669</x:v>
      </x:c>
      <x:c r="G481" s="154" t="n">
        <x:f>IFERROR((C481-D481)/E480,"")</x:f>
        <x:v>0.03782761415833558</x:v>
      </x:c>
      <x:c r="H481" s="153" t="n">
        <x:v>1138.79</x:v>
      </x:c>
      <x:c r="I481" s="158" t="n">
        <x:v>29490.6</x:v>
      </x:c>
      <x:c r="J481" s="158" t="n">
        <x:v>33583663981</x:v>
      </x:c>
      <x:c r="K481" s="158"/>
      <x:c r="L481" s="153" t="n">
        <x:v>24888</x:v>
      </x:c>
      <x:c r="M481" s="153" t="n">
        <x:v>27766</x:v>
      </x:c>
      <x:c r="N481" s="153" t="n">
        <x:v>24888</x:v>
      </x:c>
      <x:c r="O481" s="153" t="n">
        <x:v>27513</x:v>
      </x:c>
      <x:c r="P481" s="154" t="n">
        <x:f>IFERROR(O481/O480-1,"")</x:f>
        <x:v>0.10104850328157511</x:v>
      </x:c>
      <x:c r="Q481" s="154" t="n">
        <x:f>IFERROR((M481-N481)/O480,"")</x:f>
        <x:v>0.11517528413638546</x:v>
      </x:c>
      <x:c r="R481" s="153" t="n">
        <x:v>26956</x:v>
      </x:c>
      <x:c r="S481" s="158" t="n">
        <x:v>702202</x:v>
      </x:c>
      <x:c r="T481" s="158" t="n">
        <x:v>18928942760</x:v>
      </x:c>
      <x:c r="U481" s="158" t="n">
        <x:v>3360232</x:v>
      </x:c>
      <x:c r="V481" s="153" t="n">
        <x:f>IFERROR(E481*1000/O481,"")</x:f>
        <x:v>41.59669974194017</x:v>
      </x:c>
      <x:c r="W481" s="153" t="n">
        <x:v>4.24</x:v>
      </x:c>
      <x:c r="X481" s="155" t="n">
        <x:v>46045</x:v>
      </x:c>
      <x:c r="Y481" s="153" t="n">
        <x:v>1.92</x:v>
      </x:c>
      <x:c r="Z481" s="155" t="n">
        <x:v>46045</x:v>
      </x:c>
      <x:c r="AA481" s="153" t="n">
        <x:f>IFERROR(Y481-Y480,"")</x:f>
        <x:v>-0.030000000000000027</x:v>
      </x:c>
      <x:c r="AB481" s="153" t="n">
        <x:v>2.32</x:v>
      </x:c>
      <x:c r="AC481" s="153" t="n">
        <x:v>118.8976</x:v>
      </x:c>
      <x:c r="AD481" s="155" t="n">
        <x:v>46045</x:v>
      </x:c>
      <x:c r="AE481" s="154" t="n">
        <x:f>IFERROR(AC481/AC480-1,"")</x:f>
        <x:v>-0.0025051134180452683</x:v>
      </x:c>
      <x:c r="AF481" s="153" t="n">
        <x:v>16.09</x:v>
      </x:c>
      <x:c r="AG481" s="155" t="n">
        <x:v>46045</x:v>
      </x:c>
      <x:c r="AH481" s="153" t="n">
        <x:f>IFERROR(AF481-AF480,"")</x:f>
        <x:v>0.4499999999999993</x:v>
      </x:c>
      <x:c r="AI481" s="153" t="n">
        <x:v>3.64</x:v>
      </x:c>
      <x:c r="AJ481" s="155" t="n">
        <x:v>46045</x:v>
      </x:c>
      <x:c r="AK481" s="159" t="n">
        <x:v>137444</x:v>
      </x:c>
      <x:c r="AL481" s="154" t="n">
        <x:v>0.2603086340254998</x:v>
      </x:c>
      <x:c r="AM481" s="159" t="n">
        <x:v>-42289</x:v>
      </x:c>
      <x:c r="AN481" s="155" t="n">
        <x:v>46045</x:v>
      </x:c>
      <x:c r="AO481" s="159" t="n">
        <x:v>9946</x:v>
      </x:c>
      <x:c r="AP481" s="154" t="n">
        <x:v>0.06542560189448757</x:v>
      </x:c>
      <x:c r="AQ481" s="159" t="n">
        <x:v>-19756</x:v>
      </x:c>
      <x:c r="AR481" s="147" t="str">
        <x:v>美国市场指标与CFTC数据均使用严格早于上金所交易日的最后已发布值</x:v>
      </x:c>
    </x:row>
    <x:row r="482">
      <x:c r="A482" s="155" t="n">
        <x:v>46049</x:v>
      </x:c>
      <x:c r="B482" s="153" t="n">
        <x:v>1143.5</x:v>
      </x:c>
      <x:c r="C482" s="153" t="n">
        <x:v>1150</x:v>
      </x:c>
      <x:c r="D482" s="153" t="n">
        <x:v>1126</x:v>
      </x:c>
      <x:c r="E482" s="153" t="n">
        <x:v>1144.14</x:v>
      </x:c>
      <x:c r="F482" s="154" t="n">
        <x:f>IFERROR(E482/E481-1,"")</x:f>
        <x:v>-0.00027087247149282234</x:v>
      </x:c>
      <x:c r="G482" s="154" t="n">
        <x:f>IFERROR((C482-D482)/E481,"")</x:f>
        <x:v>0.020970771986543752</x:v>
      </x:c>
      <x:c r="H482" s="153" t="n">
        <x:v>1139.45</x:v>
      </x:c>
      <x:c r="I482" s="158" t="n">
        <x:v>23996.76</x:v>
      </x:c>
      <x:c r="J482" s="158" t="n">
        <x:v>27343290747</x:v>
      </x:c>
      <x:c r="K482" s="158"/>
      <x:c r="L482" s="153" t="n">
        <x:v>27800</x:v>
      </x:c>
      <x:c r="M482" s="153" t="n">
        <x:v>30091</x:v>
      </x:c>
      <x:c r="N482" s="153" t="n">
        <x:v>27311</x:v>
      </x:c>
      <x:c r="O482" s="153" t="n">
        <x:v>28732</x:v>
      </x:c>
      <x:c r="P482" s="154" t="n">
        <x:f>IFERROR(O482/O481-1,"")</x:f>
        <x:v>0.04430632791771161</x:v>
      </x:c>
      <x:c r="Q482" s="154" t="n">
        <x:f>IFERROR((M482-N482)/O481,"")</x:f>
        <x:v>0.10104314324137681</x:v>
      </x:c>
      <x:c r="R482" s="153" t="n">
        <x:v>28195</x:v>
      </x:c>
      <x:c r="S482" s="158" t="n">
        <x:v>627160</x:v>
      </x:c>
      <x:c r="T482" s="158" t="n">
        <x:v>17682870644</x:v>
      </x:c>
      <x:c r="U482" s="158" t="n">
        <x:v>3346130</x:v>
      </x:c>
      <x:c r="V482" s="153" t="n">
        <x:f>IFERROR(E482*1000/O482,"")</x:f>
        <x:v>39.821105387721005</x:v>
      </x:c>
      <x:c r="W482" s="153" t="n">
        <x:v>4.22</x:v>
      </x:c>
      <x:c r="X482" s="155" t="n">
        <x:v>46048</x:v>
      </x:c>
      <x:c r="Y482" s="153" t="n">
        <x:v>1.9</x:v>
      </x:c>
      <x:c r="Z482" s="155" t="n">
        <x:v>46048</x:v>
      </x:c>
      <x:c r="AA482" s="153" t="n">
        <x:f>IFERROR(Y482-Y481,"")</x:f>
        <x:v>-0.020000000000000018</x:v>
      </x:c>
      <x:c r="AB482" s="153" t="n">
        <x:v>2.32</x:v>
      </x:c>
      <x:c r="AC482" s="153" t="n">
        <x:v>118.0525</x:v>
      </x:c>
      <x:c r="AD482" s="155" t="n">
        <x:v>46048</x:v>
      </x:c>
      <x:c r="AE482" s="154" t="n">
        <x:f>IFERROR(AC482/AC481-1,"")</x:f>
        <x:v>-0.007107796961418944</x:v>
      </x:c>
      <x:c r="AF482" s="153" t="n">
        <x:v>16.15</x:v>
      </x:c>
      <x:c r="AG482" s="155" t="n">
        <x:v>46048</x:v>
      </x:c>
      <x:c r="AH482" s="153" t="n">
        <x:f>IFERROR(AF482-AF481,"")</x:f>
        <x:v>0.05999999999999872</x:v>
      </x:c>
      <x:c r="AI482" s="153" t="n">
        <x:v>3.64</x:v>
      </x:c>
      <x:c r="AJ482" s="155" t="n">
        <x:v>46045</x:v>
      </x:c>
      <x:c r="AK482" s="159" t="n">
        <x:v>137444</x:v>
      </x:c>
      <x:c r="AL482" s="154" t="n">
        <x:v>0.2603086340254998</x:v>
      </x:c>
      <x:c r="AM482" s="159" t="n">
        <x:v>-42289</x:v>
      </x:c>
      <x:c r="AN482" s="155" t="n">
        <x:v>46045</x:v>
      </x:c>
      <x:c r="AO482" s="159" t="n">
        <x:v>9946</x:v>
      </x:c>
      <x:c r="AP482" s="154" t="n">
        <x:v>0.06542560189448757</x:v>
      </x:c>
      <x:c r="AQ482" s="159" t="n">
        <x:v>-19756</x:v>
      </x:c>
      <x:c r="AR482" s="147" t="str">
        <x:v>美国市场指标与CFTC数据均使用严格早于上金所交易日的最后已发布值</x:v>
      </x:c>
    </x:row>
    <x:row r="483">
      <x:c r="A483" s="155" t="n">
        <x:v>46050</x:v>
      </x:c>
      <x:c r="B483" s="153" t="n">
        <x:v>1142</x:v>
      </x:c>
      <x:c r="C483" s="153" t="n">
        <x:v>1185.9</x:v>
      </x:c>
      <x:c r="D483" s="153" t="n">
        <x:v>1030</x:v>
      </x:c>
      <x:c r="E483" s="153" t="n">
        <x:v>1184.96</x:v>
      </x:c>
      <x:c r="F483" s="154" t="n">
        <x:f>IFERROR(E483/E482-1,"")</x:f>
        <x:v>0.03567745206006245</x:v>
      </x:c>
      <x:c r="G483" s="154" t="n">
        <x:f>IFERROR((C483-D483)/E482,"")</x:f>
        <x:v>0.136259548656633</x:v>
      </x:c>
      <x:c r="H483" s="153" t="n">
        <x:v>1174.09</x:v>
      </x:c>
      <x:c r="I483" s="158" t="n">
        <x:v>24859.42</x:v>
      </x:c>
      <x:c r="J483" s="158" t="n">
        <x:v>29187389604</x:v>
      </x:c>
      <x:c r="K483" s="158"/>
      <x:c r="L483" s="153" t="n">
        <x:v>28881</x:v>
      </x:c>
      <x:c r="M483" s="153" t="n">
        <x:v>29600</x:v>
      </x:c>
      <x:c r="N483" s="153" t="n">
        <x:v>27195</x:v>
      </x:c>
      <x:c r="O483" s="153" t="n">
        <x:v>29310</x:v>
      </x:c>
      <x:c r="P483" s="154" t="n">
        <x:f>IFERROR(O483/O482-1,"")</x:f>
        <x:v>0.020116942781567504</x:v>
      </x:c>
      <x:c r="Q483" s="154" t="n">
        <x:f>IFERROR((M483-N483)/O482,"")</x:f>
        <x:v>0.08370458025894473</x:v>
      </x:c>
      <x:c r="R483" s="153" t="n">
        <x:v>29019</x:v>
      </x:c>
      <x:c r="S483" s="158" t="n">
        <x:v>609036</x:v>
      </x:c>
      <x:c r="T483" s="158" t="n">
        <x:v>17673958256</x:v>
      </x:c>
      <x:c r="U483" s="158" t="n">
        <x:v>3335610</x:v>
      </x:c>
      <x:c r="V483" s="153" t="n">
        <x:f>IFERROR(E483*1000/O483,"")</x:f>
        <x:v>40.42852268850222</x:v>
      </x:c>
      <x:c r="W483" s="153" t="n">
        <x:v>4.24</x:v>
      </x:c>
      <x:c r="X483" s="155" t="n">
        <x:v>46049</x:v>
      </x:c>
      <x:c r="Y483" s="153" t="n">
        <x:v>1.9</x:v>
      </x:c>
      <x:c r="Z483" s="155" t="n">
        <x:v>46049</x:v>
      </x:c>
      <x:c r="AA483" s="153" t="n">
        <x:f>IFERROR(Y483-Y482,"")</x:f>
        <x:v>0</x:v>
      </x:c>
      <x:c r="AB483" s="153" t="n">
        <x:v>2.34</x:v>
      </x:c>
      <x:c r="AC483" s="153" t="n">
        <x:v>117.4523</x:v>
      </x:c>
      <x:c r="AD483" s="155" t="n">
        <x:v>46049</x:v>
      </x:c>
      <x:c r="AE483" s="154" t="n">
        <x:f>IFERROR(AC483/AC482-1,"")</x:f>
        <x:v>-0.005084178649329751</x:v>
      </x:c>
      <x:c r="AF483" s="153" t="n">
        <x:v>16.35</x:v>
      </x:c>
      <x:c r="AG483" s="155" t="n">
        <x:v>46049</x:v>
      </x:c>
      <x:c r="AH483" s="153" t="n">
        <x:f>IFERROR(AF483-AF482,"")</x:f>
        <x:v>0.20000000000000284</x:v>
      </x:c>
      <x:c r="AI483" s="153" t="n">
        <x:v>3.64</x:v>
      </x:c>
      <x:c r="AJ483" s="155" t="n">
        <x:v>46045</x:v>
      </x:c>
      <x:c r="AK483" s="159" t="n">
        <x:v>137444</x:v>
      </x:c>
      <x:c r="AL483" s="154" t="n">
        <x:v>0.2603086340254998</x:v>
      </x:c>
      <x:c r="AM483" s="159" t="n">
        <x:v>-42289</x:v>
      </x:c>
      <x:c r="AN483" s="155" t="n">
        <x:v>46045</x:v>
      </x:c>
      <x:c r="AO483" s="159" t="n">
        <x:v>9946</x:v>
      </x:c>
      <x:c r="AP483" s="154" t="n">
        <x:v>0.06542560189448757</x:v>
      </x:c>
      <x:c r="AQ483" s="159" t="n">
        <x:v>-19756</x:v>
      </x:c>
      <x:c r="AR483" s="147" t="str">
        <x:v>美国市场指标与CFTC数据均使用严格早于上金所交易日的最后已发布值</x:v>
      </x:c>
    </x:row>
    <x:row r="484">
      <x:c r="A484" s="155" t="n">
        <x:v>46051</x:v>
      </x:c>
      <x:c r="B484" s="153" t="n">
        <x:v>1180.5</x:v>
      </x:c>
      <x:c r="C484" s="153" t="n">
        <x:v>1256</x:v>
      </x:c>
      <x:c r="D484" s="153" t="n">
        <x:v>1178</x:v>
      </x:c>
      <x:c r="E484" s="153" t="n">
        <x:v>1243.02</x:v>
      </x:c>
      <x:c r="F484" s="154" t="n">
        <x:f>IFERROR(E484/E483-1,"")</x:f>
        <x:v>0.04899743451255745</x:v>
      </x:c>
      <x:c r="G484" s="154" t="n">
        <x:f>IFERROR((C484-D484)/E483,"")</x:f>
        <x:v>0.06582500675128274</x:v>
      </x:c>
      <x:c r="H484" s="153" t="n">
        <x:v>1243.19</x:v>
      </x:c>
      <x:c r="I484" s="158" t="n">
        <x:v>28722.02</x:v>
      </x:c>
      <x:c r="J484" s="158" t="n">
        <x:v>35707179139.4</x:v>
      </x:c>
      <x:c r="K484" s="158"/>
      <x:c r="L484" s="153" t="n">
        <x:v>29018</x:v>
      </x:c>
      <x:c r="M484" s="153" t="n">
        <x:v>30280</x:v>
      </x:c>
      <x:c r="N484" s="153" t="n">
        <x:v>28750</x:v>
      </x:c>
      <x:c r="O484" s="153" t="n">
        <x:v>29998</x:v>
      </x:c>
      <x:c r="P484" s="154" t="n">
        <x:f>IFERROR(O484/O483-1,"")</x:f>
        <x:v>0.02347321733196872</x:v>
      </x:c>
      <x:c r="Q484" s="154" t="n">
        <x:f>IFERROR((M484-N484)/O483,"")</x:f>
        <x:v>0.052200614124872056</x:v>
      </x:c>
      <x:c r="R484" s="153" t="n">
        <x:v>29797</x:v>
      </x:c>
      <x:c r="S484" s="158" t="n">
        <x:v>687950</x:v>
      </x:c>
      <x:c r="T484" s="158" t="n">
        <x:v>20499319100</x:v>
      </x:c>
      <x:c r="U484" s="158" t="n">
        <x:v>3275288</x:v>
      </x:c>
      <x:c r="V484" s="153" t="n">
        <x:f>IFERROR(E484*1000/O484,"")</x:f>
        <x:v>41.43676245083005</x:v>
      </x:c>
      <x:c r="W484" s="153" t="n">
        <x:v>4.26</x:v>
      </x:c>
      <x:c r="X484" s="155" t="n">
        <x:v>46050</x:v>
      </x:c>
      <x:c r="Y484" s="153" t="n">
        <x:v>1.9</x:v>
      </x:c>
      <x:c r="Z484" s="155" t="n">
        <x:v>46050</x:v>
      </x:c>
      <x:c r="AA484" s="153" t="n">
        <x:f>IFERROR(Y484-Y483,"")</x:f>
        <x:v>0</x:v>
      </x:c>
      <x:c r="AB484" s="153" t="n">
        <x:v>2.36</x:v>
      </x:c>
      <x:c r="AC484" s="153" t="n">
        <x:v>117.5117</x:v>
      </x:c>
      <x:c r="AD484" s="155" t="n">
        <x:v>46050</x:v>
      </x:c>
      <x:c r="AE484" s="154" t="n">
        <x:f>IFERROR(AC484/AC483-1,"")</x:f>
        <x:v>0.0005057372226853207</x:v>
      </x:c>
      <x:c r="AF484" s="153" t="n">
        <x:v>16.35</x:v>
      </x:c>
      <x:c r="AG484" s="155" t="n">
        <x:v>46050</x:v>
      </x:c>
      <x:c r="AH484" s="153" t="n">
        <x:f>IFERROR(AF484-AF483,"")</x:f>
        <x:v>0</x:v>
      </x:c>
      <x:c r="AI484" s="153" t="n">
        <x:v>3.64</x:v>
      </x:c>
      <x:c r="AJ484" s="155" t="n">
        <x:v>46045</x:v>
      </x:c>
      <x:c r="AK484" s="159" t="n">
        <x:v>137444</x:v>
      </x:c>
      <x:c r="AL484" s="154" t="n">
        <x:v>0.2603086340254998</x:v>
      </x:c>
      <x:c r="AM484" s="159" t="n">
        <x:v>-42289</x:v>
      </x:c>
      <x:c r="AN484" s="155" t="n">
        <x:v>46045</x:v>
      </x:c>
      <x:c r="AO484" s="159" t="n">
        <x:v>9946</x:v>
      </x:c>
      <x:c r="AP484" s="154" t="n">
        <x:v>0.06542560189448757</x:v>
      </x:c>
      <x:c r="AQ484" s="159" t="n">
        <x:v>-19756</x:v>
      </x:c>
      <x:c r="AR484" s="147" t="str">
        <x:v>美国市场指标与CFTC数据均使用严格早于上金所交易日的最后已发布值</x:v>
      </x:c>
    </x:row>
    <x:row r="485">
      <x:c r="A485" s="155" t="n">
        <x:v>46052</x:v>
      </x:c>
      <x:c r="B485" s="153" t="n">
        <x:v>1247.9</x:v>
      </x:c>
      <x:c r="C485" s="153" t="n">
        <x:v>1248.5</x:v>
      </x:c>
      <x:c r="D485" s="153" t="n">
        <x:v>1148.01</x:v>
      </x:c>
      <x:c r="E485" s="153" t="n">
        <x:v>1163.95</x:v>
      </x:c>
      <x:c r="F485" s="154" t="n">
        <x:f>IFERROR(E485/E484-1,"")</x:f>
        <x:v>-0.06361120496854433</x:v>
      </x:c>
      <x:c r="G485" s="154" t="n">
        <x:f>IFERROR((C485-D485)/E484,"")</x:f>
        <x:v>0.08084342971150907</x:v>
      </x:c>
      <x:c r="H485" s="153" t="n">
        <x:v>1175.03</x:v>
      </x:c>
      <x:c r="I485" s="158" t="n">
        <x:v>22073.98</x:v>
      </x:c>
      <x:c r="J485" s="158" t="n">
        <x:v>25937645879.6</x:v>
      </x:c>
      <x:c r="K485" s="158"/>
      <x:c r="L485" s="153" t="n">
        <x:v>30179</x:v>
      </x:c>
      <x:c r="M485" s="153" t="n">
        <x:v>31000</x:v>
      </x:c>
      <x:c r="N485" s="153" t="n">
        <x:v>27151</x:v>
      </x:c>
      <x:c r="O485" s="153" t="n">
        <x:v>27530</x:v>
      </x:c>
      <x:c r="P485" s="154" t="n">
        <x:f>IFERROR(O485/O484-1,"")</x:f>
        <x:v>-0.08227215147676514</x:v>
      </x:c>
      <x:c r="Q485" s="154" t="n">
        <x:f>IFERROR((M485-N485)/O484,"")</x:f>
        <x:v>0.12830855390359358</x:v>
      </x:c>
      <x:c r="R485" s="153" t="n">
        <x:v>28914</x:v>
      </x:c>
      <x:c r="S485" s="158" t="n">
        <x:v>531280</x:v>
      </x:c>
      <x:c r="T485" s="158" t="n">
        <x:v>15361612382</x:v>
      </x:c>
      <x:c r="U485" s="158" t="n">
        <x:v>3240738</x:v>
      </x:c>
      <x:c r="V485" s="153" t="n">
        <x:f>IFERROR(E485*1000/O485,"")</x:f>
        <x:v>42.27933163821286</x:v>
      </x:c>
      <x:c r="W485" s="153" t="n">
        <x:v>4.24</x:v>
      </x:c>
      <x:c r="X485" s="155" t="n">
        <x:v>46051</x:v>
      </x:c>
      <x:c r="Y485" s="153" t="n">
        <x:v>1.89</x:v>
      </x:c>
      <x:c r="Z485" s="155" t="n">
        <x:v>46051</x:v>
      </x:c>
      <x:c r="AA485" s="153" t="n">
        <x:f>IFERROR(Y485-Y484,"")</x:f>
        <x:v>-0.010000000000000009</x:v>
      </x:c>
      <x:c r="AB485" s="153" t="n">
        <x:v>2.35</x:v>
      </x:c>
      <x:c r="AC485" s="153" t="n">
        <x:v>117.4396</x:v>
      </x:c>
      <x:c r="AD485" s="155" t="n">
        <x:v>46051</x:v>
      </x:c>
      <x:c r="AE485" s="154" t="n">
        <x:f>IFERROR(AC485/AC484-1,"")</x:f>
        <x:v>-0.0006135559267715918</x:v>
      </x:c>
      <x:c r="AF485" s="153" t="n">
        <x:v>16.88</x:v>
      </x:c>
      <x:c r="AG485" s="155" t="n">
        <x:v>46051</x:v>
      </x:c>
      <x:c r="AH485" s="153" t="n">
        <x:f>IFERROR(AF485-AF484,"")</x:f>
        <x:v>0.5299999999999976</x:v>
      </x:c>
      <x:c r="AI485" s="153" t="n">
        <x:v>3.64</x:v>
      </x:c>
      <x:c r="AJ485" s="155" t="n">
        <x:v>46045</x:v>
      </x:c>
      <x:c r="AK485" s="159" t="n">
        <x:v>137444</x:v>
      </x:c>
      <x:c r="AL485" s="154" t="n">
        <x:v>0.2603086340254998</x:v>
      </x:c>
      <x:c r="AM485" s="159" t="n">
        <x:v>-42289</x:v>
      </x:c>
      <x:c r="AN485" s="155" t="n">
        <x:v>46045</x:v>
      </x:c>
      <x:c r="AO485" s="159" t="n">
        <x:v>9946</x:v>
      </x:c>
      <x:c r="AP485" s="154" t="n">
        <x:v>0.06542560189448757</x:v>
      </x:c>
      <x:c r="AQ485" s="159" t="n">
        <x:v>-19756</x:v>
      </x:c>
      <x:c r="AR485" s="147" t="str">
        <x:v>美国市场指标与CFTC数据均使用严格早于上金所交易日的最后已发布值</x:v>
      </x:c>
    </x:row>
    <x:row r="486">
      <x:c r="A486" s="155" t="n">
        <x:v>46055</x:v>
      </x:c>
      <x:c r="B486" s="153" t="n">
        <x:v>1153</x:v>
      </x:c>
      <x:c r="C486" s="153" t="n">
        <x:v>1157</x:v>
      </x:c>
      <x:c r="D486" s="153" t="n">
        <x:v>998</x:v>
      </x:c>
      <x:c r="E486" s="153" t="n">
        <x:v>1030</x:v>
      </x:c>
      <x:c r="F486" s="154" t="n">
        <x:f>IFERROR(E486/E485-1,"")</x:f>
        <x:v>-0.1150822629838052</x:v>
      </x:c>
      <x:c r="G486" s="154" t="n">
        <x:f>IFERROR((C486-D486)/E485,"")</x:f>
        <x:v>0.1366038060054126</x:v>
      </x:c>
      <x:c r="H486" s="153" t="n">
        <x:v>1044.39</x:v>
      </x:c>
      <x:c r="I486" s="158" t="n">
        <x:v>27136.52</x:v>
      </x:c>
      <x:c r="J486" s="158" t="n">
        <x:v>28341252699.4</x:v>
      </x:c>
      <x:c r="K486" s="158"/>
      <x:c r="L486" s="153" t="n">
        <x:v>26671</x:v>
      </x:c>
      <x:c r="M486" s="153" t="n">
        <x:v>26780</x:v>
      </x:c>
      <x:c r="N486" s="153" t="n">
        <x:v>23420</x:v>
      </x:c>
      <x:c r="O486" s="153" t="n">
        <x:v>23420</x:v>
      </x:c>
      <x:c r="P486" s="154" t="n">
        <x:f>IFERROR(O486/O485-1,"")</x:f>
        <x:v>-0.14929168180167085</x:v>
      </x:c>
      <x:c r="Q486" s="154" t="n">
        <x:f>IFERROR((M486-N486)/O485,"")</x:f>
        <x:v>0.12204867417362877</x:v>
      </x:c>
      <x:c r="R486" s="153" t="n">
        <x:v>25104</x:v>
      </x:c>
      <x:c r="S486" s="158" t="n">
        <x:v>211926</x:v>
      </x:c>
      <x:c r="T486" s="158" t="n">
        <x:v>5320291684</x:v>
      </x:c>
      <x:c r="U486" s="158" t="n">
        <x:v>3228388</x:v>
      </x:c>
      <x:c r="V486" s="153" t="n">
        <x:f>IFERROR(E486*1000/O486,"")</x:f>
        <x:v>43.97950469684031</x:v>
      </x:c>
      <x:c r="W486" s="153" t="n">
        <x:v>4.26</x:v>
      </x:c>
      <x:c r="X486" s="155" t="n">
        <x:v>46052</x:v>
      </x:c>
      <x:c r="Y486" s="153" t="n">
        <x:v>1.9</x:v>
      </x:c>
      <x:c r="Z486" s="155" t="n">
        <x:v>46052</x:v>
      </x:c>
      <x:c r="AA486" s="153" t="n">
        <x:f>IFERROR(Y486-Y485,"")</x:f>
        <x:v>0.010000000000000009</x:v>
      </x:c>
      <x:c r="AB486" s="153" t="n">
        <x:v>2.36</x:v>
      </x:c>
      <x:c r="AC486" s="153" t="n">
        <x:v>117.8996</x:v>
      </x:c>
      <x:c r="AD486" s="155" t="n">
        <x:v>46052</x:v>
      </x:c>
      <x:c r="AE486" s="154" t="n">
        <x:f>IFERROR(AC486/AC485-1,"")</x:f>
        <x:v>0.003916907073934217</x:v>
      </x:c>
      <x:c r="AF486" s="153" t="n">
        <x:v>17.44</x:v>
      </x:c>
      <x:c r="AG486" s="155" t="n">
        <x:v>46052</x:v>
      </x:c>
      <x:c r="AH486" s="153" t="n">
        <x:f>IFERROR(AF486-AF485,"")</x:f>
        <x:v>0.5600000000000023</x:v>
      </x:c>
      <x:c r="AI486" s="153" t="n">
        <x:v>3.64</x:v>
      </x:c>
      <x:c r="AJ486" s="155" t="n">
        <x:v>46052</x:v>
      </x:c>
      <x:c r="AK486" s="159" t="n">
        <x:v>118159</x:v>
      </x:c>
      <x:c r="AL486" s="154" t="n">
        <x:v>0.2418995911665776</x:v>
      </x:c>
      <x:c r="AM486" s="159" t="n">
        <x:v>-40589</x:v>
      </x:c>
      <x:c r="AN486" s="155" t="n">
        <x:v>46052</x:v>
      </x:c>
      <x:c r="AO486" s="159" t="n">
        <x:v>7699</x:v>
      </x:c>
      <x:c r="AP486" s="154" t="n">
        <x:v>0.049151860671488856</x:v>
      </x:c>
      <x:c r="AQ486" s="159" t="n">
        <x:v>-21213</x:v>
      </x:c>
      <x:c r="AR486" s="147" t="str">
        <x:v>美国市场指标与CFTC数据均使用严格早于上金所交易日的最后已发布值</x:v>
      </x:c>
    </x:row>
    <x:row r="487">
      <x:c r="A487" s="155" t="n">
        <x:v>46056</x:v>
      </x:c>
      <x:c r="B487" s="153" t="n">
        <x:v>1070</x:v>
      </x:c>
      <x:c r="C487" s="153" t="n">
        <x:v>1100</x:v>
      </x:c>
      <x:c r="D487" s="153" t="n">
        <x:v>1040</x:v>
      </x:c>
      <x:c r="E487" s="153" t="n">
        <x:v>1097.89</x:v>
      </x:c>
      <x:c r="F487" s="154" t="n">
        <x:f>IFERROR(E487/E486-1,"")</x:f>
        <x:v>0.06591262135922338</x:v>
      </x:c>
      <x:c r="G487" s="154" t="n">
        <x:f>IFERROR((C487-D487)/E486,"")</x:f>
        <x:v>0.05825242718446602</x:v>
      </x:c>
      <x:c r="H487" s="153" t="n">
        <x:v>1076.22</x:v>
      </x:c>
      <x:c r="I487" s="158" t="n">
        <x:v>24874.16</x:v>
      </x:c>
      <x:c r="J487" s="158" t="n">
        <x:v>26770167466.6</x:v>
      </x:c>
      <x:c r="K487" s="158"/>
      <x:c r="L487" s="153" t="n">
        <x:v>21122</x:v>
      </x:c>
      <x:c r="M487" s="153" t="n">
        <x:v>21850</x:v>
      </x:c>
      <x:c r="N487" s="153" t="n">
        <x:v>19500</x:v>
      </x:c>
      <x:c r="O487" s="153" t="n">
        <x:v>21600</x:v>
      </x:c>
      <x:c r="P487" s="154" t="n">
        <x:f>IFERROR(O487/O486-1,"")</x:f>
        <x:v>-0.07771135781383431</x:v>
      </x:c>
      <x:c r="Q487" s="154" t="n">
        <x:f>IFERROR((M487-N487)/O486,"")</x:f>
        <x:v>0.10034158838599487</x:v>
      </x:c>
      <x:c r="R487" s="153" t="n">
        <x:v>20915</x:v>
      </x:c>
      <x:c r="S487" s="158" t="n">
        <x:v>686290</x:v>
      </x:c>
      <x:c r="T487" s="158" t="n">
        <x:v>14354011602</x:v>
      </x:c>
      <x:c r="U487" s="158" t="n">
        <x:v>3130860</x:v>
      </x:c>
      <x:c r="V487" s="153" t="n">
        <x:f>IFERROR(E487*1000/O487,"")</x:f>
        <x:v>50.82824074074074</x:v>
      </x:c>
      <x:c r="W487" s="153" t="n">
        <x:v>4.29</x:v>
      </x:c>
      <x:c r="X487" s="155" t="n">
        <x:v>46055</x:v>
      </x:c>
      <x:c r="Y487" s="153" t="n">
        <x:v>1.94</x:v>
      </x:c>
      <x:c r="Z487" s="155" t="n">
        <x:v>46055</x:v>
      </x:c>
      <x:c r="AA487" s="153" t="n">
        <x:f>IFERROR(Y487-Y486,"")</x:f>
        <x:v>0.040000000000000036</x:v>
      </x:c>
      <x:c r="AB487" s="153" t="n">
        <x:v>2.35</x:v>
      </x:c>
      <x:c r="AC487" s="153" t="n">
        <x:v>118.3609</x:v>
      </x:c>
      <x:c r="AD487" s="155" t="n">
        <x:v>46055</x:v>
      </x:c>
      <x:c r="AE487" s="154" t="n">
        <x:f>IFERROR(AC487/AC486-1,"")</x:f>
        <x:v>0.003912651103141984</x:v>
      </x:c>
      <x:c r="AF487" s="153" t="n">
        <x:v>16.34</x:v>
      </x:c>
      <x:c r="AG487" s="155" t="n">
        <x:v>46055</x:v>
      </x:c>
      <x:c r="AH487" s="153" t="n">
        <x:f>IFERROR(AF487-AF486,"")</x:f>
        <x:v>-1.1000000000000014</x:v>
      </x:c>
      <x:c r="AI487" s="153" t="n">
        <x:v>3.64</x:v>
      </x:c>
      <x:c r="AJ487" s="155" t="n">
        <x:v>46052</x:v>
      </x:c>
      <x:c r="AK487" s="159" t="n">
        <x:v>118159</x:v>
      </x:c>
      <x:c r="AL487" s="154" t="n">
        <x:v>0.2418995911665776</x:v>
      </x:c>
      <x:c r="AM487" s="159" t="n">
        <x:v>-40589</x:v>
      </x:c>
      <x:c r="AN487" s="155" t="n">
        <x:v>46052</x:v>
      </x:c>
      <x:c r="AO487" s="159" t="n">
        <x:v>7699</x:v>
      </x:c>
      <x:c r="AP487" s="154" t="n">
        <x:v>0.049151860671488856</x:v>
      </x:c>
      <x:c r="AQ487" s="159" t="n">
        <x:v>-21213</x:v>
      </x:c>
      <x:c r="AR487" s="147" t="str">
        <x:v>美国市场指标与CFTC数据均使用严格早于上金所交易日的最后已发布值</x:v>
      </x:c>
    </x:row>
    <x:row r="488">
      <x:c r="A488" s="155" t="n">
        <x:v>46057</x:v>
      </x:c>
      <x:c r="B488" s="153" t="n">
        <x:v>1100</x:v>
      </x:c>
      <x:c r="C488" s="153" t="n">
        <x:v>1198.5</x:v>
      </x:c>
      <x:c r="D488" s="153" t="n">
        <x:v>1090</x:v>
      </x:c>
      <x:c r="E488" s="153" t="n">
        <x:v>1140.3</x:v>
      </x:c>
      <x:c r="F488" s="154" t="n">
        <x:f>IFERROR(E488/E487-1,"")</x:f>
        <x:v>0.03862864221370077</x:v>
      </x:c>
      <x:c r="G488" s="154" t="n">
        <x:f>IFERROR((C488-D488)/E487,"")</x:f>
        <x:v>0.09882592973795189</x:v>
      </x:c>
      <x:c r="H488" s="153" t="n">
        <x:v>1133.54</x:v>
      </x:c>
      <x:c r="I488" s="158" t="n">
        <x:v>18882.84</x:v>
      </x:c>
      <x:c r="J488" s="158" t="n">
        <x:v>21404627980.8</x:v>
      </x:c>
      <x:c r="K488" s="158"/>
      <x:c r="L488" s="153" t="n">
        <x:v>21550</x:v>
      </x:c>
      <x:c r="M488" s="153" t="n">
        <x:v>23561</x:v>
      </x:c>
      <x:c r="N488" s="153" t="n">
        <x:v>21550</x:v>
      </x:c>
      <x:c r="O488" s="153" t="n">
        <x:v>23560</x:v>
      </x:c>
      <x:c r="P488" s="154" t="n">
        <x:f>IFERROR(O488/O487-1,"")</x:f>
        <x:v>0.09074074074074079</x:v>
      </x:c>
      <x:c r="Q488" s="154" t="n">
        <x:f>IFERROR((M488-N488)/O487,"")</x:f>
        <x:v>0.09310185185185185</x:v>
      </x:c>
      <x:c r="R488" s="153" t="n">
        <x:v>22443</x:v>
      </x:c>
      <x:c r="S488" s="158" t="n">
        <x:v>523996</x:v>
      </x:c>
      <x:c r="T488" s="158" t="n">
        <x:v>11760231640</x:v>
      </x:c>
      <x:c r="U488" s="158" t="n">
        <x:v>3167552</x:v>
      </x:c>
      <x:c r="V488" s="153" t="n">
        <x:f>IFERROR(E488*1000/O488,"")</x:f>
        <x:v>48.39983022071307</x:v>
      </x:c>
      <x:c r="W488" s="153" t="n">
        <x:v>4.28</x:v>
      </x:c>
      <x:c r="X488" s="155" t="n">
        <x:v>46056</x:v>
      </x:c>
      <x:c r="Y488" s="153" t="n">
        <x:v>1.92</x:v>
      </x:c>
      <x:c r="Z488" s="155" t="n">
        <x:v>46056</x:v>
      </x:c>
      <x:c r="AA488" s="153" t="n">
        <x:f>IFERROR(Y488-Y487,"")</x:f>
        <x:v>-0.020000000000000018</x:v>
      </x:c>
      <x:c r="AB488" s="153" t="n">
        <x:v>2.36</x:v>
      </x:c>
      <x:c r="AC488" s="153" t="n">
        <x:v>117.9764</x:v>
      </x:c>
      <x:c r="AD488" s="155" t="n">
        <x:v>46056</x:v>
      </x:c>
      <x:c r="AE488" s="154" t="n">
        <x:f>IFERROR(AC488/AC487-1,"")</x:f>
        <x:v>-0.0032485390023225813</x:v>
      </x:c>
      <x:c r="AF488" s="153" t="n">
        <x:v>18</x:v>
      </x:c>
      <x:c r="AG488" s="155" t="n">
        <x:v>46056</x:v>
      </x:c>
      <x:c r="AH488" s="153" t="n">
        <x:f>IFERROR(AF488-AF487,"")</x:f>
        <x:v>1.6600000000000001</x:v>
      </x:c>
      <x:c r="AI488" s="153" t="n">
        <x:v>3.64</x:v>
      </x:c>
      <x:c r="AJ488" s="155" t="n">
        <x:v>46052</x:v>
      </x:c>
      <x:c r="AK488" s="159" t="n">
        <x:v>118159</x:v>
      </x:c>
      <x:c r="AL488" s="154" t="n">
        <x:v>0.2418995911665776</x:v>
      </x:c>
      <x:c r="AM488" s="159" t="n">
        <x:v>-40589</x:v>
      </x:c>
      <x:c r="AN488" s="155" t="n">
        <x:v>46052</x:v>
      </x:c>
      <x:c r="AO488" s="159" t="n">
        <x:v>7699</x:v>
      </x:c>
      <x:c r="AP488" s="154" t="n">
        <x:v>0.049151860671488856</x:v>
      </x:c>
      <x:c r="AQ488" s="159" t="n">
        <x:v>-21213</x:v>
      </x:c>
      <x:c r="AR488" s="147" t="str">
        <x:v>美国市场指标与CFTC数据均使用严格早于上金所交易日的最后已发布值</x:v>
      </x:c>
    </x:row>
    <x:row r="489">
      <x:c r="A489" s="155" t="n">
        <x:v>46058</x:v>
      </x:c>
      <x:c r="B489" s="153" t="n">
        <x:v>1139</x:v>
      </x:c>
      <x:c r="C489" s="153" t="n">
        <x:v>1140</x:v>
      </x:c>
      <x:c r="D489" s="153" t="n">
        <x:v>1078</x:v>
      </x:c>
      <x:c r="E489" s="153" t="n">
        <x:v>1105.47</x:v>
      </x:c>
      <x:c r="F489" s="154" t="n">
        <x:f>IFERROR(E489/E488-1,"")</x:f>
        <x:v>-0.03054459352801886</x:v>
      </x:c>
      <x:c r="G489" s="154" t="n">
        <x:f>IFERROR((C489-D489)/E488,"")</x:f>
        <x:v>0.054371656581601334</x:v>
      </x:c>
      <x:c r="H489" s="153" t="n">
        <x:v>1102.93</x:v>
      </x:c>
      <x:c r="I489" s="158" t="n">
        <x:v>14487.78</x:v>
      </x:c>
      <x:c r="J489" s="158" t="n">
        <x:v>15979015073</x:v>
      </x:c>
      <x:c r="K489" s="158"/>
      <x:c r="L489" s="153" t="n">
        <x:v>23493</x:v>
      </x:c>
      <x:c r="M489" s="153" t="n">
        <x:v>23968</x:v>
      </x:c>
      <x:c r="N489" s="153" t="n">
        <x:v>18000</x:v>
      </x:c>
      <x:c r="O489" s="153" t="n">
        <x:v>19885</x:v>
      </x:c>
      <x:c r="P489" s="154" t="n">
        <x:f>IFERROR(O489/O488-1,"")</x:f>
        <x:v>-0.1559847198641766</x:v>
      </x:c>
      <x:c r="Q489" s="154" t="n">
        <x:f>IFERROR((M489-N489)/O488,"")</x:f>
        <x:v>0.2533106960950764</x:v>
      </x:c>
      <x:c r="R489" s="153" t="n">
        <x:v>20538</x:v>
      </x:c>
      <x:c r="S489" s="158" t="n">
        <x:v>790380</x:v>
      </x:c>
      <x:c r="T489" s="158" t="n">
        <x:v>16233570170</x:v>
      </x:c>
      <x:c r="U489" s="158" t="n">
        <x:v>3220842</x:v>
      </x:c>
      <x:c r="V489" s="153" t="n">
        <x:f>IFERROR(E489*1000/O489,"")</x:f>
        <x:v>55.59316067387478</x:v>
      </x:c>
      <x:c r="W489" s="153" t="n">
        <x:v>4.29</x:v>
      </x:c>
      <x:c r="X489" s="155" t="n">
        <x:v>46057</x:v>
      </x:c>
      <x:c r="Y489" s="153" t="n">
        <x:v>1.94</x:v>
      </x:c>
      <x:c r="Z489" s="155" t="n">
        <x:v>46057</x:v>
      </x:c>
      <x:c r="AA489" s="153" t="n">
        <x:f>IFERROR(Y489-Y488,"")</x:f>
        <x:v>0.020000000000000018</x:v>
      </x:c>
      <x:c r="AB489" s="153" t="n">
        <x:v>2.35</x:v>
      </x:c>
      <x:c r="AC489" s="153" t="n">
        <x:v>118.2602</x:v>
      </x:c>
      <x:c r="AD489" s="155" t="n">
        <x:v>46057</x:v>
      </x:c>
      <x:c r="AE489" s="154" t="n">
        <x:f>IFERROR(AC489/AC488-1,"")</x:f>
        <x:v>0.0024055658589345885</x:v>
      </x:c>
      <x:c r="AF489" s="153" t="n">
        <x:v>18.64</x:v>
      </x:c>
      <x:c r="AG489" s="155" t="n">
        <x:v>46057</x:v>
      </x:c>
      <x:c r="AH489" s="153" t="n">
        <x:f>IFERROR(AF489-AF488,"")</x:f>
        <x:v>0.6400000000000006</x:v>
      </x:c>
      <x:c r="AI489" s="153" t="n">
        <x:v>3.64</x:v>
      </x:c>
      <x:c r="AJ489" s="155" t="n">
        <x:v>46052</x:v>
      </x:c>
      <x:c r="AK489" s="159" t="n">
        <x:v>118159</x:v>
      </x:c>
      <x:c r="AL489" s="154" t="n">
        <x:v>0.2418995911665776</x:v>
      </x:c>
      <x:c r="AM489" s="159" t="n">
        <x:v>-40589</x:v>
      </x:c>
      <x:c r="AN489" s="155" t="n">
        <x:v>46052</x:v>
      </x:c>
      <x:c r="AO489" s="159" t="n">
        <x:v>7699</x:v>
      </x:c>
      <x:c r="AP489" s="154" t="n">
        <x:v>0.049151860671488856</x:v>
      </x:c>
      <x:c r="AQ489" s="159" t="n">
        <x:v>-21213</x:v>
      </x:c>
      <x:c r="AR489" s="147" t="str">
        <x:v>美国市场指标与CFTC数据均使用严格早于上金所交易日的最后已发布值</x:v>
      </x:c>
    </x:row>
    <x:row r="490">
      <x:c r="A490" s="155" t="n">
        <x:v>46059</x:v>
      </x:c>
      <x:c r="B490" s="153" t="n">
        <x:v>1094</x:v>
      </x:c>
      <x:c r="C490" s="153" t="n">
        <x:v>1102.95</x:v>
      </x:c>
      <x:c r="D490" s="153" t="n">
        <x:v>1049.01</x:v>
      </x:c>
      <x:c r="E490" s="153" t="n">
        <x:v>1093.85</x:v>
      </x:c>
      <x:c r="F490" s="154" t="n">
        <x:f>IFERROR(E490/E489-1,"")</x:f>
        <x:v>-0.010511366206229167</x:v>
      </x:c>
      <x:c r="G490" s="154" t="n">
        <x:f>IFERROR((C490-D490)/E489,"")</x:f>
        <x:v>0.048793725745610514</x:v>
      </x:c>
      <x:c r="H490" s="153" t="n">
        <x:v>1082.47</x:v>
      </x:c>
      <x:c r="I490" s="158" t="n">
        <x:v>16914.04</x:v>
      </x:c>
      <x:c r="J490" s="158" t="n">
        <x:v>18308998248.8</x:v>
      </x:c>
      <x:c r="K490" s="158"/>
      <x:c r="L490" s="153" t="n">
        <x:v>19700</x:v>
      </x:c>
      <x:c r="M490" s="153" t="n">
        <x:v>19700</x:v>
      </x:c>
      <x:c r="N490" s="153" t="n">
        <x:v>17000</x:v>
      </x:c>
      <x:c r="O490" s="153" t="n">
        <x:v>18197</x:v>
      </x:c>
      <x:c r="P490" s="154" t="n">
        <x:f>IFERROR(O490/O489-1,"")</x:f>
        <x:v>-0.08488810661302493</x:v>
      </x:c>
      <x:c r="Q490" s="154" t="n">
        <x:f>IFERROR((M490-N490)/O489,"")</x:f>
        <x:v>0.13578073925069148</x:v>
      </x:c>
      <x:c r="R490" s="153" t="n">
        <x:v>18129</x:v>
      </x:c>
      <x:c r="S490" s="158" t="n">
        <x:v>786230</x:v>
      </x:c>
      <x:c r="T490" s="158" t="n">
        <x:v>14253845726</x:v>
      </x:c>
      <x:c r="U490" s="158" t="n">
        <x:v>3334864</x:v>
      </x:c>
      <x:c r="V490" s="153" t="n">
        <x:f>IFERROR(E490*1000/O490,"")</x:f>
        <x:v>60.111556850030226</x:v>
      </x:c>
      <x:c r="W490" s="153" t="n">
        <x:v>4.21</x:v>
      </x:c>
      <x:c r="X490" s="155" t="n">
        <x:v>46058</x:v>
      </x:c>
      <x:c r="Y490" s="153" t="n">
        <x:v>1.89</x:v>
      </x:c>
      <x:c r="Z490" s="155" t="n">
        <x:v>46058</x:v>
      </x:c>
      <x:c r="AA490" s="153" t="n">
        <x:f>IFERROR(Y490-Y489,"")</x:f>
        <x:v>-0.050000000000000044</x:v>
      </x:c>
      <x:c r="AB490" s="153" t="n">
        <x:v>2.32</x:v>
      </x:c>
      <x:c r="AC490" s="153" t="n">
        <x:v>118.5034</x:v>
      </x:c>
      <x:c r="AD490" s="155" t="n">
        <x:v>46058</x:v>
      </x:c>
      <x:c r="AE490" s="154" t="n">
        <x:f>IFERROR(AC490/AC489-1,"")</x:f>
        <x:v>0.002056482231553858</x:v>
      </x:c>
      <x:c r="AF490" s="153" t="n">
        <x:v>21.77</x:v>
      </x:c>
      <x:c r="AG490" s="155" t="n">
        <x:v>46058</x:v>
      </x:c>
      <x:c r="AH490" s="153" t="n">
        <x:f>IFERROR(AF490-AF489,"")</x:f>
        <x:v>3.129999999999999</x:v>
      </x:c>
      <x:c r="AI490" s="153" t="n">
        <x:v>3.64</x:v>
      </x:c>
      <x:c r="AJ490" s="155" t="n">
        <x:v>46052</x:v>
      </x:c>
      <x:c r="AK490" s="159" t="n">
        <x:v>118159</x:v>
      </x:c>
      <x:c r="AL490" s="154" t="n">
        <x:v>0.2418995911665776</x:v>
      </x:c>
      <x:c r="AM490" s="159" t="n">
        <x:v>-40589</x:v>
      </x:c>
      <x:c r="AN490" s="155" t="n">
        <x:v>46052</x:v>
      </x:c>
      <x:c r="AO490" s="159" t="n">
        <x:v>7699</x:v>
      </x:c>
      <x:c r="AP490" s="154" t="n">
        <x:v>0.049151860671488856</x:v>
      </x:c>
      <x:c r="AQ490" s="159" t="n">
        <x:v>-21213</x:v>
      </x:c>
      <x:c r="AR490" s="147" t="str">
        <x:v>美国市场指标与CFTC数据均使用严格早于上金所交易日的最后已发布值</x:v>
      </x:c>
    </x:row>
    <x:row r="491">
      <x:c r="A491" s="155" t="n">
        <x:v>46062</x:v>
      </x:c>
      <x:c r="B491" s="153" t="n">
        <x:v>1090</x:v>
      </x:c>
      <x:c r="C491" s="153" t="n">
        <x:v>1132</x:v>
      </x:c>
      <x:c r="D491" s="153" t="n">
        <x:v>1050</x:v>
      </x:c>
      <x:c r="E491" s="153" t="n">
        <x:v>1116.02</x:v>
      </x:c>
      <x:c r="F491" s="154" t="n">
        <x:f>IFERROR(E491/E490-1,"")</x:f>
        <x:v>0.020267861224116723</x:v>
      </x:c>
      <x:c r="G491" s="154" t="n">
        <x:f>IFERROR((C491-D491)/E490,"")</x:f>
        <x:v>0.07496457466745898</x:v>
      </x:c>
      <x:c r="H491" s="153" t="n">
        <x:v>1120.65</x:v>
      </x:c>
      <x:c r="I491" s="158" t="n">
        <x:v>9656.54</x:v>
      </x:c>
      <x:c r="J491" s="158" t="n">
        <x:v>10821683169.6</x:v>
      </x:c>
      <x:c r="K491" s="158"/>
      <x:c r="L491" s="153" t="n">
        <x:v>18500</x:v>
      </x:c>
      <x:c r="M491" s="153" t="n">
        <x:v>20100</x:v>
      </x:c>
      <x:c r="N491" s="153" t="n">
        <x:v>17829</x:v>
      </x:c>
      <x:c r="O491" s="153" t="n">
        <x:v>19503</x:v>
      </x:c>
      <x:c r="P491" s="154" t="n">
        <x:f>IFERROR(O491/O490-1,"")</x:f>
        <x:v>0.07177007198988838</x:v>
      </x:c>
      <x:c r="Q491" s="154" t="n">
        <x:f>IFERROR((M491-N491)/O490,"")</x:f>
        <x:v>0.12480079133923175</x:v>
      </x:c>
      <x:c r="R491" s="153" t="n">
        <x:v>19173</x:v>
      </x:c>
      <x:c r="S491" s="158" t="n">
        <x:v>327768</x:v>
      </x:c>
      <x:c r="T491" s="158" t="n">
        <x:v>6284411260</x:v>
      </x:c>
      <x:c r="U491" s="158" t="n">
        <x:v>3259846</x:v>
      </x:c>
      <x:c r="V491" s="153" t="n">
        <x:f>IFERROR(E491*1000/O491,"")</x:f>
        <x:v>57.22299133466646</x:v>
      </x:c>
      <x:c r="W491" s="153" t="n">
        <x:v>4.22</x:v>
      </x:c>
      <x:c r="X491" s="155" t="n">
        <x:v>46059</x:v>
      </x:c>
      <x:c r="Y491" s="153" t="n">
        <x:v>1.88</x:v>
      </x:c>
      <x:c r="Z491" s="155" t="n">
        <x:v>46059</x:v>
      </x:c>
      <x:c r="AA491" s="153" t="n">
        <x:f>IFERROR(Y491-Y490,"")</x:f>
        <x:v>-0.010000000000000009</x:v>
      </x:c>
      <x:c r="AB491" s="153" t="n">
        <x:v>2.34</x:v>
      </x:c>
      <x:c r="AC491" s="153" t="n">
        <x:v>118.2407</x:v>
      </x:c>
      <x:c r="AD491" s="155" t="n">
        <x:v>46059</x:v>
      </x:c>
      <x:c r="AE491" s="154" t="n">
        <x:f>IFERROR(AC491/AC490-1,"")</x:f>
        <x:v>-0.0022168140323399754</x:v>
      </x:c>
      <x:c r="AF491" s="153" t="n">
        <x:v>17.76</x:v>
      </x:c>
      <x:c r="AG491" s="155" t="n">
        <x:v>46059</x:v>
      </x:c>
      <x:c r="AH491" s="153" t="n">
        <x:f>IFERROR(AF491-AF490,"")</x:f>
        <x:v>-4.009999999999998</x:v>
      </x:c>
      <x:c r="AI491" s="153" t="n">
        <x:v>3.64</x:v>
      </x:c>
      <x:c r="AJ491" s="155" t="n">
        <x:v>46059</x:v>
      </x:c>
      <x:c r="AK491" s="159" t="n">
        <x:v>92072</x:v>
      </x:c>
      <x:c r="AL491" s="154" t="n">
        <x:v>0.22473358164874271</x:v>
      </x:c>
      <x:c r="AM491" s="159" t="n">
        <x:v>-24634</x:v>
      </x:c>
      <x:c r="AN491" s="155" t="n">
        <x:v>46059</x:v>
      </x:c>
      <x:c r="AO491" s="159" t="n">
        <x:v>4983</x:v>
      </x:c>
      <x:c r="AP491" s="154" t="n">
        <x:v>0.03480234669646599</x:v>
      </x:c>
      <x:c r="AQ491" s="159" t="n">
        <x:v>-18267</x:v>
      </x:c>
      <x:c r="AR491" s="147" t="str">
        <x:v>美国市场指标与CFTC数据均使用严格早于上金所交易日的最后已发布值</x:v>
      </x:c>
    </x:row>
    <x:row r="492">
      <x:c r="A492" s="155" t="n">
        <x:v>46063</x:v>
      </x:c>
      <x:c r="B492" s="153" t="n">
        <x:v>1121</x:v>
      </x:c>
      <x:c r="C492" s="153" t="n">
        <x:v>1130.5</x:v>
      </x:c>
      <x:c r="D492" s="153" t="n">
        <x:v>1115</x:v>
      </x:c>
      <x:c r="E492" s="153" t="n">
        <x:v>1116.69</x:v>
      </x:c>
      <x:c r="F492" s="154" t="n">
        <x:f>IFERROR(E492/E491-1,"")</x:f>
        <x:v>0.0006003476640203953</x:v>
      </x:c>
      <x:c r="G492" s="154" t="n">
        <x:f>IFERROR((C492-D492)/E491,"")</x:f>
        <x:v>0.013888639988530672</x:v>
      </x:c>
      <x:c r="H492" s="153" t="n">
        <x:v>1119.97</x:v>
      </x:c>
      <x:c r="I492" s="158" t="n">
        <x:v>6148.78</x:v>
      </x:c>
      <x:c r="J492" s="158" t="n">
        <x:v>6886504657.2</x:v>
      </x:c>
      <x:c r="K492" s="158"/>
      <x:c r="L492" s="153" t="n">
        <x:v>19260</x:v>
      </x:c>
      <x:c r="M492" s="153" t="n">
        <x:v>19720</x:v>
      </x:c>
      <x:c r="N492" s="153" t="n">
        <x:v>18986</x:v>
      </x:c>
      <x:c r="O492" s="153" t="n">
        <x:v>19268</x:v>
      </x:c>
      <x:c r="P492" s="154" t="n">
        <x:f>IFERROR(O492/O491-1,"")</x:f>
        <x:v>-0.012049428293083086</x:v>
      </x:c>
      <x:c r="Q492" s="154" t="n">
        <x:f>IFERROR((M492-N492)/O491,"")</x:f>
        <x:v>0.03763523560477875</x:v>
      </x:c>
      <x:c r="R492" s="153" t="n">
        <x:v>19300</x:v>
      </x:c>
      <x:c r="S492" s="158" t="n">
        <x:v>288342</x:v>
      </x:c>
      <x:c r="T492" s="158" t="n">
        <x:v>5565215168</x:v>
      </x:c>
      <x:c r="U492" s="158" t="n">
        <x:v>3215594</x:v>
      </x:c>
      <x:c r="V492" s="153" t="n">
        <x:f>IFERROR(E492*1000/O492,"")</x:f>
        <x:v>57.95567780776417</x:v>
      </x:c>
      <x:c r="W492" s="153" t="n">
        <x:v>4.22</x:v>
      </x:c>
      <x:c r="X492" s="155" t="n">
        <x:v>46062</x:v>
      </x:c>
      <x:c r="Y492" s="153" t="n">
        <x:v>1.87</x:v>
      </x:c>
      <x:c r="Z492" s="155" t="n">
        <x:v>46062</x:v>
      </x:c>
      <x:c r="AA492" s="153" t="n">
        <x:f>IFERROR(Y492-Y491,"")</x:f>
        <x:v>-0.009999999999999787</x:v>
      </x:c>
      <x:c r="AB492" s="153" t="n">
        <x:v>2.35</x:v>
      </x:c>
      <x:c r="AC492" s="153" t="n">
        <x:v>117.6392</x:v>
      </x:c>
      <x:c r="AD492" s="155" t="n">
        <x:v>46062</x:v>
      </x:c>
      <x:c r="AE492" s="154" t="n">
        <x:f>IFERROR(AC492/AC491-1,"")</x:f>
        <x:v>-0.005087080844413117</x:v>
      </x:c>
      <x:c r="AF492" s="153" t="n">
        <x:v>17.36</x:v>
      </x:c>
      <x:c r="AG492" s="155" t="n">
        <x:v>46062</x:v>
      </x:c>
      <x:c r="AH492" s="153" t="n">
        <x:f>IFERROR(AF492-AF491,"")</x:f>
        <x:v>-0.40000000000000213</x:v>
      </x:c>
      <x:c r="AI492" s="153" t="n">
        <x:v>3.64</x:v>
      </x:c>
      <x:c r="AJ492" s="155" t="n">
        <x:v>46059</x:v>
      </x:c>
      <x:c r="AK492" s="159" t="n">
        <x:v>92072</x:v>
      </x:c>
      <x:c r="AL492" s="154" t="n">
        <x:v>0.22473358164874271</x:v>
      </x:c>
      <x:c r="AM492" s="159" t="n">
        <x:v>-24634</x:v>
      </x:c>
      <x:c r="AN492" s="155" t="n">
        <x:v>46059</x:v>
      </x:c>
      <x:c r="AO492" s="159" t="n">
        <x:v>4983</x:v>
      </x:c>
      <x:c r="AP492" s="154" t="n">
        <x:v>0.03480234669646599</x:v>
      </x:c>
      <x:c r="AQ492" s="159" t="n">
        <x:v>-18267</x:v>
      </x:c>
      <x:c r="AR492" s="147" t="str">
        <x:v>美国市场指标与CFTC数据均使用严格早于上金所交易日的最后已发布值</x:v>
      </x:c>
    </x:row>
    <x:row r="493">
      <x:c r="A493" s="155" t="n">
        <x:v>46064</x:v>
      </x:c>
      <x:c r="B493" s="153" t="n">
        <x:v>1120</x:v>
      </x:c>
      <x:c r="C493" s="153" t="n">
        <x:v>1128</x:v>
      </x:c>
      <x:c r="D493" s="153" t="n">
        <x:v>1115</x:v>
      </x:c>
      <x:c r="E493" s="153" t="n">
        <x:v>1123.02</x:v>
      </x:c>
      <x:c r="F493" s="154" t="n">
        <x:f>IFERROR(E493/E492-1,"")</x:f>
        <x:v>0.005668538269349543</x:v>
      </x:c>
      <x:c r="G493" s="154" t="n">
        <x:f>IFERROR((C493-D493)/E492,"")</x:f>
        <x:v>0.01164154778855367</x:v>
      </x:c>
      <x:c r="H493" s="153" t="n">
        <x:v>1124.12</x:v>
      </x:c>
      <x:c r="I493" s="158" t="n">
        <x:v>5623.78</x:v>
      </x:c>
      <x:c r="J493" s="158" t="n">
        <x:v>6321831666</x:v>
      </x:c>
      <x:c r="K493" s="158"/>
      <x:c r="L493" s="153" t="n">
        <x:v>19370</x:v>
      </x:c>
      <x:c r="M493" s="153" t="n">
        <x:v>20000</x:v>
      </x:c>
      <x:c r="N493" s="153" t="n">
        <x:v>19195</x:v>
      </x:c>
      <x:c r="O493" s="153" t="n">
        <x:v>19899</x:v>
      </x:c>
      <x:c r="P493" s="154" t="n">
        <x:f>IFERROR(O493/O492-1,"")</x:f>
        <x:v>0.03274859871289193</x:v>
      </x:c>
      <x:c r="Q493" s="154" t="n">
        <x:f>IFERROR((M493-N493)/O492,"")</x:f>
        <x:v>0.04177911563213618</x:v>
      </x:c>
      <x:c r="R493" s="153" t="n">
        <x:v>19609</x:v>
      </x:c>
      <x:c r="S493" s="158" t="n">
        <x:v>232512</x:v>
      </x:c>
      <x:c r="T493" s="158" t="n">
        <x:v>4559373100</x:v>
      </x:c>
      <x:c r="U493" s="158" t="n">
        <x:v>3188668</x:v>
      </x:c>
      <x:c r="V493" s="153" t="n">
        <x:f>IFERROR(E493*1000/O493,"")</x:f>
        <x:v>56.43600180913614</x:v>
      </x:c>
      <x:c r="W493" s="153" t="n">
        <x:v>4.16</x:v>
      </x:c>
      <x:c r="X493" s="155" t="n">
        <x:v>46063</x:v>
      </x:c>
      <x:c r="Y493" s="153" t="n">
        <x:v>1.84</x:v>
      </x:c>
      <x:c r="Z493" s="155" t="n">
        <x:v>46063</x:v>
      </x:c>
      <x:c r="AA493" s="153" t="n">
        <x:f>IFERROR(Y493-Y492,"")</x:f>
        <x:v>-0.030000000000000027</x:v>
      </x:c>
      <x:c r="AB493" s="153" t="n">
        <x:v>2.32</x:v>
      </x:c>
      <x:c r="AC493" s="153" t="n">
        <x:v>117.5216</x:v>
      </x:c>
      <x:c r="AD493" s="155" t="n">
        <x:v>46063</x:v>
      </x:c>
      <x:c r="AE493" s="154" t="n">
        <x:f>IFERROR(AC493/AC492-1,"")</x:f>
        <x:v>-0.0009996667777407708</x:v>
      </x:c>
      <x:c r="AF493" s="153" t="n">
        <x:v>17.79</x:v>
      </x:c>
      <x:c r="AG493" s="155" t="n">
        <x:v>46063</x:v>
      </x:c>
      <x:c r="AH493" s="153" t="n">
        <x:f>IFERROR(AF493-AF492,"")</x:f>
        <x:v>0.4299999999999997</x:v>
      </x:c>
      <x:c r="AI493" s="153" t="n">
        <x:v>3.64</x:v>
      </x:c>
      <x:c r="AJ493" s="155" t="n">
        <x:v>46059</x:v>
      </x:c>
      <x:c r="AK493" s="159" t="n">
        <x:v>92072</x:v>
      </x:c>
      <x:c r="AL493" s="154" t="n">
        <x:v>0.22473358164874271</x:v>
      </x:c>
      <x:c r="AM493" s="159" t="n">
        <x:v>-24634</x:v>
      </x:c>
      <x:c r="AN493" s="155" t="n">
        <x:v>46059</x:v>
      </x:c>
      <x:c r="AO493" s="159" t="n">
        <x:v>4983</x:v>
      </x:c>
      <x:c r="AP493" s="154" t="n">
        <x:v>0.03480234669646599</x:v>
      </x:c>
      <x:c r="AQ493" s="159" t="n">
        <x:v>-18267</x:v>
      </x:c>
      <x:c r="AR493" s="147" t="str">
        <x:v>美国市场指标与CFTC数据均使用严格早于上金所交易日的最后已发布值</x:v>
      </x:c>
    </x:row>
    <x:row r="494">
      <x:c r="A494" s="155" t="n">
        <x:v>46065</x:v>
      </x:c>
      <x:c r="B494" s="153" t="n">
        <x:v>1136</x:v>
      </x:c>
      <x:c r="C494" s="153" t="n">
        <x:v>1137</x:v>
      </x:c>
      <x:c r="D494" s="153" t="n">
        <x:v>1120</x:v>
      </x:c>
      <x:c r="E494" s="153" t="n">
        <x:v>1122.52</x:v>
      </x:c>
      <x:c r="F494" s="154" t="n">
        <x:f>IFERROR(E494/E493-1,"")</x:f>
        <x:v>-0.00044522804580504616</x:v>
      </x:c>
      <x:c r="G494" s="154" t="n">
        <x:f>IFERROR((C494-D494)/E493,"")</x:f>
        <x:v>0.015137753557372086</x:v>
      </x:c>
      <x:c r="H494" s="153" t="n">
        <x:v>1123.87</x:v>
      </x:c>
      <x:c r="I494" s="158" t="n">
        <x:v>3972.68</x:v>
      </x:c>
      <x:c r="J494" s="158" t="n">
        <x:v>4464777105</x:v>
      </x:c>
      <x:c r="K494" s="158"/>
      <x:c r="L494" s="153" t="n">
        <x:v>20559</x:v>
      </x:c>
      <x:c r="M494" s="153" t="n">
        <x:v>20600</x:v>
      </x:c>
      <x:c r="N494" s="153" t="n">
        <x:v>19400</x:v>
      </x:c>
      <x:c r="O494" s="153" t="n">
        <x:v>19670</x:v>
      </x:c>
      <x:c r="P494" s="154" t="n">
        <x:f>IFERROR(O494/O493-1,"")</x:f>
        <x:v>-0.011508115985727874</x:v>
      </x:c>
      <x:c r="Q494" s="154" t="n">
        <x:f>IFERROR((M494-N494)/O493,"")</x:f>
        <x:v>0.06030453791647822</x:v>
      </x:c>
      <x:c r="R494" s="153" t="n">
        <x:v>19919</x:v>
      </x:c>
      <x:c r="S494" s="158" t="n">
        <x:v>220352</x:v>
      </x:c>
      <x:c r="T494" s="158" t="n">
        <x:v>4389327604</x:v>
      </x:c>
      <x:c r="U494" s="158" t="n">
        <x:v>3143492</x:v>
      </x:c>
      <x:c r="V494" s="153" t="n">
        <x:f>IFERROR(E494*1000/O494,"")</x:f>
        <x:v>57.06761565836299</x:v>
      </x:c>
      <x:c r="W494" s="153" t="n">
        <x:v>4.18</x:v>
      </x:c>
      <x:c r="X494" s="155" t="n">
        <x:v>46064</x:v>
      </x:c>
      <x:c r="Y494" s="153" t="n">
        <x:v>1.86</x:v>
      </x:c>
      <x:c r="Z494" s="155" t="n">
        <x:v>46064</x:v>
      </x:c>
      <x:c r="AA494" s="153" t="n">
        <x:f>IFERROR(Y494-Y493,"")</x:f>
        <x:v>0.020000000000000018</x:v>
      </x:c>
      <x:c r="AB494" s="153" t="n">
        <x:v>2.32</x:v>
      </x:c>
      <x:c r="AC494" s="153" t="n">
        <x:v>117.4601</x:v>
      </x:c>
      <x:c r="AD494" s="155" t="n">
        <x:v>46064</x:v>
      </x:c>
      <x:c r="AE494" s="154" t="n">
        <x:f>IFERROR(AC494/AC493-1,"")</x:f>
        <x:v>-0.0005233080557106584</x:v>
      </x:c>
      <x:c r="AF494" s="153" t="n">
        <x:v>17.65</x:v>
      </x:c>
      <x:c r="AG494" s="155" t="n">
        <x:v>46064</x:v>
      </x:c>
      <x:c r="AH494" s="153" t="n">
        <x:f>IFERROR(AF494-AF493,"")</x:f>
        <x:v>-0.14000000000000057</x:v>
      </x:c>
      <x:c r="AI494" s="153" t="n">
        <x:v>3.64</x:v>
      </x:c>
      <x:c r="AJ494" s="155" t="n">
        <x:v>46059</x:v>
      </x:c>
      <x:c r="AK494" s="159" t="n">
        <x:v>92072</x:v>
      </x:c>
      <x:c r="AL494" s="154" t="n">
        <x:v>0.22473358164874271</x:v>
      </x:c>
      <x:c r="AM494" s="159" t="n">
        <x:v>-24634</x:v>
      </x:c>
      <x:c r="AN494" s="155" t="n">
        <x:v>46059</x:v>
      </x:c>
      <x:c r="AO494" s="159" t="n">
        <x:v>4983</x:v>
      </x:c>
      <x:c r="AP494" s="154" t="n">
        <x:v>0.03480234669646599</x:v>
      </x:c>
      <x:c r="AQ494" s="159" t="n">
        <x:v>-18267</x:v>
      </x:c>
      <x:c r="AR494" s="147" t="str">
        <x:v>美国市场指标与CFTC数据均使用严格早于上金所交易日的最后已发布值</x:v>
      </x:c>
    </x:row>
    <x:row r="495">
      <x:c r="A495" s="155" t="n">
        <x:v>46066</x:v>
      </x:c>
      <x:c r="B495" s="153" t="n">
        <x:v>1124</x:v>
      </x:c>
      <x:c r="C495" s="153" t="n">
        <x:v>1127</x:v>
      </x:c>
      <x:c r="D495" s="153" t="n">
        <x:v>1092</x:v>
      </x:c>
      <x:c r="E495" s="153" t="n">
        <x:v>1108.92</x:v>
      </x:c>
      <x:c r="F495" s="154" t="n">
        <x:f>IFERROR(E495/E494-1,"")</x:f>
        <x:v>-0.012115597049495719</x:v>
      </x:c>
      <x:c r="G495" s="154" t="n">
        <x:f>IFERROR((C495-D495)/E494,"")</x:f>
        <x:v>0.031179845347967073</x:v>
      </x:c>
      <x:c r="H495" s="153" t="n">
        <x:v>1107.14</x:v>
      </x:c>
      <x:c r="I495" s="158" t="n">
        <x:v>5943.38</x:v>
      </x:c>
      <x:c r="J495" s="158" t="n">
        <x:v>6580159001.4</x:v>
      </x:c>
      <x:c r="K495" s="158"/>
      <x:c r="L495" s="153" t="n">
        <x:v>19722</x:v>
      </x:c>
      <x:c r="M495" s="153" t="n">
        <x:v>19850</x:v>
      </x:c>
      <x:c r="N495" s="153" t="n">
        <x:v>18005</x:v>
      </x:c>
      <x:c r="O495" s="153" t="n">
        <x:v>19270</x:v>
      </x:c>
      <x:c r="P495" s="154" t="n">
        <x:f>IFERROR(O495/O494-1,"")</x:f>
        <x:v>-0.020335536349771255</x:v>
      </x:c>
      <x:c r="Q495" s="154" t="n">
        <x:f>IFERROR((M495-N495)/O494,"")</x:f>
        <x:v>0.09379766141331977</x:v>
      </x:c>
      <x:c r="R495" s="153" t="n">
        <x:v>18852</x:v>
      </x:c>
      <x:c r="S495" s="158" t="n">
        <x:v>305026</x:v>
      </x:c>
      <x:c r="T495" s="158" t="n">
        <x:v>5750576832</x:v>
      </x:c>
      <x:c r="U495" s="158" t="n">
        <x:v>3080150</x:v>
      </x:c>
      <x:c r="V495" s="153" t="n">
        <x:f>IFERROR(E495*1000/O495,"")</x:f>
        <x:v>57.546445251686556</x:v>
      </x:c>
      <x:c r="W495" s="153" t="n">
        <x:v>4.09</x:v>
      </x:c>
      <x:c r="X495" s="155" t="n">
        <x:v>46065</x:v>
      </x:c>
      <x:c r="Y495" s="153" t="n">
        <x:v>1.8</x:v>
      </x:c>
      <x:c r="Z495" s="155" t="n">
        <x:v>46065</x:v>
      </x:c>
      <x:c r="AA495" s="153" t="n">
        <x:f>IFERROR(Y495-Y494,"")</x:f>
        <x:v>-0.06000000000000005</x:v>
      </x:c>
      <x:c r="AB495" s="153" t="n">
        <x:v>2.29</x:v>
      </x:c>
      <x:c r="AC495" s="153" t="n">
        <x:v>117.5376</x:v>
      </x:c>
      <x:c r="AD495" s="155" t="n">
        <x:v>46065</x:v>
      </x:c>
      <x:c r="AE495" s="154" t="n">
        <x:f>IFERROR(AC495/AC494-1,"")</x:f>
        <x:v>0.0006597985188161459</x:v>
      </x:c>
      <x:c r="AF495" s="153" t="n">
        <x:v>20.82</x:v>
      </x:c>
      <x:c r="AG495" s="155" t="n">
        <x:v>46065</x:v>
      </x:c>
      <x:c r="AH495" s="153" t="n">
        <x:f>IFERROR(AF495-AF494,"")</x:f>
        <x:v>3.1700000000000017</x:v>
      </x:c>
      <x:c r="AI495" s="153" t="n">
        <x:v>3.64</x:v>
      </x:c>
      <x:c r="AJ495" s="155" t="n">
        <x:v>46059</x:v>
      </x:c>
      <x:c r="AK495" s="159" t="n">
        <x:v>92072</x:v>
      </x:c>
      <x:c r="AL495" s="154" t="n">
        <x:v>0.22473358164874271</x:v>
      </x:c>
      <x:c r="AM495" s="159" t="n">
        <x:v>-24634</x:v>
      </x:c>
      <x:c r="AN495" s="155" t="n">
        <x:v>46059</x:v>
      </x:c>
      <x:c r="AO495" s="159" t="n">
        <x:v>4983</x:v>
      </x:c>
      <x:c r="AP495" s="154" t="n">
        <x:v>0.03480234669646599</x:v>
      </x:c>
      <x:c r="AQ495" s="159" t="n">
        <x:v>-18267</x:v>
      </x:c>
      <x:c r="AR495" s="147" t="str">
        <x:v>美国市场指标与CFTC数据均使用严格早于上金所交易日的最后已发布值</x:v>
      </x:c>
    </x:row>
    <x:row r="496">
      <x:c r="A496" s="155" t="n">
        <x:v>46077</x:v>
      </x:c>
      <x:c r="B496" s="153" t="n">
        <x:v>1155</x:v>
      </x:c>
      <x:c r="C496" s="153" t="n">
        <x:v>1158</x:v>
      </x:c>
      <x:c r="D496" s="153" t="n">
        <x:v>1138.3</x:v>
      </x:c>
      <x:c r="E496" s="153" t="n">
        <x:v>1147.66</x:v>
      </x:c>
      <x:c r="F496" s="154" t="n">
        <x:f>IFERROR(E496/E495-1,"")</x:f>
        <x:v>0.03493489160624752</x:v>
      </x:c>
      <x:c r="G496" s="154" t="n">
        <x:f>IFERROR((C496-D496)/E495,"")</x:f>
        <x:v>0.017765032644374748</x:v>
      </x:c>
      <x:c r="H496" s="153" t="n">
        <x:v>1147.89</x:v>
      </x:c>
      <x:c r="I496" s="158" t="n">
        <x:v>8654.14</x:v>
      </x:c>
      <x:c r="J496" s="158" t="n">
        <x:v>9934034450.2</x:v>
      </x:c>
      <x:c r="K496" s="158"/>
      <x:c r="L496" s="153" t="n">
        <x:v>21970</x:v>
      </x:c>
      <x:c r="M496" s="153" t="n">
        <x:v>22000</x:v>
      </x:c>
      <x:c r="N496" s="153" t="n">
        <x:v>20768</x:v>
      </x:c>
      <x:c r="O496" s="153" t="n">
        <x:v>21486</x:v>
      </x:c>
      <x:c r="P496" s="154" t="n">
        <x:f>IFERROR(O496/O495-1,"")</x:f>
        <x:v>0.1149974052932019</x:v>
      </x:c>
      <x:c r="Q496" s="154" t="n">
        <x:f>IFERROR((M496-N496)/O495,"")</x:f>
        <x:v>0.06393357550596783</x:v>
      </x:c>
      <x:c r="R496" s="153" t="n">
        <x:v>21361</x:v>
      </x:c>
      <x:c r="S496" s="158" t="n">
        <x:v>200612</x:v>
      </x:c>
      <x:c r="T496" s="158" t="n">
        <x:v>4285341562</x:v>
      </x:c>
      <x:c r="U496" s="158" t="n">
        <x:v>3078878</x:v>
      </x:c>
      <x:c r="V496" s="153" t="n">
        <x:f>IFERROR(E496*1000/O496,"")</x:f>
        <x:v>53.41431629898538</x:v>
      </x:c>
      <x:c r="W496" s="153" t="n">
        <x:v>4.03</x:v>
      </x:c>
      <x:c r="X496" s="155" t="n">
        <x:v>46076</x:v>
      </x:c>
      <x:c r="Y496" s="153" t="n">
        <x:v>1.77</x:v>
      </x:c>
      <x:c r="Z496" s="155" t="n">
        <x:v>46076</x:v>
      </x:c>
      <x:c r="AA496" s="153" t="n">
        <x:f>IFERROR(Y496-Y495,"")</x:f>
        <x:v>-0.030000000000000027</x:v>
      </x:c>
      <x:c r="AB496" s="153" t="n">
        <x:v>2.26</x:v>
      </x:c>
      <x:c r="AC496" s="153" t="n">
        <x:v>117.9395</x:v>
      </x:c>
      <x:c r="AD496" s="155" t="n">
        <x:v>46076</x:v>
      </x:c>
      <x:c r="AE496" s="154" t="n">
        <x:f>IFERROR(AC496/AC495-1,"")</x:f>
        <x:v>0.0034193313458841246</x:v>
      </x:c>
      <x:c r="AF496" s="153" t="n">
        <x:v>21.01</x:v>
      </x:c>
      <x:c r="AG496" s="155" t="n">
        <x:v>46076</x:v>
      </x:c>
      <x:c r="AH496" s="153" t="n">
        <x:f>IFERROR(AF496-AF495,"")</x:f>
        <x:v>0.19000000000000128</x:v>
      </x:c>
      <x:c r="AI496" s="153" t="n">
        <x:v>3.64</x:v>
      </x:c>
      <x:c r="AJ496" s="155" t="n">
        <x:v>46073</x:v>
      </x:c>
      <x:c r="AK496" s="159" t="n">
        <x:v>95893</x:v>
      </x:c>
      <x:c r="AL496" s="154" t="n">
        <x:v>0.23556419162912268</x:v>
      </x:c>
      <x:c r="AM496" s="159" t="n">
        <x:v>-21398</x:v>
      </x:c>
      <x:c r="AN496" s="155" t="n">
        <x:v>46073</x:v>
      </x:c>
      <x:c r="AO496" s="159" t="n">
        <x:v>5968</x:v>
      </x:c>
      <x:c r="AP496" s="154" t="n">
        <x:v>0.04538541096307112</x:v>
      </x:c>
      <x:c r="AQ496" s="159" t="n">
        <x:v>-15883</x:v>
      </x:c>
      <x:c r="AR496" s="147" t="str">
        <x:v>美国市场指标与CFTC数据均使用严格早于上金所交易日的最后已发布值</x:v>
      </x:c>
    </x:row>
    <x:row r="497">
      <x:c r="A497" s="155" t="n">
        <x:v>46078</x:v>
      </x:c>
      <x:c r="B497" s="153" t="n">
        <x:v>1146.1</x:v>
      </x:c>
      <x:c r="C497" s="153" t="n">
        <x:v>1155</x:v>
      </x:c>
      <x:c r="D497" s="153" t="n">
        <x:v>1136</x:v>
      </x:c>
      <x:c r="E497" s="153" t="n">
        <x:v>1145.64</x:v>
      </x:c>
      <x:c r="F497" s="154" t="n">
        <x:f>IFERROR(E497/E496-1,"")</x:f>
        <x:v>-0.0017601031664430389</x:v>
      </x:c>
      <x:c r="G497" s="154" t="n">
        <x:f>IFERROR((C497-D497)/E496,"")</x:f>
        <x:v>0.01655542582297893</x:v>
      </x:c>
      <x:c r="H497" s="153" t="n">
        <x:v>1147.48</x:v>
      </x:c>
      <x:c r="I497" s="158" t="n">
        <x:v>5667.06</x:v>
      </x:c>
      <x:c r="J497" s="158" t="n">
        <x:v>6502884922.6</x:v>
      </x:c>
      <x:c r="K497" s="158"/>
      <x:c r="L497" s="153" t="n">
        <x:v>21499</x:v>
      </x:c>
      <x:c r="M497" s="153" t="n">
        <x:v>22400</x:v>
      </x:c>
      <x:c r="N497" s="153" t="n">
        <x:v>21123</x:v>
      </x:c>
      <x:c r="O497" s="153" t="n">
        <x:v>22131</x:v>
      </x:c>
      <x:c r="P497" s="154" t="n">
        <x:f>IFERROR(O497/O496-1,"")</x:f>
        <x:v>0.030019547612398778</x:v>
      </x:c>
      <x:c r="Q497" s="154" t="n">
        <x:f>IFERROR((M497-N497)/O496,"")</x:f>
        <x:v>0.05943405007912129</x:v>
      </x:c>
      <x:c r="R497" s="153" t="n">
        <x:v>21846</x:v>
      </x:c>
      <x:c r="S497" s="158" t="n">
        <x:v>244086</x:v>
      </x:c>
      <x:c r="T497" s="158" t="n">
        <x:v>5332526122</x:v>
      </x:c>
      <x:c r="U497" s="158" t="n">
        <x:v>3087676</x:v>
      </x:c>
      <x:c r="V497" s="153" t="n">
        <x:f>IFERROR(E497*1000/O497,"")</x:f>
        <x:v>51.76630066422665</x:v>
      </x:c>
      <x:c r="W497" s="153" t="n">
        <x:v>4.04</x:v>
      </x:c>
      <x:c r="X497" s="155" t="n">
        <x:v>46077</x:v>
      </x:c>
      <x:c r="Y497" s="153" t="n">
        <x:v>1.78</x:v>
      </x:c>
      <x:c r="Z497" s="155" t="n">
        <x:v>46077</x:v>
      </x:c>
      <x:c r="AA497" s="153" t="n">
        <x:f>IFERROR(Y497-Y496,"")</x:f>
        <x:v>0.010000000000000009</x:v>
      </x:c>
      <x:c r="AB497" s="153" t="n">
        <x:v>2.26</x:v>
      </x:c>
      <x:c r="AC497" s="153" t="n">
        <x:v>117.9463</x:v>
      </x:c>
      <x:c r="AD497" s="155" t="n">
        <x:v>46077</x:v>
      </x:c>
      <x:c r="AE497" s="154" t="n">
        <x:f>IFERROR(AC497/AC496-1,"")</x:f>
        <x:v>0.00005765667990798029</x:v>
      </x:c>
      <x:c r="AF497" s="153" t="n">
        <x:v>19.55</x:v>
      </x:c>
      <x:c r="AG497" s="155" t="n">
        <x:v>46077</x:v>
      </x:c>
      <x:c r="AH497" s="153" t="n">
        <x:f>IFERROR(AF497-AF496,"")</x:f>
        <x:v>-1.4600000000000009</x:v>
      </x:c>
      <x:c r="AI497" s="153" t="n">
        <x:v>3.64</x:v>
      </x:c>
      <x:c r="AJ497" s="155" t="n">
        <x:v>46073</x:v>
      </x:c>
      <x:c r="AK497" s="159" t="n">
        <x:v>95893</x:v>
      </x:c>
      <x:c r="AL497" s="154" t="n">
        <x:v>0.23556419162912268</x:v>
      </x:c>
      <x:c r="AM497" s="159" t="n">
        <x:v>-21398</x:v>
      </x:c>
      <x:c r="AN497" s="155" t="n">
        <x:v>46073</x:v>
      </x:c>
      <x:c r="AO497" s="159" t="n">
        <x:v>5968</x:v>
      </x:c>
      <x:c r="AP497" s="154" t="n">
        <x:v>0.04538541096307112</x:v>
      </x:c>
      <x:c r="AQ497" s="159" t="n">
        <x:v>-15883</x:v>
      </x:c>
      <x:c r="AR497" s="147" t="str">
        <x:v>美国市场指标与CFTC数据均使用严格早于上金所交易日的最后已发布值</x:v>
      </x:c>
    </x:row>
    <x:row r="498">
      <x:c r="A498" s="155" t="n">
        <x:v>46079</x:v>
      </x:c>
      <x:c r="B498" s="153" t="n">
        <x:v>1145.1</x:v>
      </x:c>
      <x:c r="C498" s="153" t="n">
        <x:v>1150</x:v>
      </x:c>
      <x:c r="D498" s="153" t="n">
        <x:v>1141.51</x:v>
      </x:c>
      <x:c r="E498" s="153" t="n">
        <x:v>1144.51</x:v>
      </x:c>
      <x:c r="F498" s="154" t="n">
        <x:f>IFERROR(E498/E497-1,"")</x:f>
        <x:v>-0.000986348242030699</x:v>
      </x:c>
      <x:c r="G498" s="154" t="n">
        <x:f>IFERROR((C498-D498)/E497,"")</x:f>
        <x:v>0.007410704933486966</x:v>
      </x:c>
      <x:c r="H498" s="153" t="n">
        <x:v>1143.86</x:v>
      </x:c>
      <x:c r="I498" s="158" t="n">
        <x:v>5349.96</x:v>
      </x:c>
      <x:c r="J498" s="158" t="n">
        <x:v>6119650269.8</x:v>
      </x:c>
      <x:c r="K498" s="158"/>
      <x:c r="L498" s="153" t="n">
        <x:v>22165</x:v>
      </x:c>
      <x:c r="M498" s="153" t="n">
        <x:v>22418</x:v>
      </x:c>
      <x:c r="N498" s="153" t="n">
        <x:v>21570</x:v>
      </x:c>
      <x:c r="O498" s="153" t="n">
        <x:v>21600</x:v>
      </x:c>
      <x:c r="P498" s="154" t="n">
        <x:f>IFERROR(O498/O497-1,"")</x:f>
        <x:v>-0.02399349328995526</x:v>
      </x:c>
      <x:c r="Q498" s="154" t="n">
        <x:f>IFERROR((M498-N498)/O497,"")</x:f>
        <x:v>0.03831729248565361</x:v>
      </x:c>
      <x:c r="R498" s="153" t="n">
        <x:v>21911</x:v>
      </x:c>
      <x:c r="S498" s="158" t="n">
        <x:v>226742</x:v>
      </x:c>
      <x:c r="T498" s="158" t="n">
        <x:v>4968332338</x:v>
      </x:c>
      <x:c r="U498" s="158" t="n">
        <x:v>3074428</x:v>
      </x:c>
      <x:c r="V498" s="153" t="n">
        <x:f>IFERROR(E498*1000/O498,"")</x:f>
        <x:v>52.98657407407408</x:v>
      </x:c>
      <x:c r="W498" s="153" t="n">
        <x:v>4.05</x:v>
      </x:c>
      <x:c r="X498" s="155" t="n">
        <x:v>46078</x:v>
      </x:c>
      <x:c r="Y498" s="153" t="n">
        <x:v>1.77</x:v>
      </x:c>
      <x:c r="Z498" s="155" t="n">
        <x:v>46078</x:v>
      </x:c>
      <x:c r="AA498" s="153" t="n">
        <x:f>IFERROR(Y498-Y497,"")</x:f>
        <x:v>-0.010000000000000009</x:v>
      </x:c>
      <x:c r="AB498" s="153" t="n">
        <x:v>2.28</x:v>
      </x:c>
      <x:c r="AC498" s="153" t="n">
        <x:v>117.769</x:v>
      </x:c>
      <x:c r="AD498" s="155" t="n">
        <x:v>46078</x:v>
      </x:c>
      <x:c r="AE498" s="154" t="n">
        <x:f>IFERROR(AC498/AC497-1,"")</x:f>
        <x:v>-0.0015032264683164653</x:v>
      </x:c>
      <x:c r="AF498" s="153" t="n">
        <x:v>17.93</x:v>
      </x:c>
      <x:c r="AG498" s="155" t="n">
        <x:v>46078</x:v>
      </x:c>
      <x:c r="AH498" s="153" t="n">
        <x:f>IFERROR(AF498-AF497,"")</x:f>
        <x:v>-1.620000000000001</x:v>
      </x:c>
      <x:c r="AI498" s="153" t="n">
        <x:v>3.64</x:v>
      </x:c>
      <x:c r="AJ498" s="155" t="n">
        <x:v>46073</x:v>
      </x:c>
      <x:c r="AK498" s="159" t="n">
        <x:v>95893</x:v>
      </x:c>
      <x:c r="AL498" s="154" t="n">
        <x:v>0.23556419162912268</x:v>
      </x:c>
      <x:c r="AM498" s="159" t="n">
        <x:v>-21398</x:v>
      </x:c>
      <x:c r="AN498" s="155" t="n">
        <x:v>46073</x:v>
      </x:c>
      <x:c r="AO498" s="159" t="n">
        <x:v>5968</x:v>
      </x:c>
      <x:c r="AP498" s="154" t="n">
        <x:v>0.04538541096307112</x:v>
      </x:c>
      <x:c r="AQ498" s="159" t="n">
        <x:v>-15883</x:v>
      </x:c>
      <x:c r="AR498" s="147" t="str">
        <x:v>美国市场指标与CFTC数据均使用严格早于上金所交易日的最后已发布值</x:v>
      </x:c>
    </x:row>
    <x:row r="499">
      <x:c r="A499" s="155" t="n">
        <x:v>46080</x:v>
      </x:c>
      <x:c r="B499" s="153" t="n">
        <x:v>1144.99</x:v>
      </x:c>
      <x:c r="C499" s="153" t="n">
        <x:v>1147.9</x:v>
      </x:c>
      <x:c r="D499" s="153" t="n">
        <x:v>1135</x:v>
      </x:c>
      <x:c r="E499" s="153" t="n">
        <x:v>1142.97</x:v>
      </x:c>
      <x:c r="F499" s="154" t="n">
        <x:f>IFERROR(E499/E498-1,"")</x:f>
        <x:v>-0.0013455539925382176</x:v>
      </x:c>
      <x:c r="G499" s="154" t="n">
        <x:f>IFERROR((C499-D499)/E498,"")</x:f>
        <x:v>0.011271199028405248</x:v>
      </x:c>
      <x:c r="H499" s="153" t="n">
        <x:v>1144.92</x:v>
      </x:c>
      <x:c r="I499" s="158" t="n">
        <x:v>4762.58</x:v>
      </x:c>
      <x:c r="J499" s="158" t="n">
        <x:v>5452813276.4</x:v>
      </x:c>
      <x:c r="K499" s="158"/>
      <x:c r="L499" s="153" t="n">
        <x:v>21280</x:v>
      </x:c>
      <x:c r="M499" s="153" t="n">
        <x:v>22418</x:v>
      </x:c>
      <x:c r="N499" s="153" t="n">
        <x:v>21015</x:v>
      </x:c>
      <x:c r="O499" s="153" t="n">
        <x:v>22369</x:v>
      </x:c>
      <x:c r="P499" s="154" t="n">
        <x:f>IFERROR(O499/O498-1,"")</x:f>
        <x:v>0.03560185185185194</x:v>
      </x:c>
      <x:c r="Q499" s="154" t="n">
        <x:f>IFERROR((M499-N499)/O498,"")</x:f>
        <x:v>0.06495370370370371</x:v>
      </x:c>
      <x:c r="R499" s="153" t="n">
        <x:v>22045</x:v>
      </x:c>
      <x:c r="S499" s="158" t="n">
        <x:v>498864</x:v>
      </x:c>
      <x:c r="T499" s="158" t="n">
        <x:v>10997898918</x:v>
      </x:c>
      <x:c r="U499" s="158" t="n">
        <x:v>2988126</x:v>
      </x:c>
      <x:c r="V499" s="153" t="n">
        <x:f>IFERROR(E499*1000/O499,"")</x:f>
        <x:v>51.096159864097636</x:v>
      </x:c>
      <x:c r="W499" s="153" t="n">
        <x:v>4.02</x:v>
      </x:c>
      <x:c r="X499" s="155" t="n">
        <x:v>46079</x:v>
      </x:c>
      <x:c r="Y499" s="153" t="n">
        <x:v>1.74</x:v>
      </x:c>
      <x:c r="Z499" s="155" t="n">
        <x:v>46079</x:v>
      </x:c>
      <x:c r="AA499" s="153" t="n">
        <x:f>IFERROR(Y499-Y498,"")</x:f>
        <x:v>-0.030000000000000027</x:v>
      </x:c>
      <x:c r="AB499" s="153" t="n">
        <x:v>2.28</x:v>
      </x:c>
      <x:c r="AC499" s="153" t="n">
        <x:v>117.9042</x:v>
      </x:c>
      <x:c r="AD499" s="155" t="n">
        <x:v>46079</x:v>
      </x:c>
      <x:c r="AE499" s="154" t="n">
        <x:f>IFERROR(AC499/AC498-1,"")</x:f>
        <x:v>0.0011480100875442822</x:v>
      </x:c>
      <x:c r="AF499" s="153" t="n">
        <x:v>18.63</x:v>
      </x:c>
      <x:c r="AG499" s="155" t="n">
        <x:v>46079</x:v>
      </x:c>
      <x:c r="AH499" s="153" t="n">
        <x:f>IFERROR(AF499-AF498,"")</x:f>
        <x:v>0.6999999999999993</x:v>
      </x:c>
      <x:c r="AI499" s="153" t="n">
        <x:v>3.64</x:v>
      </x:c>
      <x:c r="AJ499" s="155" t="n">
        <x:v>46073</x:v>
      </x:c>
      <x:c r="AK499" s="159" t="n">
        <x:v>95893</x:v>
      </x:c>
      <x:c r="AL499" s="154" t="n">
        <x:v>0.23556419162912268</x:v>
      </x:c>
      <x:c r="AM499" s="159" t="n">
        <x:v>-21398</x:v>
      </x:c>
      <x:c r="AN499" s="155" t="n">
        <x:v>46073</x:v>
      </x:c>
      <x:c r="AO499" s="159" t="n">
        <x:v>5968</x:v>
      </x:c>
      <x:c r="AP499" s="154" t="n">
        <x:v>0.04538541096307112</x:v>
      </x:c>
      <x:c r="AQ499" s="159" t="n">
        <x:v>-15883</x:v>
      </x:c>
      <x:c r="AR499" s="147" t="str">
        <x:v>美国市场指标与CFTC数据均使用严格早于上金所交易日的最后已发布值</x:v>
      </x:c>
    </x:row>
    <x:row r="500">
      <x:c r="A500" s="155" t="n">
        <x:v>46085</x:v>
      </x:c>
      <x:c r="B500" s="153" t="n">
        <x:v>1149</x:v>
      </x:c>
      <x:c r="C500" s="153" t="n">
        <x:v>1169</x:v>
      </x:c>
      <x:c r="D500" s="153" t="n">
        <x:v>1125</x:v>
      </x:c>
      <x:c r="E500" s="153" t="n">
        <x:v>1153.18</x:v>
      </x:c>
      <x:c r="F500" s="154" t="n">
        <x:f>IFERROR(E500/E499-1,"")</x:f>
        <x:v>0.008932867879297035</x:v>
      </x:c>
      <x:c r="G500" s="154" t="n">
        <x:f>IFERROR((C500-D500)/E499,"")</x:f>
        <x:v>0.038496198500398086</x:v>
      </x:c>
      <x:c r="H500" s="153" t="n">
        <x:v>1153.11</x:v>
      </x:c>
      <x:c r="I500" s="158" t="n">
        <x:v>14920.22</x:v>
      </x:c>
      <x:c r="J500" s="158" t="n">
        <x:v>17204738616.4</x:v>
      </x:c>
      <x:c r="K500" s="158"/>
      <x:c r="L500" s="153" t="n">
        <x:v>20301</x:v>
      </x:c>
      <x:c r="M500" s="153" t="n">
        <x:v>21680</x:v>
      </x:c>
      <x:c r="N500" s="153" t="n">
        <x:v>20022</x:v>
      </x:c>
      <x:c r="O500" s="153" t="n">
        <x:v>21561</x:v>
      </x:c>
      <x:c r="P500" s="154" t="n">
        <x:f>IFERROR(O500/O499-1,"")</x:f>
        <x:v>-0.03612141803388613</x:v>
      </x:c>
      <x:c r="Q500" s="154" t="n">
        <x:f>IFERROR((M500-N500)/O499,"")</x:f>
        <x:v>0.07412043452992981</x:v>
      </x:c>
      <x:c r="R500" s="153" t="n">
        <x:v>21215</x:v>
      </x:c>
      <x:c r="S500" s="158" t="n">
        <x:v>546706</x:v>
      </x:c>
      <x:c r="T500" s="158" t="n">
        <x:v>11598737144</x:v>
      </x:c>
      <x:c r="U500" s="158" t="n">
        <x:v>2977650</x:v>
      </x:c>
      <x:c r="V500" s="153" t="n">
        <x:f>IFERROR(E500*1000/O500,"")</x:f>
        <x:v>53.48453225731645</x:v>
      </x:c>
      <x:c r="W500" s="153" t="n">
        <x:v>4.06</x:v>
      </x:c>
      <x:c r="X500" s="155" t="n">
        <x:v>46084</x:v>
      </x:c>
      <x:c r="Y500" s="153" t="n">
        <x:v>1.77</x:v>
      </x:c>
      <x:c r="Z500" s="155" t="n">
        <x:v>46084</x:v>
      </x:c>
      <x:c r="AA500" s="153" t="n">
        <x:f>IFERROR(Y500-Y499,"")</x:f>
        <x:v>0.030000000000000027</x:v>
      </x:c>
      <x:c r="AB500" s="153" t="n">
        <x:v>2.29</x:v>
      </x:c>
      <x:c r="AC500" s="153" t="n">
        <x:v>119.4341</x:v>
      </x:c>
      <x:c r="AD500" s="155" t="n">
        <x:v>46084</x:v>
      </x:c>
      <x:c r="AE500" s="154" t="n">
        <x:f>IFERROR(AC500/AC499-1,"")</x:f>
        <x:v>0.012975788818379685</x:v>
      </x:c>
      <x:c r="AF500" s="153" t="n">
        <x:v>23.57</x:v>
      </x:c>
      <x:c r="AG500" s="155" t="n">
        <x:v>46084</x:v>
      </x:c>
      <x:c r="AH500" s="153" t="n">
        <x:f>IFERROR(AF500-AF499,"")</x:f>
        <x:v>4.940000000000001</x:v>
      </x:c>
      <x:c r="AI500" s="153" t="n">
        <x:v>3.64</x:v>
      </x:c>
      <x:c r="AJ500" s="155" t="n">
        <x:v>46080</x:v>
      </x:c>
      <x:c r="AK500" s="159" t="n">
        <x:v>95974</x:v>
      </x:c>
      <x:c r="AL500" s="154" t="n">
        <x:v>0.22841054590629775</x:v>
      </x:c>
      <x:c r="AM500" s="159" t="n">
        <x:v>-19818</x:v>
      </x:c>
      <x:c r="AN500" s="155" t="n">
        <x:v>46080</x:v>
      </x:c>
      <x:c r="AO500" s="159" t="n">
        <x:v>8523</x:v>
      </x:c>
      <x:c r="AP500" s="154" t="n">
        <x:v>0.06793725190109522</x:v>
      </x:c>
      <x:c r="AQ500" s="159" t="n">
        <x:v>-16675</x:v>
      </x:c>
      <x:c r="AR500" s="147" t="str">
        <x:v>美国市场指标与CFTC数据均使用严格早于上金所交易日的最后已发布值</x:v>
      </x:c>
    </x:row>
    <x:row r="501">
      <x:c r="A501" s="155" t="n">
        <x:v>46086</x:v>
      </x:c>
      <x:c r="B501" s="153" t="n">
        <x:v>1154</x:v>
      </x:c>
      <x:c r="C501" s="153" t="n">
        <x:v>1158</x:v>
      </x:c>
      <x:c r="D501" s="153" t="n">
        <x:v>1140.38</x:v>
      </x:c>
      <x:c r="E501" s="153" t="n">
        <x:v>1149.61</x:v>
      </x:c>
      <x:c r="F501" s="154" t="n">
        <x:f>IFERROR(E501/E500-1,"")</x:f>
        <x:v>-0.00309578730120208</x:v>
      </x:c>
      <x:c r="G501" s="154" t="n">
        <x:f>IFERROR((C501-D501)/E500,"")</x:f>
        <x:v>0.015279488024419335</x:v>
      </x:c>
      <x:c r="H501" s="153" t="n">
        <x:v>1148.93</x:v>
      </x:c>
      <x:c r="I501" s="158" t="n">
        <x:v>11192.04</x:v>
      </x:c>
      <x:c r="J501" s="158" t="n">
        <x:v>12858909990.2</x:v>
      </x:c>
      <x:c r="K501" s="158"/>
      <x:c r="L501" s="153" t="n">
        <x:v>21820</x:v>
      </x:c>
      <x:c r="M501" s="153" t="n">
        <x:v>21935</x:v>
      </x:c>
      <x:c r="N501" s="153" t="n">
        <x:v>20400</x:v>
      </x:c>
      <x:c r="O501" s="153" t="n">
        <x:v>21068</x:v>
      </x:c>
      <x:c r="P501" s="154" t="n">
        <x:f>IFERROR(O501/O500-1,"")</x:f>
        <x:v>-0.022865358749594167</x:v>
      </x:c>
      <x:c r="Q501" s="154" t="n">
        <x:f>IFERROR((M501-N501)/O500,"")</x:f>
        <x:v>0.07119335837855387</x:v>
      </x:c>
      <x:c r="R501" s="153" t="n">
        <x:v>21187</x:v>
      </x:c>
      <x:c r="S501" s="158" t="n">
        <x:v>431928</x:v>
      </x:c>
      <x:c r="T501" s="158" t="n">
        <x:v>9151578430</x:v>
      </x:c>
      <x:c r="U501" s="158" t="n">
        <x:v>2966324</x:v>
      </x:c>
      <x:c r="V501" s="153" t="n">
        <x:f>IFERROR(E501*1000/O501,"")</x:f>
        <x:v>54.566641351813175</x:v>
      </x:c>
      <x:c r="W501" s="153" t="n">
        <x:v>4.09</x:v>
      </x:c>
      <x:c r="X501" s="155" t="n">
        <x:v>46085</x:v>
      </x:c>
      <x:c r="Y501" s="153" t="n">
        <x:v>1.8</x:v>
      </x:c>
      <x:c r="Z501" s="155" t="n">
        <x:v>46085</x:v>
      </x:c>
      <x:c r="AA501" s="153" t="n">
        <x:f>IFERROR(Y501-Y500,"")</x:f>
        <x:v>0.030000000000000027</x:v>
      </x:c>
      <x:c r="AB501" s="153" t="n">
        <x:v>2.29</x:v>
      </x:c>
      <x:c r="AC501" s="153" t="n">
        <x:v>119.0705</x:v>
      </x:c>
      <x:c r="AD501" s="155" t="n">
        <x:v>46085</x:v>
      </x:c>
      <x:c r="AE501" s="154" t="n">
        <x:f>IFERROR(AC501/AC500-1,"")</x:f>
        <x:v>-0.0030443566787040632</x:v>
      </x:c>
      <x:c r="AF501" s="153" t="n">
        <x:v>21.15</x:v>
      </x:c>
      <x:c r="AG501" s="155" t="n">
        <x:v>46085</x:v>
      </x:c>
      <x:c r="AH501" s="153" t="n">
        <x:f>IFERROR(AF501-AF500,"")</x:f>
        <x:v>-2.4200000000000017</x:v>
      </x:c>
      <x:c r="AI501" s="153" t="n">
        <x:v>3.64</x:v>
      </x:c>
      <x:c r="AJ501" s="155" t="n">
        <x:v>46080</x:v>
      </x:c>
      <x:c r="AK501" s="159" t="n">
        <x:v>95974</x:v>
      </x:c>
      <x:c r="AL501" s="154" t="n">
        <x:v>0.22841054590629775</x:v>
      </x:c>
      <x:c r="AM501" s="159" t="n">
        <x:v>-19818</x:v>
      </x:c>
      <x:c r="AN501" s="155" t="n">
        <x:v>46080</x:v>
      </x:c>
      <x:c r="AO501" s="159" t="n">
        <x:v>8523</x:v>
      </x:c>
      <x:c r="AP501" s="154" t="n">
        <x:v>0.06793725190109522</x:v>
      </x:c>
      <x:c r="AQ501" s="159" t="n">
        <x:v>-16675</x:v>
      </x:c>
      <x:c r="AR501" s="147" t="str">
        <x:v>美国市场指标与CFTC数据均使用严格早于上金所交易日的最后已发布值</x:v>
      </x:c>
    </x:row>
    <x:row r="502">
      <x:c r="A502" s="155" t="n">
        <x:v>46087</x:v>
      </x:c>
      <x:c r="B502" s="153" t="n">
        <x:v>1151</x:v>
      </x:c>
      <x:c r="C502" s="153" t="n">
        <x:v>1151</x:v>
      </x:c>
      <x:c r="D502" s="153" t="n">
        <x:v>1132</x:v>
      </x:c>
      <x:c r="E502" s="153" t="n">
        <x:v>1139.33</x:v>
      </x:c>
      <x:c r="F502" s="154" t="n">
        <x:f>IFERROR(E502/E501-1,"")</x:f>
        <x:v>-0.008942162994406755</x:v>
      </x:c>
      <x:c r="G502" s="154" t="n">
        <x:f>IFERROR((C502-D502)/E501,"")</x:f>
        <x:v>0.016527344055810234</x:v>
      </x:c>
      <x:c r="H502" s="153" t="n">
        <x:v>1140.96</x:v>
      </x:c>
      <x:c r="I502" s="158" t="n">
        <x:v>8829.76</x:v>
      </x:c>
      <x:c r="J502" s="158" t="n">
        <x:v>10074425128.8</x:v>
      </x:c>
      <x:c r="K502" s="158"/>
      <x:c r="L502" s="153" t="n">
        <x:v>21370</x:v>
      </x:c>
      <x:c r="M502" s="153" t="n">
        <x:v>21427</x:v>
      </x:c>
      <x:c r="N502" s="153" t="n">
        <x:v>20719</x:v>
      </x:c>
      <x:c r="O502" s="153" t="n">
        <x:v>21350</x:v>
      </x:c>
      <x:c r="P502" s="154" t="n">
        <x:f>IFERROR(O502/O501-1,"")</x:f>
        <x:v>0.013385228782988312</x:v>
      </x:c>
      <x:c r="Q502" s="154" t="n">
        <x:f>IFERROR((M502-N502)/O501,"")</x:f>
        <x:v>0.0336054680083539</x:v>
      </x:c>
      <x:c r="R502" s="153" t="n">
        <x:v>21205</x:v>
      </x:c>
      <x:c r="S502" s="158" t="n">
        <x:v>311098</x:v>
      </x:c>
      <x:c r="T502" s="158" t="n">
        <x:v>6597074248</x:v>
      </x:c>
      <x:c r="U502" s="158" t="n">
        <x:v>2941700</x:v>
      </x:c>
      <x:c r="V502" s="153" t="n">
        <x:f>IFERROR(E502*1000/O502,"")</x:f>
        <x:v>53.36440281030445</x:v>
      </x:c>
      <x:c r="W502" s="153" t="n">
        <x:v>4.13</x:v>
      </x:c>
      <x:c r="X502" s="155" t="n">
        <x:v>46086</x:v>
      </x:c>
      <x:c r="Y502" s="153" t="n">
        <x:v>1.82</x:v>
      </x:c>
      <x:c r="Z502" s="155" t="n">
        <x:v>46086</x:v>
      </x:c>
      <x:c r="AA502" s="153" t="n">
        <x:f>IFERROR(Y502-Y501,"")</x:f>
        <x:v>0.020000000000000018</x:v>
      </x:c>
      <x:c r="AB502" s="153" t="n">
        <x:v>2.31</x:v>
      </x:c>
      <x:c r="AC502" s="153" t="n">
        <x:v>119.5683</x:v>
      </x:c>
      <x:c r="AD502" s="155" t="n">
        <x:v>46086</x:v>
      </x:c>
      <x:c r="AE502" s="154" t="n">
        <x:f>IFERROR(AC502/AC501-1,"")</x:f>
        <x:v>0.004180716466295253</x:v>
      </x:c>
      <x:c r="AF502" s="153" t="n">
        <x:v>23.75</x:v>
      </x:c>
      <x:c r="AG502" s="155" t="n">
        <x:v>46086</x:v>
      </x:c>
      <x:c r="AH502" s="153" t="n">
        <x:f>IFERROR(AF502-AF501,"")</x:f>
        <x:v>2.6000000000000014</x:v>
      </x:c>
      <x:c r="AI502" s="153" t="n">
        <x:v>3.64</x:v>
      </x:c>
      <x:c r="AJ502" s="155" t="n">
        <x:v>46080</x:v>
      </x:c>
      <x:c r="AK502" s="159" t="n">
        <x:v>95974</x:v>
      </x:c>
      <x:c r="AL502" s="154" t="n">
        <x:v>0.22841054590629775</x:v>
      </x:c>
      <x:c r="AM502" s="159" t="n">
        <x:v>-19818</x:v>
      </x:c>
      <x:c r="AN502" s="155" t="n">
        <x:v>46080</x:v>
      </x:c>
      <x:c r="AO502" s="159" t="n">
        <x:v>8523</x:v>
      </x:c>
      <x:c r="AP502" s="154" t="n">
        <x:v>0.06793725190109522</x:v>
      </x:c>
      <x:c r="AQ502" s="159" t="n">
        <x:v>-16675</x:v>
      </x:c>
      <x:c r="AR502" s="147" t="str">
        <x:v>美国市场指标与CFTC数据均使用严格早于上金所交易日的最后已发布值</x:v>
      </x:c>
    </x:row>
    <x:row r="503">
      <x:c r="A503" s="155" t="n">
        <x:v>46090</x:v>
      </x:c>
      <x:c r="B503" s="153" t="n">
        <x:v>1135</x:v>
      </x:c>
      <x:c r="C503" s="153" t="n">
        <x:v>1160</x:v>
      </x:c>
      <x:c r="D503" s="153" t="n">
        <x:v>1120</x:v>
      </x:c>
      <x:c r="E503" s="153" t="n">
        <x:v>1140.38</x:v>
      </x:c>
      <x:c r="F503" s="154" t="n">
        <x:f>IFERROR(E503/E502-1,"")</x:f>
        <x:v>0.0009215942703169056</x:v>
      </x:c>
      <x:c r="G503" s="154" t="n">
        <x:f>IFERROR((C503-D503)/E502,"")</x:f>
        <x:v>0.03510835315492439</x:v>
      </x:c>
      <x:c r="H503" s="153" t="n">
        <x:v>1138.44</x:v>
      </x:c>
      <x:c r="I503" s="158" t="n">
        <x:v>8365</x:v>
      </x:c>
      <x:c r="J503" s="158" t="n">
        <x:v>9523073459</x:v>
      </x:c>
      <x:c r="K503" s="158"/>
      <x:c r="L503" s="153" t="n">
        <x:v>21000</x:v>
      </x:c>
      <x:c r="M503" s="153" t="n">
        <x:v>21564</x:v>
      </x:c>
      <x:c r="N503" s="153" t="n">
        <x:v>20300</x:v>
      </x:c>
      <x:c r="O503" s="153" t="n">
        <x:v>21290</x:v>
      </x:c>
      <x:c r="P503" s="154" t="n">
        <x:f>IFERROR(O503/O502-1,"")</x:f>
        <x:v>-0.002810304449648693</x:v>
      </x:c>
      <x:c r="Q503" s="154" t="n">
        <x:f>IFERROR((M503-N503)/O502,"")</x:f>
        <x:v>0.05920374707259953</x:v>
      </x:c>
      <x:c r="R503" s="153" t="n">
        <x:v>21104</x:v>
      </x:c>
      <x:c r="S503" s="158" t="n">
        <x:v>466374</x:v>
      </x:c>
      <x:c r="T503" s="158" t="n">
        <x:v>9842466460</x:v>
      </x:c>
      <x:c r="U503" s="158" t="n">
        <x:v>2930272</x:v>
      </x:c>
      <x:c r="V503" s="153" t="n">
        <x:f>IFERROR(E503*1000/O503,"")</x:f>
        <x:v>53.56411460779709</x:v>
      </x:c>
      <x:c r="W503" s="153" t="n">
        <x:v>4.15</x:v>
      </x:c>
      <x:c r="X503" s="155" t="n">
        <x:v>46087</x:v>
      </x:c>
      <x:c r="Y503" s="153" t="n">
        <x:v>1.8</x:v>
      </x:c>
      <x:c r="Z503" s="155" t="n">
        <x:v>46087</x:v>
      </x:c>
      <x:c r="AA503" s="153" t="n">
        <x:f>IFERROR(Y503-Y502,"")</x:f>
        <x:v>-0.020000000000000018</x:v>
      </x:c>
      <x:c r="AB503" s="153" t="n">
        <x:v>2.35</x:v>
      </x:c>
      <x:c r="AC503" s="153" t="n">
        <x:v>119.491</x:v>
      </x:c>
      <x:c r="AD503" s="155" t="n">
        <x:v>46087</x:v>
      </x:c>
      <x:c r="AE503" s="154" t="n">
        <x:f>IFERROR(AC503/AC502-1,"")</x:f>
        <x:v>-0.0006464924231589508</x:v>
      </x:c>
      <x:c r="AF503" s="153" t="n">
        <x:v>29.49</x:v>
      </x:c>
      <x:c r="AG503" s="155" t="n">
        <x:v>46087</x:v>
      </x:c>
      <x:c r="AH503" s="153" t="n">
        <x:f>IFERROR(AF503-AF502,"")</x:f>
        <x:v>5.739999999999998</x:v>
      </x:c>
      <x:c r="AI503" s="153" t="n">
        <x:v>3.64</x:v>
      </x:c>
      <x:c r="AJ503" s="155" t="n">
        <x:v>46087</x:v>
      </x:c>
      <x:c r="AK503" s="159" t="n">
        <x:v>97917</x:v>
      </x:c>
      <x:c r="AL503" s="154" t="n">
        <x:v>0.23894492043466273</x:v>
      </x:c>
      <x:c r="AM503" s="159" t="n">
        <x:v>-20791</x:v>
      </x:c>
      <x:c r="AN503" s="155" t="n">
        <x:v>46087</x:v>
      </x:c>
      <x:c r="AO503" s="159" t="n">
        <x:v>7766</x:v>
      </x:c>
      <x:c r="AP503" s="154" t="n">
        <x:v>0.06852796357411362</x:v>
      </x:c>
      <x:c r="AQ503" s="159" t="n">
        <x:v>-15015</x:v>
      </x:c>
      <x:c r="AR503" s="147" t="str">
        <x:v>美国市场指标与CFTC数据均使用严格早于上金所交易日的最后已发布值</x:v>
      </x:c>
    </x:row>
    <x:row r="504">
      <x:c r="A504" s="155" t="n">
        <x:v>46091</x:v>
      </x:c>
      <x:c r="B504" s="153" t="n">
        <x:v>1139.1</x:v>
      </x:c>
      <x:c r="C504" s="153" t="n">
        <x:v>1151.6</x:v>
      </x:c>
      <x:c r="D504" s="153" t="n">
        <x:v>1132.1</x:v>
      </x:c>
      <x:c r="E504" s="153" t="n">
        <x:v>1144.78</x:v>
      </x:c>
      <x:c r="F504" s="154" t="n">
        <x:f>IFERROR(E504/E503-1,"")</x:f>
        <x:v>0.0038583630018063086</x:v>
      </x:c>
      <x:c r="G504" s="154" t="n">
        <x:f>IFERROR((C504-D504)/E503,"")</x:f>
        <x:v>0.017099563303460248</x:v>
      </x:c>
      <x:c r="H504" s="153" t="n">
        <x:v>1148.29</x:v>
      </x:c>
      <x:c r="I504" s="158" t="n">
        <x:v>6847.34</x:v>
      </x:c>
      <x:c r="J504" s="158" t="n">
        <x:v>7862766636.8</x:v>
      </x:c>
      <x:c r="K504" s="158"/>
      <x:c r="L504" s="153" t="n">
        <x:v>21300</x:v>
      </x:c>
      <x:c r="M504" s="153" t="n">
        <x:v>22575</x:v>
      </x:c>
      <x:c r="N504" s="153" t="n">
        <x:v>21185</x:v>
      </x:c>
      <x:c r="O504" s="153" t="n">
        <x:v>22290</x:v>
      </x:c>
      <x:c r="P504" s="154" t="n">
        <x:f>IFERROR(O504/O503-1,"")</x:f>
        <x:v>0.046970408642555084</x:v>
      </x:c>
      <x:c r="Q504" s="154" t="n">
        <x:f>IFERROR((M504-N504)/O503,"")</x:f>
        <x:v>0.06528886801315172</x:v>
      </x:c>
      <x:c r="R504" s="153" t="n">
        <x:v>22262</x:v>
      </x:c>
      <x:c r="S504" s="158" t="n">
        <x:v>346662</x:v>
      </x:c>
      <x:c r="T504" s="158" t="n">
        <x:v>7717421460</x:v>
      </x:c>
      <x:c r="U504" s="158" t="n">
        <x:v>2892498</x:v>
      </x:c>
      <x:c r="V504" s="153" t="n">
        <x:f>IFERROR(E504*1000/O504,"")</x:f>
        <x:v>51.358456707043516</x:v>
      </x:c>
      <x:c r="W504" s="153" t="n">
        <x:v>4.12</x:v>
      </x:c>
      <x:c r="X504" s="155" t="n">
        <x:v>46090</x:v>
      </x:c>
      <x:c r="Y504" s="153" t="n">
        <x:v>1.78</x:v>
      </x:c>
      <x:c r="Z504" s="155" t="n">
        <x:v>46090</x:v>
      </x:c>
      <x:c r="AA504" s="153" t="n">
        <x:f>IFERROR(Y504-Y503,"")</x:f>
        <x:v>-0.020000000000000018</x:v>
      </x:c>
      <x:c r="AB504" s="153" t="n">
        <x:v>2.34</x:v>
      </x:c>
      <x:c r="AC504" s="153" t="n">
        <x:v>119.5151</x:v>
      </x:c>
      <x:c r="AD504" s="155" t="n">
        <x:v>46090</x:v>
      </x:c>
      <x:c r="AE504" s="154" t="n">
        <x:f>IFERROR(AC504/AC503-1,"")</x:f>
        <x:v>0.00020168883012106065</x:v>
      </x:c>
      <x:c r="AF504" s="153" t="n">
        <x:v>25.5</x:v>
      </x:c>
      <x:c r="AG504" s="155" t="n">
        <x:v>46090</x:v>
      </x:c>
      <x:c r="AH504" s="153" t="n">
        <x:f>IFERROR(AF504-AF503,"")</x:f>
        <x:v>-3.9899999999999984</x:v>
      </x:c>
      <x:c r="AI504" s="153" t="n">
        <x:v>3.64</x:v>
      </x:c>
      <x:c r="AJ504" s="155" t="n">
        <x:v>46087</x:v>
      </x:c>
      <x:c r="AK504" s="159" t="n">
        <x:v>97917</x:v>
      </x:c>
      <x:c r="AL504" s="154" t="n">
        <x:v>0.23894492043466273</x:v>
      </x:c>
      <x:c r="AM504" s="159" t="n">
        <x:v>-20791</x:v>
      </x:c>
      <x:c r="AN504" s="155" t="n">
        <x:v>46087</x:v>
      </x:c>
      <x:c r="AO504" s="159" t="n">
        <x:v>7766</x:v>
      </x:c>
      <x:c r="AP504" s="154" t="n">
        <x:v>0.06852796357411362</x:v>
      </x:c>
      <x:c r="AQ504" s="159" t="n">
        <x:v>-15015</x:v>
      </x:c>
      <x:c r="AR504" s="147" t="str">
        <x:v>美国市场指标与CFTC数据均使用严格早于上金所交易日的最后已发布值</x:v>
      </x:c>
    </x:row>
    <x:row r="505">
      <x:c r="A505" s="155" t="n">
        <x:v>46092</x:v>
      </x:c>
      <x:c r="B505" s="153" t="n">
        <x:v>1148.5</x:v>
      </x:c>
      <x:c r="C505" s="153" t="n">
        <x:v>1158</x:v>
      </x:c>
      <x:c r="D505" s="153" t="n">
        <x:v>1142.5</x:v>
      </x:c>
      <x:c r="E505" s="153" t="n">
        <x:v>1150.42</x:v>
      </x:c>
      <x:c r="F505" s="154" t="n">
        <x:f>IFERROR(E505/E504-1,"")</x:f>
        <x:v>0.004926710809063817</x:v>
      </x:c>
      <x:c r="G505" s="154" t="n">
        <x:f>IFERROR((C505-D505)/E504,"")</x:f>
        <x:v>0.013539719422072364</x:v>
      </x:c>
      <x:c r="H505" s="153" t="n">
        <x:v>1151.83</x:v>
      </x:c>
      <x:c r="I505" s="158" t="n">
        <x:v>5314.24</x:v>
      </x:c>
      <x:c r="J505" s="158" t="n">
        <x:v>6121117725.2</x:v>
      </x:c>
      <x:c r="K505" s="158"/>
      <x:c r="L505" s="153" t="n">
        <x:v>22270</x:v>
      </x:c>
      <x:c r="M505" s="153" t="n">
        <x:v>22530</x:v>
      </x:c>
      <x:c r="N505" s="153" t="n">
        <x:v>21923</x:v>
      </x:c>
      <x:c r="O505" s="153" t="n">
        <x:v>21999</x:v>
      </x:c>
      <x:c r="P505" s="154" t="n">
        <x:f>IFERROR(O505/O504-1,"")</x:f>
        <x:v>-0.013055181695827756</x:v>
      </x:c>
      <x:c r="Q505" s="154" t="n">
        <x:f>IFERROR((M505-N505)/O504,"")</x:f>
        <x:v>0.027231942575145805</x:v>
      </x:c>
      <x:c r="R505" s="153" t="n">
        <x:v>22215</x:v>
      </x:c>
      <x:c r="S505" s="158" t="n">
        <x:v>195490</x:v>
      </x:c>
      <x:c r="T505" s="158" t="n">
        <x:v>4342831342</x:v>
      </x:c>
      <x:c r="U505" s="158" t="n">
        <x:v>2860266</x:v>
      </x:c>
      <x:c r="V505" s="153" t="n">
        <x:f>IFERROR(E505*1000/O505,"")</x:f>
        <x:v>52.29419519069049</x:v>
      </x:c>
      <x:c r="W505" s="153" t="n">
        <x:v>4.15</x:v>
      </x:c>
      <x:c r="X505" s="155" t="n">
        <x:v>46091</x:v>
      </x:c>
      <x:c r="Y505" s="153" t="n">
        <x:v>1.82</x:v>
      </x:c>
      <x:c r="Z505" s="155" t="n">
        <x:v>46091</x:v>
      </x:c>
      <x:c r="AA505" s="153" t="n">
        <x:f>IFERROR(Y505-Y504,"")</x:f>
        <x:v>0.040000000000000036</x:v>
      </x:c>
      <x:c r="AB505" s="153" t="n">
        <x:v>2.33</x:v>
      </x:c>
      <x:c r="AC505" s="153" t="n">
        <x:v>118.7255</x:v>
      </x:c>
      <x:c r="AD505" s="155" t="n">
        <x:v>46091</x:v>
      </x:c>
      <x:c r="AE505" s="154" t="n">
        <x:f>IFERROR(AC505/AC504-1,"")</x:f>
        <x:v>-0.006606696559681602</x:v>
      </x:c>
      <x:c r="AF505" s="153" t="n">
        <x:v>24.93</x:v>
      </x:c>
      <x:c r="AG505" s="155" t="n">
        <x:v>46091</x:v>
      </x:c>
      <x:c r="AH505" s="153" t="n">
        <x:f>IFERROR(AF505-AF504,"")</x:f>
        <x:v>-0.5700000000000003</x:v>
      </x:c>
      <x:c r="AI505" s="153" t="n">
        <x:v>3.64</x:v>
      </x:c>
      <x:c r="AJ505" s="155" t="n">
        <x:v>46087</x:v>
      </x:c>
      <x:c r="AK505" s="159" t="n">
        <x:v>97917</x:v>
      </x:c>
      <x:c r="AL505" s="154" t="n">
        <x:v>0.23894492043466273</x:v>
      </x:c>
      <x:c r="AM505" s="159" t="n">
        <x:v>-20791</x:v>
      </x:c>
      <x:c r="AN505" s="155" t="n">
        <x:v>46087</x:v>
      </x:c>
      <x:c r="AO505" s="159" t="n">
        <x:v>7766</x:v>
      </x:c>
      <x:c r="AP505" s="154" t="n">
        <x:v>0.06852796357411362</x:v>
      </x:c>
      <x:c r="AQ505" s="159" t="n">
        <x:v>-15015</x:v>
      </x:c>
      <x:c r="AR505" s="147" t="str">
        <x:v>美国市场指标与CFTC数据均使用严格早于上金所交易日的最后已发布值</x:v>
      </x:c>
    </x:row>
    <x:row r="506">
      <x:c r="A506" s="155" t="n">
        <x:v>46093</x:v>
      </x:c>
      <x:c r="B506" s="153" t="n">
        <x:v>1149</x:v>
      </x:c>
      <x:c r="C506" s="153" t="n">
        <x:v>1152</x:v>
      </x:c>
      <x:c r="D506" s="153" t="n">
        <x:v>1141.5</x:v>
      </x:c>
      <x:c r="E506" s="153" t="n">
        <x:v>1146.45</x:v>
      </x:c>
      <x:c r="F506" s="154" t="n">
        <x:f>IFERROR(E506/E505-1,"")</x:f>
        <x:v>-0.003450913579388426</x:v>
      </x:c>
      <x:c r="G506" s="154" t="n">
        <x:f>IFERROR((C506-D506)/E505,"")</x:f>
        <x:v>0.009127101406442864</x:v>
      </x:c>
      <x:c r="H506" s="153" t="n">
        <x:v>1144.79</x:v>
      </x:c>
      <x:c r="I506" s="158" t="n">
        <x:v>6855.94</x:v>
      </x:c>
      <x:c r="J506" s="158" t="n">
        <x:v>7848676772.8</x:v>
      </x:c>
      <x:c r="K506" s="158"/>
      <x:c r="L506" s="153" t="n">
        <x:v>21750</x:v>
      </x:c>
      <x:c r="M506" s="153" t="n">
        <x:v>22000</x:v>
      </x:c>
      <x:c r="N506" s="153" t="n">
        <x:v>21341</x:v>
      </x:c>
      <x:c r="O506" s="153" t="n">
        <x:v>21851</x:v>
      </x:c>
      <x:c r="P506" s="154" t="n">
        <x:f>IFERROR(O506/O505-1,"")</x:f>
        <x:v>-0.006727578526296685</x:v>
      </x:c>
      <x:c r="Q506" s="154" t="n">
        <x:f>IFERROR((M506-N506)/O505,"")</x:f>
        <x:v>0.02995590708668576</x:v>
      </x:c>
      <x:c r="R506" s="153" t="n">
        <x:v>21589</x:v>
      </x:c>
      <x:c r="S506" s="158" t="n">
        <x:v>415788</x:v>
      </x:c>
      <x:c r="T506" s="158" t="n">
        <x:v>8976652222</x:v>
      </x:c>
      <x:c r="U506" s="158" t="n">
        <x:v>2871008</x:v>
      </x:c>
      <x:c r="V506" s="153" t="n">
        <x:f>IFERROR(E506*1000/O506,"")</x:f>
        <x:v>52.46670632922979</x:v>
      </x:c>
      <x:c r="W506" s="153" t="n">
        <x:v>4.21</x:v>
      </x:c>
      <x:c r="X506" s="155" t="n">
        <x:v>46092</x:v>
      </x:c>
      <x:c r="Y506" s="153" t="n">
        <x:v>1.85</x:v>
      </x:c>
      <x:c r="Z506" s="155" t="n">
        <x:v>46092</x:v>
      </x:c>
      <x:c r="AA506" s="153" t="n">
        <x:f>IFERROR(Y506-Y505,"")</x:f>
        <x:v>0.030000000000000027</x:v>
      </x:c>
      <x:c r="AB506" s="153" t="n">
        <x:v>2.36</x:v>
      </x:c>
      <x:c r="AC506" s="153" t="n">
        <x:v>119.2885</x:v>
      </x:c>
      <x:c r="AD506" s="155" t="n">
        <x:v>46092</x:v>
      </x:c>
      <x:c r="AE506" s="154" t="n">
        <x:f>IFERROR(AC506/AC505-1,"")</x:f>
        <x:v>0.0047420309874457445</x:v>
      </x:c>
      <x:c r="AF506" s="153" t="n">
        <x:v>24.23</x:v>
      </x:c>
      <x:c r="AG506" s="155" t="n">
        <x:v>46092</x:v>
      </x:c>
      <x:c r="AH506" s="153" t="n">
        <x:f>IFERROR(AF506-AF505,"")</x:f>
        <x:v>-0.6999999999999993</x:v>
      </x:c>
      <x:c r="AI506" s="153" t="n">
        <x:v>3.64</x:v>
      </x:c>
      <x:c r="AJ506" s="155" t="n">
        <x:v>46087</x:v>
      </x:c>
      <x:c r="AK506" s="159" t="n">
        <x:v>97917</x:v>
      </x:c>
      <x:c r="AL506" s="154" t="n">
        <x:v>0.23894492043466273</x:v>
      </x:c>
      <x:c r="AM506" s="159" t="n">
        <x:v>-20791</x:v>
      </x:c>
      <x:c r="AN506" s="155" t="n">
        <x:v>46087</x:v>
      </x:c>
      <x:c r="AO506" s="159" t="n">
        <x:v>7766</x:v>
      </x:c>
      <x:c r="AP506" s="154" t="n">
        <x:v>0.06852796357411362</x:v>
      </x:c>
      <x:c r="AQ506" s="159" t="n">
        <x:v>-15015</x:v>
      </x:c>
      <x:c r="AR506" s="147" t="str">
        <x:v>美国市场指标与CFTC数据均使用严格早于上金所交易日的最后已发布值</x:v>
      </x:c>
    </x:row>
    <x:row r="507">
      <x:c r="A507" s="155" t="n">
        <x:v>46094</x:v>
      </x:c>
      <x:c r="B507" s="153" t="n">
        <x:v>1147</x:v>
      </x:c>
      <x:c r="C507" s="153" t="n">
        <x:v>1150.8</x:v>
      </x:c>
      <x:c r="D507" s="153" t="n">
        <x:v>1129.65</x:v>
      </x:c>
      <x:c r="E507" s="153" t="n">
        <x:v>1131.09</x:v>
      </x:c>
      <x:c r="F507" s="154" t="n">
        <x:f>IFERROR(E507/E506-1,"")</x:f>
        <x:v>-0.013397880413450358</x:v>
      </x:c>
      <x:c r="G507" s="154" t="n">
        <x:f>IFERROR((C507-D507)/E506,"")</x:f>
        <x:v>0.018448253303676446</x:v>
      </x:c>
      <x:c r="H507" s="153" t="n">
        <x:v>1135.27</x:v>
      </x:c>
      <x:c r="I507" s="158" t="n">
        <x:v>7567.84</x:v>
      </x:c>
      <x:c r="J507" s="158" t="n">
        <x:v>8591607665.4</x:v>
      </x:c>
      <x:c r="K507" s="158"/>
      <x:c r="L507" s="153" t="n">
        <x:v>21950</x:v>
      </x:c>
      <x:c r="M507" s="153" t="n">
        <x:v>22200</x:v>
      </x:c>
      <x:c r="N507" s="153" t="n">
        <x:v>20753</x:v>
      </x:c>
      <x:c r="O507" s="153" t="n">
        <x:v>20887</x:v>
      </x:c>
      <x:c r="P507" s="154" t="n">
        <x:f>IFERROR(O507/O506-1,"")</x:f>
        <x:v>-0.04411697405153081</x:v>
      </x:c>
      <x:c r="Q507" s="154" t="n">
        <x:f>IFERROR((M507-N507)/O506,"")</x:f>
        <x:v>0.06622122557320032</x:v>
      </x:c>
      <x:c r="R507" s="153" t="n">
        <x:v>21320</x:v>
      </x:c>
      <x:c r="S507" s="158" t="n">
        <x:v>226134</x:v>
      </x:c>
      <x:c r="T507" s="158" t="n">
        <x:v>4821238800</x:v>
      </x:c>
      <x:c r="U507" s="158" t="n">
        <x:v>2886170</x:v>
      </x:c>
      <x:c r="V507" s="153" t="n">
        <x:f>IFERROR(E507*1000/O507,"")</x:f>
        <x:v>54.15282232967875</x:v>
      </x:c>
      <x:c r="W507" s="153" t="n">
        <x:v>4.27</x:v>
      </x:c>
      <x:c r="X507" s="155" t="n">
        <x:v>46093</x:v>
      </x:c>
      <x:c r="Y507" s="153" t="n">
        <x:v>1.89</x:v>
      </x:c>
      <x:c r="Z507" s="155" t="n">
        <x:v>46093</x:v>
      </x:c>
      <x:c r="AA507" s="153" t="n">
        <x:f>IFERROR(Y507-Y506,"")</x:f>
        <x:v>0.039999999999999813</x:v>
      </x:c>
      <x:c r="AB507" s="153" t="n">
        <x:v>2.38</x:v>
      </x:c>
      <x:c r="AC507" s="153" t="n">
        <x:v>119.8227</x:v>
      </x:c>
      <x:c r="AD507" s="155" t="n">
        <x:v>46093</x:v>
      </x:c>
      <x:c r="AE507" s="154" t="n">
        <x:f>IFERROR(AC507/AC506-1,"")</x:f>
        <x:v>0.004478218772136389</x:v>
      </x:c>
      <x:c r="AF507" s="153" t="n">
        <x:v>27.29</x:v>
      </x:c>
      <x:c r="AG507" s="155" t="n">
        <x:v>46093</x:v>
      </x:c>
      <x:c r="AH507" s="153" t="n">
        <x:f>IFERROR(AF507-AF506,"")</x:f>
        <x:v>3.0599999999999987</x:v>
      </x:c>
      <x:c r="AI507" s="153" t="n">
        <x:v>3.64</x:v>
      </x:c>
      <x:c r="AJ507" s="155" t="n">
        <x:v>46087</x:v>
      </x:c>
      <x:c r="AK507" s="159" t="n">
        <x:v>97917</x:v>
      </x:c>
      <x:c r="AL507" s="154" t="n">
        <x:v>0.23894492043466273</x:v>
      </x:c>
      <x:c r="AM507" s="159" t="n">
        <x:v>-20791</x:v>
      </x:c>
      <x:c r="AN507" s="155" t="n">
        <x:v>46087</x:v>
      </x:c>
      <x:c r="AO507" s="159" t="n">
        <x:v>7766</x:v>
      </x:c>
      <x:c r="AP507" s="154" t="n">
        <x:v>0.06852796357411362</x:v>
      </x:c>
      <x:c r="AQ507" s="159" t="n">
        <x:v>-15015</x:v>
      </x:c>
      <x:c r="AR507" s="147" t="str">
        <x:v>美国市场指标与CFTC数据均使用严格早于上金所交易日的最后已发布值</x:v>
      </x:c>
    </x:row>
    <x:row r="508">
      <x:c r="A508" s="155" t="n">
        <x:v>46097</x:v>
      </x:c>
      <x:c r="B508" s="153" t="n">
        <x:v>1138</x:v>
      </x:c>
      <x:c r="C508" s="153" t="n">
        <x:v>1140</x:v>
      </x:c>
      <x:c r="D508" s="153" t="n">
        <x:v>1110.01</x:v>
      </x:c>
      <x:c r="E508" s="153" t="n">
        <x:v>1114.61</x:v>
      </x:c>
      <x:c r="F508" s="154" t="n">
        <x:f>IFERROR(E508/E507-1,"")</x:f>
        <x:v>-0.01457001653272505</x:v>
      </x:c>
      <x:c r="G508" s="154" t="n">
        <x:f>IFERROR((C508-D508)/E507,"")</x:f>
        <x:v>0.02651424731895783</x:v>
      </x:c>
      <x:c r="H508" s="153" t="n">
        <x:v>1116.28</x:v>
      </x:c>
      <x:c r="I508" s="158" t="n">
        <x:v>7972.66</x:v>
      </x:c>
      <x:c r="J508" s="158" t="n">
        <x:v>8899772104.6</x:v>
      </x:c>
      <x:c r="K508" s="158"/>
      <x:c r="L508" s="153" t="n">
        <x:v>21150</x:v>
      </x:c>
      <x:c r="M508" s="153" t="n">
        <x:v>21334</x:v>
      </x:c>
      <x:c r="N508" s="153" t="n">
        <x:v>19800</x:v>
      </x:c>
      <x:c r="O508" s="153" t="n">
        <x:v>20077</x:v>
      </x:c>
      <x:c r="P508" s="154" t="n">
        <x:f>IFERROR(O508/O507-1,"")</x:f>
        <x:v>-0.03878010245607311</x:v>
      </x:c>
      <x:c r="Q508" s="154" t="n">
        <x:f>IFERROR((M508-N508)/O507,"")</x:f>
        <x:v>0.07344281131804471</x:v>
      </x:c>
      <x:c r="R508" s="153" t="n">
        <x:v>20214</x:v>
      </x:c>
      <x:c r="S508" s="158" t="n">
        <x:v>288302</x:v>
      </x:c>
      <x:c r="T508" s="158" t="n">
        <x:v>5827842746</x:v>
      </x:c>
      <x:c r="U508" s="158" t="n">
        <x:v>2886542</x:v>
      </x:c>
      <x:c r="V508" s="153" t="n">
        <x:f>IFERROR(E508*1000/O508,"")</x:f>
        <x:v>55.5167604721821</x:v>
      </x:c>
      <x:c r="W508" s="153" t="n">
        <x:v>4.28</x:v>
      </x:c>
      <x:c r="X508" s="155" t="n">
        <x:v>46094</x:v>
      </x:c>
      <x:c r="Y508" s="153" t="n">
        <x:v>1.92</x:v>
      </x:c>
      <x:c r="Z508" s="155" t="n">
        <x:v>46094</x:v>
      </x:c>
      <x:c r="AA508" s="153" t="n">
        <x:f>IFERROR(Y508-Y507,"")</x:f>
        <x:v>0.030000000000000027</x:v>
      </x:c>
      <x:c r="AB508" s="153" t="n">
        <x:v>2.36</x:v>
      </x:c>
      <x:c r="AC508" s="153" t="n">
        <x:v>120.5518</x:v>
      </x:c>
      <x:c r="AD508" s="155" t="n">
        <x:v>46094</x:v>
      </x:c>
      <x:c r="AE508" s="154" t="n">
        <x:f>IFERROR(AC508/AC507-1,"")</x:f>
        <x:v>0.006084823660291505</x:v>
      </x:c>
      <x:c r="AF508" s="153" t="n">
        <x:v>27.19</x:v>
      </x:c>
      <x:c r="AG508" s="155" t="n">
        <x:v>46094</x:v>
      </x:c>
      <x:c r="AH508" s="153" t="n">
        <x:f>IFERROR(AF508-AF507,"")</x:f>
        <x:v>-0.09999999999999787</x:v>
      </x:c>
      <x:c r="AI508" s="153" t="n">
        <x:v>3.64</x:v>
      </x:c>
      <x:c r="AJ508" s="155" t="n">
        <x:v>46094</x:v>
      </x:c>
      <x:c r="AK508" s="159" t="n">
        <x:v>98399</x:v>
      </x:c>
      <x:c r="AL508" s="154" t="n">
        <x:v>0.23770400718916987</x:v>
      </x:c>
      <x:c r="AM508" s="159" t="n">
        <x:v>-19696</x:v>
      </x:c>
      <x:c r="AN508" s="155" t="n">
        <x:v>46094</x:v>
      </x:c>
      <x:c r="AO508" s="159" t="n">
        <x:v>10289</x:v>
      </x:c>
      <x:c r="AP508" s="154" t="n">
        <x:v>0.0891146564118554</x:v>
      </x:c>
      <x:c r="AQ508" s="159" t="n">
        <x:v>-16153</x:v>
      </x:c>
      <x:c r="AR508" s="147" t="str">
        <x:v>美国市场指标与CFTC数据均使用严格早于上金所交易日的最后已发布值</x:v>
      </x:c>
    </x:row>
    <x:row r="509">
      <x:c r="A509" s="155" t="n">
        <x:v>46098</x:v>
      </x:c>
      <x:c r="B509" s="153" t="n">
        <x:v>1117.8</x:v>
      </x:c>
      <x:c r="C509" s="153" t="n">
        <x:v>1121</x:v>
      </x:c>
      <x:c r="D509" s="153" t="n">
        <x:v>1109</x:v>
      </x:c>
      <x:c r="E509" s="153" t="n">
        <x:v>1115.97</x:v>
      </x:c>
      <x:c r="F509" s="154" t="n">
        <x:f>IFERROR(E509/E508-1,"")</x:f>
        <x:v>0.0012201577233292848</x:v>
      </x:c>
      <x:c r="G509" s="154" t="n">
        <x:f>IFERROR((C509-D509)/E508,"")</x:f>
        <x:v>0.01076609755878738</x:v>
      </x:c>
      <x:c r="H509" s="153" t="n">
        <x:v>1116.3</x:v>
      </x:c>
      <x:c r="I509" s="158" t="n">
        <x:v>6053.96</x:v>
      </x:c>
      <x:c r="J509" s="158" t="n">
        <x:v>6758089661</x:v>
      </x:c>
      <x:c r="K509" s="158"/>
      <x:c r="L509" s="153" t="n">
        <x:v>20010</x:v>
      </x:c>
      <x:c r="M509" s="153" t="n">
        <x:v>20709</x:v>
      </x:c>
      <x:c r="N509" s="153" t="n">
        <x:v>20010</x:v>
      </x:c>
      <x:c r="O509" s="153" t="n">
        <x:v>20330</x:v>
      </x:c>
      <x:c r="P509" s="154" t="n">
        <x:f>IFERROR(O509/O508-1,"")</x:f>
        <x:v>0.012601484285500897</x:v>
      </x:c>
      <x:c r="Q509" s="154" t="n">
        <x:f>IFERROR((M509-N509)/O508,"")</x:f>
        <x:v>0.03481595855954575</x:v>
      </x:c>
      <x:c r="R509" s="153" t="n">
        <x:v>20404</x:v>
      </x:c>
      <x:c r="S509" s="158" t="n">
        <x:v>172512</x:v>
      </x:c>
      <x:c r="T509" s="158" t="n">
        <x:v>3519942440</x:v>
      </x:c>
      <x:c r="U509" s="158" t="n">
        <x:v>2887258</x:v>
      </x:c>
      <x:c r="V509" s="153" t="n">
        <x:f>IFERROR(E509*1000/O509,"")</x:f>
        <x:v>54.89276930644368</x:v>
      </x:c>
      <x:c r="W509" s="153" t="n">
        <x:v>4.23</x:v>
      </x:c>
      <x:c r="X509" s="155" t="n">
        <x:v>46097</x:v>
      </x:c>
      <x:c r="Y509" s="153" t="n">
        <x:v>1.87</x:v>
      </x:c>
      <x:c r="Z509" s="155" t="n">
        <x:v>46097</x:v>
      </x:c>
      <x:c r="AA509" s="153" t="n">
        <x:f>IFERROR(Y509-Y508,"")</x:f>
        <x:v>-0.04999999999999982</x:v>
      </x:c>
      <x:c r="AB509" s="153" t="n">
        <x:v>2.36</x:v>
      </x:c>
      <x:c r="AC509" s="153" t="n">
        <x:v>120.097</x:v>
      </x:c>
      <x:c r="AD509" s="155" t="n">
        <x:v>46097</x:v>
      </x:c>
      <x:c r="AE509" s="154" t="n">
        <x:f>IFERROR(AC509/AC508-1,"")</x:f>
        <x:v>-0.003772652088148032</x:v>
      </x:c>
      <x:c r="AF509" s="153" t="n">
        <x:v>23.51</x:v>
      </x:c>
      <x:c r="AG509" s="155" t="n">
        <x:v>46097</x:v>
      </x:c>
      <x:c r="AH509" s="153" t="n">
        <x:f>IFERROR(AF509-AF508,"")</x:f>
        <x:v>-3.6799999999999997</x:v>
      </x:c>
      <x:c r="AI509" s="153" t="n">
        <x:v>3.64</x:v>
      </x:c>
      <x:c r="AJ509" s="155" t="n">
        <x:v>46094</x:v>
      </x:c>
      <x:c r="AK509" s="159" t="n">
        <x:v>98399</x:v>
      </x:c>
      <x:c r="AL509" s="154" t="n">
        <x:v>0.23770400718916987</x:v>
      </x:c>
      <x:c r="AM509" s="159" t="n">
        <x:v>-19696</x:v>
      </x:c>
      <x:c r="AN509" s="155" t="n">
        <x:v>46094</x:v>
      </x:c>
      <x:c r="AO509" s="159" t="n">
        <x:v>10289</x:v>
      </x:c>
      <x:c r="AP509" s="154" t="n">
        <x:v>0.0891146564118554</x:v>
      </x:c>
      <x:c r="AQ509" s="159" t="n">
        <x:v>-16153</x:v>
      </x:c>
      <x:c r="AR509" s="147" t="str">
        <x:v>美国市场指标与CFTC数据均使用严格早于上金所交易日的最后已发布值</x:v>
      </x:c>
    </x:row>
    <x:row r="510">
      <x:c r="A510" s="155" t="n">
        <x:v>46099</x:v>
      </x:c>
      <x:c r="B510" s="153" t="n">
        <x:v>1115</x:v>
      </x:c>
      <x:c r="C510" s="153" t="n">
        <x:v>1117</x:v>
      </x:c>
      <x:c r="D510" s="153" t="n">
        <x:v>1108</x:v>
      </x:c>
      <x:c r="E510" s="153" t="n">
        <x:v>1111.89</x:v>
      </x:c>
      <x:c r="F510" s="154" t="n">
        <x:f>IFERROR(E510/E509-1,"")</x:f>
        <x:v>-0.003656012258393959</x:v>
      </x:c>
      <x:c r="G510" s="154" t="n">
        <x:f>IFERROR((C510-D510)/E509,"")</x:f>
        <x:v>0.008064732922928036</x:v>
      </x:c>
      <x:c r="H510" s="153" t="n">
        <x:v>1111.39</x:v>
      </x:c>
      <x:c r="I510" s="158" t="n">
        <x:v>7440.34</x:v>
      </x:c>
      <x:c r="J510" s="158" t="n">
        <x:v>8269170260.8</x:v>
      </x:c>
      <x:c r="K510" s="158"/>
      <x:c r="L510" s="153" t="n">
        <x:v>20110</x:v>
      </x:c>
      <x:c r="M510" s="153" t="n">
        <x:v>20378</x:v>
      </x:c>
      <x:c r="N510" s="153" t="n">
        <x:v>19559</x:v>
      </x:c>
      <x:c r="O510" s="153" t="n">
        <x:v>19966</x:v>
      </x:c>
      <x:c r="P510" s="154" t="n">
        <x:f>IFERROR(O510/O509-1,"")</x:f>
        <x:v>-0.017904574520413163</x:v>
      </x:c>
      <x:c r="Q510" s="154" t="n">
        <x:f>IFERROR((M510-N510)/O509,"")</x:f>
        <x:v>0.04028529267092966</x:v>
      </x:c>
      <x:c r="R510" s="153" t="n">
        <x:v>19867</x:v>
      </x:c>
      <x:c r="S510" s="158" t="n">
        <x:v>1668560</x:v>
      </x:c>
      <x:c r="T510" s="158" t="n">
        <x:v>33150682290</x:v>
      </x:c>
      <x:c r="U510" s="158" t="n">
        <x:v>2900004</x:v>
      </x:c>
      <x:c r="V510" s="153" t="n">
        <x:f>IFERROR(E510*1000/O510,"")</x:f>
        <x:v>55.6891715917059</x:v>
      </x:c>
      <x:c r="W510" s="153" t="n">
        <x:v>4.2</x:v>
      </x:c>
      <x:c r="X510" s="155" t="n">
        <x:v>46098</x:v>
      </x:c>
      <x:c r="Y510" s="153" t="n">
        <x:v>1.83</x:v>
      </x:c>
      <x:c r="Z510" s="155" t="n">
        <x:v>46098</x:v>
      </x:c>
      <x:c r="AA510" s="153" t="n">
        <x:f>IFERROR(Y510-Y509,"")</x:f>
        <x:v>-0.040000000000000036</x:v>
      </x:c>
      <x:c r="AB510" s="153" t="n">
        <x:v>2.37</x:v>
      </x:c>
      <x:c r="AC510" s="153" t="n">
        <x:v>119.8328</x:v>
      </x:c>
      <x:c r="AD510" s="155" t="n">
        <x:v>46098</x:v>
      </x:c>
      <x:c r="AE510" s="154" t="n">
        <x:f>IFERROR(AC510/AC509-1,"")</x:f>
        <x:v>-0.0021998884235242544</x:v>
      </x:c>
      <x:c r="AF510" s="153" t="n">
        <x:v>22.37</x:v>
      </x:c>
      <x:c r="AG510" s="155" t="n">
        <x:v>46098</x:v>
      </x:c>
      <x:c r="AH510" s="153" t="n">
        <x:f>IFERROR(AF510-AF509,"")</x:f>
        <x:v>-1.1400000000000006</x:v>
      </x:c>
      <x:c r="AI510" s="153" t="n">
        <x:v>3.64</x:v>
      </x:c>
      <x:c r="AJ510" s="155" t="n">
        <x:v>46094</x:v>
      </x:c>
      <x:c r="AK510" s="159" t="n">
        <x:v>98399</x:v>
      </x:c>
      <x:c r="AL510" s="154" t="n">
        <x:v>0.23770400718916987</x:v>
      </x:c>
      <x:c r="AM510" s="159" t="n">
        <x:v>-19696</x:v>
      </x:c>
      <x:c r="AN510" s="155" t="n">
        <x:v>46094</x:v>
      </x:c>
      <x:c r="AO510" s="159" t="n">
        <x:v>10289</x:v>
      </x:c>
      <x:c r="AP510" s="154" t="n">
        <x:v>0.0891146564118554</x:v>
      </x:c>
      <x:c r="AQ510" s="159" t="n">
        <x:v>-16153</x:v>
      </x:c>
      <x:c r="AR510" s="147" t="str">
        <x:v>美国市场指标与CFTC数据均使用严格早于上金所交易日的最后已发布值</x:v>
      </x:c>
    </x:row>
    <x:row r="511">
      <x:c r="A511" s="155" t="n">
        <x:v>46100</x:v>
      </x:c>
      <x:c r="B511" s="153" t="n">
        <x:v>1095</x:v>
      </x:c>
      <x:c r="C511" s="153" t="n">
        <x:v>1181</x:v>
      </x:c>
      <x:c r="D511" s="153" t="n">
        <x:v>1057</x:v>
      </x:c>
      <x:c r="E511" s="153" t="n">
        <x:v>1061</x:v>
      </x:c>
      <x:c r="F511" s="154" t="n">
        <x:f>IFERROR(E511/E510-1,"")</x:f>
        <x:v>-0.04576891598989119</x:v>
      </x:c>
      <x:c r="G511" s="154" t="n">
        <x:f>IFERROR((C511-D511)/E510,"")</x:f>
        <x:v>0.11152182320193543</x:v>
      </x:c>
      <x:c r="H511" s="153" t="n">
        <x:v>1078.48</x:v>
      </x:c>
      <x:c r="I511" s="158" t="n">
        <x:v>9683.54</x:v>
      </x:c>
      <x:c r="J511" s="158" t="n">
        <x:v>10443576839.2</x:v>
      </x:c>
      <x:c r="K511" s="158"/>
      <x:c r="L511" s="153" t="n">
        <x:v>19716</x:v>
      </x:c>
      <x:c r="M511" s="153" t="n">
        <x:v>19716</x:v>
      </x:c>
      <x:c r="N511" s="153" t="n">
        <x:v>17636</x:v>
      </x:c>
      <x:c r="O511" s="153" t="n">
        <x:v>17990</x:v>
      </x:c>
      <x:c r="P511" s="154" t="n">
        <x:f>IFERROR(O511/O510-1,"")</x:f>
        <x:v>-0.09896824601823095</x:v>
      </x:c>
      <x:c r="Q511" s="154" t="n">
        <x:f>IFERROR((M511-N511)/O510,"")</x:f>
        <x:v>0.1041771010718221</x:v>
      </x:c>
      <x:c r="R511" s="153" t="n">
        <x:v>18820</x:v>
      </x:c>
      <x:c r="S511" s="158" t="n">
        <x:v>448610</x:v>
      </x:c>
      <x:c r="T511" s="158" t="n">
        <x:v>8442963722</x:v>
      </x:c>
      <x:c r="U511" s="158" t="n">
        <x:v>2902818</x:v>
      </x:c>
      <x:c r="V511" s="153" t="n">
        <x:f>IFERROR(E511*1000/O511,"")</x:f>
        <x:v>58.977209560867145</x:v>
      </x:c>
      <x:c r="W511" s="153" t="n">
        <x:v>4.26</x:v>
      </x:c>
      <x:c r="X511" s="155" t="n">
        <x:v>46099</x:v>
      </x:c>
      <x:c r="Y511" s="153" t="n">
        <x:v>1.86</x:v>
      </x:c>
      <x:c r="Z511" s="155" t="n">
        <x:v>46099</x:v>
      </x:c>
      <x:c r="AA511" s="153" t="n">
        <x:f>IFERROR(Y511-Y510,"")</x:f>
        <x:v>0.030000000000000027</x:v>
      </x:c>
      <x:c r="AB511" s="153" t="n">
        <x:v>2.4</x:v>
      </x:c>
      <x:c r="AC511" s="153" t="n">
        <x:v>119.9276</x:v>
      </x:c>
      <x:c r="AD511" s="155" t="n">
        <x:v>46099</x:v>
      </x:c>
      <x:c r="AE511" s="154" t="n">
        <x:f>IFERROR(AC511/AC510-1,"")</x:f>
        <x:v>0.0007911022691615699</x:v>
      </x:c>
      <x:c r="AF511" s="153" t="n">
        <x:v>25.09</x:v>
      </x:c>
      <x:c r="AG511" s="155" t="n">
        <x:v>46099</x:v>
      </x:c>
      <x:c r="AH511" s="153" t="n">
        <x:f>IFERROR(AF511-AF510,"")</x:f>
        <x:v>2.719999999999999</x:v>
      </x:c>
      <x:c r="AI511" s="153" t="n">
        <x:v>3.64</x:v>
      </x:c>
      <x:c r="AJ511" s="155" t="n">
        <x:v>46094</x:v>
      </x:c>
      <x:c r="AK511" s="159" t="n">
        <x:v>98399</x:v>
      </x:c>
      <x:c r="AL511" s="154" t="n">
        <x:v>0.23770400718916987</x:v>
      </x:c>
      <x:c r="AM511" s="159" t="n">
        <x:v>-19696</x:v>
      </x:c>
      <x:c r="AN511" s="155" t="n">
        <x:v>46094</x:v>
      </x:c>
      <x:c r="AO511" s="159" t="n">
        <x:v>10289</x:v>
      </x:c>
      <x:c r="AP511" s="154" t="n">
        <x:v>0.0891146564118554</x:v>
      </x:c>
      <x:c r="AQ511" s="159" t="n">
        <x:v>-16153</x:v>
      </x:c>
      <x:c r="AR511" s="147" t="str">
        <x:v>美国市场指标与CFTC数据均使用严格早于上金所交易日的最后已发布值</x:v>
      </x:c>
    </x:row>
    <x:row r="512">
      <x:c r="A512" s="155" t="n">
        <x:v>46101</x:v>
      </x:c>
      <x:c r="B512" s="153" t="n">
        <x:v>1140</x:v>
      </x:c>
      <x:c r="C512" s="153" t="n">
        <x:v>1140</x:v>
      </x:c>
      <x:c r="D512" s="153" t="n">
        <x:v>1007</x:v>
      </x:c>
      <x:c r="E512" s="153" t="n">
        <x:v>1041.59</x:v>
      </x:c>
      <x:c r="F512" s="154" t="n">
        <x:f>IFERROR(E512/E511-1,"")</x:f>
        <x:v>-0.018294062205466588</x:v>
      </x:c>
      <x:c r="G512" s="154" t="n">
        <x:f>IFERROR((C512-D512)/E511,"")</x:f>
        <x:v>0.12535344015080113</x:v>
      </x:c>
      <x:c r="H512" s="153" t="n">
        <x:v>1043.96</x:v>
      </x:c>
      <x:c r="I512" s="158" t="n">
        <x:v>13377.44</x:v>
      </x:c>
      <x:c r="J512" s="158" t="n">
        <x:v>13965644146.8</x:v>
      </x:c>
      <x:c r="K512" s="158"/>
      <x:c r="L512" s="153" t="n">
        <x:v>17505</x:v>
      </x:c>
      <x:c r="M512" s="153" t="n">
        <x:v>18550</x:v>
      </x:c>
      <x:c r="N512" s="153" t="n">
        <x:v>16119</x:v>
      </x:c>
      <x:c r="O512" s="153" t="n">
        <x:v>17780</x:v>
      </x:c>
      <x:c r="P512" s="154" t="n">
        <x:f>IFERROR(O512/O511-1,"")</x:f>
        <x:v>-0.011673151750972721</x:v>
      </x:c>
      <x:c r="Q512" s="154" t="n">
        <x:f>IFERROR((M512-N512)/O511,"")</x:f>
        <x:v>0.13513062812673707</x:v>
      </x:c>
      <x:c r="R512" s="153" t="n">
        <x:v>17851</x:v>
      </x:c>
      <x:c r="S512" s="158" t="n">
        <x:v>519902</x:v>
      </x:c>
      <x:c r="T512" s="158" t="n">
        <x:v>9280854426</x:v>
      </x:c>
      <x:c r="U512" s="158" t="n">
        <x:v>2918764</x:v>
      </x:c>
      <x:c r="V512" s="153" t="n">
        <x:f>IFERROR(E512*1000/O512,"")</x:f>
        <x:v>58.58211473565804</x:v>
      </x:c>
      <x:c r="W512" s="153" t="n">
        <x:v>4.25</x:v>
      </x:c>
      <x:c r="X512" s="155" t="n">
        <x:v>46100</x:v>
      </x:c>
      <x:c r="Y512" s="153" t="n">
        <x:v>1.88</x:v>
      </x:c>
      <x:c r="Z512" s="155" t="n">
        <x:v>46100</x:v>
      </x:c>
      <x:c r="AA512" s="153" t="n">
        <x:f>IFERROR(Y512-Y511,"")</x:f>
        <x:v>0.019999999999999796</x:v>
      </x:c>
      <x:c r="AB512" s="153" t="n">
        <x:v>2.37</x:v>
      </x:c>
      <x:c r="AC512" s="153" t="n">
        <x:v>120.1802</x:v>
      </x:c>
      <x:c r="AD512" s="155" t="n">
        <x:v>46100</x:v>
      </x:c>
      <x:c r="AE512" s="154" t="n">
        <x:f>IFERROR(AC512/AC511-1,"")</x:f>
        <x:v>0.0021062707833725547</x:v>
      </x:c>
      <x:c r="AF512" s="153" t="n">
        <x:v>24.06</x:v>
      </x:c>
      <x:c r="AG512" s="155" t="n">
        <x:v>46100</x:v>
      </x:c>
      <x:c r="AH512" s="153" t="n">
        <x:f>IFERROR(AF512-AF511,"")</x:f>
        <x:v>-1.0300000000000011</x:v>
      </x:c>
      <x:c r="AI512" s="153" t="n">
        <x:v>3.64</x:v>
      </x:c>
      <x:c r="AJ512" s="155" t="n">
        <x:v>46094</x:v>
      </x:c>
      <x:c r="AK512" s="159" t="n">
        <x:v>98399</x:v>
      </x:c>
      <x:c r="AL512" s="154" t="n">
        <x:v>0.23770400718916987</x:v>
      </x:c>
      <x:c r="AM512" s="159" t="n">
        <x:v>-19696</x:v>
      </x:c>
      <x:c r="AN512" s="155" t="n">
        <x:v>46094</x:v>
      </x:c>
      <x:c r="AO512" s="159" t="n">
        <x:v>10289</x:v>
      </x:c>
      <x:c r="AP512" s="154" t="n">
        <x:v>0.0891146564118554</x:v>
      </x:c>
      <x:c r="AQ512" s="159" t="n">
        <x:v>-16153</x:v>
      </x:c>
      <x:c r="AR512" s="147" t="str">
        <x:v>美国市场指标与CFTC数据均使用严格早于上金所交易日的最后已发布值</x:v>
      </x:c>
    </x:row>
    <x:row r="513">
      <x:c r="A513" s="155" t="n">
        <x:v>46104</x:v>
      </x:c>
      <x:c r="B513" s="153" t="n">
        <x:v>1040</x:v>
      </x:c>
      <x:c r="C513" s="153" t="n">
        <x:v>1046</x:v>
      </x:c>
      <x:c r="D513" s="153" t="n">
        <x:v>911</x:v>
      </x:c>
      <x:c r="E513" s="153" t="n">
        <x:v>924.65</x:v>
      </x:c>
      <x:c r="F513" s="154" t="n">
        <x:f>IFERROR(E513/E512-1,"")</x:f>
        <x:v>-0.11227066312080569</x:v>
      </x:c>
      <x:c r="G513" s="154" t="n">
        <x:f>IFERROR((C513-D513)/E512,"")</x:f>
        <x:v>0.1296095392620897</x:v>
      </x:c>
      <x:c r="H513" s="153" t="n">
        <x:v>962.54</x:v>
      </x:c>
      <x:c r="I513" s="158" t="n">
        <x:v>17189.5</x:v>
      </x:c>
      <x:c r="J513" s="158" t="n">
        <x:v>16545614345.2</x:v>
      </x:c>
      <x:c r="K513" s="158"/>
      <x:c r="L513" s="153" t="n">
        <x:v>17877</x:v>
      </x:c>
      <x:c r="M513" s="153" t="n">
        <x:v>17895</x:v>
      </x:c>
      <x:c r="N513" s="153" t="n">
        <x:v>15060</x:v>
      </x:c>
      <x:c r="O513" s="153" t="n">
        <x:v>15269</x:v>
      </x:c>
      <x:c r="P513" s="154" t="n">
        <x:f>IFERROR(O513/O512-1,"")</x:f>
        <x:v>-0.14122609673790776</x:v>
      </x:c>
      <x:c r="Q513" s="154" t="n">
        <x:f>IFERROR((M513-N513)/O512,"")</x:f>
        <x:v>0.1594488188976378</x:v>
      </x:c>
      <x:c r="R513" s="153" t="n">
        <x:v>16307</x:v>
      </x:c>
      <x:c r="S513" s="158" t="n">
        <x:v>478842</x:v>
      </x:c>
      <x:c r="T513" s="158" t="n">
        <x:v>7808594698</x:v>
      </x:c>
      <x:c r="U513" s="158" t="n">
        <x:v>2916420</x:v>
      </x:c>
      <x:c r="V513" s="153" t="n">
        <x:f>IFERROR(E513*1000/O513,"")</x:f>
        <x:v>60.55733839806143</x:v>
      </x:c>
      <x:c r="W513" s="153" t="n">
        <x:v>4.39</x:v>
      </x:c>
      <x:c r="X513" s="155" t="n">
        <x:v>46101</x:v>
      </x:c>
      <x:c r="Y513" s="153" t="n">
        <x:v>2.01</x:v>
      </x:c>
      <x:c r="Z513" s="155" t="n">
        <x:v>46101</x:v>
      </x:c>
      <x:c r="AA513" s="153" t="n">
        <x:f>IFERROR(Y513-Y512,"")</x:f>
        <x:v>0.1299999999999999</x:v>
      </x:c>
      <x:c r="AB513" s="153" t="n">
        <x:v>2.38</x:v>
      </x:c>
      <x:c r="AC513" s="153" t="n">
        <x:v>120.2757</x:v>
      </x:c>
      <x:c r="AD513" s="155" t="n">
        <x:v>46101</x:v>
      </x:c>
      <x:c r="AE513" s="154" t="n">
        <x:f>IFERROR(AC513/AC512-1,"")</x:f>
        <x:v>0.0007946400488598737</x:v>
      </x:c>
      <x:c r="AF513" s="153" t="n">
        <x:v>26.78</x:v>
      </x:c>
      <x:c r="AG513" s="155" t="n">
        <x:v>46101</x:v>
      </x:c>
      <x:c r="AH513" s="153" t="n">
        <x:f>IFERROR(AF513-AF512,"")</x:f>
        <x:v>2.7200000000000024</x:v>
      </x:c>
      <x:c r="AI513" s="153" t="n">
        <x:v>3.64</x:v>
      </x:c>
      <x:c r="AJ513" s="155" t="n">
        <x:v>46101</x:v>
      </x:c>
      <x:c r="AK513" s="159" t="n">
        <x:v>102043</x:v>
      </x:c>
      <x:c r="AL513" s="154" t="n">
        <x:v>0.24804564061178255</x:v>
      </x:c>
      <x:c r="AM513" s="159" t="n">
        <x:v>-17834</x:v>
      </x:c>
      <x:c r="AN513" s="155" t="n">
        <x:v>46101</x:v>
      </x:c>
      <x:c r="AO513" s="159" t="n">
        <x:v>9647</x:v>
      </x:c>
      <x:c r="AP513" s="154" t="n">
        <x:v>0.08406385611460639</x:v>
      </x:c>
      <x:c r="AQ513" s="159" t="n">
        <x:v>-14797</x:v>
      </x:c>
      <x:c r="AR513" s="147" t="str">
        <x:v>美国市场指标与CFTC数据均使用严格早于上金所交易日的最后已发布值</x:v>
      </x:c>
    </x:row>
    <x:row r="514">
      <x:c r="A514" s="155" t="n">
        <x:v>46105</x:v>
      </x:c>
      <x:c r="B514" s="153" t="n">
        <x:v>965</x:v>
      </x:c>
      <x:c r="C514" s="153" t="n">
        <x:v>999</x:v>
      </x:c>
      <x:c r="D514" s="153" t="n">
        <x:v>953.2</x:v>
      </x:c>
      <x:c r="E514" s="153" t="n">
        <x:v>979.56</x:v>
      </x:c>
      <x:c r="F514" s="154" t="n">
        <x:f>IFERROR(E514/E513-1,"")</x:f>
        <x:v>0.05938463202292765</x:v>
      </x:c>
      <x:c r="G514" s="154" t="n">
        <x:f>IFERROR((C514-D514)/E513,"")</x:f>
        <x:v>0.04953225544800731</x:v>
      </x:c>
      <x:c r="H514" s="153" t="n">
        <x:v>966.13</x:v>
      </x:c>
      <x:c r="I514" s="158" t="n">
        <x:v>18123.16</x:v>
      </x:c>
      <x:c r="J514" s="158" t="n">
        <x:v>17509448344.6</x:v>
      </x:c>
      <x:c r="K514" s="158"/>
      <x:c r="L514" s="153" t="n">
        <x:v>16200</x:v>
      </x:c>
      <x:c r="M514" s="153" t="n">
        <x:v>17479</x:v>
      </x:c>
      <x:c r="N514" s="153" t="n">
        <x:v>16180</x:v>
      </x:c>
      <x:c r="O514" s="153" t="n">
        <x:v>17166</x:v>
      </x:c>
      <x:c r="P514" s="154" t="n">
        <x:f>IFERROR(O514/O513-1,"")</x:f>
        <x:v>0.12423865348090901</x:v>
      </x:c>
      <x:c r="Q514" s="154" t="n">
        <x:f>IFERROR((M514-N514)/O513,"")</x:f>
        <x:v>0.08507433361713275</x:v>
      </x:c>
      <x:c r="R514" s="153" t="n">
        <x:v>16657</x:v>
      </x:c>
      <x:c r="S514" s="158" t="n">
        <x:v>534268</x:v>
      </x:c>
      <x:c r="T514" s="158" t="n">
        <x:v>8899782306</x:v>
      </x:c>
      <x:c r="U514" s="158" t="n">
        <x:v>2912056</x:v>
      </x:c>
      <x:c r="V514" s="153" t="n">
        <x:f>IFERROR(E514*1000/O514,"")</x:f>
        <x:v>57.06396364907375</x:v>
      </x:c>
      <x:c r="W514" s="153" t="n">
        <x:v>4.34</x:v>
      </x:c>
      <x:c r="X514" s="155" t="n">
        <x:v>46104</x:v>
      </x:c>
      <x:c r="Y514" s="153" t="n">
        <x:v>2.01</x:v>
      </x:c>
      <x:c r="Z514" s="155" t="n">
        <x:v>46104</x:v>
      </x:c>
      <x:c r="AA514" s="153" t="n">
        <x:f>IFERROR(Y514-Y513,"")</x:f>
        <x:v>0</x:v>
      </x:c>
      <x:c r="AB514" s="153" t="n">
        <x:v>2.33</x:v>
      </x:c>
      <x:c r="AC514" s="153" t="n">
        <x:v>119.9371</x:v>
      </x:c>
      <x:c r="AD514" s="155" t="n">
        <x:v>46104</x:v>
      </x:c>
      <x:c r="AE514" s="154" t="n">
        <x:f>IFERROR(AC514/AC513-1,"")</x:f>
        <x:v>-0.002815198747544212</x:v>
      </x:c>
      <x:c r="AF514" s="153" t="n">
        <x:v>26.15</x:v>
      </x:c>
      <x:c r="AG514" s="155" t="n">
        <x:v>46104</x:v>
      </x:c>
      <x:c r="AH514" s="153" t="n">
        <x:f>IFERROR(AF514-AF513,"")</x:f>
        <x:v>-0.6300000000000026</x:v>
      </x:c>
      <x:c r="AI514" s="153" t="n">
        <x:v>3.64</x:v>
      </x:c>
      <x:c r="AJ514" s="155" t="n">
        <x:v>46101</x:v>
      </x:c>
      <x:c r="AK514" s="159" t="n">
        <x:v>102043</x:v>
      </x:c>
      <x:c r="AL514" s="154" t="n">
        <x:v>0.24804564061178255</x:v>
      </x:c>
      <x:c r="AM514" s="159" t="n">
        <x:v>-17834</x:v>
      </x:c>
      <x:c r="AN514" s="155" t="n">
        <x:v>46101</x:v>
      </x:c>
      <x:c r="AO514" s="159" t="n">
        <x:v>9647</x:v>
      </x:c>
      <x:c r="AP514" s="154" t="n">
        <x:v>0.08406385611460639</x:v>
      </x:c>
      <x:c r="AQ514" s="159" t="n">
        <x:v>-14797</x:v>
      </x:c>
      <x:c r="AR514" s="147" t="str">
        <x:v>美国市场指标与CFTC数据均使用严格早于上金所交易日的最后已发布值</x:v>
      </x:c>
    </x:row>
    <x:row r="515">
      <x:c r="A515" s="155" t="n">
        <x:v>46106</x:v>
      </x:c>
      <x:c r="B515" s="153" t="n">
        <x:v>980</x:v>
      </x:c>
      <x:c r="C515" s="153" t="n">
        <x:v>1028.99</x:v>
      </x:c>
      <x:c r="D515" s="153" t="n">
        <x:v>965.1</x:v>
      </x:c>
      <x:c r="E515" s="153" t="n">
        <x:v>1015.45</x:v>
      </x:c>
      <x:c r="F515" s="154" t="n">
        <x:f>IFERROR(E515/E514-1,"")</x:f>
        <x:v>0.036638899097554134</x:v>
      </x:c>
      <x:c r="G515" s="154" t="n">
        <x:f>IFERROR((C515-D515)/E514,"")</x:f>
        <x:v>0.06522316141941278</x:v>
      </x:c>
      <x:c r="H515" s="153" t="n">
        <x:v>1017.3</x:v>
      </x:c>
      <x:c r="I515" s="158" t="n">
        <x:v>13543.72</x:v>
      </x:c>
      <x:c r="J515" s="158" t="n">
        <x:v>13778028880</x:v>
      </x:c>
      <x:c r="K515" s="158"/>
      <x:c r="L515" s="153" t="n">
        <x:v>17299</x:v>
      </x:c>
      <x:c r="M515" s="153" t="n">
        <x:v>18508</x:v>
      </x:c>
      <x:c r="N515" s="153" t="n">
        <x:v>16740</x:v>
      </x:c>
      <x:c r="O515" s="153" t="n">
        <x:v>18121</x:v>
      </x:c>
      <x:c r="P515" s="154" t="n">
        <x:f>IFERROR(O515/O514-1,"")</x:f>
        <x:v>0.05563322847489216</x:v>
      </x:c>
      <x:c r="Q515" s="154" t="n">
        <x:f>IFERROR((M515-N515)/O514,"")</x:f>
        <x:v>0.10299429104042876</x:v>
      </x:c>
      <x:c r="R515" s="153" t="n">
        <x:v>18016</x:v>
      </x:c>
      <x:c r="S515" s="158" t="n">
        <x:v>456886</x:v>
      </x:c>
      <x:c r="T515" s="158" t="n">
        <x:v>8231344992</x:v>
      </x:c>
      <x:c r="U515" s="158" t="n">
        <x:v>2890428</x:v>
      </x:c>
      <x:c r="V515" s="153" t="n">
        <x:f>IFERROR(E515*1000/O515,"")</x:f>
        <x:v>56.03719441531924</x:v>
      </x:c>
      <x:c r="W515" s="153" t="n">
        <x:v>4.39</x:v>
      </x:c>
      <x:c r="X515" s="155" t="n">
        <x:v>46105</x:v>
      </x:c>
      <x:c r="Y515" s="153" t="n">
        <x:v>2.06</x:v>
      </x:c>
      <x:c r="Z515" s="155" t="n">
        <x:v>46105</x:v>
      </x:c>
      <x:c r="AA515" s="153" t="n">
        <x:f>IFERROR(Y515-Y514,"")</x:f>
        <x:v>0.050000000000000266</x:v>
      </x:c>
      <x:c r="AB515" s="153" t="n">
        <x:v>2.33</x:v>
      </x:c>
      <x:c r="AC515" s="153" t="n">
        <x:v>120.1295</x:v>
      </x:c>
      <x:c r="AD515" s="155" t="n">
        <x:v>46105</x:v>
      </x:c>
      <x:c r="AE515" s="154" t="n">
        <x:f>IFERROR(AC515/AC514-1,"")</x:f>
        <x:v>0.0016041741879702087</x:v>
      </x:c>
      <x:c r="AF515" s="153" t="n">
        <x:v>26.95</x:v>
      </x:c>
      <x:c r="AG515" s="155" t="n">
        <x:v>46105</x:v>
      </x:c>
      <x:c r="AH515" s="153" t="n">
        <x:f>IFERROR(AF515-AF514,"")</x:f>
        <x:v>0.8000000000000007</x:v>
      </x:c>
      <x:c r="AI515" s="153" t="n">
        <x:v>3.64</x:v>
      </x:c>
      <x:c r="AJ515" s="155" t="n">
        <x:v>46101</x:v>
      </x:c>
      <x:c r="AK515" s="159" t="n">
        <x:v>102043</x:v>
      </x:c>
      <x:c r="AL515" s="154" t="n">
        <x:v>0.24804564061178255</x:v>
      </x:c>
      <x:c r="AM515" s="159" t="n">
        <x:v>-17834</x:v>
      </x:c>
      <x:c r="AN515" s="155" t="n">
        <x:v>46101</x:v>
      </x:c>
      <x:c r="AO515" s="159" t="n">
        <x:v>9647</x:v>
      </x:c>
      <x:c r="AP515" s="154" t="n">
        <x:v>0.08406385611460639</x:v>
      </x:c>
      <x:c r="AQ515" s="159" t="n">
        <x:v>-14797</x:v>
      </x:c>
      <x:c r="AR515" s="147" t="str">
        <x:v>美国市场指标与CFTC数据均使用严格早于上金所交易日的最后已发布值</x:v>
      </x:c>
    </x:row>
    <x:row r="516">
      <x:c r="A516" s="155" t="n">
        <x:v>46107</x:v>
      </x:c>
      <x:c r="B516" s="153" t="n">
        <x:v>1015.45</x:v>
      </x:c>
      <x:c r="C516" s="153" t="n">
        <x:v>1022.5</x:v>
      </x:c>
      <x:c r="D516" s="153" t="n">
        <x:v>982</x:v>
      </x:c>
      <x:c r="E516" s="153" t="n">
        <x:v>991.36</x:v>
      </x:c>
      <x:c r="F516" s="154" t="n">
        <x:f>IFERROR(E516/E515-1,"")</x:f>
        <x:v>-0.023723472352159214</x:v>
      </x:c>
      <x:c r="G516" s="154" t="n">
        <x:f>IFERROR((C516-D516)/E515,"")</x:f>
        <x:v>0.03988379536166232</x:v>
      </x:c>
      <x:c r="H516" s="153" t="n">
        <x:v>1000.48</x:v>
      </x:c>
      <x:c r="I516" s="158" t="n">
        <x:v>13363.36</x:v>
      </x:c>
      <x:c r="J516" s="158" t="n">
        <x:v>13369783155.2</x:v>
      </x:c>
      <x:c r="K516" s="158"/>
      <x:c r="L516" s="153" t="n">
        <x:v>18144</x:v>
      </x:c>
      <x:c r="M516" s="153" t="n">
        <x:v>18200</x:v>
      </x:c>
      <x:c r="N516" s="153" t="n">
        <x:v>17228</x:v>
      </x:c>
      <x:c r="O516" s="153" t="n">
        <x:v>17292</x:v>
      </x:c>
      <x:c r="P516" s="154" t="n">
        <x:f>IFERROR(O516/O515-1,"")</x:f>
        <x:v>-0.04574802715081949</x:v>
      </x:c>
      <x:c r="Q516" s="154" t="n">
        <x:f>IFERROR((M516-N516)/O515,"")</x:f>
        <x:v>0.0536394238728547</x:v>
      </x:c>
      <x:c r="R516" s="153" t="n">
        <x:v>17725</x:v>
      </x:c>
      <x:c r="S516" s="158" t="n">
        <x:v>429700</x:v>
      </x:c>
      <x:c r="T516" s="158" t="n">
        <x:v>7616436638</x:v>
      </x:c>
      <x:c r="U516" s="158" t="n">
        <x:v>2872224</x:v>
      </x:c>
      <x:c r="V516" s="153" t="n">
        <x:f>IFERROR(E516*1000/O516,"")</x:f>
        <x:v>57.33055748322924</x:v>
      </x:c>
      <x:c r="W516" s="153" t="n">
        <x:v>4.33</x:v>
      </x:c>
      <x:c r="X516" s="155" t="n">
        <x:v>46106</x:v>
      </x:c>
      <x:c r="Y516" s="153" t="n">
        <x:v>2.02</x:v>
      </x:c>
      <x:c r="Z516" s="155" t="n">
        <x:v>46106</x:v>
      </x:c>
      <x:c r="AA516" s="153" t="n">
        <x:f>IFERROR(Y516-Y515,"")</x:f>
        <x:v>-0.040000000000000036</x:v>
      </x:c>
      <x:c r="AB516" s="153" t="n">
        <x:v>2.31</x:v>
      </x:c>
      <x:c r="AC516" s="153" t="n">
        <x:v>120.1282</x:v>
      </x:c>
      <x:c r="AD516" s="155" t="n">
        <x:v>46106</x:v>
      </x:c>
      <x:c r="AE516" s="154" t="n">
        <x:f>IFERROR(AC516/AC515-1,"")</x:f>
        <x:v>-0.000010821654963910632</x:v>
      </x:c>
      <x:c r="AF516" s="153" t="n">
        <x:v>25.33</x:v>
      </x:c>
      <x:c r="AG516" s="155" t="n">
        <x:v>46106</x:v>
      </x:c>
      <x:c r="AH516" s="153" t="n">
        <x:f>IFERROR(AF516-AF515,"")</x:f>
        <x:v>-1.620000000000001</x:v>
      </x:c>
      <x:c r="AI516" s="153" t="n">
        <x:v>3.64</x:v>
      </x:c>
      <x:c r="AJ516" s="155" t="n">
        <x:v>46101</x:v>
      </x:c>
      <x:c r="AK516" s="159" t="n">
        <x:v>102043</x:v>
      </x:c>
      <x:c r="AL516" s="154" t="n">
        <x:v>0.24804564061178255</x:v>
      </x:c>
      <x:c r="AM516" s="159" t="n">
        <x:v>-17834</x:v>
      </x:c>
      <x:c r="AN516" s="155" t="n">
        <x:v>46101</x:v>
      </x:c>
      <x:c r="AO516" s="159" t="n">
        <x:v>9647</x:v>
      </x:c>
      <x:c r="AP516" s="154" t="n">
        <x:v>0.08406385611460639</x:v>
      </x:c>
      <x:c r="AQ516" s="159" t="n">
        <x:v>-14797</x:v>
      </x:c>
      <x:c r="AR516" s="147" t="str">
        <x:v>美国市场指标与CFTC数据均使用严格早于上金所交易日的最后已发布值</x:v>
      </x:c>
    </x:row>
    <x:row r="517">
      <x:c r="A517" s="155" t="n">
        <x:v>46108</x:v>
      </x:c>
      <x:c r="B517" s="153" t="n">
        <x:v>988</x:v>
      </x:c>
      <x:c r="C517" s="153" t="n">
        <x:v>999.5</x:v>
      </x:c>
      <x:c r="D517" s="153" t="n">
        <x:v>977</x:v>
      </x:c>
      <x:c r="E517" s="153" t="n">
        <x:v>993.9</x:v>
      </x:c>
      <x:c r="F517" s="154" t="n">
        <x:f>IFERROR(E517/E516-1,"")</x:f>
        <x:v>0.0025621368624919594</x:v>
      </x:c>
      <x:c r="G517" s="154" t="n">
        <x:f>IFERROR((C517-D517)/E516,"")</x:f>
        <x:v>0.02269609425435765</x:v>
      </x:c>
      <x:c r="H517" s="153" t="n">
        <x:v>990.16</x:v>
      </x:c>
      <x:c r="I517" s="158" t="n">
        <x:v>10391.86</x:v>
      </x:c>
      <x:c r="J517" s="158" t="n">
        <x:v>10289638034</x:v>
      </x:c>
      <x:c r="K517" s="158"/>
      <x:c r="L517" s="153" t="n">
        <x:v>16830</x:v>
      </x:c>
      <x:c r="M517" s="153" t="n">
        <x:v>17650</x:v>
      </x:c>
      <x:c r="N517" s="153" t="n">
        <x:v>16800</x:v>
      </x:c>
      <x:c r="O517" s="153" t="n">
        <x:v>17467</x:v>
      </x:c>
      <x:c r="P517" s="154" t="n">
        <x:f>IFERROR(O517/O516-1,"")</x:f>
        <x:v>0.01012028683784405</x:v>
      </x:c>
      <x:c r="Q517" s="154" t="n">
        <x:f>IFERROR((M517-N517)/O516,"")</x:f>
        <x:v>0.049155678926671297</x:v>
      </x:c>
      <x:c r="R517" s="153" t="n">
        <x:v>17288</x:v>
      </x:c>
      <x:c r="S517" s="158" t="n">
        <x:v>293094</x:v>
      </x:c>
      <x:c r="T517" s="158" t="n">
        <x:v>5067156202</x:v>
      </x:c>
      <x:c r="U517" s="158" t="n">
        <x:v>2849646</x:v>
      </x:c>
      <x:c r="V517" s="153" t="n">
        <x:f>IFERROR(E517*1000/O517,"")</x:f>
        <x:v>56.90158584759833</x:v>
      </x:c>
      <x:c r="W517" s="153" t="n">
        <x:v>4.42</x:v>
      </x:c>
      <x:c r="X517" s="155" t="n">
        <x:v>46107</x:v>
      </x:c>
      <x:c r="Y517" s="153" t="n">
        <x:v>2.08</x:v>
      </x:c>
      <x:c r="Z517" s="155" t="n">
        <x:v>46107</x:v>
      </x:c>
      <x:c r="AA517" s="153" t="n">
        <x:f>IFERROR(Y517-Y516,"")</x:f>
        <x:v>0.06000000000000005</x:v>
      </x:c>
      <x:c r="AB517" s="153" t="n">
        <x:v>2.34</x:v>
      </x:c>
      <x:c r="AC517" s="153" t="n">
        <x:v>120.389</x:v>
      </x:c>
      <x:c r="AD517" s="155" t="n">
        <x:v>46107</x:v>
      </x:c>
      <x:c r="AE517" s="154" t="n">
        <x:f>IFERROR(AC517/AC516-1,"")</x:f>
        <x:v>0.002171013966745461</x:v>
      </x:c>
      <x:c r="AF517" s="153" t="n">
        <x:v>27.44</x:v>
      </x:c>
      <x:c r="AG517" s="155" t="n">
        <x:v>46107</x:v>
      </x:c>
      <x:c r="AH517" s="153" t="n">
        <x:f>IFERROR(AF517-AF516,"")</x:f>
        <x:v>2.110000000000003</x:v>
      </x:c>
      <x:c r="AI517" s="153" t="n">
        <x:v>3.64</x:v>
      </x:c>
      <x:c r="AJ517" s="155" t="n">
        <x:v>46101</x:v>
      </x:c>
      <x:c r="AK517" s="159" t="n">
        <x:v>102043</x:v>
      </x:c>
      <x:c r="AL517" s="154" t="n">
        <x:v>0.24804564061178255</x:v>
      </x:c>
      <x:c r="AM517" s="159" t="n">
        <x:v>-17834</x:v>
      </x:c>
      <x:c r="AN517" s="155" t="n">
        <x:v>46101</x:v>
      </x:c>
      <x:c r="AO517" s="159" t="n">
        <x:v>9647</x:v>
      </x:c>
      <x:c r="AP517" s="154" t="n">
        <x:v>0.08406385611460639</x:v>
      </x:c>
      <x:c r="AQ517" s="159" t="n">
        <x:v>-14797</x:v>
      </x:c>
      <x:c r="AR517" s="147" t="str">
        <x:v>美国市场指标与CFTC数据均使用严格早于上金所交易日的最后已发布值</x:v>
      </x:c>
    </x:row>
    <x:row r="518">
      <x:c r="A518" s="155" t="n">
        <x:v>46111</x:v>
      </x:c>
      <x:c r="B518" s="153" t="n">
        <x:v>990</x:v>
      </x:c>
      <x:c r="C518" s="153" t="n">
        <x:v>1015</x:v>
      </x:c>
      <x:c r="D518" s="153" t="n">
        <x:v>986</x:v>
      </x:c>
      <x:c r="E518" s="153" t="n">
        <x:v>1008.75</x:v>
      </x:c>
      <x:c r="F518" s="154" t="n">
        <x:f>IFERROR(E518/E517-1,"")</x:f>
        <x:v>0.014941140959855215</x:v>
      </x:c>
      <x:c r="G518" s="154" t="n">
        <x:f>IFERROR((C518-D518)/E517,"")</x:f>
        <x:v>0.029177985712848374</x:v>
      </x:c>
      <x:c r="H518" s="153" t="n">
        <x:v>1005.43</x:v>
      </x:c>
      <x:c r="I518" s="158" t="n">
        <x:v>11089.54</x:v>
      </x:c>
      <x:c r="J518" s="158" t="n">
        <x:v>11149836990</x:v>
      </x:c>
      <x:c r="K518" s="158"/>
      <x:c r="L518" s="153" t="n">
        <x:v>17080</x:v>
      </x:c>
      <x:c r="M518" s="153" t="n">
        <x:v>17940</x:v>
      </x:c>
      <x:c r="N518" s="153" t="n">
        <x:v>16956</x:v>
      </x:c>
      <x:c r="O518" s="153" t="n">
        <x:v>17560</x:v>
      </x:c>
      <x:c r="P518" s="154" t="n">
        <x:f>IFERROR(O518/O517-1,"")</x:f>
        <x:v>0.005324325871643776</x:v>
      </x:c>
      <x:c r="Q518" s="154" t="n">
        <x:f>IFERROR((M518-N518)/O517,"")</x:f>
        <x:v>0.05633480277093949</x:v>
      </x:c>
      <x:c r="R518" s="153" t="n">
        <x:v>17520</x:v>
      </x:c>
      <x:c r="S518" s="158" t="n">
        <x:v>294236</x:v>
      </x:c>
      <x:c r="T518" s="158" t="n">
        <x:v>5155247412</x:v>
      </x:c>
      <x:c r="U518" s="158" t="n">
        <x:v>2839936</x:v>
      </x:c>
      <x:c r="V518" s="153" t="n">
        <x:f>IFERROR(E518*1000/O518,"")</x:f>
        <x:v>57.445899772209565</x:v>
      </x:c>
      <x:c r="W518" s="153" t="n">
        <x:v>4.44</x:v>
      </x:c>
      <x:c r="X518" s="155" t="n">
        <x:v>46108</x:v>
      </x:c>
      <x:c r="Y518" s="153" t="n">
        <x:v>2.13</x:v>
      </x:c>
      <x:c r="Z518" s="155" t="n">
        <x:v>46108</x:v>
      </x:c>
      <x:c r="AA518" s="153" t="n">
        <x:f>IFERROR(Y518-Y517,"")</x:f>
        <x:v>0.04999999999999982</x:v>
      </x:c>
      <x:c r="AB518" s="153" t="n">
        <x:v>2.31</x:v>
      </x:c>
      <x:c r="AC518" s="153" t="n">
        <x:v>120.8851</x:v>
      </x:c>
      <x:c r="AD518" s="155" t="n">
        <x:v>46108</x:v>
      </x:c>
      <x:c r="AE518" s="154" t="n">
        <x:f>IFERROR(AC518/AC517-1,"")</x:f>
        <x:v>0.004120808379503016</x:v>
      </x:c>
      <x:c r="AF518" s="153" t="n">
        <x:v>31.05</x:v>
      </x:c>
      <x:c r="AG518" s="155" t="n">
        <x:v>46108</x:v>
      </x:c>
      <x:c r="AH518" s="153" t="n">
        <x:f>IFERROR(AF518-AF517,"")</x:f>
        <x:v>3.6099999999999994</x:v>
      </x:c>
      <x:c r="AI518" s="153" t="n">
        <x:v>3.64</x:v>
      </x:c>
      <x:c r="AJ518" s="155" t="n">
        <x:v>46108</x:v>
      </x:c>
      <x:c r="AK518" s="159" t="n">
        <x:v>91621</x:v>
      </x:c>
      <x:c r="AL518" s="154" t="n">
        <x:v>0.22682676239400879</x:v>
      </x:c>
      <x:c r="AM518" s="159" t="n">
        <x:v>-22216</x:v>
      </x:c>
      <x:c r="AN518" s="155" t="n">
        <x:v>46108</x:v>
      </x:c>
      <x:c r="AO518" s="159" t="n">
        <x:v>11158</x:v>
      </x:c>
      <x:c r="AP518" s="154" t="n">
        <x:v>0.09860026156728288</x:v>
      </x:c>
      <x:c r="AQ518" s="159" t="n">
        <x:v>-15242</x:v>
      </x:c>
      <x:c r="AR518" s="147" t="str">
        <x:v>美国市场指标与CFTC数据均使用严格早于上金所交易日的最后已发布值</x:v>
      </x:c>
    </x:row>
    <x:row r="519">
      <x:c r="A519" s="155" t="n">
        <x:v>46112</x:v>
      </x:c>
      <x:c r="B519" s="153" t="n">
        <x:v>1015</x:v>
      </x:c>
      <x:c r="C519" s="153" t="n">
        <x:v>1029.99</x:v>
      </x:c>
      <x:c r="D519" s="153" t="n">
        <x:v>1008</x:v>
      </x:c>
      <x:c r="E519" s="153" t="n">
        <x:v>1018.9</x:v>
      </x:c>
      <x:c r="F519" s="154" t="n">
        <x:f>IFERROR(E519/E518-1,"")</x:f>
        <x:v>0.010061957868649385</x:v>
      </x:c>
      <x:c r="G519" s="154" t="n">
        <x:f>IFERROR((C519-D519)/E518,"")</x:f>
        <x:v>0.021799256505576216</x:v>
      </x:c>
      <x:c r="H519" s="153" t="n">
        <x:v>1020.33</x:v>
      </x:c>
      <x:c r="I519" s="158" t="n">
        <x:v>7108.74</x:v>
      </x:c>
      <x:c r="J519" s="158" t="n">
        <x:v>7253284710.4</x:v>
      </x:c>
      <x:c r="K519" s="158"/>
      <x:c r="L519" s="153" t="n">
        <x:v>17860</x:v>
      </x:c>
      <x:c r="M519" s="153" t="n">
        <x:v>18508</x:v>
      </x:c>
      <x:c r="N519" s="153" t="n">
        <x:v>17559</x:v>
      </x:c>
      <x:c r="O519" s="153" t="n">
        <x:v>18031</x:v>
      </x:c>
      <x:c r="P519" s="154" t="n">
        <x:f>IFERROR(O519/O518-1,"")</x:f>
        <x:v>0.026822323462414532</x:v>
      </x:c>
      <x:c r="Q519" s="154" t="n">
        <x:f>IFERROR((M519-N519)/O518,"")</x:f>
        <x:v>0.054043280182232346</x:v>
      </x:c>
      <x:c r="R519" s="153" t="n">
        <x:v>18114</x:v>
      </x:c>
      <x:c r="S519" s="158" t="n">
        <x:v>345804</x:v>
      </x:c>
      <x:c r="T519" s="158" t="n">
        <x:v>6264032482</x:v>
      </x:c>
      <x:c r="U519" s="158" t="n">
        <x:v>2818488</x:v>
      </x:c>
      <x:c r="V519" s="153" t="n">
        <x:f>IFERROR(E519*1000/O519,"")</x:f>
        <x:v>56.508235816094505</x:v>
      </x:c>
      <x:c r="W519" s="153" t="n">
        <x:v>4.35</x:v>
      </x:c>
      <x:c r="X519" s="155" t="n">
        <x:v>46111</x:v>
      </x:c>
      <x:c r="Y519" s="153" t="n">
        <x:v>2.04</x:v>
      </x:c>
      <x:c r="Z519" s="155" t="n">
        <x:v>46111</x:v>
      </x:c>
      <x:c r="AA519" s="153" t="n">
        <x:f>IFERROR(Y519-Y518,"")</x:f>
        <x:v>-0.08999999999999986</x:v>
      </x:c>
      <x:c r="AB519" s="153" t="n">
        <x:v>2.31</x:v>
      </x:c>
      <x:c r="AC519" s="153" t="n">
        <x:v>121.2851</x:v>
      </x:c>
      <x:c r="AD519" s="155" t="n">
        <x:v>46111</x:v>
      </x:c>
      <x:c r="AE519" s="154" t="n">
        <x:f>IFERROR(AC519/AC518-1,"")</x:f>
        <x:v>0.0033089272375173007</x:v>
      </x:c>
      <x:c r="AF519" s="153" t="n">
        <x:v>30.61</x:v>
      </x:c>
      <x:c r="AG519" s="155" t="n">
        <x:v>46111</x:v>
      </x:c>
      <x:c r="AH519" s="153" t="n">
        <x:f>IFERROR(AF519-AF518,"")</x:f>
        <x:v>-0.4400000000000013</x:v>
      </x:c>
      <x:c r="AI519" s="153" t="n">
        <x:v>3.64</x:v>
      </x:c>
      <x:c r="AJ519" s="155" t="n">
        <x:v>46108</x:v>
      </x:c>
      <x:c r="AK519" s="159" t="n">
        <x:v>91621</x:v>
      </x:c>
      <x:c r="AL519" s="154" t="n">
        <x:v>0.22682676239400879</x:v>
      </x:c>
      <x:c r="AM519" s="159" t="n">
        <x:v>-22216</x:v>
      </x:c>
      <x:c r="AN519" s="155" t="n">
        <x:v>46108</x:v>
      </x:c>
      <x:c r="AO519" s="159" t="n">
        <x:v>11158</x:v>
      </x:c>
      <x:c r="AP519" s="154" t="n">
        <x:v>0.09860026156728288</x:v>
      </x:c>
      <x:c r="AQ519" s="159" t="n">
        <x:v>-15242</x:v>
      </x:c>
      <x:c r="AR519" s="147" t="str">
        <x:v>美国市场指标与CFTC数据均使用严格早于上金所交易日的最后已发布值</x:v>
      </x:c>
    </x:row>
    <x:row r="520">
      <x:c r="A520" s="155" t="n">
        <x:v>46114</x:v>
      </x:c>
      <x:c r="B520" s="153" t="n">
        <x:v>1060</x:v>
      </x:c>
      <x:c r="C520" s="153" t="n">
        <x:v>1095</x:v>
      </x:c>
      <x:c r="D520" s="153" t="n">
        <x:v>1010</x:v>
      </x:c>
      <x:c r="E520" s="153" t="n">
        <x:v>1027.5</x:v>
      </x:c>
      <x:c r="F520" s="154" t="n">
        <x:f>IFERROR(E520/E519-1,"")</x:f>
        <x:v>0.00844047502208256</x:v>
      </x:c>
      <x:c r="G520" s="154" t="n">
        <x:f>IFERROR((C520-D520)/E519,"")</x:f>
        <x:v>0.08342329963686329</x:v>
      </x:c>
      <x:c r="H520" s="153" t="n">
        <x:v>1033.06</x:v>
      </x:c>
      <x:c r="I520" s="158" t="n">
        <x:v>7345.4</x:v>
      </x:c>
      <x:c r="J520" s="158" t="n">
        <x:v>7588270156.8</x:v>
      </x:c>
      <x:c r="K520" s="158"/>
      <x:c r="L520" s="153" t="n">
        <x:v>18786</x:v>
      </x:c>
      <x:c r="M520" s="153" t="n">
        <x:v>18916</x:v>
      </x:c>
      <x:c r="N520" s="153" t="n">
        <x:v>17304</x:v>
      </x:c>
      <x:c r="O520" s="153" t="n">
        <x:v>17680</x:v>
      </x:c>
      <x:c r="P520" s="154" t="n">
        <x:f>IFERROR(O520/O519-1,"")</x:f>
        <x:v>-0.019466474405191114</x:v>
      </x:c>
      <x:c r="Q520" s="154" t="n">
        <x:f>IFERROR((M520-N520)/O519,"")</x:f>
        <x:v>0.08940158615717375</x:v>
      </x:c>
      <x:c r="R520" s="153" t="n">
        <x:v>17856</x:v>
      </x:c>
      <x:c r="S520" s="158" t="n">
        <x:v>382260</x:v>
      </x:c>
      <x:c r="T520" s="158" t="n">
        <x:v>6825964114</x:v>
      </x:c>
      <x:c r="U520" s="158" t="n">
        <x:v>2794400</x:v>
      </x:c>
      <x:c r="V520" s="153" t="n">
        <x:f>IFERROR(E520*1000/O520,"")</x:f>
        <x:v>58.116515837104075</x:v>
      </x:c>
      <x:c r="W520" s="153" t="n">
        <x:v>4.33</x:v>
      </x:c>
      <x:c r="X520" s="155" t="n">
        <x:v>46113</x:v>
      </x:c>
      <x:c r="Y520" s="153" t="n">
        <x:v>2.02</x:v>
      </x:c>
      <x:c r="Z520" s="155" t="n">
        <x:v>46113</x:v>
      </x:c>
      <x:c r="AA520" s="153" t="n">
        <x:f>IFERROR(Y520-Y519,"")</x:f>
        <x:v>-0.020000000000000018</x:v>
      </x:c>
      <x:c r="AB520" s="153" t="n">
        <x:v>2.31</x:v>
      </x:c>
      <x:c r="AC520" s="153" t="n">
        <x:v>120.1198</x:v>
      </x:c>
      <x:c r="AD520" s="155" t="n">
        <x:v>46113</x:v>
      </x:c>
      <x:c r="AE520" s="154" t="n">
        <x:f>IFERROR(AC520/AC519-1,"")</x:f>
        <x:v>-0.009607940299344309</x:v>
      </x:c>
      <x:c r="AF520" s="153" t="n">
        <x:v>24.54</x:v>
      </x:c>
      <x:c r="AG520" s="155" t="n">
        <x:v>46113</x:v>
      </x:c>
      <x:c r="AH520" s="153" t="n">
        <x:f>IFERROR(AF520-AF519,"")</x:f>
        <x:v>-6.07</x:v>
      </x:c>
      <x:c r="AI520" s="153" t="n">
        <x:v>3.64</x:v>
      </x:c>
      <x:c r="AJ520" s="155" t="n">
        <x:v>46108</x:v>
      </x:c>
      <x:c r="AK520" s="159" t="n">
        <x:v>91621</x:v>
      </x:c>
      <x:c r="AL520" s="154" t="n">
        <x:v>0.22682676239400879</x:v>
      </x:c>
      <x:c r="AM520" s="159" t="n">
        <x:v>-22216</x:v>
      </x:c>
      <x:c r="AN520" s="155" t="n">
        <x:v>46108</x:v>
      </x:c>
      <x:c r="AO520" s="159" t="n">
        <x:v>11158</x:v>
      </x:c>
      <x:c r="AP520" s="154" t="n">
        <x:v>0.09860026156728288</x:v>
      </x:c>
      <x:c r="AQ520" s="159" t="n">
        <x:v>-15242</x:v>
      </x:c>
      <x:c r="AR520" s="147" t="str">
        <x:v>美国市场指标与CFTC数据均使用严格早于上金所交易日的最后已发布值</x:v>
      </x:c>
    </x:row>
    <x:row r="521">
      <x:c r="A521" s="155" t="n">
        <x:v>46115</x:v>
      </x:c>
      <x:c r="B521" s="153" t="n">
        <x:v>1022</x:v>
      </x:c>
      <x:c r="C521" s="153" t="n">
        <x:v>1042</x:v>
      </x:c>
      <x:c r="D521" s="153" t="n">
        <x:v>1020</x:v>
      </x:c>
      <x:c r="E521" s="153" t="n">
        <x:v>1034.42</x:v>
      </x:c>
      <x:c r="F521" s="154" t="n">
        <x:f>IFERROR(E521/E520-1,"")</x:f>
        <x:v>0.006734793187348043</x:v>
      </x:c>
      <x:c r="G521" s="154" t="n">
        <x:f>IFERROR((C521-D521)/E520,"")</x:f>
        <x:v>0.02141119221411192</x:v>
      </x:c>
      <x:c r="H521" s="153" t="n">
        <x:v>1032.36</x:v>
      </x:c>
      <x:c r="I521" s="158" t="n">
        <x:v>4251.04</x:v>
      </x:c>
      <x:c r="J521" s="158" t="n">
        <x:v>4388633819</x:v>
      </x:c>
      <x:c r="K521" s="158"/>
      <x:c r="L521" s="153" t="n">
        <x:v>17619</x:v>
      </x:c>
      <x:c r="M521" s="153" t="n">
        <x:v>18280</x:v>
      </x:c>
      <x:c r="N521" s="153" t="n">
        <x:v>17270</x:v>
      </x:c>
      <x:c r="O521" s="153" t="n">
        <x:v>17803</x:v>
      </x:c>
      <x:c r="P521" s="154" t="n">
        <x:f>IFERROR(O521/O520-1,"")</x:f>
        <x:v>0.006957013574660609</x:v>
      </x:c>
      <x:c r="Q521" s="154" t="n">
        <x:f>IFERROR((M521-N521)/O520,"")</x:f>
        <x:v>0.057126696832579184</x:v>
      </x:c>
      <x:c r="R521" s="153" t="n">
        <x:v>17907</x:v>
      </x:c>
      <x:c r="S521" s="158" t="n">
        <x:v>250724</x:v>
      </x:c>
      <x:c r="T521" s="158" t="n">
        <x:v>4489905196</x:v>
      </x:c>
      <x:c r="U521" s="158" t="n">
        <x:v>2815220</x:v>
      </x:c>
      <x:c r="V521" s="153" t="n">
        <x:f>IFERROR(E521*1000/O521,"")</x:f>
        <x:v>58.103690389260244</x:v>
      </x:c>
      <x:c r="W521" s="153" t="n">
        <x:v>4.31</x:v>
      </x:c>
      <x:c r="X521" s="155" t="n">
        <x:v>46114</x:v>
      </x:c>
      <x:c r="Y521" s="153" t="n">
        <x:v>1.97</x:v>
      </x:c>
      <x:c r="Z521" s="155" t="n">
        <x:v>46114</x:v>
      </x:c>
      <x:c r="AA521" s="153" t="n">
        <x:f>IFERROR(Y521-Y520,"")</x:f>
        <x:v>-0.050000000000000044</x:v>
      </x:c>
      <x:c r="AB521" s="153" t="n">
        <x:v>2.34</x:v>
      </x:c>
      <x:c r="AC521" s="153" t="n">
        <x:v>120.503</x:v>
      </x:c>
      <x:c r="AD521" s="155" t="n">
        <x:v>46114</x:v>
      </x:c>
      <x:c r="AE521" s="154" t="n">
        <x:f>IFERROR(AC521/AC520-1,"")</x:f>
        <x:v>0.0031901485017458153</x:v>
      </x:c>
      <x:c r="AF521" s="153" t="n">
        <x:v>23.87</x:v>
      </x:c>
      <x:c r="AG521" s="155" t="n">
        <x:v>46114</x:v>
      </x:c>
      <x:c r="AH521" s="153" t="n">
        <x:f>IFERROR(AF521-AF520,"")</x:f>
        <x:v>-0.6699999999999982</x:v>
      </x:c>
      <x:c r="AI521" s="153" t="n">
        <x:v>3.64</x:v>
      </x:c>
      <x:c r="AJ521" s="155" t="n">
        <x:v>46108</x:v>
      </x:c>
      <x:c r="AK521" s="159" t="n">
        <x:v>91621</x:v>
      </x:c>
      <x:c r="AL521" s="154" t="n">
        <x:v>0.22682676239400879</x:v>
      </x:c>
      <x:c r="AM521" s="159" t="n">
        <x:v>-22216</x:v>
      </x:c>
      <x:c r="AN521" s="155" t="n">
        <x:v>46108</x:v>
      </x:c>
      <x:c r="AO521" s="159" t="n">
        <x:v>11158</x:v>
      </x:c>
      <x:c r="AP521" s="154" t="n">
        <x:v>0.09860026156728288</x:v>
      </x:c>
      <x:c r="AQ521" s="159" t="n">
        <x:v>-15242</x:v>
      </x:c>
      <x:c r="AR521" s="147" t="str">
        <x:v>美国市场指标与CFTC数据均使用严格早于上金所交易日的最后已发布值</x:v>
      </x:c>
    </x:row>
    <x:row r="522">
      <x:c r="A522" s="155" t="n">
        <x:v>46119</x:v>
      </x:c>
      <x:c r="B522" s="153" t="n">
        <x:v>1032</x:v>
      </x:c>
      <x:c r="C522" s="153" t="n">
        <x:v>1035</x:v>
      </x:c>
      <x:c r="D522" s="153" t="n">
        <x:v>1026</x:v>
      </x:c>
      <x:c r="E522" s="153" t="n">
        <x:v>1028</x:v>
      </x:c>
      <x:c r="F522" s="154" t="n">
        <x:f>IFERROR(E522/E521-1,"")</x:f>
        <x:v>-0.006206376520175638</x:v>
      </x:c>
      <x:c r="G522" s="154" t="n">
        <x:f>IFERROR((C522-D522)/E521,"")</x:f>
        <x:v>0.008700527832021809</x:v>
      </x:c>
      <x:c r="H522" s="153" t="n">
        <x:v>1030.03</x:v>
      </x:c>
      <x:c r="I522" s="158" t="n">
        <x:v>5812.18</x:v>
      </x:c>
      <x:c r="J522" s="158" t="n">
        <x:v>5986753166</x:v>
      </x:c>
      <x:c r="K522" s="158"/>
      <x:c r="L522" s="153" t="n">
        <x:v>17849</x:v>
      </x:c>
      <x:c r="M522" s="153" t="n">
        <x:v>18150</x:v>
      </x:c>
      <x:c r="N522" s="153" t="n">
        <x:v>17688</x:v>
      </x:c>
      <x:c r="O522" s="153" t="n">
        <x:v>17820</x:v>
      </x:c>
      <x:c r="P522" s="154" t="n">
        <x:f>IFERROR(O522/O521-1,"")</x:f>
        <x:v>0.0009548952423747981</x:v>
      </x:c>
      <x:c r="Q522" s="154" t="n">
        <x:f>IFERROR((M522-N522)/O521,"")</x:f>
        <x:v>0.025950682469246755</x:v>
      </x:c>
      <x:c r="R522" s="153" t="n">
        <x:v>17916</x:v>
      </x:c>
      <x:c r="S522" s="158" t="n">
        <x:v>221000</x:v>
      </x:c>
      <x:c r="T522" s="158" t="n">
        <x:v>3959573514</x:v>
      </x:c>
      <x:c r="U522" s="158" t="n">
        <x:v>2838616</x:v>
      </x:c>
      <x:c r="V522" s="153" t="n">
        <x:f>IFERROR(E522*1000/O522,"")</x:f>
        <x:v>57.68799102132436</x:v>
      </x:c>
      <x:c r="W522" s="153" t="n">
        <x:v>4.34</x:v>
      </x:c>
      <x:c r="X522" s="155" t="n">
        <x:v>46118</x:v>
      </x:c>
      <x:c r="Y522" s="153" t="n">
        <x:v>1.98</x:v>
      </x:c>
      <x:c r="Z522" s="155" t="n">
        <x:v>46118</x:v>
      </x:c>
      <x:c r="AA522" s="153" t="n">
        <x:f>IFERROR(Y522-Y521,"")</x:f>
        <x:v>0.010000000000000009</x:v>
      </x:c>
      <x:c r="AB522" s="153" t="n">
        <x:v>2.36</x:v>
      </x:c>
      <x:c r="AC522" s="153" t="n">
        <x:v>120.4302</x:v>
      </x:c>
      <x:c r="AD522" s="155" t="n">
        <x:v>46118</x:v>
      </x:c>
      <x:c r="AE522" s="154" t="n">
        <x:f>IFERROR(AC522/AC521-1,"")</x:f>
        <x:v>-0.0006041343369044272</x:v>
      </x:c>
      <x:c r="AF522" s="153" t="n">
        <x:v>24.17</x:v>
      </x:c>
      <x:c r="AG522" s="155" t="n">
        <x:v>46118</x:v>
      </x:c>
      <x:c r="AH522" s="153" t="n">
        <x:f>IFERROR(AF522-AF521,"")</x:f>
        <x:v>0.3000000000000007</x:v>
      </x:c>
      <x:c r="AI522" s="153" t="n">
        <x:v>3.64</x:v>
      </x:c>
      <x:c r="AJ522" s="155" t="n">
        <x:v>46115</x:v>
      </x:c>
      <x:c r="AK522" s="159" t="n">
        <x:v>92814</x:v>
      </x:c>
      <x:c r="AL522" s="154" t="n">
        <x:v>0.25681153485386365</x:v>
      </x:c>
      <x:c r="AM522" s="159" t="n">
        <x:v>-19910</x:v>
      </x:c>
      <x:c r="AN522" s="155" t="n">
        <x:v>46115</x:v>
      </x:c>
      <x:c r="AO522" s="159" t="n">
        <x:v>11266</x:v>
      </x:c>
      <x:c r="AP522" s="154" t="n">
        <x:v>0.0978214623726871</x:v>
      </x:c>
      <x:c r="AQ522" s="159" t="n">
        <x:v>-15492</x:v>
      </x:c>
      <x:c r="AR522" s="147" t="str">
        <x:v>美国市场指标与CFTC数据均使用严格早于上金所交易日的最后已发布值</x:v>
      </x:c>
    </x:row>
    <x:row r="523">
      <x:c r="A523" s="155" t="n">
        <x:v>46120</x:v>
      </x:c>
      <x:c r="B523" s="153" t="n">
        <x:v>1033</x:v>
      </x:c>
      <x:c r="C523" s="153" t="n">
        <x:v>1065</x:v>
      </x:c>
      <x:c r="D523" s="153" t="n">
        <x:v>1021</x:v>
      </x:c>
      <x:c r="E523" s="153" t="n">
        <x:v>1059.91</x:v>
      </x:c>
      <x:c r="F523" s="154" t="n">
        <x:f>IFERROR(E523/E522-1,"")</x:f>
        <x:v>0.031040856031128383</x:v>
      </x:c>
      <x:c r="G523" s="154" t="n">
        <x:f>IFERROR((C523-D523)/E522,"")</x:f>
        <x:v>0.042801556420233464</x:v>
      </x:c>
      <x:c r="H523" s="153" t="n">
        <x:v>1059.09</x:v>
      </x:c>
      <x:c r="I523" s="158" t="n">
        <x:v>6060.8</x:v>
      </x:c>
      <x:c r="J523" s="158" t="n">
        <x:v>6418976276</x:v>
      </x:c>
      <x:c r="K523" s="158"/>
      <x:c r="L523" s="153" t="n">
        <x:v>17848</x:v>
      </x:c>
      <x:c r="M523" s="153" t="n">
        <x:v>19015</x:v>
      </x:c>
      <x:c r="N523" s="153" t="n">
        <x:v>17280</x:v>
      </x:c>
      <x:c r="O523" s="153" t="n">
        <x:v>18854</x:v>
      </x:c>
      <x:c r="P523" s="154" t="n">
        <x:f>IFERROR(O523/O522-1,"")</x:f>
        <x:v>0.05802469135802468</x:v>
      </x:c>
      <x:c r="Q523" s="154" t="n">
        <x:f>IFERROR((M523-N523)/O522,"")</x:f>
        <x:v>0.0973625140291807</x:v>
      </x:c>
      <x:c r="R523" s="153" t="n">
        <x:v>18719</x:v>
      </x:c>
      <x:c r="S523" s="158" t="n">
        <x:v>302928</x:v>
      </x:c>
      <x:c r="T523" s="158" t="n">
        <x:v>5670657008</x:v>
      </x:c>
      <x:c r="U523" s="158" t="n">
        <x:v>2873562</x:v>
      </x:c>
      <x:c r="V523" s="153" t="n">
        <x:f>IFERROR(E523*1000/O523,"")</x:f>
        <x:v>56.216717937838126</x:v>
      </x:c>
      <x:c r="W523" s="153" t="n">
        <x:v>4.33</x:v>
      </x:c>
      <x:c r="X523" s="155" t="n">
        <x:v>46119</x:v>
      </x:c>
      <x:c r="Y523" s="153" t="n">
        <x:v>1.96</x:v>
      </x:c>
      <x:c r="Z523" s="155" t="n">
        <x:v>46119</x:v>
      </x:c>
      <x:c r="AA523" s="153" t="n">
        <x:f>IFERROR(Y523-Y522,"")</x:f>
        <x:v>-0.020000000000000018</x:v>
      </x:c>
      <x:c r="AB523" s="153" t="n">
        <x:v>2.37</x:v>
      </x:c>
      <x:c r="AC523" s="153" t="n">
        <x:v>120.32</x:v>
      </x:c>
      <x:c r="AD523" s="155" t="n">
        <x:v>46119</x:v>
      </x:c>
      <x:c r="AE523" s="154" t="n">
        <x:f>IFERROR(AC523/AC522-1,"")</x:f>
        <x:v>-0.0009150528687987824</x:v>
      </x:c>
      <x:c r="AF523" s="153" t="n">
        <x:v>25.78</x:v>
      </x:c>
      <x:c r="AG523" s="155" t="n">
        <x:v>46119</x:v>
      </x:c>
      <x:c r="AH523" s="153" t="n">
        <x:f>IFERROR(AF523-AF522,"")</x:f>
        <x:v>1.6099999999999994</x:v>
      </x:c>
      <x:c r="AI523" s="153" t="n">
        <x:v>3.64</x:v>
      </x:c>
      <x:c r="AJ523" s="155" t="n">
        <x:v>46115</x:v>
      </x:c>
      <x:c r="AK523" s="159" t="n">
        <x:v>92814</x:v>
      </x:c>
      <x:c r="AL523" s="154" t="n">
        <x:v>0.25681153485386365</x:v>
      </x:c>
      <x:c r="AM523" s="159" t="n">
        <x:v>-19910</x:v>
      </x:c>
      <x:c r="AN523" s="155" t="n">
        <x:v>46115</x:v>
      </x:c>
      <x:c r="AO523" s="159" t="n">
        <x:v>11266</x:v>
      </x:c>
      <x:c r="AP523" s="154" t="n">
        <x:v>0.0978214623726871</x:v>
      </x:c>
      <x:c r="AQ523" s="159" t="n">
        <x:v>-15492</x:v>
      </x:c>
      <x:c r="AR523" s="147" t="str">
        <x:v>美国市场指标与CFTC数据均使用严格早于上金所交易日的最后已发布值</x:v>
      </x:c>
    </x:row>
    <x:row r="524">
      <x:c r="A524" s="155" t="n">
        <x:v>46121</x:v>
      </x:c>
      <x:c r="B524" s="153" t="n">
        <x:v>1060</x:v>
      </x:c>
      <x:c r="C524" s="153" t="n">
        <x:v>1060</x:v>
      </x:c>
      <x:c r="D524" s="153" t="n">
        <x:v>1036</x:v>
      </x:c>
      <x:c r="E524" s="153" t="n">
        <x:v>1036</x:v>
      </x:c>
      <x:c r="F524" s="154" t="n">
        <x:f>IFERROR(E524/E523-1,"")</x:f>
        <x:v>-0.02255851911954798</x:v>
      </x:c>
      <x:c r="G524" s="154" t="n">
        <x:f>IFERROR((C524-D524)/E523,"")</x:f>
        <x:v>0.022643431989508543</x:v>
      </x:c>
      <x:c r="H524" s="153" t="n">
        <x:v>1040.27</x:v>
      </x:c>
      <x:c r="I524" s="158" t="n">
        <x:v>4562.36</x:v>
      </x:c>
      <x:c r="J524" s="158" t="n">
        <x:v>4746116489.6</x:v>
      </x:c>
      <x:c r="K524" s="158"/>
      <x:c r="L524" s="153" t="n">
        <x:v>18947</x:v>
      </x:c>
      <x:c r="M524" s="153" t="n">
        <x:v>19014</x:v>
      </x:c>
      <x:c r="N524" s="153" t="n">
        <x:v>17961</x:v>
      </x:c>
      <x:c r="O524" s="153" t="n">
        <x:v>18130</x:v>
      </x:c>
      <x:c r="P524" s="154" t="n">
        <x:f>IFERROR(O524/O523-1,"")</x:f>
        <x:v>-0.038400339450514465</x:v>
      </x:c>
      <x:c r="Q524" s="154" t="n">
        <x:f>IFERROR((M524-N524)/O523,"")</x:f>
        <x:v>0.05585021746048584</x:v>
      </x:c>
      <x:c r="R524" s="153" t="n">
        <x:v>18271</x:v>
      </x:c>
      <x:c r="S524" s="158" t="n">
        <x:v>255442</x:v>
      </x:c>
      <x:c r="T524" s="158" t="n">
        <x:v>4667392594</x:v>
      </x:c>
      <x:c r="U524" s="158" t="n">
        <x:v>2874324</x:v>
      </x:c>
      <x:c r="V524" s="153" t="n">
        <x:f>IFERROR(E524*1000/O524,"")</x:f>
        <x:v>57.142857142857146</x:v>
      </x:c>
      <x:c r="W524" s="153" t="n">
        <x:v>4.29</x:v>
      </x:c>
      <x:c r="X524" s="155" t="n">
        <x:v>46120</x:v>
      </x:c>
      <x:c r="Y524" s="153" t="n">
        <x:v>1.96</x:v>
      </x:c>
      <x:c r="Z524" s="155" t="n">
        <x:v>46120</x:v>
      </x:c>
      <x:c r="AA524" s="153" t="n">
        <x:f>IFERROR(Y524-Y523,"")</x:f>
        <x:v>0</x:v>
      </x:c>
      <x:c r="AB524" s="153" t="n">
        <x:v>2.33</x:v>
      </x:c>
      <x:c r="AC524" s="153" t="n">
        <x:v>119.0596</x:v>
      </x:c>
      <x:c r="AD524" s="155" t="n">
        <x:v>46120</x:v>
      </x:c>
      <x:c r="AE524" s="154" t="n">
        <x:f>IFERROR(AC524/AC523-1,"")</x:f>
        <x:v>-0.01047539893617011</x:v>
      </x:c>
      <x:c r="AF524" s="153" t="n">
        <x:v>21.04</x:v>
      </x:c>
      <x:c r="AG524" s="155" t="n">
        <x:v>46120</x:v>
      </x:c>
      <x:c r="AH524" s="153" t="n">
        <x:f>IFERROR(AF524-AF523,"")</x:f>
        <x:v>-4.740000000000002</x:v>
      </x:c>
      <x:c r="AI524" s="153" t="n">
        <x:v>3.64</x:v>
      </x:c>
      <x:c r="AJ524" s="155" t="n">
        <x:v>46115</x:v>
      </x:c>
      <x:c r="AK524" s="159" t="n">
        <x:v>92814</x:v>
      </x:c>
      <x:c r="AL524" s="154" t="n">
        <x:v>0.25681153485386365</x:v>
      </x:c>
      <x:c r="AM524" s="159" t="n">
        <x:v>-19910</x:v>
      </x:c>
      <x:c r="AN524" s="155" t="n">
        <x:v>46115</x:v>
      </x:c>
      <x:c r="AO524" s="159" t="n">
        <x:v>11266</x:v>
      </x:c>
      <x:c r="AP524" s="154" t="n">
        <x:v>0.0978214623726871</x:v>
      </x:c>
      <x:c r="AQ524" s="159" t="n">
        <x:v>-15492</x:v>
      </x:c>
      <x:c r="AR524" s="147" t="str">
        <x:v>美国市场指标与CFTC数据均使用严格早于上金所交易日的最后已发布值</x:v>
      </x:c>
    </x:row>
    <x:row r="525">
      <x:c r="A525" s="155" t="n">
        <x:v>46122</x:v>
      </x:c>
      <x:c r="B525" s="153" t="n">
        <x:v>1047</x:v>
      </x:c>
      <x:c r="C525" s="153" t="n">
        <x:v>1055</x:v>
      </x:c>
      <x:c r="D525" s="153" t="n">
        <x:v>1043</x:v>
      </x:c>
      <x:c r="E525" s="153" t="n">
        <x:v>1047.23</x:v>
      </x:c>
      <x:c r="F525" s="154" t="n">
        <x:f>IFERROR(E525/E524-1,"")</x:f>
        <x:v>0.010839768339768296</x:v>
      </x:c>
      <x:c r="G525" s="154" t="n">
        <x:f>IFERROR((C525-D525)/E524,"")</x:f>
        <x:v>0.011583011583011582</x:v>
      </x:c>
      <x:c r="H525" s="153" t="n">
        <x:v>1047.87</x:v>
      </x:c>
      <x:c r="I525" s="158" t="n">
        <x:v>4954.58</x:v>
      </x:c>
      <x:c r="J525" s="158" t="n">
        <x:v>5191782038.2</x:v>
      </x:c>
      <x:c r="K525" s="158"/>
      <x:c r="L525" s="153" t="n">
        <x:v>18350</x:v>
      </x:c>
      <x:c r="M525" s="153" t="n">
        <x:v>18802</x:v>
      </x:c>
      <x:c r="N525" s="153" t="n">
        <x:v>18211</x:v>
      </x:c>
      <x:c r="O525" s="153" t="n">
        <x:v>18560</x:v>
      </x:c>
      <x:c r="P525" s="154" t="n">
        <x:f>IFERROR(O525/O524-1,"")</x:f>
        <x:v>0.02371759514616656</x:v>
      </x:c>
      <x:c r="Q525" s="154" t="n">
        <x:f>IFERROR((M525-N525)/O524,"")</x:f>
        <x:v>0.03259790402647546</x:v>
      </x:c>
      <x:c r="R525" s="153" t="n">
        <x:v>18562</x:v>
      </x:c>
      <x:c r="S525" s="158" t="n">
        <x:v>239398</x:v>
      </x:c>
      <x:c r="T525" s="158" t="n">
        <x:v>4443936724</x:v>
      </x:c>
      <x:c r="U525" s="158" t="n">
        <x:v>2884610</x:v>
      </x:c>
      <x:c r="V525" s="153" t="n">
        <x:f>IFERROR(E525*1000/O525,"")</x:f>
        <x:v>56.424030172413794</x:v>
      </x:c>
      <x:c r="W525" s="153" t="n">
        <x:v>4.29</x:v>
      </x:c>
      <x:c r="X525" s="155" t="n">
        <x:v>46121</x:v>
      </x:c>
      <x:c r="Y525" s="153" t="n">
        <x:v>1.95</x:v>
      </x:c>
      <x:c r="Z525" s="155" t="n">
        <x:v>46121</x:v>
      </x:c>
      <x:c r="AA525" s="153" t="n">
        <x:f>IFERROR(Y525-Y524,"")</x:f>
        <x:v>-0.010000000000000009</x:v>
      </x:c>
      <x:c r="AB525" s="153" t="n">
        <x:v>2.34</x:v>
      </x:c>
      <x:c r="AC525" s="153" t="n">
        <x:v>118.8998</x:v>
      </x:c>
      <x:c r="AD525" s="155" t="n">
        <x:v>46121</x:v>
      </x:c>
      <x:c r="AE525" s="154" t="n">
        <x:f>IFERROR(AC525/AC524-1,"")</x:f>
        <x:v>-0.0013421849225094817</x:v>
      </x:c>
      <x:c r="AF525" s="153" t="n">
        <x:v>19.49</x:v>
      </x:c>
      <x:c r="AG525" s="155" t="n">
        <x:v>46121</x:v>
      </x:c>
      <x:c r="AH525" s="153" t="n">
        <x:f>IFERROR(AF525-AF524,"")</x:f>
        <x:v>-1.5500000000000007</x:v>
      </x:c>
      <x:c r="AI525" s="153" t="n">
        <x:v>3.64</x:v>
      </x:c>
      <x:c r="AJ525" s="155" t="n">
        <x:v>46115</x:v>
      </x:c>
      <x:c r="AK525" s="159" t="n">
        <x:v>92814</x:v>
      </x:c>
      <x:c r="AL525" s="154" t="n">
        <x:v>0.25681153485386365</x:v>
      </x:c>
      <x:c r="AM525" s="159" t="n">
        <x:v>-19910</x:v>
      </x:c>
      <x:c r="AN525" s="155" t="n">
        <x:v>46115</x:v>
      </x:c>
      <x:c r="AO525" s="159" t="n">
        <x:v>11266</x:v>
      </x:c>
      <x:c r="AP525" s="154" t="n">
        <x:v>0.0978214623726871</x:v>
      </x:c>
      <x:c r="AQ525" s="159" t="n">
        <x:v>-15492</x:v>
      </x:c>
      <x:c r="AR525" s="147" t="str">
        <x:v>美国市场指标与CFTC数据均使用严格早于上金所交易日的最后已发布值</x:v>
      </x:c>
    </x:row>
    <x:row r="526">
      <x:c r="A526" s="155" t="n">
        <x:v>46125</x:v>
      </x:c>
      <x:c r="B526" s="153" t="n">
        <x:v>1048.5</x:v>
      </x:c>
      <x:c r="C526" s="153" t="n">
        <x:v>1055</x:v>
      </x:c>
      <x:c r="D526" s="153" t="n">
        <x:v>1035</x:v>
      </x:c>
      <x:c r="E526" s="153" t="n">
        <x:v>1042.3</x:v>
      </x:c>
      <x:c r="F526" s="154" t="n">
        <x:f>IFERROR(E526/E525-1,"")</x:f>
        <x:v>-0.004707657343659077</x:v>
      </x:c>
      <x:c r="G526" s="154" t="n">
        <x:f>IFERROR((C526-D526)/E525,"")</x:f>
        <x:v>0.0190980013941541</x:v>
      </x:c>
      <x:c r="H526" s="153" t="n">
        <x:v>1040.19</x:v>
      </x:c>
      <x:c r="I526" s="158" t="n">
        <x:v>6591.96</x:v>
      </x:c>
      <x:c r="J526" s="158" t="n">
        <x:v>6856921759.4</x:v>
      </x:c>
      <x:c r="K526" s="158"/>
      <x:c r="L526" s="153" t="n">
        <x:v>18560</x:v>
      </x:c>
      <x:c r="M526" s="153" t="n">
        <x:v>18900</x:v>
      </x:c>
      <x:c r="N526" s="153" t="n">
        <x:v>18279</x:v>
      </x:c>
      <x:c r="O526" s="153" t="n">
        <x:v>18379</x:v>
      </x:c>
      <x:c r="P526" s="154" t="n">
        <x:f>IFERROR(O526/O525-1,"")</x:f>
        <x:v>-0.00975215517241379</x:v>
      </x:c>
      <x:c r="Q526" s="154" t="n">
        <x:f>IFERROR((M526-N526)/O525,"")</x:f>
        <x:v>0.033459051724137934</x:v>
      </x:c>
      <x:c r="R526" s="153" t="n">
        <x:v>18447</x:v>
      </x:c>
      <x:c r="S526" s="158" t="n">
        <x:v>310744</x:v>
      </x:c>
      <x:c r="T526" s="158" t="n">
        <x:v>5732547010</x:v>
      </x:c>
      <x:c r="U526" s="158" t="n">
        <x:v>2840100</x:v>
      </x:c>
      <x:c r="V526" s="153" t="n">
        <x:f>IFERROR(E526*1000/O526,"")</x:f>
        <x:v>56.711464171064804</x:v>
      </x:c>
      <x:c r="W526" s="153" t="n">
        <x:v>4.31</x:v>
      </x:c>
      <x:c r="X526" s="155" t="n">
        <x:v>46122</x:v>
      </x:c>
      <x:c r="Y526" s="153" t="n">
        <x:v>1.95</x:v>
      </x:c>
      <x:c r="Z526" s="155" t="n">
        <x:v>46122</x:v>
      </x:c>
      <x:c r="AA526" s="153" t="n">
        <x:f>IFERROR(Y526-Y525,"")</x:f>
        <x:v>0</x:v>
      </x:c>
      <x:c r="AB526" s="153" t="n">
        <x:v>2.36</x:v>
      </x:c>
      <x:c r="AC526" s="153" t="n">
        <x:v>118.8552</x:v>
      </x:c>
      <x:c r="AD526" s="155" t="n">
        <x:v>46122</x:v>
      </x:c>
      <x:c r="AE526" s="154" t="n">
        <x:f>IFERROR(AC526/AC525-1,"")</x:f>
        <x:v>-0.0003751057613217146</x:v>
      </x:c>
      <x:c r="AF526" s="153" t="n">
        <x:v>19.23</x:v>
      </x:c>
      <x:c r="AG526" s="155" t="n">
        <x:v>46122</x:v>
      </x:c>
      <x:c r="AH526" s="153" t="n">
        <x:f>IFERROR(AF526-AF525,"")</x:f>
        <x:v>-0.259999999999998</x:v>
      </x:c>
      <x:c r="AI526" s="153" t="n">
        <x:v>3.64</x:v>
      </x:c>
      <x:c r="AJ526" s="155" t="n">
        <x:v>46122</x:v>
      </x:c>
      <x:c r="AK526" s="159" t="n">
        <x:v>90032</x:v>
      </x:c>
      <x:c r="AL526" s="154" t="n">
        <x:v>0.25369916900785344</x:v>
      </x:c>
      <x:c r="AM526" s="159" t="n">
        <x:v>-19296</x:v>
      </x:c>
      <x:c r="AN526" s="155" t="n">
        <x:v>46122</x:v>
      </x:c>
      <x:c r="AO526" s="159" t="n">
        <x:v>10398</x:v>
      </x:c>
      <x:c r="AP526" s="154" t="n">
        <x:v>0.0903090204797721</x:v>
      </x:c>
      <x:c r="AQ526" s="159" t="n">
        <x:v>-15570</x:v>
      </x:c>
      <x:c r="AR526" s="147" t="str">
        <x:v>美国市场指标与CFTC数据均使用严格早于上金所交易日的最后已发布值</x:v>
      </x:c>
    </x:row>
    <x:row r="527">
      <x:c r="A527" s="155" t="n">
        <x:v>46126</x:v>
      </x:c>
      <x:c r="B527" s="153" t="n">
        <x:v>1040</x:v>
      </x:c>
      <x:c r="C527" s="153" t="n">
        <x:v>1052</x:v>
      </x:c>
      <x:c r="D527" s="153" t="n">
        <x:v>1035.1</x:v>
      </x:c>
      <x:c r="E527" s="153" t="n">
        <x:v>1048.35</x:v>
      </x:c>
      <x:c r="F527" s="154" t="n">
        <x:f>IFERROR(E527/E526-1,"")</x:f>
        <x:v>0.005804470881703772</x:v>
      </x:c>
      <x:c r="G527" s="154" t="n">
        <x:f>IFERROR((C527-D527)/E526,"")</x:f>
        <x:v>0.016214141801784602</x:v>
      </x:c>
      <x:c r="H527" s="153" t="n">
        <x:v>1047.95</x:v>
      </x:c>
      <x:c r="I527" s="158" t="n">
        <x:v>6784.58</x:v>
      </x:c>
      <x:c r="J527" s="158" t="n">
        <x:v>7109932426.8</x:v>
      </x:c>
      <x:c r="K527" s="158"/>
      <x:c r="L527" s="153" t="n">
        <x:v>18379</x:v>
      </x:c>
      <x:c r="M527" s="153" t="n">
        <x:v>19220</x:v>
      </x:c>
      <x:c r="N527" s="153" t="n">
        <x:v>18228</x:v>
      </x:c>
      <x:c r="O527" s="153" t="n">
        <x:v>19148</x:v>
      </x:c>
      <x:c r="P527" s="154" t="n">
        <x:f>IFERROR(O527/O526-1,"")</x:f>
        <x:v>0.041841231840687776</x:v>
      </x:c>
      <x:c r="Q527" s="154" t="n">
        <x:f>IFERROR((M527-N527)/O526,"")</x:f>
        <x:v>0.053974644975243485</x:v>
      </x:c>
      <x:c r="R527" s="153" t="n">
        <x:v>18818</x:v>
      </x:c>
      <x:c r="S527" s="158" t="n">
        <x:v>273386</x:v>
      </x:c>
      <x:c r="T527" s="158" t="n">
        <x:v>5144711594</x:v>
      </x:c>
      <x:c r="U527" s="158" t="n">
        <x:v>2860580</x:v>
      </x:c>
      <x:c r="V527" s="153" t="n">
        <x:f>IFERROR(E527*1000/O527,"")</x:f>
        <x:v>54.749843325673694</x:v>
      </x:c>
      <x:c r="W527" s="153" t="n">
        <x:v>4.3</x:v>
      </x:c>
      <x:c r="X527" s="155" t="n">
        <x:v>46125</x:v>
      </x:c>
      <x:c r="Y527" s="153" t="n">
        <x:v>1.92</x:v>
      </x:c>
      <x:c r="Z527" s="155" t="n">
        <x:v>46125</x:v>
      </x:c>
      <x:c r="AA527" s="153" t="n">
        <x:f>IFERROR(Y527-Y526,"")</x:f>
        <x:v>-0.030000000000000027</x:v>
      </x:c>
      <x:c r="AB527" s="153" t="n">
        <x:v>2.38</x:v>
      </x:c>
      <x:c r="AC527" s="153" t="n">
        <x:v>118.9916</x:v>
      </x:c>
      <x:c r="AD527" s="155" t="n">
        <x:v>46125</x:v>
      </x:c>
      <x:c r="AE527" s="154" t="n">
        <x:f>IFERROR(AC527/AC526-1,"")</x:f>
        <x:v>0.0011476149129361346</x:v>
      </x:c>
      <x:c r="AF527" s="153" t="n">
        <x:v>19.12</x:v>
      </x:c>
      <x:c r="AG527" s="155" t="n">
        <x:v>46125</x:v>
      </x:c>
      <x:c r="AH527" s="153" t="n">
        <x:f>IFERROR(AF527-AF526,"")</x:f>
        <x:v>-0.10999999999999943</x:v>
      </x:c>
      <x:c r="AI527" s="153" t="n">
        <x:v>3.64</x:v>
      </x:c>
      <x:c r="AJ527" s="155" t="n">
        <x:v>46122</x:v>
      </x:c>
      <x:c r="AK527" s="159" t="n">
        <x:v>90032</x:v>
      </x:c>
      <x:c r="AL527" s="154" t="n">
        <x:v>0.25369916900785344</x:v>
      </x:c>
      <x:c r="AM527" s="159" t="n">
        <x:v>-19296</x:v>
      </x:c>
      <x:c r="AN527" s="155" t="n">
        <x:v>46122</x:v>
      </x:c>
      <x:c r="AO527" s="159" t="n">
        <x:v>10398</x:v>
      </x:c>
      <x:c r="AP527" s="154" t="n">
        <x:v>0.0903090204797721</x:v>
      </x:c>
      <x:c r="AQ527" s="159" t="n">
        <x:v>-15570</x:v>
      </x:c>
      <x:c r="AR527" s="147" t="str">
        <x:v>美国市场指标与CFTC数据均使用严格早于上金所交易日的最后已发布值</x:v>
      </x:c>
    </x:row>
    <x:row r="528">
      <x:c r="A528" s="155" t="n">
        <x:v>46127</x:v>
      </x:c>
      <x:c r="B528" s="153" t="n">
        <x:v>1047.1</x:v>
      </x:c>
      <x:c r="C528" s="153" t="n">
        <x:v>1067.8</x:v>
      </x:c>
      <x:c r="D528" s="153" t="n">
        <x:v>1046</x:v>
      </x:c>
      <x:c r="E528" s="153" t="n">
        <x:v>1055.19</x:v>
      </x:c>
      <x:c r="F528" s="154" t="n">
        <x:f>IFERROR(E528/E527-1,"")</x:f>
        <x:v>0.006524538560595428</x:v>
      </x:c>
      <x:c r="G528" s="154" t="n">
        <x:f>IFERROR((C528-D528)/E527,"")</x:f>
        <x:v>0.020794581962130926</x:v>
      </x:c>
      <x:c r="H528" s="153" t="n">
        <x:v>1058.03</x:v>
      </x:c>
      <x:c r="I528" s="158" t="n">
        <x:v>4595.3</x:v>
      </x:c>
      <x:c r="J528" s="158" t="n">
        <x:v>4862004159.4</x:v>
      </x:c>
      <x:c r="K528" s="158"/>
      <x:c r="L528" s="153" t="n">
        <x:v>19150</x:v>
      </x:c>
      <x:c r="M528" s="153" t="n">
        <x:v>20061</x:v>
      </x:c>
      <x:c r="N528" s="153" t="n">
        <x:v>19070</x:v>
      </x:c>
      <x:c r="O528" s="153" t="n">
        <x:v>19560</x:v>
      </x:c>
      <x:c r="P528" s="154" t="n">
        <x:f>IFERROR(O528/O527-1,"")</x:f>
        <x:v>0.021516607478587746</x:v>
      </x:c>
      <x:c r="Q528" s="154" t="n">
        <x:f>IFERROR((M528-N528)/O527,"")</x:f>
        <x:v>0.05175475245456444</x:v>
      </x:c>
      <x:c r="R528" s="153" t="n">
        <x:v>19675</x:v>
      </x:c>
      <x:c r="S528" s="158" t="n">
        <x:v>357302</x:v>
      </x:c>
      <x:c r="T528" s="158" t="n">
        <x:v>7030152396</x:v>
      </x:c>
      <x:c r="U528" s="158" t="n">
        <x:v>2854006</x:v>
      </x:c>
      <x:c r="V528" s="153" t="n">
        <x:f>IFERROR(E528*1000/O528,"")</x:f>
        <x:v>53.94631901840491</x:v>
      </x:c>
      <x:c r="W528" s="153" t="n">
        <x:v>4.26</x:v>
      </x:c>
      <x:c r="X528" s="155" t="n">
        <x:v>46126</x:v>
      </x:c>
      <x:c r="Y528" s="153" t="n">
        <x:v>1.89</x:v>
      </x:c>
      <x:c r="Z528" s="155" t="n">
        <x:v>46126</x:v>
      </x:c>
      <x:c r="AA528" s="153" t="n">
        <x:f>IFERROR(Y528-Y527,"")</x:f>
        <x:v>-0.030000000000000027</x:v>
      </x:c>
      <x:c r="AB528" s="153" t="n">
        <x:v>2.37</x:v>
      </x:c>
      <x:c r="AC528" s="153" t="n">
        <x:v>118.3581</x:v>
      </x:c>
      <x:c r="AD528" s="155" t="n">
        <x:v>46126</x:v>
      </x:c>
      <x:c r="AE528" s="154" t="n">
        <x:f>IFERROR(AC528/AC527-1,"")</x:f>
        <x:v>-0.005323905216838898</x:v>
      </x:c>
      <x:c r="AF528" s="153" t="n">
        <x:v>18.36</x:v>
      </x:c>
      <x:c r="AG528" s="155" t="n">
        <x:v>46126</x:v>
      </x:c>
      <x:c r="AH528" s="153" t="n">
        <x:f>IFERROR(AF528-AF527,"")</x:f>
        <x:v>-0.7600000000000016</x:v>
      </x:c>
      <x:c r="AI528" s="153" t="n">
        <x:v>3.64</x:v>
      </x:c>
      <x:c r="AJ528" s="155" t="n">
        <x:v>46122</x:v>
      </x:c>
      <x:c r="AK528" s="159" t="n">
        <x:v>90032</x:v>
      </x:c>
      <x:c r="AL528" s="154" t="n">
        <x:v>0.25369916900785344</x:v>
      </x:c>
      <x:c r="AM528" s="159" t="n">
        <x:v>-19296</x:v>
      </x:c>
      <x:c r="AN528" s="155" t="n">
        <x:v>46122</x:v>
      </x:c>
      <x:c r="AO528" s="159" t="n">
        <x:v>10398</x:v>
      </x:c>
      <x:c r="AP528" s="154" t="n">
        <x:v>0.0903090204797721</x:v>
      </x:c>
      <x:c r="AQ528" s="159" t="n">
        <x:v>-15570</x:v>
      </x:c>
      <x:c r="AR528" s="147" t="str">
        <x:v>美国市场指标与CFTC数据均使用严格早于上金所交易日的最后已发布值</x:v>
      </x:c>
    </x:row>
    <x:row r="529">
      <x:c r="A529" s="155" t="n">
        <x:v>46128</x:v>
      </x:c>
      <x:c r="B529" s="153" t="n">
        <x:v>1050</x:v>
      </x:c>
      <x:c r="C529" s="153" t="n">
        <x:v>1060.2</x:v>
      </x:c>
      <x:c r="D529" s="153" t="n">
        <x:v>1050</x:v>
      </x:c>
      <x:c r="E529" s="153" t="n">
        <x:v>1058.36</x:v>
      </x:c>
      <x:c r="F529" s="154" t="n">
        <x:f>IFERROR(E529/E528-1,"")</x:f>
        <x:v>0.0030041982960413716</x:v>
      </x:c>
      <x:c r="G529" s="154" t="n">
        <x:f>IFERROR((C529-D529)/E528,"")</x:f>
        <x:v>0.009666505558240739</x:v>
      </x:c>
      <x:c r="H529" s="153" t="n">
        <x:v>1058.1</x:v>
      </x:c>
      <x:c r="I529" s="158" t="n">
        <x:v>4279.78</x:v>
      </x:c>
      <x:c r="J529" s="158" t="n">
        <x:v>4528475139.6</x:v>
      </x:c>
      <x:c r="K529" s="158"/>
      <x:c r="L529" s="153" t="n">
        <x:v>19556</x:v>
      </x:c>
      <x:c r="M529" s="153" t="n">
        <x:v>20000</x:v>
      </x:c>
      <x:c r="N529" s="153" t="n">
        <x:v>19409</x:v>
      </x:c>
      <x:c r="O529" s="153" t="n">
        <x:v>19853</x:v>
      </x:c>
      <x:c r="P529" s="154" t="n">
        <x:f>IFERROR(O529/O528-1,"")</x:f>
        <x:v>0.014979550102249384</x:v>
      </x:c>
      <x:c r="Q529" s="154" t="n">
        <x:f>IFERROR((M529-N529)/O528,"")</x:f>
        <x:v>0.030214723926380367</x:v>
      </x:c>
      <x:c r="R529" s="153" t="n">
        <x:v>19869</x:v>
      </x:c>
      <x:c r="S529" s="158" t="n">
        <x:v>303812</x:v>
      </x:c>
      <x:c r="T529" s="158" t="n">
        <x:v>6036711404</x:v>
      </x:c>
      <x:c r="U529" s="158" t="n">
        <x:v>2842140</x:v>
      </x:c>
      <x:c r="V529" s="153" t="n">
        <x:f>IFERROR(E529*1000/O529,"")</x:f>
        <x:v>53.30982723014154</x:v>
      </x:c>
      <x:c r="W529" s="153" t="n">
        <x:v>4.29</x:v>
      </x:c>
      <x:c r="X529" s="155" t="n">
        <x:v>46127</x:v>
      </x:c>
      <x:c r="Y529" s="153" t="n">
        <x:v>1.9</x:v>
      </x:c>
      <x:c r="Z529" s="155" t="n">
        <x:v>46127</x:v>
      </x:c>
      <x:c r="AA529" s="153" t="n">
        <x:f>IFERROR(Y529-Y528,"")</x:f>
        <x:v>0.010000000000000009</x:v>
      </x:c>
      <x:c r="AB529" s="153" t="n">
        <x:v>2.39</x:v>
      </x:c>
      <x:c r="AC529" s="153" t="n">
        <x:v>118.3623</x:v>
      </x:c>
      <x:c r="AD529" s="155" t="n">
        <x:v>46127</x:v>
      </x:c>
      <x:c r="AE529" s="154" t="n">
        <x:f>IFERROR(AC529/AC528-1,"")</x:f>
        <x:v>0.00003548553077492578</x:v>
      </x:c>
      <x:c r="AF529" s="153" t="n">
        <x:v>18.17</x:v>
      </x:c>
      <x:c r="AG529" s="155" t="n">
        <x:v>46127</x:v>
      </x:c>
      <x:c r="AH529" s="153" t="n">
        <x:f>IFERROR(AF529-AF528,"")</x:f>
        <x:v>-0.18999999999999773</x:v>
      </x:c>
      <x:c r="AI529" s="153" t="n">
        <x:v>3.64</x:v>
      </x:c>
      <x:c r="AJ529" s="155" t="n">
        <x:v>46122</x:v>
      </x:c>
      <x:c r="AK529" s="159" t="n">
        <x:v>90032</x:v>
      </x:c>
      <x:c r="AL529" s="154" t="n">
        <x:v>0.25369916900785344</x:v>
      </x:c>
      <x:c r="AM529" s="159" t="n">
        <x:v>-19296</x:v>
      </x:c>
      <x:c r="AN529" s="155" t="n">
        <x:v>46122</x:v>
      </x:c>
      <x:c r="AO529" s="159" t="n">
        <x:v>10398</x:v>
      </x:c>
      <x:c r="AP529" s="154" t="n">
        <x:v>0.0903090204797721</x:v>
      </x:c>
      <x:c r="AQ529" s="159" t="n">
        <x:v>-15570</x:v>
      </x:c>
      <x:c r="AR529" s="147" t="str">
        <x:v>美国市场指标与CFTC数据均使用严格早于上金所交易日的最后已发布值</x:v>
      </x:c>
    </x:row>
    <x:row r="530">
      <x:c r="A530" s="155" t="n">
        <x:v>46129</x:v>
      </x:c>
      <x:c r="B530" s="153" t="n">
        <x:v>1058</x:v>
      </x:c>
      <x:c r="C530" s="153" t="n">
        <x:v>1060</x:v>
      </x:c>
      <x:c r="D530" s="153" t="n">
        <x:v>1046.1</x:v>
      </x:c>
      <x:c r="E530" s="153" t="n">
        <x:v>1053</x:v>
      </x:c>
      <x:c r="F530" s="154" t="n">
        <x:f>IFERROR(E530/E529-1,"")</x:f>
        <x:v>-0.0050644393212138095</x:v>
      </x:c>
      <x:c r="G530" s="154" t="n">
        <x:f>IFERROR((C530-D530)/E529,"")</x:f>
        <x:v>0.013133527344192989</x:v>
      </x:c>
      <x:c r="H530" s="153" t="n">
        <x:v>1051.64</x:v>
      </x:c>
      <x:c r="I530" s="158" t="n">
        <x:v>5627.96</x:v>
      </x:c>
      <x:c r="J530" s="158" t="n">
        <x:v>5918607348</x:v>
      </x:c>
      <x:c r="K530" s="158"/>
      <x:c r="L530" s="153" t="n">
        <x:v>19760</x:v>
      </x:c>
      <x:c r="M530" s="153" t="n">
        <x:v>19800</x:v>
      </x:c>
      <x:c r="N530" s="153" t="n">
        <x:v>19320</x:v>
      </x:c>
      <x:c r="O530" s="153" t="n">
        <x:v>19588</x:v>
      </x:c>
      <x:c r="P530" s="154" t="n">
        <x:f>IFERROR(O530/O529-1,"")</x:f>
        <x:v>-0.013348108598196795</x:v>
      </x:c>
      <x:c r="Q530" s="154" t="n">
        <x:f>IFERROR((M530-N530)/O529,"")</x:f>
        <x:v>0.024177706140129956</x:v>
      </x:c>
      <x:c r="R530" s="153" t="n">
        <x:v>19544</x:v>
      </x:c>
      <x:c r="S530" s="158" t="n">
        <x:v>356236</x:v>
      </x:c>
      <x:c r="T530" s="158" t="n">
        <x:v>6962446464</x:v>
      </x:c>
      <x:c r="U530" s="158" t="n">
        <x:v>2783184</x:v>
      </x:c>
      <x:c r="V530" s="153" t="n">
        <x:f>IFERROR(E530*1000/O530,"")</x:f>
        <x:v>53.757402491321216</x:v>
      </x:c>
      <x:c r="W530" s="153" t="n">
        <x:v>4.32</x:v>
      </x:c>
      <x:c r="X530" s="155" t="n">
        <x:v>46128</x:v>
      </x:c>
      <x:c r="Y530" s="153" t="n">
        <x:v>1.93</x:v>
      </x:c>
      <x:c r="Z530" s="155" t="n">
        <x:v>46128</x:v>
      </x:c>
      <x:c r="AA530" s="153" t="n">
        <x:f>IFERROR(Y530-Y529,"")</x:f>
        <x:v>0.030000000000000027</x:v>
      </x:c>
      <x:c r="AB530" s="153" t="n">
        <x:v>2.39</x:v>
      </x:c>
      <x:c r="AC530" s="153" t="n">
        <x:v>118.3616</x:v>
      </x:c>
      <x:c r="AD530" s="155" t="n">
        <x:v>46128</x:v>
      </x:c>
      <x:c r="AE530" s="154" t="n">
        <x:f>IFERROR(AC530/AC529-1,"")</x:f>
        <x:v>-0.0000059140452661754495</x:v>
      </x:c>
      <x:c r="AF530" s="153" t="n">
        <x:v>17.94</x:v>
      </x:c>
      <x:c r="AG530" s="155" t="n">
        <x:v>46128</x:v>
      </x:c>
      <x:c r="AH530" s="153" t="n">
        <x:f>IFERROR(AF530-AF529,"")</x:f>
        <x:v>-0.23000000000000043</x:v>
      </x:c>
      <x:c r="AI530" s="153" t="n">
        <x:v>3.64</x:v>
      </x:c>
      <x:c r="AJ530" s="155" t="n">
        <x:v>46122</x:v>
      </x:c>
      <x:c r="AK530" s="159" t="n">
        <x:v>90032</x:v>
      </x:c>
      <x:c r="AL530" s="154" t="n">
        <x:v>0.25369916900785344</x:v>
      </x:c>
      <x:c r="AM530" s="159" t="n">
        <x:v>-19296</x:v>
      </x:c>
      <x:c r="AN530" s="155" t="n">
        <x:v>46122</x:v>
      </x:c>
      <x:c r="AO530" s="159" t="n">
        <x:v>10398</x:v>
      </x:c>
      <x:c r="AP530" s="154" t="n">
        <x:v>0.0903090204797721</x:v>
      </x:c>
      <x:c r="AQ530" s="159" t="n">
        <x:v>-15570</x:v>
      </x:c>
      <x:c r="AR530" s="147" t="str">
        <x:v>美国市场指标与CFTC数据均使用严格早于上金所交易日的最后已发布值</x:v>
      </x:c>
    </x:row>
    <x:row r="531">
      <x:c r="A531" s="155" t="n">
        <x:v>46132</x:v>
      </x:c>
      <x:c r="B531" s="153" t="n">
        <x:v>1055</x:v>
      </x:c>
      <x:c r="C531" s="153" t="n">
        <x:v>1070</x:v>
      </x:c>
      <x:c r="D531" s="153" t="n">
        <x:v>1045</x:v>
      </x:c>
      <x:c r="E531" s="153" t="n">
        <x:v>1053.98</x:v>
      </x:c>
      <x:c r="F531" s="154" t="n">
        <x:f>IFERROR(E531/E530-1,"")</x:f>
        <x:v>0.0009306742640076138</x:v>
      </x:c>
      <x:c r="G531" s="154" t="n">
        <x:f>IFERROR((C531-D531)/E530,"")</x:f>
        <x:v>0.023741690408357077</x:v>
      </x:c>
      <x:c r="H531" s="153" t="n">
        <x:v>1052.49</x:v>
      </x:c>
      <x:c r="I531" s="158" t="n">
        <x:v>5298.04</x:v>
      </x:c>
      <x:c r="J531" s="158" t="n">
        <x:v>5576183127.4</x:v>
      </x:c>
      <x:c r="K531" s="158"/>
      <x:c r="L531" s="153" t="n">
        <x:v>19731</x:v>
      </x:c>
      <x:c r="M531" s="153" t="n">
        <x:v>20502</x:v>
      </x:c>
      <x:c r="N531" s="153" t="n">
        <x:v>19700</x:v>
      </x:c>
      <x:c r="O531" s="153" t="n">
        <x:v>19771</x:v>
      </x:c>
      <x:c r="P531" s="154" t="n">
        <x:f>IFERROR(O531/O530-1,"")</x:f>
        <x:v>0.009342454564018832</x:v>
      </x:c>
      <x:c r="Q531" s="154" t="n">
        <x:f>IFERROR((M531-N531)/O530,"")</x:f>
        <x:v>0.04094343475597304</x:v>
      </x:c>
      <x:c r="R531" s="153" t="n">
        <x:v>19972</x:v>
      </x:c>
      <x:c r="S531" s="158" t="n">
        <x:v>422432</x:v>
      </x:c>
      <x:c r="T531" s="158" t="n">
        <x:v>8436859042</x:v>
      </x:c>
      <x:c r="U531" s="158" t="n">
        <x:v>2758022</x:v>
      </x:c>
      <x:c r="V531" s="153" t="n">
        <x:f>IFERROR(E531*1000/O531,"")</x:f>
        <x:v>53.30939254463608</x:v>
      </x:c>
      <x:c r="W531" s="153" t="n">
        <x:v>4.26</x:v>
      </x:c>
      <x:c r="X531" s="155" t="n">
        <x:v>46129</x:v>
      </x:c>
      <x:c r="Y531" s="153" t="n">
        <x:v>1.9</x:v>
      </x:c>
      <x:c r="Z531" s="155" t="n">
        <x:v>46129</x:v>
      </x:c>
      <x:c r="AA531" s="153" t="n">
        <x:f>IFERROR(Y531-Y530,"")</x:f>
        <x:v>-0.030000000000000027</x:v>
      </x:c>
      <x:c r="AB531" s="153" t="n">
        <x:v>2.36</x:v>
      </x:c>
      <x:c r="AC531" s="153" t="n">
        <x:v>118.0795</x:v>
      </x:c>
      <x:c r="AD531" s="155" t="n">
        <x:v>46129</x:v>
      </x:c>
      <x:c r="AE531" s="154" t="n">
        <x:f>IFERROR(AC531/AC530-1,"")</x:f>
        <x:v>-0.0023833743376230343</x:v>
      </x:c>
      <x:c r="AF531" s="153" t="n">
        <x:v>17.48</x:v>
      </x:c>
      <x:c r="AG531" s="155" t="n">
        <x:v>46129</x:v>
      </x:c>
      <x:c r="AH531" s="153" t="n">
        <x:f>IFERROR(AF531-AF530,"")</x:f>
        <x:v>-0.46000000000000085</x:v>
      </x:c>
      <x:c r="AI531" s="153" t="n">
        <x:v>3.64</x:v>
      </x:c>
      <x:c r="AJ531" s="155" t="n">
        <x:v>46129</x:v>
      </x:c>
      <x:c r="AK531" s="159" t="n">
        <x:v>95141</x:v>
      </x:c>
      <x:c r="AL531" s="154" t="n">
        <x:v>0.2626216620568962</x:v>
      </x:c>
      <x:c r="AM531" s="159" t="n">
        <x:v>-18530</x:v>
      </x:c>
      <x:c r="AN531" s="155" t="n">
        <x:v>46129</x:v>
      </x:c>
      <x:c r="AO531" s="159" t="n">
        <x:v>11270</x:v>
      </x:c>
      <x:c r="AP531" s="154" t="n">
        <x:v>0.0963387842677996</x:v>
      </x:c>
      <x:c r="AQ531" s="159" t="n">
        <x:v>-16756</x:v>
      </x:c>
      <x:c r="AR531" s="147" t="str">
        <x:v>美国市场指标与CFTC数据均使用严格早于上金所交易日的最后已发布值</x:v>
      </x:c>
    </x:row>
    <x:row r="532">
      <x:c r="A532" s="155" t="n">
        <x:v>46133</x:v>
      </x:c>
      <x:c r="B532" s="153" t="n">
        <x:v>1055.5</x:v>
      </x:c>
      <x:c r="C532" s="153" t="n">
        <x:v>1059</x:v>
      </x:c>
      <x:c r="D532" s="153" t="n">
        <x:v>1048.06</x:v>
      </x:c>
      <x:c r="E532" s="153" t="n">
        <x:v>1050.48</x:v>
      </x:c>
      <x:c r="F532" s="154" t="n">
        <x:f>IFERROR(E532/E531-1,"")</x:f>
        <x:v>-0.003320746124214846</x:v>
      </x:c>
      <x:c r="G532" s="154" t="n">
        <x:f>IFERROR((C532-D532)/E531,"")</x:f>
        <x:v>0.01037970359968885</x:v>
      </x:c>
      <x:c r="H532" s="153" t="n">
        <x:v>1052.28</x:v>
      </x:c>
      <x:c r="I532" s="158" t="n">
        <x:v>5940.6</x:v>
      </x:c>
      <x:c r="J532" s="158" t="n">
        <x:v>6251205570</x:v>
      </x:c>
      <x:c r="K532" s="158"/>
      <x:c r="L532" s="153" t="n">
        <x:v>19795</x:v>
      </x:c>
      <x:c r="M532" s="153" t="n">
        <x:v>19993</x:v>
      </x:c>
      <x:c r="N532" s="153" t="n">
        <x:v>19531</x:v>
      </x:c>
      <x:c r="O532" s="153" t="n">
        <x:v>19654</x:v>
      </x:c>
      <x:c r="P532" s="154" t="n">
        <x:f>IFERROR(O532/O531-1,"")</x:f>
        <x:v>-0.00591775833291186</x:v>
      </x:c>
      <x:c r="Q532" s="154" t="n">
        <x:f>IFERROR((M532-N532)/O531,"")</x:f>
        <x:v>0.02336755854534419</x:v>
      </x:c>
      <x:c r="R532" s="153" t="n">
        <x:v>19715</x:v>
      </x:c>
      <x:c r="S532" s="158" t="n">
        <x:v>317220</x:v>
      </x:c>
      <x:c r="T532" s="158" t="n">
        <x:v>6254248770</x:v>
      </x:c>
      <x:c r="U532" s="158" t="n">
        <x:v>2771642</x:v>
      </x:c>
      <x:c r="V532" s="153" t="n">
        <x:f>IFERROR(E532*1000/O532,"")</x:f>
        <x:v>53.44866185000509</x:v>
      </x:c>
      <x:c r="W532" s="153" t="n">
        <x:v>4.26</x:v>
      </x:c>
      <x:c r="X532" s="155" t="n">
        <x:v>46132</x:v>
      </x:c>
      <x:c r="Y532" s="153" t="n">
        <x:v>1.91</x:v>
      </x:c>
      <x:c r="Z532" s="155" t="n">
        <x:v>46132</x:v>
      </x:c>
      <x:c r="AA532" s="153" t="n">
        <x:f>IFERROR(Y532-Y531,"")</x:f>
        <x:v>0.010000000000000009</x:v>
      </x:c>
      <x:c r="AB532" s="153" t="n">
        <x:v>2.35</x:v>
      </x:c>
      <x:c r="AC532" s="153" t="n">
        <x:v>118.2374</x:v>
      </x:c>
      <x:c r="AD532" s="155" t="n">
        <x:v>46132</x:v>
      </x:c>
      <x:c r="AE532" s="154" t="n">
        <x:f>IFERROR(AC532/AC531-1,"")</x:f>
        <x:v>0.0013372346596995932</x:v>
      </x:c>
      <x:c r="AF532" s="153" t="n">
        <x:v>18.87</x:v>
      </x:c>
      <x:c r="AG532" s="155" t="n">
        <x:v>46132</x:v>
      </x:c>
      <x:c r="AH532" s="153" t="n">
        <x:f>IFERROR(AF532-AF531,"")</x:f>
        <x:v>1.3900000000000006</x:v>
      </x:c>
      <x:c r="AI532" s="153" t="n">
        <x:v>3.64</x:v>
      </x:c>
      <x:c r="AJ532" s="155" t="n">
        <x:v>46129</x:v>
      </x:c>
      <x:c r="AK532" s="159" t="n">
        <x:v>95141</x:v>
      </x:c>
      <x:c r="AL532" s="154" t="n">
        <x:v>0.2626216620568962</x:v>
      </x:c>
      <x:c r="AM532" s="159" t="n">
        <x:v>-18530</x:v>
      </x:c>
      <x:c r="AN532" s="155" t="n">
        <x:v>46129</x:v>
      </x:c>
      <x:c r="AO532" s="159" t="n">
        <x:v>11270</x:v>
      </x:c>
      <x:c r="AP532" s="154" t="n">
        <x:v>0.0963387842677996</x:v>
      </x:c>
      <x:c r="AQ532" s="159" t="n">
        <x:v>-16756</x:v>
      </x:c>
      <x:c r="AR532" s="147" t="str">
        <x:v>美国市场指标与CFTC数据均使用严格早于上金所交易日的最后已发布值</x:v>
      </x:c>
    </x:row>
    <x:row r="533">
      <x:c r="A533" s="155" t="n">
        <x:v>46134</x:v>
      </x:c>
      <x:c r="B533" s="153" t="n">
        <x:v>1053</x:v>
      </x:c>
      <x:c r="C533" s="153" t="n">
        <x:v>1055.8</x:v>
      </x:c>
      <x:c r="D533" s="153" t="n">
        <x:v>1038.88</x:v>
      </x:c>
      <x:c r="E533" s="153" t="n">
        <x:v>1049.11</x:v>
      </x:c>
      <x:c r="F533" s="154" t="n">
        <x:f>IFERROR(E533/E532-1,"")</x:f>
        <x:v>-0.0013041657147210284</x:v>
      </x:c>
      <x:c r="G533" s="154" t="n">
        <x:f>IFERROR((C533-D533)/E532,"")</x:f>
        <x:v>0.016106922549691424</x:v>
      </x:c>
      <x:c r="H533" s="153" t="n">
        <x:v>1047.13</x:v>
      </x:c>
      <x:c r="I533" s="158" t="n">
        <x:v>5329.68</x:v>
      </x:c>
      <x:c r="J533" s="158" t="n">
        <x:v>5580906975</x:v>
      </x:c>
      <x:c r="K533" s="158"/>
      <x:c r="L533" s="153" t="n">
        <x:v>19688</x:v>
      </x:c>
      <x:c r="M533" s="153" t="n">
        <x:v>19695</x:v>
      </x:c>
      <x:c r="N533" s="153" t="n">
        <x:v>18980</x:v>
      </x:c>
      <x:c r="O533" s="153" t="n">
        <x:v>19543</x:v>
      </x:c>
      <x:c r="P533" s="154" t="n">
        <x:f>IFERROR(O533/O532-1,"")</x:f>
        <x:v>-0.005647705301719763</x:v>
      </x:c>
      <x:c r="Q533" s="154" t="n">
        <x:f>IFERROR((M533-N533)/O532,"")</x:f>
        <x:v>0.03637936297954615</x:v>
      </x:c>
      <x:c r="R533" s="153" t="n">
        <x:v>19438</x:v>
      </x:c>
      <x:c r="S533" s="158" t="n">
        <x:v>376568</x:v>
      </x:c>
      <x:c r="T533" s="158" t="n">
        <x:v>7319801236</x:v>
      </x:c>
      <x:c r="U533" s="158" t="n">
        <x:v>2800750</x:v>
      </x:c>
      <x:c r="V533" s="153" t="n">
        <x:f>IFERROR(E533*1000/O533,"")</x:f>
        <x:v>53.682136826485184</x:v>
      </x:c>
      <x:c r="W533" s="153" t="n">
        <x:v>4.3</x:v>
      </x:c>
      <x:c r="X533" s="155" t="n">
        <x:v>46133</x:v>
      </x:c>
      <x:c r="Y533" s="153" t="n">
        <x:v>1.92</x:v>
      </x:c>
      <x:c r="Z533" s="155" t="n">
        <x:v>46133</x:v>
      </x:c>
      <x:c r="AA533" s="153" t="n">
        <x:f>IFERROR(Y533-Y532,"")</x:f>
        <x:v>0.010000000000000009</x:v>
      </x:c>
      <x:c r="AB533" s="153" t="n">
        <x:v>2.38</x:v>
      </x:c>
      <x:c r="AC533" s="153" t="n">
        <x:v>118.4331</x:v>
      </x:c>
      <x:c r="AD533" s="155" t="n">
        <x:v>46133</x:v>
      </x:c>
      <x:c r="AE533" s="154" t="n">
        <x:f>IFERROR(AC533/AC532-1,"")</x:f>
        <x:v>0.0016551446496624322</x:v>
      </x:c>
      <x:c r="AF533" s="153" t="n">
        <x:v>19.5</x:v>
      </x:c>
      <x:c r="AG533" s="155" t="n">
        <x:v>46133</x:v>
      </x:c>
      <x:c r="AH533" s="153" t="n">
        <x:f>IFERROR(AF533-AF532,"")</x:f>
        <x:v>0.629999999999999</x:v>
      </x:c>
      <x:c r="AI533" s="153" t="n">
        <x:v>3.64</x:v>
      </x:c>
      <x:c r="AJ533" s="155" t="n">
        <x:v>46129</x:v>
      </x:c>
      <x:c r="AK533" s="159" t="n">
        <x:v>95141</x:v>
      </x:c>
      <x:c r="AL533" s="154" t="n">
        <x:v>0.2626216620568962</x:v>
      </x:c>
      <x:c r="AM533" s="159" t="n">
        <x:v>-18530</x:v>
      </x:c>
      <x:c r="AN533" s="155" t="n">
        <x:v>46129</x:v>
      </x:c>
      <x:c r="AO533" s="159" t="n">
        <x:v>11270</x:v>
      </x:c>
      <x:c r="AP533" s="154" t="n">
        <x:v>0.0963387842677996</x:v>
      </x:c>
      <x:c r="AQ533" s="159" t="n">
        <x:v>-16756</x:v>
      </x:c>
      <x:c r="AR533" s="147" t="str">
        <x:v>美国市场指标与CFTC数据均使用严格早于上金所交易日的最后已发布值</x:v>
      </x:c>
    </x:row>
    <x:row r="534">
      <x:c r="A534" s="155" t="n">
        <x:v>46135</x:v>
      </x:c>
      <x:c r="B534" s="153" t="n">
        <x:v>1047</x:v>
      </x:c>
      <x:c r="C534" s="153" t="n">
        <x:v>1053</x:v>
      </x:c>
      <x:c r="D534" s="153" t="n">
        <x:v>1034.5</x:v>
      </x:c>
      <x:c r="E534" s="153" t="n">
        <x:v>1037.5</x:v>
      </x:c>
      <x:c r="F534" s="154" t="n">
        <x:f>IFERROR(E534/E533-1,"")</x:f>
        <x:v>-0.011066523052873256</x:v>
      </x:c>
      <x:c r="G534" s="154" t="n">
        <x:f>IFERROR((C534-D534)/E533,"")</x:f>
        <x:v>0.017633994528695754</x:v>
      </x:c>
      <x:c r="H534" s="153" t="n">
        <x:v>1038.62</x:v>
      </x:c>
      <x:c r="I534" s="158" t="n">
        <x:v>5849.62</x:v>
      </x:c>
      <x:c r="J534" s="158" t="n">
        <x:v>6075567527.8</x:v>
      </x:c>
      <x:c r="K534" s="158"/>
      <x:c r="L534" s="153" t="n">
        <x:v>19498</x:v>
      </x:c>
      <x:c r="M534" s="153" t="n">
        <x:v>19585</x:v>
      </x:c>
      <x:c r="N534" s="153" t="n">
        <x:v>18833</x:v>
      </x:c>
      <x:c r="O534" s="153" t="n">
        <x:v>18896</x:v>
      </x:c>
      <x:c r="P534" s="154" t="n">
        <x:f>IFERROR(O534/O533-1,"")</x:f>
        <x:v>-0.03310648313974318</x:v>
      </x:c>
      <x:c r="Q534" s="154" t="n">
        <x:f>IFERROR((M534-N534)/O533,"")</x:f>
        <x:v>0.038479250882668986</x:v>
      </x:c>
      <x:c r="R534" s="153" t="n">
        <x:v>19088</x:v>
      </x:c>
      <x:c r="S534" s="158" t="n">
        <x:v>336710</x:v>
      </x:c>
      <x:c r="T534" s="158" t="n">
        <x:v>6427132004</x:v>
      </x:c>
      <x:c r="U534" s="158" t="n">
        <x:v>2737702</x:v>
      </x:c>
      <x:c r="V534" s="153" t="n">
        <x:f>IFERROR(E534*1000/O534,"")</x:f>
        <x:v>54.90580016934801</x:v>
      </x:c>
      <x:c r="W534" s="153" t="n">
        <x:v>4.3</x:v>
      </x:c>
      <x:c r="X534" s="155" t="n">
        <x:v>46134</x:v>
      </x:c>
      <x:c r="Y534" s="153" t="n">
        <x:v>1.92</x:v>
      </x:c>
      <x:c r="Z534" s="155" t="n">
        <x:v>46134</x:v>
      </x:c>
      <x:c r="AA534" s="153" t="n">
        <x:f>IFERROR(Y534-Y533,"")</x:f>
        <x:v>0</x:v>
      </x:c>
      <x:c r="AB534" s="153" t="n">
        <x:v>2.38</x:v>
      </x:c>
      <x:c r="AC534" s="153" t="n">
        <x:v>118.6004</x:v>
      </x:c>
      <x:c r="AD534" s="155" t="n">
        <x:v>46134</x:v>
      </x:c>
      <x:c r="AE534" s="154" t="n">
        <x:f>IFERROR(AC534/AC533-1,"")</x:f>
        <x:v>0.0014126118458437364</x:v>
      </x:c>
      <x:c r="AF534" s="153" t="n">
        <x:v>18.92</x:v>
      </x:c>
      <x:c r="AG534" s="155" t="n">
        <x:v>46134</x:v>
      </x:c>
      <x:c r="AH534" s="153" t="n">
        <x:f>IFERROR(AF534-AF533,"")</x:f>
        <x:v>-0.5799999999999983</x:v>
      </x:c>
      <x:c r="AI534" s="153" t="n">
        <x:v>3.64</x:v>
      </x:c>
      <x:c r="AJ534" s="155" t="n">
        <x:v>46129</x:v>
      </x:c>
      <x:c r="AK534" s="159" t="n">
        <x:v>95141</x:v>
      </x:c>
      <x:c r="AL534" s="154" t="n">
        <x:v>0.2626216620568962</x:v>
      </x:c>
      <x:c r="AM534" s="159" t="n">
        <x:v>-18530</x:v>
      </x:c>
      <x:c r="AN534" s="155" t="n">
        <x:v>46129</x:v>
      </x:c>
      <x:c r="AO534" s="159" t="n">
        <x:v>11270</x:v>
      </x:c>
      <x:c r="AP534" s="154" t="n">
        <x:v>0.0963387842677996</x:v>
      </x:c>
      <x:c r="AQ534" s="159" t="n">
        <x:v>-16756</x:v>
      </x:c>
      <x:c r="AR534" s="147" t="str">
        <x:v>美国市场指标与CFTC数据均使用严格早于上金所交易日的最后已发布值</x:v>
      </x:c>
    </x:row>
    <x:row r="535">
      <x:c r="A535" s="155" t="n">
        <x:v>46136</x:v>
      </x:c>
      <x:c r="B535" s="153" t="n">
        <x:v>1040</x:v>
      </x:c>
      <x:c r="C535" s="153" t="n">
        <x:v>1044</x:v>
      </x:c>
      <x:c r="D535" s="153" t="n">
        <x:v>1028</x:v>
      </x:c>
      <x:c r="E535" s="153" t="n">
        <x:v>1033.25</x:v>
      </x:c>
      <x:c r="F535" s="154" t="n">
        <x:f>IFERROR(E535/E534-1,"")</x:f>
        <x:v>-0.0040963855421686235</x:v>
      </x:c>
      <x:c r="G535" s="154" t="n">
        <x:f>IFERROR((C535-D535)/E534,"")</x:f>
        <x:v>0.015421686746987951</x:v>
      </x:c>
      <x:c r="H535" s="153" t="n">
        <x:v>1032.13</x:v>
      </x:c>
      <x:c r="I535" s="158" t="n">
        <x:v>4951.3</x:v>
      </x:c>
      <x:c r="J535" s="158" t="n">
        <x:v>5110387740.2</x:v>
      </x:c>
      <x:c r="K535" s="158"/>
      <x:c r="L535" s="153" t="n">
        <x:v>18860</x:v>
      </x:c>
      <x:c r="M535" s="153" t="n">
        <x:v>19130</x:v>
      </x:c>
      <x:c r="N535" s="153" t="n">
        <x:v>18333</x:v>
      </x:c>
      <x:c r="O535" s="153" t="n">
        <x:v>18481</x:v>
      </x:c>
      <x:c r="P535" s="154" t="n">
        <x:f>IFERROR(O535/O534-1,"")</x:f>
        <x:v>-0.02196232006773924</x:v>
      </x:c>
      <x:c r="Q535" s="154" t="n">
        <x:f>IFERROR((M535-N535)/O534,"")</x:f>
        <x:v>0.04217823878069433</x:v>
      </x:c>
      <x:c r="R535" s="153" t="n">
        <x:v>18668</x:v>
      </x:c>
      <x:c r="S535" s="158" t="n">
        <x:v>511166</x:v>
      </x:c>
      <x:c r="T535" s="158" t="n">
        <x:v>9542748992</x:v>
      </x:c>
      <x:c r="U535" s="158" t="n">
        <x:v>2733064</x:v>
      </x:c>
      <x:c r="V535" s="153" t="n">
        <x:f>IFERROR(E535*1000/O535,"")</x:f>
        <x:v>55.90877117039121</x:v>
      </x:c>
      <x:c r="W535" s="153" t="n">
        <x:v>4.34</x:v>
      </x:c>
      <x:c r="X535" s="155" t="n">
        <x:v>46135</x:v>
      </x:c>
      <x:c r="Y535" s="153" t="n">
        <x:v>1.92</x:v>
      </x:c>
      <x:c r="Z535" s="155" t="n">
        <x:v>46135</x:v>
      </x:c>
      <x:c r="AA535" s="153" t="n">
        <x:f>IFERROR(Y535-Y534,"")</x:f>
        <x:v>0</x:v>
      </x:c>
      <x:c r="AB535" s="153" t="n">
        <x:v>2.42</x:v>
      </x:c>
      <x:c r="AC535" s="153" t="n">
        <x:v>118.7155</x:v>
      </x:c>
      <x:c r="AD535" s="155" t="n">
        <x:v>46135</x:v>
      </x:c>
      <x:c r="AE535" s="154" t="n">
        <x:f>IFERROR(AC535/AC534-1,"")</x:f>
        <x:v>0.0009704857656467336</x:v>
      </x:c>
      <x:c r="AF535" s="153" t="n">
        <x:v>19.31</x:v>
      </x:c>
      <x:c r="AG535" s="155" t="n">
        <x:v>46135</x:v>
      </x:c>
      <x:c r="AH535" s="153" t="n">
        <x:f>IFERROR(AF535-AF534,"")</x:f>
        <x:v>0.389999999999997</x:v>
      </x:c>
      <x:c r="AI535" s="153" t="n">
        <x:v>3.64</x:v>
      </x:c>
      <x:c r="AJ535" s="155" t="n">
        <x:v>46129</x:v>
      </x:c>
      <x:c r="AK535" s="159" t="n">
        <x:v>95141</x:v>
      </x:c>
      <x:c r="AL535" s="154" t="n">
        <x:v>0.2626216620568962</x:v>
      </x:c>
      <x:c r="AM535" s="159" t="n">
        <x:v>-18530</x:v>
      </x:c>
      <x:c r="AN535" s="155" t="n">
        <x:v>46129</x:v>
      </x:c>
      <x:c r="AO535" s="159" t="n">
        <x:v>11270</x:v>
      </x:c>
      <x:c r="AP535" s="154" t="n">
        <x:v>0.0963387842677996</x:v>
      </x:c>
      <x:c r="AQ535" s="159" t="n">
        <x:v>-16756</x:v>
      </x:c>
      <x:c r="AR535" s="147" t="str">
        <x:v>美国市场指标与CFTC数据均使用严格早于上金所交易日的最后已发布值</x:v>
      </x:c>
    </x:row>
    <x:row r="536">
      <x:c r="A536" s="155" t="n">
        <x:v>46139</x:v>
      </x:c>
      <x:c r="B536" s="153" t="n">
        <x:v>1039.9</x:v>
      </x:c>
      <x:c r="C536" s="153" t="n">
        <x:v>1044</x:v>
      </x:c>
      <x:c r="D536" s="153" t="n">
        <x:v>1033</x:v>
      </x:c>
      <x:c r="E536" s="153" t="n">
        <x:v>1037.21</x:v>
      </x:c>
      <x:c r="F536" s="154" t="n">
        <x:f>IFERROR(E536/E535-1,"")</x:f>
        <x:v>0.003832567142511456</x:v>
      </x:c>
      <x:c r="G536" s="154" t="n">
        <x:f>IFERROR((C536-D536)/E535,"")</x:f>
        <x:v>0.010646019840309702</x:v>
      </x:c>
      <x:c r="H536" s="153" t="n">
        <x:v>1037.47</x:v>
      </x:c>
      <x:c r="I536" s="158" t="n">
        <x:v>4123.66</x:v>
      </x:c>
      <x:c r="J536" s="158" t="n">
        <x:v>4278200918.4</x:v>
      </x:c>
      <x:c r="K536" s="158"/>
      <x:c r="L536" s="153" t="n">
        <x:v>18830</x:v>
      </x:c>
      <x:c r="M536" s="153" t="n">
        <x:v>18969</x:v>
      </x:c>
      <x:c r="N536" s="153" t="n">
        <x:v>18575</x:v>
      </x:c>
      <x:c r="O536" s="153" t="n">
        <x:v>18796</x:v>
      </x:c>
      <x:c r="P536" s="154" t="n">
        <x:f>IFERROR(O536/O535-1,"")</x:f>
        <x:v>0.017044532222282305</x:v>
      </x:c>
      <x:c r="Q536" s="154" t="n">
        <x:f>IFERROR((M536-N536)/O535,"")</x:f>
        <x:v>0.02131919268437855</x:v>
      </x:c>
      <x:c r="R536" s="153" t="n">
        <x:v>18750</x:v>
      </x:c>
      <x:c r="S536" s="158" t="n">
        <x:v>340784</x:v>
      </x:c>
      <x:c r="T536" s="158" t="n">
        <x:v>6389858344</x:v>
      </x:c>
      <x:c r="U536" s="158" t="n">
        <x:v>2698046</x:v>
      </x:c>
      <x:c r="V536" s="153" t="n">
        <x:f>IFERROR(E536*1000/O536,"")</x:f>
        <x:v>55.18248563524154</x:v>
      </x:c>
      <x:c r="W536" s="153" t="n">
        <x:v>4.31</x:v>
      </x:c>
      <x:c r="X536" s="155" t="n">
        <x:v>46136</x:v>
      </x:c>
      <x:c r="Y536" s="153" t="n">
        <x:v>1.89</x:v>
      </x:c>
      <x:c r="Z536" s="155" t="n">
        <x:v>46136</x:v>
      </x:c>
      <x:c r="AA536" s="153" t="n">
        <x:f>IFERROR(Y536-Y535,"")</x:f>
        <x:v>-0.030000000000000027</x:v>
      </x:c>
      <x:c r="AB536" s="153" t="n">
        <x:v>2.42</x:v>
      </x:c>
      <x:c r="AC536" s="153" t="n">
        <x:v>118.7294</x:v>
      </x:c>
      <x:c r="AD536" s="155" t="n">
        <x:v>46136</x:v>
      </x:c>
      <x:c r="AE536" s="154" t="n">
        <x:f>IFERROR(AC536/AC535-1,"")</x:f>
        <x:v>0.00011708664833154359</x:v>
      </x:c>
      <x:c r="AF536" s="153" t="n">
        <x:v>18.71</x:v>
      </x:c>
      <x:c r="AG536" s="155" t="n">
        <x:v>46136</x:v>
      </x:c>
      <x:c r="AH536" s="153" t="n">
        <x:f>IFERROR(AF536-AF535,"")</x:f>
        <x:v>-0.5999999999999979</x:v>
      </x:c>
      <x:c r="AI536" s="153" t="n">
        <x:v>3.64</x:v>
      </x:c>
      <x:c r="AJ536" s="155" t="n">
        <x:v>46136</x:v>
      </x:c>
      <x:c r="AK536" s="159" t="n">
        <x:v>92976</x:v>
      </x:c>
      <x:c r="AL536" s="154" t="n">
        <x:v>0.25414249867429106</x:v>
      </x:c>
      <x:c r="AM536" s="159" t="n">
        <x:v>-20418</x:v>
      </x:c>
      <x:c r="AN536" s="155" t="n">
        <x:v>46136</x:v>
      </x:c>
      <x:c r="AO536" s="159" t="n">
        <x:v>8868</x:v>
      </x:c>
      <x:c r="AP536" s="154" t="n">
        <x:v>0.07680448978884828</x:v>
      </x:c>
      <x:c r="AQ536" s="159" t="n">
        <x:v>-16417</x:v>
      </x:c>
      <x:c r="AR536" s="147" t="str">
        <x:v>美国市场指标与CFTC数据均使用严格早于上金所交易日的最后已发布值</x:v>
      </x:c>
    </x:row>
    <x:row r="537">
      <x:c r="A537" s="155" t="n">
        <x:v>46140</x:v>
      </x:c>
      <x:c r="B537" s="153" t="n">
        <x:v>1035</x:v>
      </x:c>
      <x:c r="C537" s="153" t="n">
        <x:v>1038.9</x:v>
      </x:c>
      <x:c r="D537" s="153" t="n">
        <x:v>1019</x:v>
      </x:c>
      <x:c r="E537" s="153" t="n">
        <x:v>1020.73</x:v>
      </x:c>
      <x:c r="F537" s="154" t="n">
        <x:f>IFERROR(E537/E536-1,"")</x:f>
        <x:v>-0.01588877855014903</x:v>
      </x:c>
      <x:c r="G537" s="154" t="n">
        <x:f>IFERROR((C537-D537)/E536,"")</x:f>
        <x:v>0.019186085749269763</x:v>
      </x:c>
      <x:c r="H537" s="153" t="n">
        <x:v>1025.73</x:v>
      </x:c>
      <x:c r="I537" s="158" t="n">
        <x:v>5146.1</x:v>
      </x:c>
      <x:c r="J537" s="158" t="n">
        <x:v>5278556832.6</x:v>
      </x:c>
      <x:c r="K537" s="158"/>
      <x:c r="L537" s="153" t="n">
        <x:v>18740</x:v>
      </x:c>
      <x:c r="M537" s="153" t="n">
        <x:v>18809</x:v>
      </x:c>
      <x:c r="N537" s="153" t="n">
        <x:v>17950</x:v>
      </x:c>
      <x:c r="O537" s="153" t="n">
        <x:v>18066</x:v>
      </x:c>
      <x:c r="P537" s="154" t="n">
        <x:f>IFERROR(O537/O536-1,"")</x:f>
        <x:v>-0.03883805064907431</x:v>
      </x:c>
      <x:c r="Q537" s="154" t="n">
        <x:f>IFERROR((M537-N537)/O536,"")</x:f>
        <x:v>0.04570121302404767</x:v>
      </x:c>
      <x:c r="R537" s="153" t="n">
        <x:v>18288</x:v>
      </x:c>
      <x:c r="S537" s="158" t="n">
        <x:v>362234</x:v>
      </x:c>
      <x:c r="T537" s="158" t="n">
        <x:v>6624769174</x:v>
      </x:c>
      <x:c r="U537" s="158" t="n">
        <x:v>2732712</x:v>
      </x:c>
      <x:c r="V537" s="153" t="n">
        <x:f>IFERROR(E537*1000/O537,"")</x:f>
        <x:v>56.500055352596036</x:v>
      </x:c>
      <x:c r="W537" s="153" t="n">
        <x:v>4.35</x:v>
      </x:c>
      <x:c r="X537" s="155" t="n">
        <x:v>46139</x:v>
      </x:c>
      <x:c r="Y537" s="153" t="n">
        <x:v>1.91</x:v>
      </x:c>
      <x:c r="Z537" s="155" t="n">
        <x:v>46139</x:v>
      </x:c>
      <x:c r="AA537" s="153" t="n">
        <x:f>IFERROR(Y537-Y536,"")</x:f>
        <x:v>0.020000000000000018</x:v>
      </x:c>
      <x:c r="AB537" s="153" t="n">
        <x:v>2.44</x:v>
      </x:c>
      <x:c r="AC537" s="153" t="n">
        <x:v>118.5458</x:v>
      </x:c>
      <x:c r="AD537" s="155" t="n">
        <x:v>46139</x:v>
      </x:c>
      <x:c r="AE537" s="154" t="n">
        <x:f>IFERROR(AC537/AC536-1,"")</x:f>
        <x:v>-0.0015463735182692506</x:v>
      </x:c>
      <x:c r="AF537" s="153" t="n">
        <x:v>18.02</x:v>
      </x:c>
      <x:c r="AG537" s="155" t="n">
        <x:v>46139</x:v>
      </x:c>
      <x:c r="AH537" s="153" t="n">
        <x:f>IFERROR(AF537-AF536,"")</x:f>
        <x:v>-0.6900000000000013</x:v>
      </x:c>
      <x:c r="AI537" s="153" t="n">
        <x:v>3.64</x:v>
      </x:c>
      <x:c r="AJ537" s="155" t="n">
        <x:v>46136</x:v>
      </x:c>
      <x:c r="AK537" s="159" t="n">
        <x:v>92976</x:v>
      </x:c>
      <x:c r="AL537" s="154" t="n">
        <x:v>0.25414249867429106</x:v>
      </x:c>
      <x:c r="AM537" s="159" t="n">
        <x:v>-20418</x:v>
      </x:c>
      <x:c r="AN537" s="155" t="n">
        <x:v>46136</x:v>
      </x:c>
      <x:c r="AO537" s="159" t="n">
        <x:v>8868</x:v>
      </x:c>
      <x:c r="AP537" s="154" t="n">
        <x:v>0.07680448978884828</x:v>
      </x:c>
      <x:c r="AQ537" s="159" t="n">
        <x:v>-16417</x:v>
      </x:c>
      <x:c r="AR537" s="147" t="str">
        <x:v>美国市场指标与CFTC数据均使用严格早于上金所交易日的最后已发布值</x:v>
      </x:c>
    </x:row>
    <x:row r="538">
      <x:c r="A538" s="155" t="n">
        <x:v>46141</x:v>
      </x:c>
      <x:c r="B538" s="153" t="n">
        <x:v>1007</x:v>
      </x:c>
      <x:c r="C538" s="153" t="n">
        <x:v>1020</x:v>
      </x:c>
      <x:c r="D538" s="153" t="n">
        <x:v>1006.32</x:v>
      </x:c>
      <x:c r="E538" s="153" t="n">
        <x:v>1009.88</x:v>
      </x:c>
      <x:c r="F538" s="154" t="n">
        <x:f>IFERROR(E538/E537-1,"")</x:f>
        <x:v>-0.010629647409207132</x:v>
      </x:c>
      <x:c r="G538" s="154" t="n">
        <x:f>IFERROR((C538-D538)/E537,"")</x:f>
        <x:v>0.013402172954650054</x:v>
      </x:c>
      <x:c r="H538" s="153" t="n">
        <x:v>1012.44</x:v>
      </x:c>
      <x:c r="I538" s="158" t="n">
        <x:v>5519.12</x:v>
      </x:c>
      <x:c r="J538" s="158" t="n">
        <x:v>5587794669.2</x:v>
      </x:c>
      <x:c r="K538" s="158"/>
      <x:c r="L538" s="153" t="n">
        <x:v>17800</x:v>
      </x:c>
      <x:c r="M538" s="153" t="n">
        <x:v>18226</x:v>
      </x:c>
      <x:c r="N538" s="153" t="n">
        <x:v>17782</x:v>
      </x:c>
      <x:c r="O538" s="153" t="n">
        <x:v>18069</x:v>
      </x:c>
      <x:c r="P538" s="154" t="n">
        <x:f>IFERROR(O538/O537-1,"")</x:f>
        <x:v>0.00016605778811018546</x:v>
      </x:c>
      <x:c r="Q538" s="154" t="n">
        <x:f>IFERROR((M538-N538)/O537,"")</x:f>
        <x:v>0.02457655264031883</x:v>
      </x:c>
      <x:c r="R538" s="153" t="n">
        <x:v>18077</x:v>
      </x:c>
      <x:c r="S538" s="158" t="n">
        <x:v>239088</x:v>
      </x:c>
      <x:c r="T538" s="158" t="n">
        <x:v>4322015214</x:v>
      </x:c>
      <x:c r="U538" s="158" t="n">
        <x:v>2732730</x:v>
      </x:c>
      <x:c r="V538" s="153" t="n">
        <x:f>IFERROR(E538*1000/O538,"")</x:f>
        <x:v>55.89019868282694</x:v>
      </x:c>
      <x:c r="W538" s="153" t="n">
        <x:v>4.36</x:v>
      </x:c>
      <x:c r="X538" s="155" t="n">
        <x:v>46140</x:v>
      </x:c>
      <x:c r="Y538" s="153" t="n">
        <x:v>1.92</x:v>
      </x:c>
      <x:c r="Z538" s="155" t="n">
        <x:v>46140</x:v>
      </x:c>
      <x:c r="AA538" s="153" t="n">
        <x:f>IFERROR(Y538-Y537,"")</x:f>
        <x:v>0.010000000000000009</x:v>
      </x:c>
      <x:c r="AB538" s="153" t="n">
        <x:v>2.44</x:v>
      </x:c>
      <x:c r="AC538" s="153" t="n">
        <x:v>118.7717</x:v>
      </x:c>
      <x:c r="AD538" s="155" t="n">
        <x:v>46140</x:v>
      </x:c>
      <x:c r="AE538" s="154" t="n">
        <x:f>IFERROR(AC538/AC537-1,"")</x:f>
        <x:v>0.0019055926064017736</x:v>
      </x:c>
      <x:c r="AF538" s="153" t="n">
        <x:v>17.83</x:v>
      </x:c>
      <x:c r="AG538" s="155" t="n">
        <x:v>46140</x:v>
      </x:c>
      <x:c r="AH538" s="153" t="n">
        <x:f>IFERROR(AF538-AF537,"")</x:f>
        <x:v>-0.19000000000000128</x:v>
      </x:c>
      <x:c r="AI538" s="153" t="n">
        <x:v>3.64</x:v>
      </x:c>
      <x:c r="AJ538" s="155" t="n">
        <x:v>46136</x:v>
      </x:c>
      <x:c r="AK538" s="159" t="n">
        <x:v>92976</x:v>
      </x:c>
      <x:c r="AL538" s="154" t="n">
        <x:v>0.25414249867429106</x:v>
      </x:c>
      <x:c r="AM538" s="159" t="n">
        <x:v>-20418</x:v>
      </x:c>
      <x:c r="AN538" s="155" t="n">
        <x:v>46136</x:v>
      </x:c>
      <x:c r="AO538" s="159" t="n">
        <x:v>8868</x:v>
      </x:c>
      <x:c r="AP538" s="154" t="n">
        <x:v>0.07680448978884828</x:v>
      </x:c>
      <x:c r="AQ538" s="159" t="n">
        <x:v>-16417</x:v>
      </x:c>
      <x:c r="AR538" s="147" t="str">
        <x:v>美国市场指标与CFTC数据均使用严格早于上金所交易日的最后已发布值</x:v>
      </x:c>
    </x:row>
    <x:row r="539">
      <x:c r="A539" s="155" t="n">
        <x:v>46142</x:v>
      </x:c>
      <x:c r="B539" s="153" t="n">
        <x:v>1007</x:v>
      </x:c>
      <x:c r="C539" s="153" t="n">
        <x:v>1016</x:v>
      </x:c>
      <x:c r="D539" s="153" t="n">
        <x:v>995</x:v>
      </x:c>
      <x:c r="E539" s="153" t="n">
        <x:v>1013.6</x:v>
      </x:c>
      <x:c r="F539" s="154" t="n">
        <x:f>IFERROR(E539/E538-1,"")</x:f>
        <x:v>0.003683605972987003</x:v>
      </x:c>
      <x:c r="G539" s="154" t="n">
        <x:f>IFERROR((C539-D539)/E538,"")</x:f>
        <x:v>0.020794549847506633</x:v>
      </x:c>
      <x:c r="H539" s="153" t="n">
        <x:v>1010.12</x:v>
      </x:c>
      <x:c r="I539" s="158" t="n">
        <x:v>5310.76</x:v>
      </x:c>
      <x:c r="J539" s="158" t="n">
        <x:v>5364546448.6</x:v>
      </x:c>
      <x:c r="K539" s="158"/>
      <x:c r="L539" s="153" t="n">
        <x:v>17926</x:v>
      </x:c>
      <x:c r="M539" s="153" t="n">
        <x:v>18148</x:v>
      </x:c>
      <x:c r="N539" s="153" t="n">
        <x:v>17529</x:v>
      </x:c>
      <x:c r="O539" s="153" t="n">
        <x:v>18119</x:v>
      </x:c>
      <x:c r="P539" s="154" t="n">
        <x:f>IFERROR(O539/O538-1,"")</x:f>
        <x:v>0.0027671702916598484</x:v>
      </x:c>
      <x:c r="Q539" s="154" t="n">
        <x:f>IFERROR((M539-N539)/O538,"")</x:f>
        <x:v>0.03425756821074769</x:v>
      </x:c>
      <x:c r="R539" s="153" t="n">
        <x:v>17915</x:v>
      </x:c>
      <x:c r="S539" s="158" t="n">
        <x:v>278692</x:v>
      </x:c>
      <x:c r="T539" s="158" t="n">
        <x:v>4992883474</x:v>
      </x:c>
      <x:c r="U539" s="158" t="n">
        <x:v>2690070</x:v>
      </x:c>
      <x:c r="V539" s="153" t="n">
        <x:f>IFERROR(E539*1000/O539,"")</x:f>
        <x:v>55.94127711242342</x:v>
      </x:c>
      <x:c r="W539" s="153" t="n">
        <x:v>4.42</x:v>
      </x:c>
      <x:c r="X539" s="155" t="n">
        <x:v>46141</x:v>
      </x:c>
      <x:c r="Y539" s="153" t="n">
        <x:v>1.96</x:v>
      </x:c>
      <x:c r="Z539" s="155" t="n">
        <x:v>46141</x:v>
      </x:c>
      <x:c r="AA539" s="153" t="n">
        <x:f>IFERROR(Y539-Y538,"")</x:f>
        <x:v>0.040000000000000036</x:v>
      </x:c>
      <x:c r="AB539" s="153" t="n">
        <x:v>2.46</x:v>
      </x:c>
      <x:c r="AC539" s="153" t="n">
        <x:v>119.0975</x:v>
      </x:c>
      <x:c r="AD539" s="155" t="n">
        <x:v>46141</x:v>
      </x:c>
      <x:c r="AE539" s="154" t="n">
        <x:f>IFERROR(AC539/AC538-1,"")</x:f>
        <x:v>0.00274307768601445</x:v>
      </x:c>
      <x:c r="AF539" s="153" t="n">
        <x:v>18.81</x:v>
      </x:c>
      <x:c r="AG539" s="155" t="n">
        <x:v>46141</x:v>
      </x:c>
      <x:c r="AH539" s="153" t="n">
        <x:f>IFERROR(AF539-AF538,"")</x:f>
        <x:v>0.9800000000000004</x:v>
      </x:c>
      <x:c r="AI539" s="153" t="n">
        <x:v>3.64</x:v>
      </x:c>
      <x:c r="AJ539" s="155" t="n">
        <x:v>46136</x:v>
      </x:c>
      <x:c r="AK539" s="159" t="n">
        <x:v>92976</x:v>
      </x:c>
      <x:c r="AL539" s="154" t="n">
        <x:v>0.25414249867429106</x:v>
      </x:c>
      <x:c r="AM539" s="159" t="n">
        <x:v>-20418</x:v>
      </x:c>
      <x:c r="AN539" s="155" t="n">
        <x:v>46136</x:v>
      </x:c>
      <x:c r="AO539" s="159" t="n">
        <x:v>8868</x:v>
      </x:c>
      <x:c r="AP539" s="154" t="n">
        <x:v>0.07680448978884828</x:v>
      </x:c>
      <x:c r="AQ539" s="159" t="n">
        <x:v>-16417</x:v>
      </x:c>
      <x:c r="AR539" s="147" t="str">
        <x:v>美国市场指标与CFTC数据均使用严格早于上金所交易日的最后已发布值</x:v>
      </x:c>
    </x:row>
    <x:row r="540">
      <x:c r="A540" s="155" t="n">
        <x:v>46148</x:v>
      </x:c>
      <x:c r="B540" s="153" t="n">
        <x:v>1017</x:v>
      </x:c>
      <x:c r="C540" s="153" t="n">
        <x:v>1027</x:v>
      </x:c>
      <x:c r="D540" s="153" t="n">
        <x:v>1014.04</x:v>
      </x:c>
      <x:c r="E540" s="153" t="n">
        <x:v>1026.94</x:v>
      </x:c>
      <x:c r="F540" s="154" t="n">
        <x:f>IFERROR(E540/E539-1,"")</x:f>
        <x:v>0.013161010260457795</x:v>
      </x:c>
      <x:c r="G540" s="154" t="n">
        <x:f>IFERROR((C540-D540)/E539,"")</x:f>
        <x:v>0.01278610891870564</x:v>
      </x:c>
      <x:c r="H540" s="153" t="n">
        <x:v>1021.98</x:v>
      </x:c>
      <x:c r="I540" s="158" t="n">
        <x:v>4214.74</x:v>
      </x:c>
      <x:c r="J540" s="158" t="n">
        <x:v>4307381282.8</x:v>
      </x:c>
      <x:c r="K540" s="158"/>
      <x:c r="L540" s="153" t="n">
        <x:v>18409</x:v>
      </x:c>
      <x:c r="M540" s="153" t="n">
        <x:v>18858</x:v>
      </x:c>
      <x:c r="N540" s="153" t="n">
        <x:v>18341</x:v>
      </x:c>
      <x:c r="O540" s="153" t="n">
        <x:v>18837</x:v>
      </x:c>
      <x:c r="P540" s="154" t="n">
        <x:f>IFERROR(O540/O539-1,"")</x:f>
        <x:v>0.03962691097742699</x:v>
      </x:c>
      <x:c r="Q540" s="154" t="n">
        <x:f>IFERROR((M540-N540)/O539,"")</x:f>
        <x:v>0.02853358353109995</x:v>
      </x:c>
      <x:c r="R540" s="153" t="n">
        <x:v>18669</x:v>
      </x:c>
      <x:c r="S540" s="158" t="n">
        <x:v>274812</x:v>
      </x:c>
      <x:c r="T540" s="158" t="n">
        <x:v>5130623268</x:v>
      </x:c>
      <x:c r="U540" s="158" t="n">
        <x:v>2730760</x:v>
      </x:c>
      <x:c r="V540" s="153" t="n">
        <x:f>IFERROR(E540*1000/O540,"")</x:f>
        <x:v>54.51717364760843</x:v>
      </x:c>
      <x:c r="W540" s="153" t="n">
        <x:v>4.43</x:v>
      </x:c>
      <x:c r="X540" s="155" t="n">
        <x:v>46147</x:v>
      </x:c>
      <x:c r="Y540" s="153" t="n">
        <x:v>1.96</x:v>
      </x:c>
      <x:c r="Z540" s="155" t="n">
        <x:v>46147</x:v>
      </x:c>
      <x:c r="AA540" s="153" t="n">
        <x:f>IFERROR(Y540-Y539,"")</x:f>
        <x:v>0</x:v>
      </x:c>
      <x:c r="AB540" s="153" t="n">
        <x:v>2.47</x:v>
      </x:c>
      <x:c r="AC540" s="153" t="n">
        <x:v>118.6207</x:v>
      </x:c>
      <x:c r="AD540" s="155" t="n">
        <x:v>46147</x:v>
      </x:c>
      <x:c r="AE540" s="154" t="n">
        <x:f>IFERROR(AC540/AC539-1,"")</x:f>
        <x:v>-0.0040034425575683485</x:v>
      </x:c>
      <x:c r="AF540" s="153" t="n">
        <x:v>17.38</x:v>
      </x:c>
      <x:c r="AG540" s="155" t="n">
        <x:v>46147</x:v>
      </x:c>
      <x:c r="AH540" s="153" t="n">
        <x:f>IFERROR(AF540-AF539,"")</x:f>
        <x:v>-1.4299999999999997</x:v>
      </x:c>
      <x:c r="AI540" s="153" t="n">
        <x:v>3.64</x:v>
      </x:c>
      <x:c r="AJ540" s="155" t="n">
        <x:v>46143</x:v>
      </x:c>
      <x:c r="AK540" s="159" t="n">
        <x:v>89752</x:v>
      </x:c>
      <x:c r="AL540" s="154" t="n">
        <x:v>0.24288149811923254</x:v>
      </x:c>
      <x:c r="AM540" s="159" t="n">
        <x:v>-20192</x:v>
      </x:c>
      <x:c r="AN540" s="155" t="n">
        <x:v>46143</x:v>
      </x:c>
      <x:c r="AO540" s="159" t="n">
        <x:v>10606</x:v>
      </x:c>
      <x:c r="AP540" s="154" t="n">
        <x:v>0.10472475931868674</x:v>
      </x:c>
      <x:c r="AQ540" s="159" t="n">
        <x:v>-18110</x:v>
      </x:c>
      <x:c r="AR540" s="147" t="str">
        <x:v>美国市场指标与CFTC数据均使用严格早于上金所交易日的最后已发布值</x:v>
      </x:c>
    </x:row>
    <x:row r="541">
      <x:c r="A541" s="155" t="n">
        <x:v>46149</x:v>
      </x:c>
      <x:c r="B541" s="153" t="n">
        <x:v>1030</x:v>
      </x:c>
      <x:c r="C541" s="153" t="n">
        <x:v>1044.99</x:v>
      </x:c>
      <x:c r="D541" s="153" t="n">
        <x:v>1025.1</x:v>
      </x:c>
      <x:c r="E541" s="153" t="n">
        <x:v>1038.94</x:v>
      </x:c>
      <x:c r="F541" s="154" t="n">
        <x:f>IFERROR(E541/E540-1,"")</x:f>
        <x:v>0.011685200693321907</x:v>
      </x:c>
      <x:c r="G541" s="154" t="n">
        <x:f>IFERROR((C541-D541)/E540,"")</x:f>
        <x:v>0.01936822014918116</x:v>
      </x:c>
      <x:c r="H541" s="153" t="n">
        <x:v>1034.68</x:v>
      </x:c>
      <x:c r="I541" s="158" t="n">
        <x:v>5130.02</x:v>
      </x:c>
      <x:c r="J541" s="158" t="n">
        <x:v>5307965408.4</x:v>
      </x:c>
      <x:c r="K541" s="158"/>
      <x:c r="L541" s="153" t="n">
        <x:v>19010</x:v>
      </x:c>
      <x:c r="M541" s="153" t="n">
        <x:v>19588</x:v>
      </x:c>
      <x:c r="N541" s="153" t="n">
        <x:v>18894</x:v>
      </x:c>
      <x:c r="O541" s="153" t="n">
        <x:v>19538</x:v>
      </x:c>
      <x:c r="P541" s="154" t="n">
        <x:f>IFERROR(O541/O540-1,"")</x:f>
        <x:v>0.037213993735732975</x:v>
      </x:c>
      <x:c r="Q541" s="154" t="n">
        <x:f>IFERROR((M541-N541)/O540,"")</x:f>
        <x:v>0.036842384668471624</x:v>
      </x:c>
      <x:c r="R541" s="153" t="n">
        <x:v>19279</x:v>
      </x:c>
      <x:c r="S541" s="158" t="n">
        <x:v>397146</x:v>
      </x:c>
      <x:c r="T541" s="158" t="n">
        <x:v>7656590632</x:v>
      </x:c>
      <x:c r="U541" s="158" t="n">
        <x:v>2719416</x:v>
      </x:c>
      <x:c r="V541" s="153" t="n">
        <x:f>IFERROR(E541*1000/O541,"")</x:f>
        <x:v>53.17535059883304</x:v>
      </x:c>
      <x:c r="W541" s="153" t="n">
        <x:v>4.36</x:v>
      </x:c>
      <x:c r="X541" s="155" t="n">
        <x:v>46148</x:v>
      </x:c>
      <x:c r="Y541" s="153" t="n">
        <x:v>1.94</x:v>
      </x:c>
      <x:c r="Z541" s="155" t="n">
        <x:v>46148</x:v>
      </x:c>
      <x:c r="AA541" s="153" t="n">
        <x:f>IFERROR(Y541-Y540,"")</x:f>
        <x:v>-0.020000000000000018</x:v>
      </x:c>
      <x:c r="AB541" s="153" t="n">
        <x:v>2.42</x:v>
      </x:c>
      <x:c r="AC541" s="153" t="n">
        <x:v>118.0982</x:v>
      </x:c>
      <x:c r="AD541" s="155" t="n">
        <x:v>46148</x:v>
      </x:c>
      <x:c r="AE541" s="154" t="n">
        <x:f>IFERROR(AC541/AC540-1,"")</x:f>
        <x:v>-0.004404796127488675</x:v>
      </x:c>
      <x:c r="AF541" s="153" t="n">
        <x:v>17.39</x:v>
      </x:c>
      <x:c r="AG541" s="155" t="n">
        <x:v>46148</x:v>
      </x:c>
      <x:c r="AH541" s="153" t="n">
        <x:f>IFERROR(AF541-AF540,"")</x:f>
        <x:v>0.010000000000001563</x:v>
      </x:c>
      <x:c r="AI541" s="153" t="n">
        <x:v>3.64</x:v>
      </x:c>
      <x:c r="AJ541" s="155" t="n">
        <x:v>46143</x:v>
      </x:c>
      <x:c r="AK541" s="159" t="n">
        <x:v>89752</x:v>
      </x:c>
      <x:c r="AL541" s="154" t="n">
        <x:v>0.24288149811923254</x:v>
      </x:c>
      <x:c r="AM541" s="159" t="n">
        <x:v>-20192</x:v>
      </x:c>
      <x:c r="AN541" s="155" t="n">
        <x:v>46143</x:v>
      </x:c>
      <x:c r="AO541" s="159" t="n">
        <x:v>10606</x:v>
      </x:c>
      <x:c r="AP541" s="154" t="n">
        <x:v>0.10472475931868674</x:v>
      </x:c>
      <x:c r="AQ541" s="159" t="n">
        <x:v>-18110</x:v>
      </x:c>
      <x:c r="AR541" s="147" t="str">
        <x:v>美国市场指标与CFTC数据均使用严格早于上金所交易日的最后已发布值</x:v>
      </x:c>
    </x:row>
    <x:row r="542">
      <x:c r="A542" s="155" t="n">
        <x:v>46150</x:v>
      </x:c>
      <x:c r="B542" s="153" t="n">
        <x:v>1038.2</x:v>
      </x:c>
      <x:c r="C542" s="153" t="n">
        <x:v>1045</x:v>
      </x:c>
      <x:c r="D542" s="153" t="n">
        <x:v>1031</x:v>
      </x:c>
      <x:c r="E542" s="153" t="n">
        <x:v>1032</x:v>
      </x:c>
      <x:c r="F542" s="154" t="n">
        <x:f>IFERROR(E542/E541-1,"")</x:f>
        <x:v>-0.006679885267676711</x:v>
      </x:c>
      <x:c r="G542" s="154" t="n">
        <x:f>IFERROR((C542-D542)/E541,"")</x:f>
        <x:v>0.013475272874275704</x:v>
      </x:c>
      <x:c r="H542" s="153" t="n">
        <x:v>1035.59</x:v>
      </x:c>
      <x:c r="I542" s="158" t="n">
        <x:v>4303.78</x:v>
      </x:c>
      <x:c r="J542" s="158" t="n">
        <x:v>4456959500.8</x:v>
      </x:c>
      <x:c r="K542" s="158"/>
      <x:c r="L542" s="153" t="n">
        <x:v>19875</x:v>
      </x:c>
      <x:c r="M542" s="153" t="n">
        <x:v>20131</x:v>
      </x:c>
      <x:c r="N542" s="153" t="n">
        <x:v>19513</x:v>
      </x:c>
      <x:c r="O542" s="153" t="n">
        <x:v>19692</x:v>
      </x:c>
      <x:c r="P542" s="154" t="n">
        <x:f>IFERROR(O542/O541-1,"")</x:f>
        <x:v>0.00788207595455015</x:v>
      </x:c>
      <x:c r="Q542" s="154" t="n">
        <x:f>IFERROR((M542-N542)/O541,"")</x:f>
        <x:v>0.031630668440986796</x:v>
      </x:c>
      <x:c r="R542" s="153" t="n">
        <x:v>19818</x:v>
      </x:c>
      <x:c r="S542" s="158" t="n">
        <x:v>532908</x:v>
      </x:c>
      <x:c r="T542" s="158" t="n">
        <x:v>10561250538</x:v>
      </x:c>
      <x:c r="U542" s="158" t="n">
        <x:v>2701386</x:v>
      </x:c>
      <x:c r="V542" s="153" t="n">
        <x:f>IFERROR(E542*1000/O542,"")</x:f>
        <x:v>52.40706886045094</x:v>
      </x:c>
      <x:c r="W542" s="153" t="n">
        <x:v>4.41</x:v>
      </x:c>
      <x:c r="X542" s="155" t="n">
        <x:v>46149</x:v>
      </x:c>
      <x:c r="Y542" s="153" t="n">
        <x:v>1.96</x:v>
      </x:c>
      <x:c r="Z542" s="155" t="n">
        <x:v>46149</x:v>
      </x:c>
      <x:c r="AA542" s="153" t="n">
        <x:f>IFERROR(Y542-Y541,"")</x:f>
        <x:v>0.020000000000000018</x:v>
      </x:c>
      <x:c r="AB542" s="153" t="n">
        <x:v>2.45</x:v>
      </x:c>
      <x:c r="AC542" s="153" t="n">
        <x:v>118.0116</x:v>
      </x:c>
      <x:c r="AD542" s="155" t="n">
        <x:v>46149</x:v>
      </x:c>
      <x:c r="AE542" s="154" t="n">
        <x:f>IFERROR(AC542/AC541-1,"")</x:f>
        <x:v>-0.0007332880602752834</x:v>
      </x:c>
      <x:c r="AF542" s="153" t="n">
        <x:v>17.08</x:v>
      </x:c>
      <x:c r="AG542" s="155" t="n">
        <x:v>46149</x:v>
      </x:c>
      <x:c r="AH542" s="153" t="n">
        <x:f>IFERROR(AF542-AF541,"")</x:f>
        <x:v>-0.3100000000000023</x:v>
      </x:c>
      <x:c r="AI542" s="153" t="n">
        <x:v>3.63</x:v>
      </x:c>
      <x:c r="AJ542" s="155" t="n">
        <x:v>46143</x:v>
      </x:c>
      <x:c r="AK542" s="159" t="n">
        <x:v>89752</x:v>
      </x:c>
      <x:c r="AL542" s="154" t="n">
        <x:v>0.24288149811923254</x:v>
      </x:c>
      <x:c r="AM542" s="159" t="n">
        <x:v>-20192</x:v>
      </x:c>
      <x:c r="AN542" s="155" t="n">
        <x:v>46143</x:v>
      </x:c>
      <x:c r="AO542" s="159" t="n">
        <x:v>10606</x:v>
      </x:c>
      <x:c r="AP542" s="154" t="n">
        <x:v>0.10472475931868674</x:v>
      </x:c>
      <x:c r="AQ542" s="159" t="n">
        <x:v>-18110</x:v>
      </x:c>
      <x:c r="AR542" s="147" t="str">
        <x:v>美国市场指标与CFTC数据均使用严格早于上金所交易日的最后已发布值</x:v>
      </x:c>
    </x:row>
    <x:row r="543">
      <x:c r="A543" s="155" t="n">
        <x:v>46153</x:v>
      </x:c>
      <x:c r="B543" s="153" t="n">
        <x:v>1033.5</x:v>
      </x:c>
      <x:c r="C543" s="153" t="n">
        <x:v>1039.9</x:v>
      </x:c>
      <x:c r="D543" s="153" t="n">
        <x:v>1018.31</x:v>
      </x:c>
      <x:c r="E543" s="153" t="n">
        <x:v>1025.82</x:v>
      </x:c>
      <x:c r="F543" s="154" t="n">
        <x:f>IFERROR(E543/E542-1,"")</x:f>
        <x:v>-0.005988372093023275</x:v>
      </x:c>
      <x:c r="G543" s="154" t="n">
        <x:f>IFERROR((C543-D543)/E542,"")</x:f>
        <x:v>0.020920542635659057</x:v>
      </x:c>
      <x:c r="H543" s="153" t="n">
        <x:v>1024.95</x:v>
      </x:c>
      <x:c r="I543" s="158" t="n">
        <x:v>5197.86</x:v>
      </x:c>
      <x:c r="J543" s="158" t="n">
        <x:v>5327595556</x:v>
      </x:c>
      <x:c r="K543" s="158"/>
      <x:c r="L543" s="153" t="n">
        <x:v>19900</x:v>
      </x:c>
      <x:c r="M543" s="153" t="n">
        <x:v>20085</x:v>
      </x:c>
      <x:c r="N543" s="153" t="n">
        <x:v>19550</x:v>
      </x:c>
      <x:c r="O543" s="153" t="n">
        <x:v>19895</x:v>
      </x:c>
      <x:c r="P543" s="154" t="n">
        <x:f>IFERROR(O543/O542-1,"")</x:f>
        <x:v>0.010308754824294164</x:v>
      </x:c>
      <x:c r="Q543" s="154" t="n">
        <x:f>IFERROR((M543-N543)/O542,"")</x:f>
        <x:v>0.02716839325614463</x:v>
      </x:c>
      <x:c r="R543" s="153" t="n">
        <x:v>19877</x:v>
      </x:c>
      <x:c r="S543" s="158" t="n">
        <x:v>518478</x:v>
      </x:c>
      <x:c r="T543" s="158" t="n">
        <x:v>10306221890</x:v>
      </x:c>
      <x:c r="U543" s="158" t="n">
        <x:v>2663478</x:v>
      </x:c>
      <x:c r="V543" s="153" t="n">
        <x:f>IFERROR(E543*1000/O543,"")</x:f>
        <x:v>51.56169891932646</x:v>
      </x:c>
      <x:c r="W543" s="153" t="n">
        <x:v>4.38</x:v>
      </x:c>
      <x:c r="X543" s="155" t="n">
        <x:v>46150</x:v>
      </x:c>
      <x:c r="Y543" s="153" t="n">
        <x:v>1.93</x:v>
      </x:c>
      <x:c r="Z543" s="155" t="n">
        <x:v>46150</x:v>
      </x:c>
      <x:c r="AA543" s="153" t="n">
        <x:f>IFERROR(Y543-Y542,"")</x:f>
        <x:v>-0.030000000000000027</x:v>
      </x:c>
      <x:c r="AB543" s="153" t="n">
        <x:v>2.45</x:v>
      </x:c>
      <x:c r="AC543" s="153" t="n">
        <x:v>118.0392</x:v>
      </x:c>
      <x:c r="AD543" s="155" t="n">
        <x:v>46150</x:v>
      </x:c>
      <x:c r="AE543" s="154" t="n">
        <x:f>IFERROR(AC543/AC542-1,"")</x:f>
        <x:v>0.00023387531395213657</x:v>
      </x:c>
      <x:c r="AF543" s="153" t="n">
        <x:v>17.19</x:v>
      </x:c>
      <x:c r="AG543" s="155" t="n">
        <x:v>46150</x:v>
      </x:c>
      <x:c r="AH543" s="153" t="n">
        <x:f>IFERROR(AF543-AF542,"")</x:f>
        <x:v>0.11000000000000298</x:v>
      </x:c>
      <x:c r="AI543" s="153" t="n">
        <x:v>3.63</x:v>
      </x:c>
      <x:c r="AJ543" s="155" t="n">
        <x:v>46150</x:v>
      </x:c>
      <x:c r="AK543" s="159" t="n">
        <x:v>94254</x:v>
      </x:c>
      <x:c r="AL543" s="154" t="n">
        <x:v>0.2561723361925573</x:v>
      </x:c>
      <x:c r="AM543" s="159" t="n">
        <x:v>-19112</x:v>
      </x:c>
      <x:c r="AN543" s="155" t="n">
        <x:v>46150</x:v>
      </x:c>
      <x:c r="AO543" s="159" t="n">
        <x:v>10843</x:v>
      </x:c>
      <x:c r="AP543" s="154" t="n">
        <x:v>0.11186192382288615</x:v>
      </x:c>
      <x:c r="AQ543" s="159" t="n">
        <x:v>-17613</x:v>
      </x:c>
      <x:c r="AR543" s="147" t="str">
        <x:v>美国市场指标与CFTC数据均使用严格早于上金所交易日的最后已发布值</x:v>
      </x:c>
    </x:row>
    <x:row r="544">
      <x:c r="A544" s="155" t="n">
        <x:v>46154</x:v>
      </x:c>
      <x:c r="B544" s="153" t="n">
        <x:v>1025</x:v>
      </x:c>
      <x:c r="C544" s="153" t="n">
        <x:v>1040.1</x:v>
      </x:c>
      <x:c r="D544" s="153" t="n">
        <x:v>1025</x:v>
      </x:c>
      <x:c r="E544" s="153" t="n">
        <x:v>1028.51</x:v>
      </x:c>
      <x:c r="F544" s="154" t="n">
        <x:f>IFERROR(E544/E543-1,"")</x:f>
        <x:v>0.0026222924099745804</x:v>
      </x:c>
      <x:c r="G544" s="154" t="n">
        <x:f>IFERROR((C544-D544)/E543,"")</x:f>
        <x:v>0.014719931371975503</x:v>
      </x:c>
      <x:c r="H544" s="153" t="n">
        <x:v>1033.26</x:v>
      </x:c>
      <x:c r="I544" s="158" t="n">
        <x:v>3586.26</x:v>
      </x:c>
      <x:c r="J544" s="158" t="n">
        <x:v>3705546611.2</x:v>
      </x:c>
      <x:c r="K544" s="158"/>
      <x:c r="L544" s="153" t="n">
        <x:v>20033</x:v>
      </x:c>
      <x:c r="M544" s="153" t="n">
        <x:v>21423</x:v>
      </x:c>
      <x:c r="N544" s="153" t="n">
        <x:v>19997</x:v>
      </x:c>
      <x:c r="O544" s="153" t="n">
        <x:v>20749</x:v>
      </x:c>
      <x:c r="P544" s="154" t="n">
        <x:f>IFERROR(O544/O543-1,"")</x:f>
        <x:v>0.04292535813018339</x:v>
      </x:c>
      <x:c r="Q544" s="154" t="n">
        <x:f>IFERROR((M544-N544)/O543,"")</x:f>
        <x:v>0.07167630057803469</x:v>
      </x:c>
      <x:c r="R544" s="153" t="n">
        <x:v>20970</x:v>
      </x:c>
      <x:c r="S544" s="158" t="n">
        <x:v>626580</x:v>
      </x:c>
      <x:c r="T544" s="158" t="n">
        <x:v>13140007408</x:v>
      </x:c>
      <x:c r="U544" s="158" t="n">
        <x:v>2666670</x:v>
      </x:c>
      <x:c r="V544" s="153" t="n">
        <x:f>IFERROR(E544*1000/O544,"")</x:f>
        <x:v>49.56913586196925</x:v>
      </x:c>
      <x:c r="W544" s="153" t="n">
        <x:v>4.42</x:v>
      </x:c>
      <x:c r="X544" s="155" t="n">
        <x:v>46153</x:v>
      </x:c>
      <x:c r="Y544" s="153" t="n">
        <x:v>1.95</x:v>
      </x:c>
      <x:c r="Z544" s="155" t="n">
        <x:v>46153</x:v>
      </x:c>
      <x:c r="AA544" s="153" t="n">
        <x:f>IFERROR(Y544-Y543,"")</x:f>
        <x:v>0.020000000000000018</x:v>
      </x:c>
      <x:c r="AB544" s="153" t="n">
        <x:v>2.47</x:v>
      </x:c>
      <x:c r="AC544" s="153" t="n">
        <x:v>118.0562</x:v>
      </x:c>
      <x:c r="AD544" s="155" t="n">
        <x:v>46153</x:v>
      </x:c>
      <x:c r="AE544" s="154" t="n">
        <x:f>IFERROR(AC544/AC543-1,"")</x:f>
        <x:v>0.00014401995269386347</x:v>
      </x:c>
      <x:c r="AF544" s="153" t="n">
        <x:v>18.38</x:v>
      </x:c>
      <x:c r="AG544" s="155" t="n">
        <x:v>46153</x:v>
      </x:c>
      <x:c r="AH544" s="153" t="n">
        <x:f>IFERROR(AF544-AF543,"")</x:f>
        <x:v>1.1899999999999977</x:v>
      </x:c>
      <x:c r="AI544" s="153" t="n">
        <x:v>3.63</x:v>
      </x:c>
      <x:c r="AJ544" s="155" t="n">
        <x:v>46150</x:v>
      </x:c>
      <x:c r="AK544" s="159" t="n">
        <x:v>94254</x:v>
      </x:c>
      <x:c r="AL544" s="154" t="n">
        <x:v>0.2561723361925573</x:v>
      </x:c>
      <x:c r="AM544" s="159" t="n">
        <x:v>-19112</x:v>
      </x:c>
      <x:c r="AN544" s="155" t="n">
        <x:v>46150</x:v>
      </x:c>
      <x:c r="AO544" s="159" t="n">
        <x:v>10843</x:v>
      </x:c>
      <x:c r="AP544" s="154" t="n">
        <x:v>0.11186192382288615</x:v>
      </x:c>
      <x:c r="AQ544" s="159" t="n">
        <x:v>-17613</x:v>
      </x:c>
      <x:c r="AR544" s="147" t="str">
        <x:v>美国市场指标与CFTC数据均使用严格早于上金所交易日的最后已发布值</x:v>
      </x:c>
    </x:row>
    <x:row r="545">
      <x:c r="A545" s="155" t="n">
        <x:v>46155</x:v>
      </x:c>
      <x:c r="B545" s="153" t="n">
        <x:v>1030</x:v>
      </x:c>
      <x:c r="C545" s="153" t="n">
        <x:v>1032.9</x:v>
      </x:c>
      <x:c r="D545" s="153" t="n">
        <x:v>1018</x:v>
      </x:c>
      <x:c r="E545" s="153" t="n">
        <x:v>1029.99</x:v>
      </x:c>
      <x:c r="F545" s="154" t="n">
        <x:f>IFERROR(E545/E544-1,"")</x:f>
        <x:v>0.0014389748276633085</x:v>
      </x:c>
      <x:c r="G545" s="154" t="n">
        <x:f>IFERROR((C545-D545)/E544,"")</x:f>
        <x:v>0.014486976305529446</x:v>
      </x:c>
      <x:c r="H545" s="153" t="n">
        <x:v>1029.16</x:v>
      </x:c>
      <x:c r="I545" s="158" t="n">
        <x:v>5177.62</x:v>
      </x:c>
      <x:c r="J545" s="158" t="n">
        <x:v>5328608926.2</x:v>
      </x:c>
      <x:c r="K545" s="158"/>
      <x:c r="L545" s="153" t="n">
        <x:v>20700</x:v>
      </x:c>
      <x:c r="M545" s="153" t="n">
        <x:v>23400</x:v>
      </x:c>
      <x:c r="N545" s="153" t="n">
        <x:v>20512</x:v>
      </x:c>
      <x:c r="O545" s="153" t="n">
        <x:v>21265</x:v>
      </x:c>
      <x:c r="P545" s="154" t="n">
        <x:f>IFERROR(O545/O544-1,"")</x:f>
        <x:v>0.024868668369560032</x:v>
      </x:c>
      <x:c r="Q545" s="154" t="n">
        <x:f>IFERROR((M545-N545)/O544,"")</x:f>
        <x:v>0.13918743071955275</x:v>
      </x:c>
      <x:c r="R545" s="153" t="n">
        <x:v>21618</x:v>
      </x:c>
      <x:c r="S545" s="158" t="n">
        <x:v>766094</x:v>
      </x:c>
      <x:c r="T545" s="158" t="n">
        <x:v>16561939590</x:v>
      </x:c>
      <x:c r="U545" s="158" t="n">
        <x:v>2806016</x:v>
      </x:c>
      <x:c r="V545" s="153" t="n">
        <x:f>IFERROR(E545*1000/O545,"")</x:f>
        <x:v>48.43592758053139</x:v>
      </x:c>
      <x:c r="W545" s="153" t="n">
        <x:v>4.46</x:v>
      </x:c>
      <x:c r="X545" s="155" t="n">
        <x:v>46154</x:v>
      </x:c>
      <x:c r="Y545" s="153" t="n">
        <x:v>1.99</x:v>
      </x:c>
      <x:c r="Z545" s="155" t="n">
        <x:v>46154</x:v>
      </x:c>
      <x:c r="AA545" s="153" t="n">
        <x:f>IFERROR(Y545-Y544,"")</x:f>
        <x:v>0.040000000000000036</x:v>
      </x:c>
      <x:c r="AB545" s="153" t="n">
        <x:v>2.47</x:v>
      </x:c>
      <x:c r="AC545" s="153" t="n">
        <x:v>118.5238</x:v>
      </x:c>
      <x:c r="AD545" s="155" t="n">
        <x:v>46154</x:v>
      </x:c>
      <x:c r="AE545" s="154" t="n">
        <x:f>IFERROR(AC545/AC544-1,"")</x:f>
        <x:v>0.003960825437376414</x:v>
      </x:c>
      <x:c r="AF545" s="153" t="n">
        <x:v>17.99</x:v>
      </x:c>
      <x:c r="AG545" s="155" t="n">
        <x:v>46154</x:v>
      </x:c>
      <x:c r="AH545" s="153" t="n">
        <x:f>IFERROR(AF545-AF544,"")</x:f>
        <x:v>-0.39000000000000057</x:v>
      </x:c>
      <x:c r="AI545" s="153" t="n">
        <x:v>3.63</x:v>
      </x:c>
      <x:c r="AJ545" s="155" t="n">
        <x:v>46150</x:v>
      </x:c>
      <x:c r="AK545" s="159" t="n">
        <x:v>94254</x:v>
      </x:c>
      <x:c r="AL545" s="154" t="n">
        <x:v>0.2561723361925573</x:v>
      </x:c>
      <x:c r="AM545" s="159" t="n">
        <x:v>-19112</x:v>
      </x:c>
      <x:c r="AN545" s="155" t="n">
        <x:v>46150</x:v>
      </x:c>
      <x:c r="AO545" s="159" t="n">
        <x:v>10843</x:v>
      </x:c>
      <x:c r="AP545" s="154" t="n">
        <x:v>0.11186192382288615</x:v>
      </x:c>
      <x:c r="AQ545" s="159" t="n">
        <x:v>-17613</x:v>
      </x:c>
      <x:c r="AR545" s="147" t="str">
        <x:v>美国市场指标与CFTC数据均使用严格早于上金所交易日的最后已发布值</x:v>
      </x:c>
    </x:row>
    <x:row r="546">
      <x:c r="A546" s="155" t="n">
        <x:v>46156</x:v>
      </x:c>
      <x:c r="B546" s="153" t="n">
        <x:v>1030.8</x:v>
      </x:c>
      <x:c r="C546" s="153" t="n">
        <x:v>1031.2</x:v>
      </x:c>
      <x:c r="D546" s="153" t="n">
        <x:v>1022.02</x:v>
      </x:c>
      <x:c r="E546" s="153" t="n">
        <x:v>1028.68</x:v>
      </x:c>
      <x:c r="F546" s="154" t="n">
        <x:f>IFERROR(E546/E545-1,"")</x:f>
        <x:v>-0.0012718570083204428</x:v>
      </x:c>
      <x:c r="G546" s="154" t="n">
        <x:f>IFERROR((C546-D546)/E545,"")</x:f>
        <x:v>0.00891270789036793</x:v>
      </x:c>
      <x:c r="H546" s="153" t="n">
        <x:v>1026.25</x:v>
      </x:c>
      <x:c r="I546" s="158" t="n">
        <x:v>5164.84</x:v>
      </x:c>
      <x:c r="J546" s="158" t="n">
        <x:v>5300467664.2</x:v>
      </x:c>
      <x:c r="K546" s="158"/>
      <x:c r="L546" s="153" t="n">
        <x:v>21369</x:v>
      </x:c>
      <x:c r="M546" s="153" t="n">
        <x:v>22038</x:v>
      </x:c>
      <x:c r="N546" s="153" t="n">
        <x:v>21101</x:v>
      </x:c>
      <x:c r="O546" s="153" t="n">
        <x:v>21400</x:v>
      </x:c>
      <x:c r="P546" s="154" t="n">
        <x:f>IFERROR(O546/O545-1,"")</x:f>
        <x:v>0.006348459910651361</x:v>
      </x:c>
      <x:c r="Q546" s="154" t="n">
        <x:f>IFERROR((M546-N546)/O545,"")</x:f>
        <x:v>0.044063014342816835</x:v>
      </x:c>
      <x:c r="R546" s="153" t="n">
        <x:v>21440</x:v>
      </x:c>
      <x:c r="S546" s="158" t="n">
        <x:v>564400</x:v>
      </x:c>
      <x:c r="T546" s="158" t="n">
        <x:v>12100962160</x:v>
      </x:c>
      <x:c r="U546" s="158" t="n">
        <x:v>2785600</x:v>
      </x:c>
      <x:c r="V546" s="153" t="n">
        <x:f>IFERROR(E546*1000/O546,"")</x:f>
        <x:v>48.06915887850468</x:v>
      </x:c>
      <x:c r="W546" s="153" t="n">
        <x:v>4.46</x:v>
      </x:c>
      <x:c r="X546" s="155" t="n">
        <x:v>46155</x:v>
      </x:c>
      <x:c r="Y546" s="153" t="n">
        <x:v>1.99</x:v>
      </x:c>
      <x:c r="Z546" s="155" t="n">
        <x:v>46155</x:v>
      </x:c>
      <x:c r="AA546" s="153" t="n">
        <x:f>IFERROR(Y546-Y545,"")</x:f>
        <x:v>0</x:v>
      </x:c>
      <x:c r="AB546" s="153" t="n">
        <x:v>2.47</x:v>
      </x:c>
      <x:c r="AC546" s="153" t="n">
        <x:v>118.4737</x:v>
      </x:c>
      <x:c r="AD546" s="155" t="n">
        <x:v>46155</x:v>
      </x:c>
      <x:c r="AE546" s="154" t="n">
        <x:f>IFERROR(AC546/AC545-1,"")</x:f>
        <x:v>-0.0004226999134351317</x:v>
      </x:c>
      <x:c r="AF546" s="153" t="n">
        <x:v>17.87</x:v>
      </x:c>
      <x:c r="AG546" s="155" t="n">
        <x:v>46155</x:v>
      </x:c>
      <x:c r="AH546" s="153" t="n">
        <x:f>IFERROR(AF546-AF545,"")</x:f>
        <x:v>-0.11999999999999744</x:v>
      </x:c>
      <x:c r="AI546" s="153" t="n">
        <x:v>3.63</x:v>
      </x:c>
      <x:c r="AJ546" s="155" t="n">
        <x:v>46150</x:v>
      </x:c>
      <x:c r="AK546" s="159" t="n">
        <x:v>94254</x:v>
      </x:c>
      <x:c r="AL546" s="154" t="n">
        <x:v>0.2561723361925573</x:v>
      </x:c>
      <x:c r="AM546" s="159" t="n">
        <x:v>-19112</x:v>
      </x:c>
      <x:c r="AN546" s="155" t="n">
        <x:v>46150</x:v>
      </x:c>
      <x:c r="AO546" s="159" t="n">
        <x:v>10843</x:v>
      </x:c>
      <x:c r="AP546" s="154" t="n">
        <x:v>0.11186192382288615</x:v>
      </x:c>
      <x:c r="AQ546" s="159" t="n">
        <x:v>-17613</x:v>
      </x:c>
      <x:c r="AR546" s="147" t="str">
        <x:v>美国市场指标与CFTC数据均使用严格早于上金所交易日的最后已发布值</x:v>
      </x:c>
    </x:row>
    <x:row r="547">
      <x:c r="A547" s="155" t="n">
        <x:v>46157</x:v>
      </x:c>
      <x:c r="B547" s="153" t="n">
        <x:v>1031.5</x:v>
      </x:c>
      <x:c r="C547" s="153" t="n">
        <x:v>1031.5</x:v>
      </x:c>
      <x:c r="D547" s="153" t="n">
        <x:v>1000.05</x:v>
      </x:c>
      <x:c r="E547" s="153" t="n">
        <x:v>1006.01</x:v>
      </x:c>
      <x:c r="F547" s="154" t="n">
        <x:f>IFERROR(E547/E546-1,"")</x:f>
        <x:v>-0.022037951549558676</x:v>
      </x:c>
      <x:c r="G547" s="154" t="n">
        <x:f>IFERROR((C547-D547)/E546,"")</x:f>
        <x:v>0.030573161721818294</x:v>
      </x:c>
      <x:c r="H547" s="153" t="n">
        <x:v>1007.07</x:v>
      </x:c>
      <x:c r="I547" s="158" t="n">
        <x:v>10113.34</x:v>
      </x:c>
      <x:c r="J547" s="158" t="n">
        <x:v>10184942134.6</x:v>
      </x:c>
      <x:c r="K547" s="158"/>
      <x:c r="L547" s="153" t="n">
        <x:v>21300</x:v>
      </x:c>
      <x:c r="M547" s="153" t="n">
        <x:v>21345</x:v>
      </x:c>
      <x:c r="N547" s="153" t="n">
        <x:v>19068</x:v>
      </x:c>
      <x:c r="O547" s="153" t="n">
        <x:v>19428</x:v>
      </x:c>
      <x:c r="P547" s="154" t="n">
        <x:f>IFERROR(O547/O546-1,"")</x:f>
        <x:v>-0.09214953271028037</x:v>
      </x:c>
      <x:c r="Q547" s="154" t="n">
        <x:f>IFERROR((M547-N547)/O546,"")</x:f>
        <x:v>0.1064018691588785</x:v>
      </x:c>
      <x:c r="R547" s="153" t="n">
        <x:v>19800</x:v>
      </x:c>
      <x:c r="S547" s="158" t="n">
        <x:v>475602</x:v>
      </x:c>
      <x:c r="T547" s="158" t="n">
        <x:v>9417173788</x:v>
      </x:c>
      <x:c r="U547" s="158" t="n">
        <x:v>2803072</x:v>
      </x:c>
      <x:c r="V547" s="153" t="n">
        <x:f>IFERROR(E547*1000/O547,"")</x:f>
        <x:v>51.78144945439572</x:v>
      </x:c>
      <x:c r="W547" s="153" t="n">
        <x:v>4.47</x:v>
      </x:c>
      <x:c r="X547" s="155" t="n">
        <x:v>46156</x:v>
      </x:c>
      <x:c r="Y547" s="153" t="n">
        <x:v>2</x:v>
      </x:c>
      <x:c r="Z547" s="155" t="n">
        <x:v>46156</x:v>
      </x:c>
      <x:c r="AA547" s="153" t="n">
        <x:f>IFERROR(Y547-Y546,"")</x:f>
        <x:v>0.010000000000000009</x:v>
      </x:c>
      <x:c r="AB547" s="153" t="n">
        <x:v>2.47</x:v>
      </x:c>
      <x:c r="AC547" s="153" t="n">
        <x:v>118.6696</x:v>
      </x:c>
      <x:c r="AD547" s="155" t="n">
        <x:v>46156</x:v>
      </x:c>
      <x:c r="AE547" s="154" t="n">
        <x:f>IFERROR(AC547/AC546-1,"")</x:f>
        <x:v>0.001653531543287734</x:v>
      </x:c>
      <x:c r="AF547" s="153" t="n">
        <x:v>17.26</x:v>
      </x:c>
      <x:c r="AG547" s="155" t="n">
        <x:v>46156</x:v>
      </x:c>
      <x:c r="AH547" s="153" t="n">
        <x:f>IFERROR(AF547-AF546,"")</x:f>
        <x:v>-0.6099999999999994</x:v>
      </x:c>
      <x:c r="AI547" s="153" t="n">
        <x:v>3.63</x:v>
      </x:c>
      <x:c r="AJ547" s="155" t="n">
        <x:v>46150</x:v>
      </x:c>
      <x:c r="AK547" s="159" t="n">
        <x:v>94254</x:v>
      </x:c>
      <x:c r="AL547" s="154" t="n">
        <x:v>0.2561723361925573</x:v>
      </x:c>
      <x:c r="AM547" s="159" t="n">
        <x:v>-19112</x:v>
      </x:c>
      <x:c r="AN547" s="155" t="n">
        <x:v>46150</x:v>
      </x:c>
      <x:c r="AO547" s="159" t="n">
        <x:v>10843</x:v>
      </x:c>
      <x:c r="AP547" s="154" t="n">
        <x:v>0.11186192382288615</x:v>
      </x:c>
      <x:c r="AQ547" s="159" t="n">
        <x:v>-17613</x:v>
      </x:c>
      <x:c r="AR547" s="147" t="str">
        <x:v>美国市场指标与CFTC数据均使用严格早于上金所交易日的最后已发布值</x:v>
      </x:c>
    </x:row>
    <x:row r="548">
      <x:c r="A548" s="155" t="n">
        <x:v>46160</x:v>
      </x:c>
      <x:c r="B548" s="153" t="n">
        <x:v>1000.01</x:v>
      </x:c>
      <x:c r="C548" s="153" t="n">
        <x:v>1005</x:v>
      </x:c>
      <x:c r="D548" s="153" t="n">
        <x:v>980.02</x:v>
      </x:c>
      <x:c r="E548" s="153" t="n">
        <x:v>999.69</x:v>
      </x:c>
      <x:c r="F548" s="154" t="n">
        <x:f>IFERROR(E548/E547-1,"")</x:f>
        <x:v>-0.006282243715271196</x:v>
      </x:c>
      <x:c r="G548" s="154" t="n">
        <x:f>IFERROR((C548-D548)/E547,"")</x:f>
        <x:v>0.024830767089790377</x:v>
      </x:c>
      <x:c r="H548" s="153" t="n">
        <x:v>995.98</x:v>
      </x:c>
      <x:c r="I548" s="158" t="n">
        <x:v>9312.22</x:v>
      </x:c>
      <x:c r="J548" s="158" t="n">
        <x:v>9274838296.8</x:v>
      </x:c>
      <x:c r="K548" s="158"/>
      <x:c r="L548" s="153" t="n">
        <x:v>19250</x:v>
      </x:c>
      <x:c r="M548" s="153" t="n">
        <x:v>19309</x:v>
      </x:c>
      <x:c r="N548" s="153" t="n">
        <x:v>18109</x:v>
      </x:c>
      <x:c r="O548" s="153" t="n">
        <x:v>18601</x:v>
      </x:c>
      <x:c r="P548" s="154" t="n">
        <x:f>IFERROR(O548/O547-1,"")</x:f>
        <x:v>-0.04256742845377803</x:v>
      </x:c>
      <x:c r="Q548" s="154" t="n">
        <x:f>IFERROR((M548-N548)/O547,"")</x:f>
        <x:v>0.06176652254478073</x:v>
      </x:c>
      <x:c r="R548" s="153" t="n">
        <x:v>18410</x:v>
      </x:c>
      <x:c r="S548" s="158" t="n">
        <x:v>646982</x:v>
      </x:c>
      <x:c r="T548" s="158" t="n">
        <x:v>11910950042</x:v>
      </x:c>
      <x:c r="U548" s="158" t="n">
        <x:v>2746712</x:v>
      </x:c>
      <x:c r="V548" s="153" t="n">
        <x:f>IFERROR(E548*1000/O548,"")</x:f>
        <x:v>53.74388473737971</x:v>
      </x:c>
      <x:c r="W548" s="153" t="n">
        <x:v>4.59</x:v>
      </x:c>
      <x:c r="X548" s="155" t="n">
        <x:v>46157</x:v>
      </x:c>
      <x:c r="Y548" s="153" t="n">
        <x:v>2.1</x:v>
      </x:c>
      <x:c r="Z548" s="155" t="n">
        <x:v>46157</x:v>
      </x:c>
      <x:c r="AA548" s="153" t="n">
        <x:f>IFERROR(Y548-Y547,"")</x:f>
        <x:v>0.10000000000000009</x:v>
      </x:c>
      <x:c r="AB548" s="153" t="n">
        <x:v>2.49</x:v>
      </x:c>
      <x:c r="AC548" s="153" t="n">
        <x:v>119.2825</x:v>
      </x:c>
      <x:c r="AD548" s="155" t="n">
        <x:v>46157</x:v>
      </x:c>
      <x:c r="AE548" s="154" t="n">
        <x:f>IFERROR(AC548/AC547-1,"")</x:f>
        <x:v>0.005164759972225319</x:v>
      </x:c>
      <x:c r="AF548" s="153" t="n">
        <x:v>18.43</x:v>
      </x:c>
      <x:c r="AG548" s="155" t="n">
        <x:v>46157</x:v>
      </x:c>
      <x:c r="AH548" s="153" t="n">
        <x:f>IFERROR(AF548-AF547,"")</x:f>
        <x:v>1.1699999999999982</x:v>
      </x:c>
      <x:c r="AI548" s="153" t="n">
        <x:v>3.63</x:v>
      </x:c>
      <x:c r="AJ548" s="155" t="n">
        <x:v>46157</x:v>
      </x:c>
      <x:c r="AK548" s="159" t="n">
        <x:v>98015</x:v>
      </x:c>
      <x:c r="AL548" s="154" t="n">
        <x:v>0.2603347711529472</x:v>
      </x:c>
      <x:c r="AM548" s="159" t="n">
        <x:v>-20202</x:v>
      </x:c>
      <x:c r="AN548" s="155" t="n">
        <x:v>46157</x:v>
      </x:c>
      <x:c r="AO548" s="159" t="n">
        <x:v>15761</x:v>
      </x:c>
      <x:c r="AP548" s="154" t="n">
        <x:v>0.15184007707129094</x:v>
      </x:c>
      <x:c r="AQ548" s="159" t="n">
        <x:v>-19632</x:v>
      </x:c>
      <x:c r="AR548" s="147" t="str">
        <x:v>美国市场指标与CFTC数据均使用严格早于上金所交易日的最后已发布值</x:v>
      </x:c>
    </x:row>
    <x:row r="549">
      <x:c r="A549" s="155" t="n">
        <x:v>46161</x:v>
      </x:c>
      <x:c r="B549" s="153" t="n">
        <x:v>999.69</x:v>
      </x:c>
      <x:c r="C549" s="153" t="n">
        <x:v>1008.8</x:v>
      </x:c>
      <x:c r="D549" s="153" t="n">
        <x:v>995</x:v>
      </x:c>
      <x:c r="E549" s="153" t="n">
        <x:v>998</x:v>
      </x:c>
      <x:c r="F549" s="154" t="n">
        <x:f>IFERROR(E549/E548-1,"")</x:f>
        <x:v>-0.0016905240624593976</x:v>
      </x:c>
      <x:c r="G549" s="154" t="n">
        <x:f>IFERROR((C549-D549)/E548,"")</x:f>
        <x:v>0.013804279326591198</x:v>
      </x:c>
      <x:c r="H549" s="153" t="n">
        <x:v>998.67</x:v>
      </x:c>
      <x:c r="I549" s="158" t="n">
        <x:v>5228.36</x:v>
      </x:c>
      <x:c r="J549" s="158" t="n">
        <x:v>5221454578.6</x:v>
      </x:c>
      <x:c r="K549" s="158"/>
      <x:c r="L549" s="153" t="n">
        <x:v>18687</x:v>
      </x:c>
      <x:c r="M549" s="153" t="n">
        <x:v>19122</x:v>
      </x:c>
      <x:c r="N549" s="153" t="n">
        <x:v>18451</x:v>
      </x:c>
      <x:c r="O549" s="153" t="n">
        <x:v>18542</x:v>
      </x:c>
      <x:c r="P549" s="154" t="n">
        <x:f>IFERROR(O549/O548-1,"")</x:f>
        <x:v>-0.0031718724799741915</x:v>
      </x:c>
      <x:c r="Q549" s="154" t="n">
        <x:f>IFERROR((M549-N549)/O548,"")</x:f>
        <x:v>0.036073329390892965</x:v>
      </x:c>
      <x:c r="R549" s="153" t="n">
        <x:v>18728</x:v>
      </x:c>
      <x:c r="S549" s="158" t="n">
        <x:v>684448</x:v>
      </x:c>
      <x:c r="T549" s="158" t="n">
        <x:v>12818589940</x:v>
      </x:c>
      <x:c r="U549" s="158" t="n">
        <x:v>2751056</x:v>
      </x:c>
      <x:c r="V549" s="153" t="n">
        <x:f>IFERROR(E549*1000/O549,"")</x:f>
        <x:v>53.8237514831194</x:v>
      </x:c>
      <x:c r="W549" s="153" t="n">
        <x:v>4.61</x:v>
      </x:c>
      <x:c r="X549" s="155" t="n">
        <x:v>46160</x:v>
      </x:c>
      <x:c r="Y549" s="153" t="n">
        <x:v>2.13</x:v>
      </x:c>
      <x:c r="Z549" s="155" t="n">
        <x:v>46160</x:v>
      </x:c>
      <x:c r="AA549" s="153" t="n">
        <x:f>IFERROR(Y549-Y548,"")</x:f>
        <x:v>0.029999999999999805</x:v>
      </x:c>
      <x:c r="AB549" s="153" t="n">
        <x:v>2.48</x:v>
      </x:c>
      <x:c r="AC549" s="153" t="n">
        <x:v>119.0574</x:v>
      </x:c>
      <x:c r="AD549" s="155" t="n">
        <x:v>46160</x:v>
      </x:c>
      <x:c r="AE549" s="154" t="n">
        <x:f>IFERROR(AC549/AC548-1,"")</x:f>
        <x:v>-0.0018871167187139992</x:v>
      </x:c>
      <x:c r="AF549" s="153" t="n">
        <x:v>17.82</x:v>
      </x:c>
      <x:c r="AG549" s="155" t="n">
        <x:v>46160</x:v>
      </x:c>
      <x:c r="AH549" s="153" t="n">
        <x:f>IFERROR(AF549-AF548,"")</x:f>
        <x:v>-0.6099999999999994</x:v>
      </x:c>
      <x:c r="AI549" s="153" t="n">
        <x:v>3.63</x:v>
      </x:c>
      <x:c r="AJ549" s="155" t="n">
        <x:v>46157</x:v>
      </x:c>
      <x:c r="AK549" s="159" t="n">
        <x:v>98015</x:v>
      </x:c>
      <x:c r="AL549" s="154" t="n">
        <x:v>0.2603347711529472</x:v>
      </x:c>
      <x:c r="AM549" s="159" t="n">
        <x:v>-20202</x:v>
      </x:c>
      <x:c r="AN549" s="155" t="n">
        <x:v>46157</x:v>
      </x:c>
      <x:c r="AO549" s="159" t="n">
        <x:v>15761</x:v>
      </x:c>
      <x:c r="AP549" s="154" t="n">
        <x:v>0.15184007707129094</x:v>
      </x:c>
      <x:c r="AQ549" s="159" t="n">
        <x:v>-19632</x:v>
      </x:c>
      <x:c r="AR549" s="147" t="str">
        <x:v>美国市场指标与CFTC数据均使用严格早于上金所交易日的最后已发布值</x:v>
      </x:c>
    </x:row>
    <x:row r="550">
      <x:c r="A550" s="155" t="n">
        <x:v>46162</x:v>
      </x:c>
      <x:c r="B550" s="153" t="n">
        <x:v>999.7</x:v>
      </x:c>
      <x:c r="C550" s="153" t="n">
        <x:v>1000.5</x:v>
      </x:c>
      <x:c r="D550" s="153" t="n">
        <x:v>979.01</x:v>
      </x:c>
      <x:c r="E550" s="153" t="n">
        <x:v>984.98</x:v>
      </x:c>
      <x:c r="F550" s="154" t="n">
        <x:f>IFERROR(E550/E549-1,"")</x:f>
        <x:v>-0.013046092184368696</x:v>
      </x:c>
      <x:c r="G550" s="154" t="n">
        <x:f>IFERROR((C550-D550)/E549,"")</x:f>
        <x:v>0.02153306613226454</x:v>
      </x:c>
      <x:c r="H550" s="153" t="n">
        <x:v>983.34</x:v>
      </x:c>
      <x:c r="I550" s="158" t="n">
        <x:v>8507.76</x:v>
      </x:c>
      <x:c r="J550" s="158" t="n">
        <x:v>8366038795</x:v>
      </x:c>
      <x:c r="K550" s="158"/>
      <x:c r="L550" s="153" t="n">
        <x:v>18510</x:v>
      </x:c>
      <x:c r="M550" s="153" t="n">
        <x:v>18645</x:v>
      </x:c>
      <x:c r="N550" s="153" t="n">
        <x:v>17821</x:v>
      </x:c>
      <x:c r="O550" s="153" t="n">
        <x:v>18380</x:v>
      </x:c>
      <x:c r="P550" s="154" t="n">
        <x:f>IFERROR(O550/O549-1,"")</x:f>
        <x:v>-0.0087369215834322</x:v>
      </x:c>
      <x:c r="Q550" s="154" t="n">
        <x:f>IFERROR((M550-N550)/O549,"")</x:f>
        <x:v>0.04443965052313666</x:v>
      </x:c>
      <x:c r="R550" s="153" t="n">
        <x:v>18107</x:v>
      </x:c>
      <x:c r="S550" s="158" t="n">
        <x:v>604242</x:v>
      </x:c>
      <x:c r="T550" s="158" t="n">
        <x:v>10941520694</x:v>
      </x:c>
      <x:c r="U550" s="158" t="n">
        <x:v>2792806</x:v>
      </x:c>
      <x:c r="V550" s="153" t="n">
        <x:f>IFERROR(E550*1000/O550,"")</x:f>
        <x:v>53.58977149075081</x:v>
      </x:c>
      <x:c r="W550" s="153" t="n">
        <x:v>4.67</x:v>
      </x:c>
      <x:c r="X550" s="155" t="n">
        <x:v>46161</x:v>
      </x:c>
      <x:c r="Y550" s="153" t="n">
        <x:v>2.18</x:v>
      </x:c>
      <x:c r="Z550" s="155" t="n">
        <x:v>46161</x:v>
      </x:c>
      <x:c r="AA550" s="153" t="n">
        <x:f>IFERROR(Y550-Y549,"")</x:f>
        <x:v>0.050000000000000266</x:v>
      </x:c>
      <x:c r="AB550" s="153" t="n">
        <x:v>2.49</x:v>
      </x:c>
      <x:c r="AC550" s="153" t="n">
        <x:v>119.451</x:v>
      </x:c>
      <x:c r="AD550" s="155" t="n">
        <x:v>46161</x:v>
      </x:c>
      <x:c r="AE550" s="154" t="n">
        <x:f>IFERROR(AC550/AC549-1,"")</x:f>
        <x:v>0.0033059683816376584</x:v>
      </x:c>
      <x:c r="AF550" s="153" t="n">
        <x:v>18.06</x:v>
      </x:c>
      <x:c r="AG550" s="155" t="n">
        <x:v>46161</x:v>
      </x:c>
      <x:c r="AH550" s="153" t="n">
        <x:f>IFERROR(AF550-AF549,"")</x:f>
        <x:v>0.23999999999999844</x:v>
      </x:c>
      <x:c r="AI550" s="153" t="n">
        <x:v>3.62</x:v>
      </x:c>
      <x:c r="AJ550" s="155" t="n">
        <x:v>46157</x:v>
      </x:c>
      <x:c r="AK550" s="159" t="n">
        <x:v>98015</x:v>
      </x:c>
      <x:c r="AL550" s="154" t="n">
        <x:v>0.2603347711529472</x:v>
      </x:c>
      <x:c r="AM550" s="159" t="n">
        <x:v>-20202</x:v>
      </x:c>
      <x:c r="AN550" s="155" t="n">
        <x:v>46157</x:v>
      </x:c>
      <x:c r="AO550" s="159" t="n">
        <x:v>15761</x:v>
      </x:c>
      <x:c r="AP550" s="154" t="n">
        <x:v>0.15184007707129094</x:v>
      </x:c>
      <x:c r="AQ550" s="159" t="n">
        <x:v>-19632</x:v>
      </x:c>
      <x:c r="AR550" s="147" t="str">
        <x:v>美国市场指标与CFTC数据均使用严格早于上金所交易日的最后已发布值</x:v>
      </x:c>
    </x:row>
    <x:row r="551">
      <x:c r="A551" s="155" t="n">
        <x:v>46163</x:v>
      </x:c>
      <x:c r="B551" s="153" t="n">
        <x:v>998.8</x:v>
      </x:c>
      <x:c r="C551" s="153" t="n">
        <x:v>1002</x:v>
      </x:c>
      <x:c r="D551" s="153" t="n">
        <x:v>984</x:v>
      </x:c>
      <x:c r="E551" s="153" t="n">
        <x:v>991.4</x:v>
      </x:c>
      <x:c r="F551" s="154" t="n">
        <x:f>IFERROR(E551/E550-1,"")</x:f>
        <x:v>0.006517898840585623</x:v>
      </x:c>
      <x:c r="G551" s="154" t="n">
        <x:f>IFERROR((C551-D551)/E550,"")</x:f>
        <x:v>0.018274482730613818</x:v>
      </x:c>
      <x:c r="H551" s="153" t="n">
        <x:v>995.34</x:v>
      </x:c>
      <x:c r="I551" s="158" t="n">
        <x:v>4972</x:v>
      </x:c>
      <x:c r="J551" s="158" t="n">
        <x:v>4948871565.2</x:v>
      </x:c>
      <x:c r="K551" s="158"/>
      <x:c r="L551" s="153" t="n">
        <x:v>18510</x:v>
      </x:c>
      <x:c r="M551" s="153" t="n">
        <x:v>18820</x:v>
      </x:c>
      <x:c r="N551" s="153" t="n">
        <x:v>18170</x:v>
      </x:c>
      <x:c r="O551" s="153" t="n">
        <x:v>18321</x:v>
      </x:c>
      <x:c r="P551" s="154" t="n">
        <x:f>IFERROR(O551/O550-1,"")</x:f>
        <x:v>-0.003210010881392833</x:v>
      </x:c>
      <x:c r="Q551" s="154" t="n">
        <x:f>IFERROR((M551-N551)/O550,"")</x:f>
        <x:v>0.03536452665941241</x:v>
      </x:c>
      <x:c r="R551" s="153" t="n">
        <x:v>18484</x:v>
      </x:c>
      <x:c r="S551" s="158" t="n">
        <x:v>338186</x:v>
      </x:c>
      <x:c r="T551" s="158" t="n">
        <x:v>6251249928</x:v>
      </x:c>
      <x:c r="U551" s="158" t="n">
        <x:v>2784846</x:v>
      </x:c>
      <x:c r="V551" s="153" t="n">
        <x:f>IFERROR(E551*1000/O551,"")</x:f>
        <x:v>54.112766770372794</x:v>
      </x:c>
      <x:c r="W551" s="153" t="n">
        <x:v>4.57</x:v>
      </x:c>
      <x:c r="X551" s="155" t="n">
        <x:v>46162</x:v>
      </x:c>
      <x:c r="Y551" s="153" t="n">
        <x:v>2.13</x:v>
      </x:c>
      <x:c r="Z551" s="155" t="n">
        <x:v>46162</x:v>
      </x:c>
      <x:c r="AA551" s="153" t="n">
        <x:f>IFERROR(Y551-Y550,"")</x:f>
        <x:v>-0.050000000000000266</x:v>
      </x:c>
      <x:c r="AB551" s="153" t="n">
        <x:v>2.44</x:v>
      </x:c>
      <x:c r="AC551" s="153" t="n">
        <x:v>119.1624</x:v>
      </x:c>
      <x:c r="AD551" s="155" t="n">
        <x:v>46162</x:v>
      </x:c>
      <x:c r="AE551" s="154" t="n">
        <x:f>IFERROR(AC551/AC550-1,"")</x:f>
        <x:v>-0.00241605344450857</x:v>
      </x:c>
      <x:c r="AF551" s="153" t="n">
        <x:v>17.44</x:v>
      </x:c>
      <x:c r="AG551" s="155" t="n">
        <x:v>46162</x:v>
      </x:c>
      <x:c r="AH551" s="153" t="n">
        <x:f>IFERROR(AF551-AF550,"")</x:f>
        <x:v>-0.6199999999999974</x:v>
      </x:c>
      <x:c r="AI551" s="153" t="n">
        <x:v>3.62</x:v>
      </x:c>
      <x:c r="AJ551" s="155" t="n">
        <x:v>46157</x:v>
      </x:c>
      <x:c r="AK551" s="159" t="n">
        <x:v>98015</x:v>
      </x:c>
      <x:c r="AL551" s="154" t="n">
        <x:v>0.2603347711529472</x:v>
      </x:c>
      <x:c r="AM551" s="159" t="n">
        <x:v>-20202</x:v>
      </x:c>
      <x:c r="AN551" s="155" t="n">
        <x:v>46157</x:v>
      </x:c>
      <x:c r="AO551" s="159" t="n">
        <x:v>15761</x:v>
      </x:c>
      <x:c r="AP551" s="154" t="n">
        <x:v>0.15184007707129094</x:v>
      </x:c>
      <x:c r="AQ551" s="159" t="n">
        <x:v>-19632</x:v>
      </x:c>
      <x:c r="AR551" s="147" t="str">
        <x:v>美国市场指标与CFTC数据均使用严格早于上金所交易日的最后已发布值</x:v>
      </x:c>
    </x:row>
    <x:row r="552">
      <x:c r="A552" s="155" t="n">
        <x:v>46164</x:v>
      </x:c>
      <x:c r="B552" s="153" t="n">
        <x:v>992</x:v>
      </x:c>
      <x:c r="C552" s="153" t="n">
        <x:v>995.95</x:v>
      </x:c>
      <x:c r="D552" s="153" t="n">
        <x:v>986</x:v>
      </x:c>
      <x:c r="E552" s="153" t="n">
        <x:v>992.1</x:v>
      </x:c>
      <x:c r="F552" s="154" t="n">
        <x:f>IFERROR(E552/E551-1,"")</x:f>
        <x:v>0.000706072221101417</x:v>
      </x:c>
      <x:c r="G552" s="154" t="n">
        <x:f>IFERROR((C552-D552)/E551,"")</x:f>
        <x:v>0.010036312285656693</x:v>
      </x:c>
      <x:c r="H552" s="153" t="n">
        <x:v>992.29</x:v>
      </x:c>
      <x:c r="I552" s="158" t="n">
        <x:v>4531.34</x:v>
      </x:c>
      <x:c r="J552" s="158" t="n">
        <x:v>4496405153.4</x:v>
      </x:c>
      <x:c r="K552" s="158"/>
      <x:c r="L552" s="153" t="n">
        <x:v>18366</x:v>
      </x:c>
      <x:c r="M552" s="153" t="n">
        <x:v>18850</x:v>
      </x:c>
      <x:c r="N552" s="153" t="n">
        <x:v>18119</x:v>
      </x:c>
      <x:c r="O552" s="153" t="n">
        <x:v>18623</x:v>
      </x:c>
      <x:c r="P552" s="154" t="n">
        <x:f>IFERROR(O552/O551-1,"")</x:f>
        <x:v>0.016483816385568506</x:v>
      </x:c>
      <x:c r="Q552" s="154" t="n">
        <x:f>IFERROR((M552-N552)/O551,"")</x:f>
        <x:v>0.03989956880082965</x:v>
      </x:c>
      <x:c r="R552" s="153" t="n">
        <x:v>18624</x:v>
      </x:c>
      <x:c r="S552" s="158" t="n">
        <x:v>421934</x:v>
      </x:c>
      <x:c r="T552" s="158" t="n">
        <x:v>7858420248</x:v>
      </x:c>
      <x:c r="U552" s="158" t="n">
        <x:v>2753274</x:v>
      </x:c>
      <x:c r="V552" s="153" t="n">
        <x:f>IFERROR(E552*1000/O552,"")</x:f>
        <x:v>53.27283466680986</x:v>
      </x:c>
      <x:c r="W552" s="153" t="n">
        <x:v>4.57</x:v>
      </x:c>
      <x:c r="X552" s="155" t="n">
        <x:v>46163</x:v>
      </x:c>
      <x:c r="Y552" s="153" t="n">
        <x:v>2.18</x:v>
      </x:c>
      <x:c r="Z552" s="155" t="n">
        <x:v>46163</x:v>
      </x:c>
      <x:c r="AA552" s="153" t="n">
        <x:f>IFERROR(Y552-Y551,"")</x:f>
        <x:v>0.050000000000000266</x:v>
      </x:c>
      <x:c r="AB552" s="153" t="n">
        <x:v>2.39</x:v>
      </x:c>
      <x:c r="AC552" s="153" t="n">
        <x:v>119.369</x:v>
      </x:c>
      <x:c r="AD552" s="155" t="n">
        <x:v>46163</x:v>
      </x:c>
      <x:c r="AE552" s="154" t="n">
        <x:f>IFERROR(AC552/AC551-1,"")</x:f>
        <x:v>0.0017337683698883666</x:v>
      </x:c>
      <x:c r="AF552" s="153" t="n">
        <x:v>16.76</x:v>
      </x:c>
      <x:c r="AG552" s="155" t="n">
        <x:v>46163</x:v>
      </x:c>
      <x:c r="AH552" s="153" t="n">
        <x:f>IFERROR(AF552-AF551,"")</x:f>
        <x:v>-0.6799999999999997</x:v>
      </x:c>
      <x:c r="AI552" s="153" t="n">
        <x:v>3.62</x:v>
      </x:c>
      <x:c r="AJ552" s="155" t="n">
        <x:v>46157</x:v>
      </x:c>
      <x:c r="AK552" s="159" t="n">
        <x:v>98015</x:v>
      </x:c>
      <x:c r="AL552" s="154" t="n">
        <x:v>0.2603347711529472</x:v>
      </x:c>
      <x:c r="AM552" s="159" t="n">
        <x:v>-20202</x:v>
      </x:c>
      <x:c r="AN552" s="155" t="n">
        <x:v>46157</x:v>
      </x:c>
      <x:c r="AO552" s="159" t="n">
        <x:v>15761</x:v>
      </x:c>
      <x:c r="AP552" s="154" t="n">
        <x:v>0.15184007707129094</x:v>
      </x:c>
      <x:c r="AQ552" s="159" t="n">
        <x:v>-19632</x:v>
      </x:c>
      <x:c r="AR552" s="147" t="str">
        <x:v>美国市场指标与CFTC数据均使用严格早于上金所交易日的最后已发布值</x:v>
      </x:c>
    </x:row>
    <x:row r="553">
      <x:c r="A553" s="155" t="n">
        <x:v>46167</x:v>
      </x:c>
      <x:c r="B553" s="153" t="n">
        <x:v>998</x:v>
      </x:c>
      <x:c r="C553" s="153" t="n">
        <x:v>1001.99</x:v>
      </x:c>
      <x:c r="D553" s="153" t="n">
        <x:v>985.6</x:v>
      </x:c>
      <x:c r="E553" s="153" t="n">
        <x:v>997</x:v>
      </x:c>
      <x:c r="F553" s="154" t="n">
        <x:f>IFERROR(E553/E552-1,"")</x:f>
        <x:v>0.004939018244128679</x:v>
      </x:c>
      <x:c r="G553" s="154" t="n">
        <x:f>IFERROR((C553-D553)/E552,"")</x:f>
        <x:v>0.016520512045156723</x:v>
      </x:c>
      <x:c r="H553" s="153" t="n">
        <x:v>997.58</x:v>
      </x:c>
      <x:c r="I553" s="158" t="n">
        <x:v>5625.5</x:v>
      </x:c>
      <x:c r="J553" s="158" t="n">
        <x:v>5611928448</x:v>
      </x:c>
      <x:c r="K553" s="158"/>
      <x:c r="L553" s="153" t="n">
        <x:v>18555</x:v>
      </x:c>
      <x:c r="M553" s="153" t="n">
        <x:v>19240</x:v>
      </x:c>
      <x:c r="N553" s="153" t="n">
        <x:v>18342</x:v>
      </x:c>
      <x:c r="O553" s="153" t="n">
        <x:v>18929</x:v>
      </x:c>
      <x:c r="P553" s="154" t="n">
        <x:f>IFERROR(O553/O552-1,"")</x:f>
        <x:v>0.016431294635665505</x:v>
      </x:c>
      <x:c r="Q553" s="154" t="n">
        <x:f>IFERROR((M553-N553)/O552,"")</x:f>
        <x:v>0.04821994308113623</x:v>
      </x:c>
      <x:c r="R553" s="153" t="n">
        <x:v>18880</x:v>
      </x:c>
      <x:c r="S553" s="158" t="n">
        <x:v>377500</x:v>
      </x:c>
      <x:c r="T553" s="158" t="n">
        <x:v>7127535186</x:v>
      </x:c>
      <x:c r="U553" s="158" t="n">
        <x:v>2814330</x:v>
      </x:c>
      <x:c r="V553" s="153" t="n">
        <x:f>IFERROR(E553*1000/O553,"")</x:f>
        <x:v>52.67050557345871</x:v>
      </x:c>
      <x:c r="W553" s="153" t="n">
        <x:v>4.56</x:v>
      </x:c>
      <x:c r="X553" s="155" t="n">
        <x:v>46164</x:v>
      </x:c>
      <x:c r="Y553" s="153" t="n">
        <x:v>2.16</x:v>
      </x:c>
      <x:c r="Z553" s="155" t="n">
        <x:v>46164</x:v>
      </x:c>
      <x:c r="AA553" s="153" t="n">
        <x:f>IFERROR(Y553-Y552,"")</x:f>
        <x:v>-0.020000000000000018</x:v>
      </x:c>
      <x:c r="AB553" s="153" t="n">
        <x:v>2.4</x:v>
      </x:c>
      <x:c r="AC553" s="153" t="n">
        <x:v>119.2868</x:v>
      </x:c>
      <x:c r="AD553" s="155" t="n">
        <x:v>46164</x:v>
      </x:c>
      <x:c r="AE553" s="154" t="n">
        <x:f>IFERROR(AC553/AC552-1,"")</x:f>
        <x:v>-0.0006886209987517766</x:v>
      </x:c>
      <x:c r="AF553" s="153" t="n">
        <x:v>16.7</x:v>
      </x:c>
      <x:c r="AG553" s="155" t="n">
        <x:v>46164</x:v>
      </x:c>
      <x:c r="AH553" s="153" t="n">
        <x:f>IFERROR(AF553-AF552,"")</x:f>
        <x:v>-0.060000000000002274</x:v>
      </x:c>
      <x:c r="AI553" s="153" t="n">
        <x:v>3.62</x:v>
      </x:c>
      <x:c r="AJ553" s="155" t="n">
        <x:v>46164</x:v>
      </x:c>
      <x:c r="AK553" s="159" t="n">
        <x:v>93540</x:v>
      </x:c>
      <x:c r="AL553" s="154" t="n">
        <x:v>0.24659592697554866</x:v>
      </x:c>
      <x:c r="AM553" s="159" t="n">
        <x:v>-17914</x:v>
      </x:c>
      <x:c r="AN553" s="155" t="n">
        <x:v>46164</x:v>
      </x:c>
      <x:c r="AO553" s="159" t="n">
        <x:v>11564</x:v>
      </x:c>
      <x:c r="AP553" s="154" t="n">
        <x:v>0.11477801709164177</x:v>
      </x:c>
      <x:c r="AQ553" s="159" t="n">
        <x:v>-19293</x:v>
      </x:c>
      <x:c r="AR553" s="147" t="str">
        <x:v>美国市场指标与CFTC数据均使用严格早于上金所交易日的最后已发布值</x:v>
      </x:c>
    </x:row>
    <x:row r="554">
      <x:c r="A554" s="155" t="n">
        <x:v>46168</x:v>
      </x:c>
      <x:c r="B554" s="153" t="n">
        <x:v>999</x:v>
      </x:c>
      <x:c r="C554" s="153" t="n">
        <x:v>1000.5</x:v>
      </x:c>
      <x:c r="D554" s="153" t="n">
        <x:v>990.17</x:v>
      </x:c>
      <x:c r="E554" s="153" t="n">
        <x:v>991.97</x:v>
      </x:c>
      <x:c r="F554" s="154" t="n">
        <x:f>IFERROR(E554/E553-1,"")</x:f>
        <x:v>-0.005045135406218648</x:v>
      </x:c>
      <x:c r="G554" s="154" t="n">
        <x:f>IFERROR((C554-D554)/E553,"")</x:f>
        <x:v>0.010361083249749289</x:v>
      </x:c>
      <x:c r="H554" s="153" t="n">
        <x:v>992.6</x:v>
      </x:c>
      <x:c r="I554" s="158" t="n">
        <x:v>5563.22</x:v>
      </x:c>
      <x:c r="J554" s="158" t="n">
        <x:v>5522070723.2</x:v>
      </x:c>
      <x:c r="K554" s="158"/>
      <x:c r="L554" s="153" t="n">
        <x:v>19024</x:v>
      </x:c>
      <x:c r="M554" s="153" t="n">
        <x:v>19160</x:v>
      </x:c>
      <x:c r="N554" s="153" t="n">
        <x:v>18443</x:v>
      </x:c>
      <x:c r="O554" s="153" t="n">
        <x:v>18600</x:v>
      </x:c>
      <x:c r="P554" s="154" t="n">
        <x:f>IFERROR(O554/O553-1,"")</x:f>
        <x:v>-0.017380738549315877</x:v>
      </x:c>
      <x:c r="Q554" s="154" t="n">
        <x:f>IFERROR((M554-N554)/O553,"")</x:f>
        <x:v>0.03787838765914734</x:v>
      </x:c>
      <x:c r="R554" s="153" t="n">
        <x:v>18666</x:v>
      </x:c>
      <x:c r="S554" s="158" t="n">
        <x:v>356582</x:v>
      </x:c>
      <x:c r="T554" s="158" t="n">
        <x:v>6656314216</x:v>
      </x:c>
      <x:c r="U554" s="158" t="n">
        <x:v>2840124</x:v>
      </x:c>
      <x:c r="V554" s="153" t="n">
        <x:f>IFERROR(E554*1000/O554,"")</x:f>
        <x:v>53.331720430107524</x:v>
      </x:c>
      <x:c r="W554" s="153" t="n">
        <x:v>4.56</x:v>
      </x:c>
      <x:c r="X554" s="155" t="n">
        <x:v>46164</x:v>
      </x:c>
      <x:c r="Y554" s="153" t="n">
        <x:v>2.16</x:v>
      </x:c>
      <x:c r="Z554" s="155" t="n">
        <x:v>46164</x:v>
      </x:c>
      <x:c r="AA554" s="153" t="n">
        <x:f>IFERROR(Y554-Y553,"")</x:f>
        <x:v>0</x:v>
      </x:c>
      <x:c r="AB554" s="153" t="n">
        <x:v>2.4</x:v>
      </x:c>
      <x:c r="AC554" s="153" t="n">
        <x:v>119.2868</x:v>
      </x:c>
      <x:c r="AD554" s="155" t="n">
        <x:v>46164</x:v>
      </x:c>
      <x:c r="AE554" s="154" t="n">
        <x:f>IFERROR(AC554/AC553-1,"")</x:f>
        <x:v>0</x:v>
      </x:c>
      <x:c r="AF554" s="153" t="n">
        <x:v>16.59</x:v>
      </x:c>
      <x:c r="AG554" s="155" t="n">
        <x:v>46167</x:v>
      </x:c>
      <x:c r="AH554" s="153" t="n">
        <x:f>IFERROR(AF554-AF553,"")</x:f>
        <x:v>-0.10999999999999943</x:v>
      </x:c>
      <x:c r="AI554" s="153" t="n">
        <x:v>3.62</x:v>
      </x:c>
      <x:c r="AJ554" s="155" t="n">
        <x:v>46164</x:v>
      </x:c>
      <x:c r="AK554" s="159" t="n">
        <x:v>93540</x:v>
      </x:c>
      <x:c r="AL554" s="154" t="n">
        <x:v>0.24659592697554866</x:v>
      </x:c>
      <x:c r="AM554" s="159" t="n">
        <x:v>-17914</x:v>
      </x:c>
      <x:c r="AN554" s="155" t="n">
        <x:v>46164</x:v>
      </x:c>
      <x:c r="AO554" s="159" t="n">
        <x:v>11564</x:v>
      </x:c>
      <x:c r="AP554" s="154" t="n">
        <x:v>0.11477801709164177</x:v>
      </x:c>
      <x:c r="AQ554" s="159" t="n">
        <x:v>-19293</x:v>
      </x:c>
      <x:c r="AR554" s="147" t="str">
        <x:v>美国市场指标与CFTC数据均使用严格早于上金所交易日的最后已发布值</x:v>
      </x:c>
    </x:row>
    <x:row r="555">
      <x:c r="A555" s="155" t="n">
        <x:v>46169</x:v>
      </x:c>
      <x:c r="B555" s="153" t="n">
        <x:v>988</x:v>
      </x:c>
      <x:c r="C555" s="153" t="n">
        <x:v>993</x:v>
      </x:c>
      <x:c r="D555" s="153" t="n">
        <x:v>979.01</x:v>
      </x:c>
      <x:c r="E555" s="153" t="n">
        <x:v>982.53</x:v>
      </x:c>
      <x:c r="F555" s="154" t="n">
        <x:f>IFERROR(E555/E554-1,"")</x:f>
        <x:v>-0.009516416827121787</x:v>
      </x:c>
      <x:c r="G555" s="154" t="n">
        <x:f>IFERROR((C555-D555)/E554,"")</x:f>
        <x:v>0.014103249090194269</x:v>
      </x:c>
      <x:c r="H555" s="153" t="n">
        <x:v>983.71</x:v>
      </x:c>
      <x:c r="I555" s="158" t="n">
        <x:v>4750</x:v>
      </x:c>
      <x:c r="J555" s="158" t="n">
        <x:v>4672639545.8</x:v>
      </x:c>
      <x:c r="K555" s="158"/>
      <x:c r="L555" s="153" t="n">
        <x:v>18554</x:v>
      </x:c>
      <x:c r="M555" s="153" t="n">
        <x:v>18862</x:v>
      </x:c>
      <x:c r="N555" s="153" t="n">
        <x:v>18094</x:v>
      </x:c>
      <x:c r="O555" s="153" t="n">
        <x:v>18222</x:v>
      </x:c>
      <x:c r="P555" s="154" t="n">
        <x:f>IFERROR(O555/O554-1,"")</x:f>
        <x:v>-0.020322580645161237</x:v>
      </x:c>
      <x:c r="Q555" s="154" t="n">
        <x:f>IFERROR((M555-N555)/O554,"")</x:f>
        <x:v>0.04129032258064516</x:v>
      </x:c>
      <x:c r="R555" s="153" t="n">
        <x:v>18498</x:v>
      </x:c>
      <x:c r="S555" s="158" t="n">
        <x:v>437630</x:v>
      </x:c>
      <x:c r="T555" s="158" t="n">
        <x:v>8095703632</x:v>
      </x:c>
      <x:c r="U555" s="158" t="n">
        <x:v>2830674</x:v>
      </x:c>
      <x:c r="V555" s="153" t="n">
        <x:f>IFERROR(E555*1000/O555,"")</x:f>
        <x:v>53.91998682910767</x:v>
      </x:c>
      <x:c r="W555" s="153" t="n">
        <x:v>4.5</x:v>
      </x:c>
      <x:c r="X555" s="155" t="n">
        <x:v>46168</x:v>
      </x:c>
      <x:c r="Y555" s="153" t="n">
        <x:v>2.1</x:v>
      </x:c>
      <x:c r="Z555" s="155" t="n">
        <x:v>46168</x:v>
      </x:c>
      <x:c r="AA555" s="153" t="n">
        <x:f>IFERROR(Y555-Y554,"")</x:f>
        <x:v>-0.06000000000000005</x:v>
      </x:c>
      <x:c r="AB555" s="153" t="n">
        <x:v>2.4</x:v>
      </x:c>
      <x:c r="AC555" s="153" t="n">
        <x:v>119.1696</x:v>
      </x:c>
      <x:c r="AD555" s="155" t="n">
        <x:v>46168</x:v>
      </x:c>
      <x:c r="AE555" s="154" t="n">
        <x:f>IFERROR(AC555/AC554-1,"")</x:f>
        <x:v>-0.0009825060274900599</x:v>
      </x:c>
      <x:c r="AF555" s="153" t="n">
        <x:v>17.01</x:v>
      </x:c>
      <x:c r="AG555" s="155" t="n">
        <x:v>46168</x:v>
      </x:c>
      <x:c r="AH555" s="153" t="n">
        <x:f>IFERROR(AF555-AF554,"")</x:f>
        <x:v>0.4200000000000017</x:v>
      </x:c>
      <x:c r="AI555" s="153" t="n">
        <x:v>3.62</x:v>
      </x:c>
      <x:c r="AJ555" s="155" t="n">
        <x:v>46164</x:v>
      </x:c>
      <x:c r="AK555" s="159" t="n">
        <x:v>93540</x:v>
      </x:c>
      <x:c r="AL555" s="154" t="n">
        <x:v>0.24659592697554866</x:v>
      </x:c>
      <x:c r="AM555" s="159" t="n">
        <x:v>-17914</x:v>
      </x:c>
      <x:c r="AN555" s="155" t="n">
        <x:v>46164</x:v>
      </x:c>
      <x:c r="AO555" s="159" t="n">
        <x:v>11564</x:v>
      </x:c>
      <x:c r="AP555" s="154" t="n">
        <x:v>0.11477801709164177</x:v>
      </x:c>
      <x:c r="AQ555" s="159" t="n">
        <x:v>-19293</x:v>
      </x:c>
      <x:c r="AR555" s="147" t="str">
        <x:v>美国市场指标与CFTC数据均使用严格早于上金所交易日的最后已发布值</x:v>
      </x:c>
    </x:row>
    <x:row r="556">
      <x:c r="A556" s="155" t="n">
        <x:v>46170</x:v>
      </x:c>
      <x:c r="B556" s="153" t="n">
        <x:v>972</x:v>
      </x:c>
      <x:c r="C556" s="153" t="n">
        <x:v>980</x:v>
      </x:c>
      <x:c r="D556" s="153" t="n">
        <x:v>956.01</x:v>
      </x:c>
      <x:c r="E556" s="153" t="n">
        <x:v>961.82</x:v>
      </x:c>
      <x:c r="F556" s="154" t="n">
        <x:f>IFERROR(E556/E555-1,"")</x:f>
        <x:v>-0.021078236796840732</x:v>
      </x:c>
      <x:c r="G556" s="154" t="n">
        <x:f>IFERROR((C556-D556)/E555,"")</x:f>
        <x:v>0.024416557255249213</x:v>
      </x:c>
      <x:c r="H556" s="153" t="n">
        <x:v>960.96</x:v>
      </x:c>
      <x:c r="I556" s="158" t="n">
        <x:v>8976.48</x:v>
      </x:c>
      <x:c r="J556" s="158" t="n">
        <x:v>8626056407.4</x:v>
      </x:c>
      <x:c r="K556" s="158"/>
      <x:c r="L556" s="153" t="n">
        <x:v>17934</x:v>
      </x:c>
      <x:c r="M556" s="153" t="n">
        <x:v>18219</x:v>
      </x:c>
      <x:c r="N556" s="153" t="n">
        <x:v>17421</x:v>
      </x:c>
      <x:c r="O556" s="153" t="n">
        <x:v>17822</x:v>
      </x:c>
      <x:c r="P556" s="154" t="n">
        <x:f>IFERROR(O556/O555-1,"")</x:f>
        <x:v>-0.02195148721325868</x:v>
      </x:c>
      <x:c r="Q556" s="154" t="n">
        <x:f>IFERROR((M556-N556)/O555,"")</x:f>
        <x:v>0.043793216990451106</x:v>
      </x:c>
      <x:c r="R556" s="153" t="n">
        <x:v>17761</x:v>
      </x:c>
      <x:c r="S556" s="158" t="n">
        <x:v>438514</x:v>
      </x:c>
      <x:c r="T556" s="158" t="n">
        <x:v>7788630214</x:v>
      </x:c>
      <x:c r="U556" s="158" t="n">
        <x:v>2826488</x:v>
      </x:c>
      <x:c r="V556" s="153" t="n">
        <x:f>IFERROR(E556*1000/O556,"")</x:f>
        <x:v>53.96812927841993</x:v>
      </x:c>
      <x:c r="W556" s="153" t="n">
        <x:v>4.48</x:v>
      </x:c>
      <x:c r="X556" s="155" t="n">
        <x:v>46169</x:v>
      </x:c>
      <x:c r="Y556" s="153" t="n">
        <x:v>2.09</x:v>
      </x:c>
      <x:c r="Z556" s="155" t="n">
        <x:v>46169</x:v>
      </x:c>
      <x:c r="AA556" s="153" t="n">
        <x:f>IFERROR(Y556-Y555,"")</x:f>
        <x:v>-0.010000000000000231</x:v>
      </x:c>
      <x:c r="AB556" s="153" t="n">
        <x:v>2.39</x:v>
      </x:c>
      <x:c r="AC556" s="153" t="n">
        <x:v>119.1829</x:v>
      </x:c>
      <x:c r="AD556" s="155" t="n">
        <x:v>46169</x:v>
      </x:c>
      <x:c r="AE556" s="154" t="n">
        <x:f>IFERROR(AC556/AC555-1,"")</x:f>
        <x:v>0.00011160564439260945</x:v>
      </x:c>
      <x:c r="AF556" s="153" t="n">
        <x:v>16.29</x:v>
      </x:c>
      <x:c r="AG556" s="155" t="n">
        <x:v>46169</x:v>
      </x:c>
      <x:c r="AH556" s="153" t="n">
        <x:f>IFERROR(AF556-AF555,"")</x:f>
        <x:v>-0.7200000000000024</x:v>
      </x:c>
      <x:c r="AI556" s="153" t="n">
        <x:v>3.62</x:v>
      </x:c>
      <x:c r="AJ556" s="155" t="n">
        <x:v>46164</x:v>
      </x:c>
      <x:c r="AK556" s="159" t="n">
        <x:v>93540</x:v>
      </x:c>
      <x:c r="AL556" s="154" t="n">
        <x:v>0.24659592697554866</x:v>
      </x:c>
      <x:c r="AM556" s="159" t="n">
        <x:v>-17914</x:v>
      </x:c>
      <x:c r="AN556" s="155" t="n">
        <x:v>46164</x:v>
      </x:c>
      <x:c r="AO556" s="159" t="n">
        <x:v>11564</x:v>
      </x:c>
      <x:c r="AP556" s="154" t="n">
        <x:v>0.11477801709164177</x:v>
      </x:c>
      <x:c r="AQ556" s="159" t="n">
        <x:v>-19293</x:v>
      </x:c>
      <x:c r="AR556" s="147" t="str">
        <x:v>美国市场指标与CFTC数据均使用严格早于上金所交易日的最后已发布值</x:v>
      </x:c>
    </x:row>
    <x:row r="557">
      <x:c r="A557" s="155" t="n">
        <x:v>46171</x:v>
      </x:c>
      <x:c r="B557" s="153" t="n">
        <x:v>965</x:v>
      </x:c>
      <x:c r="C557" s="153" t="n">
        <x:v>988</x:v>
      </x:c>
      <x:c r="D557" s="153" t="n">
        <x:v>959</x:v>
      </x:c>
      <x:c r="E557" s="153" t="n">
        <x:v>984.96</x:v>
      </x:c>
      <x:c r="F557" s="154" t="n">
        <x:f>IFERROR(E557/E556-1,"")</x:f>
        <x:v>0.024058555654904223</x:v>
      </x:c>
      <x:c r="G557" s="154" t="n">
        <x:f>IFERROR((C557-D557)/E556,"")</x:f>
        <x:v>0.03015117173691543</x:v>
      </x:c>
      <x:c r="H557" s="153" t="n">
        <x:v>983.49</x:v>
      </x:c>
      <x:c r="I557" s="158" t="n">
        <x:v>4426.4</x:v>
      </x:c>
      <x:c r="J557" s="158" t="n">
        <x:v>4353321243.2</x:v>
      </x:c>
      <x:c r="K557" s="158"/>
      <x:c r="L557" s="153" t="n">
        <x:v>17734</x:v>
      </x:c>
      <x:c r="M557" s="153" t="n">
        <x:v>18534</x:v>
      </x:c>
      <x:c r="N557" s="153" t="n">
        <x:v>17689</x:v>
      </x:c>
      <x:c r="O557" s="153" t="n">
        <x:v>18180</x:v>
      </x:c>
      <x:c r="P557" s="154" t="n">
        <x:f>IFERROR(O557/O556-1,"")</x:f>
        <x:v>0.02008753226349458</x:v>
      </x:c>
      <x:c r="Q557" s="154" t="n">
        <x:f>IFERROR((M557-N557)/O556,"")</x:f>
        <x:v>0.0474133093928852</x:v>
      </x:c>
      <x:c r="R557" s="153" t="n">
        <x:v>18258</x:v>
      </x:c>
      <x:c r="S557" s="158" t="n">
        <x:v>330140</x:v>
      </x:c>
      <x:c r="T557" s="158" t="n">
        <x:v>6027983360</x:v>
      </x:c>
      <x:c r="U557" s="158" t="n">
        <x:v>2819796</x:v>
      </x:c>
      <x:c r="V557" s="153" t="n">
        <x:f>IFERROR(E557*1000/O557,"")</x:f>
        <x:v>54.17821782178218</x:v>
      </x:c>
      <x:c r="W557" s="153" t="n">
        <x:v>4.45</x:v>
      </x:c>
      <x:c r="X557" s="155" t="n">
        <x:v>46170</x:v>
      </x:c>
      <x:c r="Y557" s="153" t="n">
        <x:v>2.06</x:v>
      </x:c>
      <x:c r="Z557" s="155" t="n">
        <x:v>46170</x:v>
      </x:c>
      <x:c r="AA557" s="153" t="n">
        <x:f>IFERROR(Y557-Y556,"")</x:f>
        <x:v>-0.029999999999999805</x:v>
      </x:c>
      <x:c r="AB557" s="153" t="n">
        <x:v>2.39</x:v>
      </x:c>
      <x:c r="AC557" s="153" t="n">
        <x:v>119.0318</x:v>
      </x:c>
      <x:c r="AD557" s="155" t="n">
        <x:v>46170</x:v>
      </x:c>
      <x:c r="AE557" s="154" t="n">
        <x:f>IFERROR(AC557/AC556-1,"")</x:f>
        <x:v>-0.0012677993235606921</x:v>
      </x:c>
      <x:c r="AF557" s="153" t="n">
        <x:v>15.74</x:v>
      </x:c>
      <x:c r="AG557" s="155" t="n">
        <x:v>46170</x:v>
      </x:c>
      <x:c r="AH557" s="153" t="n">
        <x:f>IFERROR(AF557-AF556,"")</x:f>
        <x:v>-0.5499999999999989</x:v>
      </x:c>
      <x:c r="AI557" s="153" t="n">
        <x:v>3.62</x:v>
      </x:c>
      <x:c r="AJ557" s="155" t="n">
        <x:v>46164</x:v>
      </x:c>
      <x:c r="AK557" s="159" t="n">
        <x:v>93540</x:v>
      </x:c>
      <x:c r="AL557" s="154" t="n">
        <x:v>0.24659592697554866</x:v>
      </x:c>
      <x:c r="AM557" s="159" t="n">
        <x:v>-17914</x:v>
      </x:c>
      <x:c r="AN557" s="155" t="n">
        <x:v>46164</x:v>
      </x:c>
      <x:c r="AO557" s="159" t="n">
        <x:v>11564</x:v>
      </x:c>
      <x:c r="AP557" s="154" t="n">
        <x:v>0.11477801709164177</x:v>
      </x:c>
      <x:c r="AQ557" s="159" t="n">
        <x:v>-19293</x:v>
      </x:c>
      <x:c r="AR557" s="147" t="str">
        <x:v>美国市场指标与CFTC数据均使用严格早于上金所交易日的最后已发布值</x:v>
      </x:c>
    </x:row>
    <x:row r="558">
      <x:c r="A558" s="155" t="n">
        <x:v>46175</x:v>
      </x:c>
      <x:c r="B558" s="153" t="n">
        <x:v>982</x:v>
      </x:c>
      <x:c r="C558" s="153" t="n">
        <x:v>989</x:v>
      </x:c>
      <x:c r="D558" s="153" t="n">
        <x:v>970.1</x:v>
      </x:c>
      <x:c r="E558" s="153" t="n">
        <x:v>987.45</x:v>
      </x:c>
      <x:c r="F558" s="154" t="n">
        <x:f>IFERROR(E558/E557-1,"")</x:f>
        <x:v>0.0025280214424951986</x:v>
      </x:c>
      <x:c r="G558" s="154" t="n">
        <x:f>IFERROR((C558-D558)/E557,"")</x:f>
        <x:v>0.019188596491228047</x:v>
      </x:c>
      <x:c r="H558" s="153" t="n">
        <x:v>981.87</x:v>
      </x:c>
      <x:c r="I558" s="158" t="n">
        <x:v>3182.86</x:v>
      </x:c>
      <x:c r="J558" s="158" t="n">
        <x:v>3125171749.4</x:v>
      </x:c>
      <x:c r="K558" s="158"/>
      <x:c r="L558" s="153" t="n">
        <x:v>18199</x:v>
      </x:c>
      <x:c r="M558" s="153" t="n">
        <x:v>18480</x:v>
      </x:c>
      <x:c r="N558" s="153" t="n">
        <x:v>17800</x:v>
      </x:c>
      <x:c r="O558" s="153" t="n">
        <x:v>18426</x:v>
      </x:c>
      <x:c r="P558" s="154" t="n">
        <x:f>IFERROR(O558/O557-1,"")</x:f>
        <x:v>0.013531353135313617</x:v>
      </x:c>
      <x:c r="Q558" s="154" t="n">
        <x:f>IFERROR((M558-N558)/O557,"")</x:f>
        <x:v>0.0374037403740374</x:v>
      </x:c>
      <x:c r="R558" s="153" t="n">
        <x:v>18215</x:v>
      </x:c>
      <x:c r="S558" s="158" t="n">
        <x:v>399486</x:v>
      </x:c>
      <x:c r="T558" s="158" t="n">
        <x:v>7276950150</x:v>
      </x:c>
      <x:c r="U558" s="158" t="n">
        <x:v>2900380</x:v>
      </x:c>
      <x:c r="V558" s="153" t="n">
        <x:f>IFERROR(E558*1000/O558,"")</x:f>
        <x:v>53.590035818951485</x:v>
      </x:c>
      <x:c r="W558" s="153" t="n">
        <x:v>4.47</x:v>
      </x:c>
      <x:c r="X558" s="155" t="n">
        <x:v>46174</x:v>
      </x:c>
      <x:c r="Y558" s="153" t="n">
        <x:v>2.07</x:v>
      </x:c>
      <x:c r="Z558" s="155" t="n">
        <x:v>46174</x:v>
      </x:c>
      <x:c r="AA558" s="153" t="n">
        <x:f>IFERROR(Y558-Y557,"")</x:f>
        <x:v>0.009999999999999787</x:v>
      </x:c>
      <x:c r="AB558" s="153" t="n">
        <x:v>2.4</x:v>
      </x:c>
      <x:c r="AC558" s="153" t="n">
        <x:v>119.1653</x:v>
      </x:c>
      <x:c r="AD558" s="155" t="n">
        <x:v>46174</x:v>
      </x:c>
      <x:c r="AE558" s="154" t="n">
        <x:f>IFERROR(AC558/AC557-1,"")</x:f>
        <x:v>0.0011215490314353538</x:v>
      </x:c>
      <x:c r="AF558" s="153" t="n">
        <x:v>16.05</x:v>
      </x:c>
      <x:c r="AG558" s="155" t="n">
        <x:v>46174</x:v>
      </x:c>
      <x:c r="AH558" s="153" t="n">
        <x:f>IFERROR(AF558-AF557,"")</x:f>
        <x:v>0.3100000000000005</x:v>
      </x:c>
      <x:c r="AI558" s="153" t="n">
        <x:v>3.62</x:v>
      </x:c>
      <x:c r="AJ558" s="155" t="n">
        <x:v>46171</x:v>
      </x:c>
      <x:c r="AK558" s="159" t="n">
        <x:v>97446</x:v>
      </x:c>
      <x:c r="AL558" s="154" t="n">
        <x:v>0.2756691155877552</x:v>
      </x:c>
      <x:c r="AM558" s="159" t="n">
        <x:v>-19510</x:v>
      </x:c>
      <x:c r="AN558" s="155" t="n">
        <x:v>46171</x:v>
      </x:c>
      <x:c r="AO558" s="159" t="n">
        <x:v>10055</x:v>
      </x:c>
      <x:c r="AP558" s="154" t="n">
        <x:v>0.0988264664255386</x:v>
      </x:c>
      <x:c r="AQ558" s="159" t="n">
        <x:v>-19545</x:v>
      </x:c>
      <x:c r="AR558" s="147" t="str">
        <x:v>美国市场指标与CFTC数据均使用严格早于上金所交易日的最后已发布值</x:v>
      </x:c>
    </x:row>
    <x:row r="559">
      <x:c r="A559" s="155" t="n">
        <x:v>46176</x:v>
      </x:c>
      <x:c r="B559" s="153" t="n">
        <x:v>987</x:v>
      </x:c>
      <x:c r="C559" s="153" t="n">
        <x:v>987</x:v>
      </x:c>
      <x:c r="D559" s="153" t="n">
        <x:v>972.4</x:v>
      </x:c>
      <x:c r="E559" s="153" t="n">
        <x:v>972.8</x:v>
      </x:c>
      <x:c r="F559" s="154" t="n">
        <x:f>IFERROR(E559/E558-1,"")</x:f>
        <x:v>-0.01483619423768301</x:v>
      </x:c>
      <x:c r="G559" s="154" t="n">
        <x:f>IFERROR((C559-D559)/E558,"")</x:f>
        <x:v>0.014785558762469009</x:v>
      </x:c>
      <x:c r="H559" s="153" t="n">
        <x:v>975.23</x:v>
      </x:c>
      <x:c r="I559" s="158" t="n">
        <x:v>3642.36</x:v>
      </x:c>
      <x:c r="J559" s="158" t="n">
        <x:v>3552151569.2</x:v>
      </x:c>
      <x:c r="K559" s="158"/>
      <x:c r="L559" s="153" t="n">
        <x:v>18370</x:v>
      </x:c>
      <x:c r="M559" s="153" t="n">
        <x:v>18420</x:v>
      </x:c>
      <x:c r="N559" s="153" t="n">
        <x:v>17867</x:v>
      </x:c>
      <x:c r="O559" s="153" t="n">
        <x:v>17910</x:v>
      </x:c>
      <x:c r="P559" s="154" t="n">
        <x:f>IFERROR(O559/O558-1,"")</x:f>
        <x:v>-0.028003907521979787</x:v>
      </x:c>
      <x:c r="Q559" s="154" t="n">
        <x:f>IFERROR((M559-N559)/O558,"")</x:f>
        <x:v>0.03001193965049387</x:v>
      </x:c>
      <x:c r="R559" s="153" t="n">
        <x:v>18020</x:v>
      </x:c>
      <x:c r="S559" s="158" t="n">
        <x:v>258584</x:v>
      </x:c>
      <x:c r="T559" s="158" t="n">
        <x:v>4659862570</x:v>
      </x:c>
      <x:c r="U559" s="158" t="n">
        <x:v>2867976</x:v>
      </x:c>
      <x:c r="V559" s="153" t="n">
        <x:f>IFERROR(E559*1000/O559,"")</x:f>
        <x:v>54.31602456728085</x:v>
      </x:c>
      <x:c r="W559" s="153" t="n">
        <x:v>4.46</x:v>
      </x:c>
      <x:c r="X559" s="155" t="n">
        <x:v>46175</x:v>
      </x:c>
      <x:c r="Y559" s="153" t="n">
        <x:v>2.07</x:v>
      </x:c>
      <x:c r="Z559" s="155" t="n">
        <x:v>46175</x:v>
      </x:c>
      <x:c r="AA559" s="153" t="n">
        <x:f>IFERROR(Y559-Y558,"")</x:f>
        <x:v>0</x:v>
      </x:c>
      <x:c r="AB559" s="153" t="n">
        <x:v>2.39</x:v>
      </x:c>
      <x:c r="AC559" s="153" t="n">
        <x:v>119.0359</x:v>
      </x:c>
      <x:c r="AD559" s="155" t="n">
        <x:v>46175</x:v>
      </x:c>
      <x:c r="AE559" s="154" t="n">
        <x:f>IFERROR(AC559/AC558-1,"")</x:f>
        <x:v>-0.001085886579398565</x:v>
      </x:c>
      <x:c r="AF559" s="153" t="n">
        <x:v>15.77</x:v>
      </x:c>
      <x:c r="AG559" s="155" t="n">
        <x:v>46175</x:v>
      </x:c>
      <x:c r="AH559" s="153" t="n">
        <x:f>IFERROR(AF559-AF558,"")</x:f>
        <x:v>-0.28000000000000114</x:v>
      </x:c>
      <x:c r="AI559" s="153" t="n">
        <x:v>3.62</x:v>
      </x:c>
      <x:c r="AJ559" s="155" t="n">
        <x:v>46171</x:v>
      </x:c>
      <x:c r="AK559" s="159" t="n">
        <x:v>97446</x:v>
      </x:c>
      <x:c r="AL559" s="154" t="n">
        <x:v>0.2756691155877552</x:v>
      </x:c>
      <x:c r="AM559" s="159" t="n">
        <x:v>-19510</x:v>
      </x:c>
      <x:c r="AN559" s="155" t="n">
        <x:v>46171</x:v>
      </x:c>
      <x:c r="AO559" s="159" t="n">
        <x:v>10055</x:v>
      </x:c>
      <x:c r="AP559" s="154" t="n">
        <x:v>0.0988264664255386</x:v>
      </x:c>
      <x:c r="AQ559" s="159" t="n">
        <x:v>-19545</x:v>
      </x:c>
      <x:c r="AR559" s="147" t="str">
        <x:v>美国市场指标与CFTC数据均使用严格早于上金所交易日的最后已发布值</x:v>
      </x:c>
    </x:row>
    <x:row r="560">
      <x:c r="A560" s="155" t="n">
        <x:v>46177</x:v>
      </x:c>
      <x:c r="B560" s="153" t="n">
        <x:v>975</x:v>
      </x:c>
      <x:c r="C560" s="153" t="n">
        <x:v>978.5</x:v>
      </x:c>
      <x:c r="D560" s="153" t="n">
        <x:v>970</x:v>
      </x:c>
      <x:c r="E560" s="153" t="n">
        <x:v>974.5</x:v>
      </x:c>
      <x:c r="F560" s="154" t="n">
        <x:f>IFERROR(E560/E559-1,"")</x:f>
        <x:v>0.0017475328947369473</x:v>
      </x:c>
      <x:c r="G560" s="154" t="n">
        <x:f>IFERROR((C560-D560)/E559,"")</x:f>
        <x:v>0.00873766447368421</x:v>
      </x:c>
      <x:c r="H560" s="153" t="n">
        <x:v>975.29</x:v>
      </x:c>
      <x:c r="I560" s="158" t="n">
        <x:v>3566.92</x:v>
      </x:c>
      <x:c r="J560" s="158" t="n">
        <x:v>3478796784</x:v>
      </x:c>
      <x:c r="K560" s="158"/>
      <x:c r="L560" s="153" t="n">
        <x:v>18000</x:v>
      </x:c>
      <x:c r="M560" s="153" t="n">
        <x:v>18013</x:v>
      </x:c>
      <x:c r="N560" s="153" t="n">
        <x:v>17606</x:v>
      </x:c>
      <x:c r="O560" s="153" t="n">
        <x:v>17672</x:v>
      </x:c>
      <x:c r="P560" s="154" t="n">
        <x:f>IFERROR(O560/O559-1,"")</x:f>
        <x:v>-0.0132886655499721</x:v>
      </x:c>
      <x:c r="Q560" s="154" t="n">
        <x:f>IFERROR((M560-N560)/O559,"")</x:f>
        <x:v>0.022724734785036293</x:v>
      </x:c>
      <x:c r="R560" s="153" t="n">
        <x:v>17741</x:v>
      </x:c>
      <x:c r="S560" s="158" t="n">
        <x:v>401050</x:v>
      </x:c>
      <x:c r="T560" s="158" t="n">
        <x:v>7115207598</x:v>
      </x:c>
      <x:c r="U560" s="158" t="n">
        <x:v>2865202</x:v>
      </x:c>
      <x:c r="V560" s="153" t="n">
        <x:f>IFERROR(E560*1000/O560,"")</x:f>
        <x:v>55.14373019465822</x:v>
      </x:c>
      <x:c r="W560" s="153" t="n">
        <x:v>4.49</x:v>
      </x:c>
      <x:c r="X560" s="155" t="n">
        <x:v>46176</x:v>
      </x:c>
      <x:c r="Y560" s="153" t="n">
        <x:v>2.11</x:v>
      </x:c>
      <x:c r="Z560" s="155" t="n">
        <x:v>46176</x:v>
      </x:c>
      <x:c r="AA560" s="153" t="n">
        <x:f>IFERROR(Y560-Y559,"")</x:f>
        <x:v>0.040000000000000036</x:v>
      </x:c>
      <x:c r="AB560" s="153" t="n">
        <x:v>2.38</x:v>
      </x:c>
      <x:c r="AC560" s="153" t="n">
        <x:v>119.3848</x:v>
      </x:c>
      <x:c r="AD560" s="155" t="n">
        <x:v>46176</x:v>
      </x:c>
      <x:c r="AE560" s="154" t="n">
        <x:f>IFERROR(AC560/AC559-1,"")</x:f>
        <x:v>0.002931048532417435</x:v>
      </x:c>
      <x:c r="AF560" s="153" t="n">
        <x:v>16.06</x:v>
      </x:c>
      <x:c r="AG560" s="155" t="n">
        <x:v>46176</x:v>
      </x:c>
      <x:c r="AH560" s="153" t="n">
        <x:f>IFERROR(AF560-AF559,"")</x:f>
        <x:v>0.28999999999999915</x:v>
      </x:c>
      <x:c r="AI560" s="153" t="n">
        <x:v>3.62</x:v>
      </x:c>
      <x:c r="AJ560" s="155" t="n">
        <x:v>46171</x:v>
      </x:c>
      <x:c r="AK560" s="159" t="n">
        <x:v>97446</x:v>
      </x:c>
      <x:c r="AL560" s="154" t="n">
        <x:v>0.2756691155877552</x:v>
      </x:c>
      <x:c r="AM560" s="159" t="n">
        <x:v>-19510</x:v>
      </x:c>
      <x:c r="AN560" s="155" t="n">
        <x:v>46171</x:v>
      </x:c>
      <x:c r="AO560" s="159" t="n">
        <x:v>10055</x:v>
      </x:c>
      <x:c r="AP560" s="154" t="n">
        <x:v>0.0988264664255386</x:v>
      </x:c>
      <x:c r="AQ560" s="159" t="n">
        <x:v>-19545</x:v>
      </x:c>
      <x:c r="AR560" s="147" t="str">
        <x:v>美国市场指标与CFTC数据均使用严格早于上金所交易日的最后已发布值</x:v>
      </x:c>
    </x:row>
    <x:row r="561">
      <x:c r="A561" s="155" t="n">
        <x:v>46178</x:v>
      </x:c>
      <x:c r="B561" s="153" t="n">
        <x:v>983</x:v>
      </x:c>
      <x:c r="C561" s="153" t="n">
        <x:v>984.5</x:v>
      </x:c>
      <x:c r="D561" s="153" t="n">
        <x:v>966.5</x:v>
      </x:c>
      <x:c r="E561" s="153" t="n">
        <x:v>974.41</x:v>
      </x:c>
      <x:c r="F561" s="154" t="n">
        <x:f>IFERROR(E561/E560-1,"")</x:f>
        <x:v>-0.00009235505387383824</x:v>
      </x:c>
      <x:c r="G561" s="154" t="n">
        <x:f>IFERROR((C561-D561)/E560,"")</x:f>
        <x:v>0.018471010774756286</x:v>
      </x:c>
      <x:c r="H561" s="153" t="n">
        <x:v>970.4</x:v>
      </x:c>
      <x:c r="I561" s="158" t="n">
        <x:v>4141.38</x:v>
      </x:c>
      <x:c r="J561" s="158" t="n">
        <x:v>4018816015.4</x:v>
      </x:c>
      <x:c r="K561" s="158"/>
      <x:c r="L561" s="153" t="n">
        <x:v>17980</x:v>
      </x:c>
      <x:c r="M561" s="153" t="n">
        <x:v>18172</x:v>
      </x:c>
      <x:c r="N561" s="153" t="n">
        <x:v>17150</x:v>
      </x:c>
      <x:c r="O561" s="153" t="n">
        <x:v>17520</x:v>
      </x:c>
      <x:c r="P561" s="154" t="n">
        <x:f>IFERROR(O561/O560-1,"")</x:f>
        <x:v>-0.00860117700316887</x:v>
      </x:c>
      <x:c r="Q561" s="154" t="n">
        <x:f>IFERROR((M561-N561)/O560,"")</x:f>
        <x:v>0.05783159800814849</x:v>
      </x:c>
      <x:c r="R561" s="153" t="n">
        <x:v>17560</x:v>
      </x:c>
      <x:c r="S561" s="158" t="n">
        <x:v>459912</x:v>
      </x:c>
      <x:c r="T561" s="158" t="n">
        <x:v>8076138032</x:v>
      </x:c>
      <x:c r="U561" s="158" t="n">
        <x:v>2875070</x:v>
      </x:c>
      <x:c r="V561" s="153" t="n">
        <x:f>IFERROR(E561*1000/O561,"")</x:f>
        <x:v>55.617009132420094</x:v>
      </x:c>
      <x:c r="W561" s="153" t="n">
        <x:v>4.47</x:v>
      </x:c>
      <x:c r="X561" s="155" t="n">
        <x:v>46177</x:v>
      </x:c>
      <x:c r="Y561" s="153" t="n">
        <x:v>2.11</x:v>
      </x:c>
      <x:c r="Z561" s="155" t="n">
        <x:v>46177</x:v>
      </x:c>
      <x:c r="AA561" s="153" t="n">
        <x:f>IFERROR(Y561-Y560,"")</x:f>
        <x:v>0</x:v>
      </x:c>
      <x:c r="AB561" s="153" t="n">
        <x:v>2.36</x:v>
      </x:c>
      <x:c r="AC561" s="153" t="n">
        <x:v>119.3615</x:v>
      </x:c>
      <x:c r="AD561" s="155" t="n">
        <x:v>46177</x:v>
      </x:c>
      <x:c r="AE561" s="154" t="n">
        <x:f>IFERROR(AC561/AC560-1,"")</x:f>
        <x:v>-0.00019516722396817343</x:v>
      </x:c>
      <x:c r="AF561" s="153" t="n">
        <x:v>15.4</x:v>
      </x:c>
      <x:c r="AG561" s="155" t="n">
        <x:v>46177</x:v>
      </x:c>
      <x:c r="AH561" s="153" t="n">
        <x:f>IFERROR(AF561-AF560,"")</x:f>
        <x:v>-0.6599999999999984</x:v>
      </x:c>
      <x:c r="AI561" s="153" t="n">
        <x:v>3.62</x:v>
      </x:c>
      <x:c r="AJ561" s="155" t="n">
        <x:v>46171</x:v>
      </x:c>
      <x:c r="AK561" s="159" t="n">
        <x:v>97446</x:v>
      </x:c>
      <x:c r="AL561" s="154" t="n">
        <x:v>0.2756691155877552</x:v>
      </x:c>
      <x:c r="AM561" s="159" t="n">
        <x:v>-19510</x:v>
      </x:c>
      <x:c r="AN561" s="155" t="n">
        <x:v>46171</x:v>
      </x:c>
      <x:c r="AO561" s="159" t="n">
        <x:v>10055</x:v>
      </x:c>
      <x:c r="AP561" s="154" t="n">
        <x:v>0.0988264664255386</x:v>
      </x:c>
      <x:c r="AQ561" s="159" t="n">
        <x:v>-19545</x:v>
      </x:c>
      <x:c r="AR561" s="147" t="str">
        <x:v>美国市场指标与CFTC数据均使用严格早于上金所交易日的最后已发布值</x:v>
      </x:c>
    </x:row>
    <x:row r="562">
      <x:c r="A562" s="155" t="n">
        <x:v>46181</x:v>
      </x:c>
      <x:c r="B562" s="153" t="n">
        <x:v>975</x:v>
      </x:c>
      <x:c r="C562" s="153" t="n">
        <x:v>975</x:v>
      </x:c>
      <x:c r="D562" s="153" t="n">
        <x:v>932</x:v>
      </x:c>
      <x:c r="E562" s="153" t="n">
        <x:v>941.01</x:v>
      </x:c>
      <x:c r="F562" s="154" t="n">
        <x:f>IFERROR(E562/E561-1,"")</x:f>
        <x:v>-0.03427715232807538</x:v>
      </x:c>
      <x:c r="G562" s="154" t="n">
        <x:f>IFERROR((C562-D562)/E561,"")</x:f>
        <x:v>0.04412926796728277</x:v>
      </x:c>
      <x:c r="H562" s="153" t="n">
        <x:v>943.01</x:v>
      </x:c>
      <x:c r="I562" s="158" t="n">
        <x:v>7940.04</x:v>
      </x:c>
      <x:c r="J562" s="158" t="n">
        <x:v>7487572806.2</x:v>
      </x:c>
      <x:c r="K562" s="158"/>
      <x:c r="L562" s="153" t="n">
        <x:v>17583</x:v>
      </x:c>
      <x:c r="M562" s="153" t="n">
        <x:v>17755</x:v>
      </x:c>
      <x:c r="N562" s="153" t="n">
        <x:v>15930</x:v>
      </x:c>
      <x:c r="O562" s="153" t="n">
        <x:v>16200</x:v>
      </x:c>
      <x:c r="P562" s="154" t="n">
        <x:f>IFERROR(O562/O561-1,"")</x:f>
        <x:v>-0.07534246575342463</x:v>
      </x:c>
      <x:c r="Q562" s="154" t="n">
        <x:f>IFERROR((M562-N562)/O561,"")</x:f>
        <x:v>0.10416666666666667</x:v>
      </x:c>
      <x:c r="R562" s="153" t="n">
        <x:v>16336</x:v>
      </x:c>
      <x:c r="S562" s="158" t="n">
        <x:v>616196</x:v>
      </x:c>
      <x:c r="T562" s="158" t="n">
        <x:v>10066409868</x:v>
      </x:c>
      <x:c r="U562" s="158" t="n">
        <x:v>2995170</x:v>
      </x:c>
      <x:c r="V562" s="153" t="n">
        <x:f>IFERROR(E562*1000/O562,"")</x:f>
        <x:v>58.087037037037035</x:v>
      </x:c>
      <x:c r="W562" s="153" t="n">
        <x:v>4.55</x:v>
      </x:c>
      <x:c r="X562" s="155" t="n">
        <x:v>46178</x:v>
      </x:c>
      <x:c r="Y562" s="153" t="n">
        <x:v>2.19</x:v>
      </x:c>
      <x:c r="Z562" s="155" t="n">
        <x:v>46178</x:v>
      </x:c>
      <x:c r="AA562" s="153" t="n">
        <x:f>IFERROR(Y562-Y561,"")</x:f>
        <x:v>0.08000000000000007</x:v>
      </x:c>
      <x:c r="AB562" s="153" t="n">
        <x:v>2.36</x:v>
      </x:c>
      <x:c r="AC562" s="153" t="n">
        <x:v>120.0831</x:v>
      </x:c>
      <x:c r="AD562" s="155" t="n">
        <x:v>46178</x:v>
      </x:c>
      <x:c r="AE562" s="154" t="n">
        <x:f>IFERROR(AC562/AC561-1,"")</x:f>
        <x:v>0.006045500433556894</x:v>
      </x:c>
      <x:c r="AF562" s="153" t="n">
        <x:v>21.51</x:v>
      </x:c>
      <x:c r="AG562" s="155" t="n">
        <x:v>46178</x:v>
      </x:c>
      <x:c r="AH562" s="153" t="n">
        <x:f>IFERROR(AF562-AF561,"")</x:f>
        <x:v>6.110000000000001</x:v>
      </x:c>
      <x:c r="AI562" s="153" t="n">
        <x:v>3.62</x:v>
      </x:c>
      <x:c r="AJ562" s="155" t="n">
        <x:v>46178</x:v>
      </x:c>
      <x:c r="AK562" s="159" t="n">
        <x:v>112179</x:v>
      </x:c>
      <x:c r="AL562" s="154" t="n">
        <x:v>0.3440524824261161</x:v>
      </x:c>
      <x:c r="AM562" s="159" t="n">
        <x:v>-20154</x:v>
      </x:c>
      <x:c r="AN562" s="155" t="n">
        <x:v>46178</x:v>
      </x:c>
      <x:c r="AO562" s="159" t="n">
        <x:v>10444</x:v>
      </x:c>
      <x:c r="AP562" s="154" t="n">
        <x:v>0.10158643698508886</x:v>
      </x:c>
      <x:c r="AQ562" s="159" t="n">
        <x:v>-17993</x:v>
      </x:c>
      <x:c r="AR562" s="147" t="str">
        <x:v>美国市场指标与CFTC数据均使用严格早于上金所交易日的最后已发布值</x:v>
      </x:c>
    </x:row>
    <x:row r="563">
      <x:c r="A563" s="155" t="n">
        <x:v>46182</x:v>
      </x:c>
      <x:c r="B563" s="153" t="n">
        <x:v>945</x:v>
      </x:c>
      <x:c r="C563" s="153" t="n">
        <x:v>951.48</x:v>
      </x:c>
      <x:c r="D563" s="153" t="n">
        <x:v>944</x:v>
      </x:c>
      <x:c r="E563" s="153" t="n">
        <x:v>944.98</x:v>
      </x:c>
      <x:c r="F563" s="154" t="n">
        <x:f>IFERROR(E563/E562-1,"")</x:f>
        <x:v>0.0042188712128456984</x:v>
      </x:c>
      <x:c r="G563" s="154" t="n">
        <x:f>IFERROR((C563-D563)/E562,"")</x:f>
        <x:v>0.00794890596274218</x:v>
      </x:c>
      <x:c r="H563" s="153" t="n">
        <x:v>946.66</x:v>
      </x:c>
      <x:c r="I563" s="158" t="n">
        <x:v>3630.76</x:v>
      </x:c>
      <x:c r="J563" s="158" t="n">
        <x:v>3437102135.8</x:v>
      </x:c>
      <x:c r="K563" s="158"/>
      <x:c r="L563" s="153" t="n">
        <x:v>16417</x:v>
      </x:c>
      <x:c r="M563" s="153" t="n">
        <x:v>16599</x:v>
      </x:c>
      <x:c r="N563" s="153" t="n">
        <x:v>16183</x:v>
      </x:c>
      <x:c r="O563" s="153" t="n">
        <x:v>16401</x:v>
      </x:c>
      <x:c r="P563" s="154" t="n">
        <x:f>IFERROR(O563/O562-1,"")</x:f>
        <x:v>0.012407407407407423</x:v>
      </x:c>
      <x:c r="Q563" s="154" t="n">
        <x:f>IFERROR((M563-N563)/O562,"")</x:f>
        <x:v>0.02567901234567901</x:v>
      </x:c>
      <x:c r="R563" s="153" t="n">
        <x:v>16345</x:v>
      </x:c>
      <x:c r="S563" s="158" t="n">
        <x:v>232710</x:v>
      </x:c>
      <x:c r="T563" s="158" t="n">
        <x:v>3803866594</x:v>
      </x:c>
      <x:c r="U563" s="158" t="n">
        <x:v>3015554</x:v>
      </x:c>
      <x:c r="V563" s="153" t="n">
        <x:f>IFERROR(E563*1000/O563,"")</x:f>
        <x:v>57.61721846228888</x:v>
      </x:c>
      <x:c r="W563" s="153" t="n">
        <x:v>4.56</x:v>
      </x:c>
      <x:c r="X563" s="155" t="n">
        <x:v>46181</x:v>
      </x:c>
      <x:c r="Y563" s="153" t="n">
        <x:v>2.21</x:v>
      </x:c>
      <x:c r="Z563" s="155" t="n">
        <x:v>46181</x:v>
      </x:c>
      <x:c r="AA563" s="153" t="n">
        <x:f>IFERROR(Y563-Y562,"")</x:f>
        <x:v>0.020000000000000018</x:v>
      </x:c>
      <x:c r="AB563" s="153" t="n">
        <x:v>2.35</x:v>
      </x:c>
      <x:c r="AC563" s="153" t="n">
        <x:v>120.034</x:v>
      </x:c>
      <x:c r="AD563" s="155" t="n">
        <x:v>46181</x:v>
      </x:c>
      <x:c r="AE563" s="154" t="n">
        <x:f>IFERROR(AC563/AC562-1,"")</x:f>
        <x:v>-0.000408883514832592</x:v>
      </x:c>
      <x:c r="AF563" s="153" t="n">
        <x:v>18.92</x:v>
      </x:c>
      <x:c r="AG563" s="155" t="n">
        <x:v>46181</x:v>
      </x:c>
      <x:c r="AH563" s="153" t="n">
        <x:f>IFERROR(AF563-AF562,"")</x:f>
        <x:v>-2.59</x:v>
      </x:c>
      <x:c r="AI563" s="153" t="n">
        <x:v>3.62</x:v>
      </x:c>
      <x:c r="AJ563" s="155" t="n">
        <x:v>46178</x:v>
      </x:c>
      <x:c r="AK563" s="159" t="n">
        <x:v>112179</x:v>
      </x:c>
      <x:c r="AL563" s="154" t="n">
        <x:v>0.3440524824261161</x:v>
      </x:c>
      <x:c r="AM563" s="159" t="n">
        <x:v>-20154</x:v>
      </x:c>
      <x:c r="AN563" s="155" t="n">
        <x:v>46178</x:v>
      </x:c>
      <x:c r="AO563" s="159" t="n">
        <x:v>10444</x:v>
      </x:c>
      <x:c r="AP563" s="154" t="n">
        <x:v>0.10158643698508886</x:v>
      </x:c>
      <x:c r="AQ563" s="159" t="n">
        <x:v>-17993</x:v>
      </x:c>
      <x:c r="AR563" s="147" t="str">
        <x:v>美国市场指标与CFTC数据均使用严格早于上金所交易日的最后已发布值</x:v>
      </x:c>
    </x:row>
    <x:row r="564">
      <x:c r="A564" s="155" t="n">
        <x:v>46183</x:v>
      </x:c>
      <x:c r="B564" s="153" t="n">
        <x:v>945</x:v>
      </x:c>
      <x:c r="C564" s="153" t="n">
        <x:v>950</x:v>
      </x:c>
      <x:c r="D564" s="153" t="n">
        <x:v>910</x:v>
      </x:c>
      <x:c r="E564" s="153" t="n">
        <x:v>915.63</x:v>
      </x:c>
      <x:c r="F564" s="154" t="n">
        <x:f>IFERROR(E564/E563-1,"")</x:f>
        <x:v>-0.03105885838853739</x:v>
      </x:c>
      <x:c r="G564" s="154" t="n">
        <x:f>IFERROR((C564-D564)/E563,"")</x:f>
        <x:v>0.04232893817858579</x:v>
      </x:c>
      <x:c r="H564" s="153" t="n">
        <x:v>915.76</x:v>
      </x:c>
      <x:c r="I564" s="158" t="n">
        <x:v>6681.42</x:v>
      </x:c>
      <x:c r="J564" s="158" t="n">
        <x:v>6118629821.8</x:v>
      </x:c>
      <x:c r="K564" s="158"/>
      <x:c r="L564" s="153" t="n">
        <x:v>16500</x:v>
      </x:c>
      <x:c r="M564" s="153" t="n">
        <x:v>16519</x:v>
      </x:c>
      <x:c r="N564" s="153" t="n">
        <x:v>15180</x:v>
      </x:c>
      <x:c r="O564" s="153" t="n">
        <x:v>15503</x:v>
      </x:c>
      <x:c r="P564" s="154" t="n">
        <x:f>IFERROR(O564/O563-1,"")</x:f>
        <x:v>-0.05475275897811105</x:v>
      </x:c>
      <x:c r="Q564" s="154" t="n">
        <x:f>IFERROR((M564-N564)/O563,"")</x:f>
        <x:v>0.08164136333150418</x:v>
      </x:c>
      <x:c r="R564" s="153" t="n">
        <x:v>15537</x:v>
      </x:c>
      <x:c r="S564" s="158" t="n">
        <x:v>551302</x:v>
      </x:c>
      <x:c r="T564" s="158" t="n">
        <x:v>8565753050</x:v>
      </x:c>
      <x:c r="U564" s="158" t="n">
        <x:v>3023754</x:v>
      </x:c>
      <x:c r="V564" s="153" t="n">
        <x:f>IFERROR(E564*1000/O564,"")</x:f>
        <x:v>59.06147197316648</x:v>
      </x:c>
      <x:c r="W564" s="153" t="n">
        <x:v>4.53</x:v>
      </x:c>
      <x:c r="X564" s="155" t="n">
        <x:v>46182</x:v>
      </x:c>
      <x:c r="Y564" s="153" t="n">
        <x:v>2.2</x:v>
      </x:c>
      <x:c r="Z564" s="155" t="n">
        <x:v>46182</x:v>
      </x:c>
      <x:c r="AA564" s="153" t="n">
        <x:f>IFERROR(Y564-Y563,"")</x:f>
        <x:v>-0.009999999999999787</x:v>
      </x:c>
      <x:c r="AB564" s="153" t="n">
        <x:v>2.33</x:v>
      </x:c>
      <x:c r="AC564" s="153" t="n">
        <x:v>119.9617</x:v>
      </x:c>
      <x:c r="AD564" s="155" t="n">
        <x:v>46182</x:v>
      </x:c>
      <x:c r="AE564" s="154" t="n">
        <x:f>IFERROR(AC564/AC563-1,"")</x:f>
        <x:v>-0.0006023293400204688</x:v>
      </x:c>
      <x:c r="AF564" s="153" t="n">
        <x:v>19.87</x:v>
      </x:c>
      <x:c r="AG564" s="155" t="n">
        <x:v>46182</x:v>
      </x:c>
      <x:c r="AH564" s="153" t="n">
        <x:f>IFERROR(AF564-AF563,"")</x:f>
        <x:v>0.9499999999999993</x:v>
      </x:c>
      <x:c r="AI564" s="153" t="n">
        <x:v>3.62</x:v>
      </x:c>
      <x:c r="AJ564" s="155" t="n">
        <x:v>46178</x:v>
      </x:c>
      <x:c r="AK564" s="159" t="n">
        <x:v>112179</x:v>
      </x:c>
      <x:c r="AL564" s="154" t="n">
        <x:v>0.3440524824261161</x:v>
      </x:c>
      <x:c r="AM564" s="159" t="n">
        <x:v>-20154</x:v>
      </x:c>
      <x:c r="AN564" s="155" t="n">
        <x:v>46178</x:v>
      </x:c>
      <x:c r="AO564" s="159" t="n">
        <x:v>10444</x:v>
      </x:c>
      <x:c r="AP564" s="154" t="n">
        <x:v>0.10158643698508886</x:v>
      </x:c>
      <x:c r="AQ564" s="159" t="n">
        <x:v>-17993</x:v>
      </x:c>
      <x:c r="AR564" s="147" t="str">
        <x:v>美国市场指标与CFTC数据均使用严格早于上金所交易日的最后已发布值</x:v>
      </x:c>
    </x:row>
    <x:row r="565">
      <x:c r="A565" s="155" t="n">
        <x:v>46184</x:v>
      </x:c>
      <x:c r="B565" s="153" t="n">
        <x:v>915</x:v>
      </x:c>
      <x:c r="C565" s="153" t="n">
        <x:v>915</x:v>
      </x:c>
      <x:c r="D565" s="153" t="n">
        <x:v>883.81</x:v>
      </x:c>
      <x:c r="E565" s="153" t="n">
        <x:v>896.01</x:v>
      </x:c>
      <x:c r="F565" s="154" t="n">
        <x:f>IFERROR(E565/E564-1,"")</x:f>
        <x:v>-0.021427869335867156</x:v>
      </x:c>
      <x:c r="G565" s="154" t="n">
        <x:f>IFERROR((C565-D565)/E564,"")</x:f>
        <x:v>0.03406397780762978</x:v>
      </x:c>
      <x:c r="H565" s="153" t="n">
        <x:v>892.48</x:v>
      </x:c>
      <x:c r="I565" s="158" t="n">
        <x:v>5758.66</x:v>
      </x:c>
      <x:c r="J565" s="158" t="n">
        <x:v>5139544966.6</x:v>
      </x:c>
      <x:c r="K565" s="158"/>
      <x:c r="L565" s="153" t="n">
        <x:v>15321</x:v>
      </x:c>
      <x:c r="M565" s="153" t="n">
        <x:v>15789</x:v>
      </x:c>
      <x:c r="N565" s="153" t="n">
        <x:v>15060</x:v>
      </x:c>
      <x:c r="O565" s="153" t="n">
        <x:v>15433</x:v>
      </x:c>
      <x:c r="P565" s="154" t="n">
        <x:f>IFERROR(O565/O564-1,"")</x:f>
        <x:v>-0.004515255111913863</x:v>
      </x:c>
      <x:c r="Q565" s="154" t="n">
        <x:f>IFERROR((M565-N565)/O564,"")</x:f>
        <x:v>0.047023156808359674</x:v>
      </x:c>
      <x:c r="R565" s="153" t="n">
        <x:v>15326</x:v>
      </x:c>
      <x:c r="S565" s="158" t="n">
        <x:v>472886</x:v>
      </x:c>
      <x:c r="T565" s="158" t="n">
        <x:v>7247786564</x:v>
      </x:c>
      <x:c r="U565" s="158" t="n">
        <x:v>2986364</x:v>
      </x:c>
      <x:c r="V565" s="153" t="n">
        <x:f>IFERROR(E565*1000/O565,"")</x:f>
        <x:v>58.05805740944729</x:v>
      </x:c>
      <x:c r="W565" s="153" t="n">
        <x:v>4.55</x:v>
      </x:c>
      <x:c r="X565" s="155" t="n">
        <x:v>46183</x:v>
      </x:c>
      <x:c r="Y565" s="153" t="n">
        <x:v>2.21</x:v>
      </x:c>
      <x:c r="Z565" s="155" t="n">
        <x:v>46183</x:v>
      </x:c>
      <x:c r="AA565" s="153" t="n">
        <x:f>IFERROR(Y565-Y564,"")</x:f>
        <x:v>0.009999999999999787</x:v>
      </x:c>
      <x:c r="AB565" s="153" t="n">
        <x:v>2.34</x:v>
      </x:c>
      <x:c r="AC565" s="153" t="n">
        <x:v>119.9134</x:v>
      </x:c>
      <x:c r="AD565" s="155" t="n">
        <x:v>46183</x:v>
      </x:c>
      <x:c r="AE565" s="154" t="n">
        <x:f>IFERROR(AC565/AC564-1,"")</x:f>
        <x:v>-0.0004026285055980239</x:v>
      </x:c>
      <x:c r="AF565" s="153" t="n">
        <x:v>22.22</x:v>
      </x:c>
      <x:c r="AG565" s="155" t="n">
        <x:v>46183</x:v>
      </x:c>
      <x:c r="AH565" s="153" t="n">
        <x:f>IFERROR(AF565-AF564,"")</x:f>
        <x:v>2.349999999999998</x:v>
      </x:c>
      <x:c r="AI565" s="153" t="n">
        <x:v>3.62</x:v>
      </x:c>
      <x:c r="AJ565" s="155" t="n">
        <x:v>46178</x:v>
      </x:c>
      <x:c r="AK565" s="159" t="n">
        <x:v>112179</x:v>
      </x:c>
      <x:c r="AL565" s="154" t="n">
        <x:v>0.3440524824261161</x:v>
      </x:c>
      <x:c r="AM565" s="159" t="n">
        <x:v>-20154</x:v>
      </x:c>
      <x:c r="AN565" s="155" t="n">
        <x:v>46178</x:v>
      </x:c>
      <x:c r="AO565" s="159" t="n">
        <x:v>10444</x:v>
      </x:c>
      <x:c r="AP565" s="154" t="n">
        <x:v>0.10158643698508886</x:v>
      </x:c>
      <x:c r="AQ565" s="159" t="n">
        <x:v>-17993</x:v>
      </x:c>
      <x:c r="AR565" s="147" t="str">
        <x:v>美国市场指标与CFTC数据均使用严格早于上金所交易日的最后已发布值</x:v>
      </x:c>
    </x:row>
    <x:row r="566">
      <x:c r="A566" s="155" t="n">
        <x:v>46185</x:v>
      </x:c>
      <x:c r="B566" s="153" t="n">
        <x:v>888</x:v>
      </x:c>
      <x:c r="C566" s="153" t="n">
        <x:v>919</x:v>
      </x:c>
      <x:c r="D566" s="153" t="n">
        <x:v>885</x:v>
      </x:c>
      <x:c r="E566" s="153" t="n">
        <x:v>907.47</x:v>
      </x:c>
      <x:c r="F566" s="154" t="n">
        <x:f>IFERROR(E566/E565-1,"")</x:f>
        <x:v>0.012790035825493096</x:v>
      </x:c>
      <x:c r="G566" s="154" t="n">
        <x:f>IFERROR((C566-D566)/E565,"")</x:f>
        <x:v>0.037946005066907734</x:v>
      </x:c>
      <x:c r="H566" s="153" t="n">
        <x:v>909.89</x:v>
      </x:c>
      <x:c r="I566" s="158" t="n">
        <x:v>4877.64</x:v>
      </x:c>
      <x:c r="J566" s="158" t="n">
        <x:v>4438163757.4</x:v>
      </x:c>
      <x:c r="K566" s="158"/>
      <x:c r="L566" s="153" t="n">
        <x:v>15236</x:v>
      </x:c>
      <x:c r="M566" s="153" t="n">
        <x:v>16150</x:v>
      </x:c>
      <x:c r="N566" s="153" t="n">
        <x:v>15087</x:v>
      </x:c>
      <x:c r="O566" s="153" t="n">
        <x:v>15800</x:v>
      </x:c>
      <x:c r="P566" s="154" t="n">
        <x:f>IFERROR(O566/O565-1,"")</x:f>
        <x:v>0.023780211235663762</x:v>
      </x:c>
      <x:c r="Q566" s="154" t="n">
        <x:f>IFERROR((M566-N566)/O565,"")</x:f>
        <x:v>0.06887837750275384</x:v>
      </x:c>
      <x:c r="R566" s="153" t="n">
        <x:v>15854</x:v>
      </x:c>
      <x:c r="S566" s="158" t="n">
        <x:v>323470</x:v>
      </x:c>
      <x:c r="T566" s="158" t="n">
        <x:v>5128551946</x:v>
      </x:c>
      <x:c r="U566" s="158" t="n">
        <x:v>2972464</x:v>
      </x:c>
      <x:c r="V566" s="153" t="n">
        <x:f>IFERROR(E566*1000/O566,"")</x:f>
        <x:v>57.43481012658228</x:v>
      </x:c>
      <x:c r="W566" s="153" t="n">
        <x:v>4.45</x:v>
      </x:c>
      <x:c r="X566" s="155" t="n">
        <x:v>46184</x:v>
      </x:c>
      <x:c r="Y566" s="153" t="n">
        <x:v>2.16</x:v>
      </x:c>
      <x:c r="Z566" s="155" t="n">
        <x:v>46184</x:v>
      </x:c>
      <x:c r="AA566" s="153" t="n">
        <x:f>IFERROR(Y566-Y565,"")</x:f>
        <x:v>-0.04999999999999982</x:v>
      </x:c>
      <x:c r="AB566" s="153" t="n">
        <x:v>2.29</x:v>
      </x:c>
      <x:c r="AC566" s="153" t="n">
        <x:v>120.1174</x:v>
      </x:c>
      <x:c r="AD566" s="155" t="n">
        <x:v>46184</x:v>
      </x:c>
      <x:c r="AE566" s="154" t="n">
        <x:f>IFERROR(AC566/AC565-1,"")</x:f>
        <x:v>0.0017012277193375613</x:v>
      </x:c>
      <x:c r="AF566" s="153" t="n">
        <x:v>19.44</x:v>
      </x:c>
      <x:c r="AG566" s="155" t="n">
        <x:v>46184</x:v>
      </x:c>
      <x:c r="AH566" s="153" t="n">
        <x:f>IFERROR(AF566-AF565,"")</x:f>
        <x:v>-2.7799999999999976</x:v>
      </x:c>
      <x:c r="AI566" s="153" t="n">
        <x:v>3.62</x:v>
      </x:c>
      <x:c r="AJ566" s="155" t="n">
        <x:v>46178</x:v>
      </x:c>
      <x:c r="AK566" s="159" t="n">
        <x:v>112179</x:v>
      </x:c>
      <x:c r="AL566" s="154" t="n">
        <x:v>0.3440524824261161</x:v>
      </x:c>
      <x:c r="AM566" s="159" t="n">
        <x:v>-20154</x:v>
      </x:c>
      <x:c r="AN566" s="155" t="n">
        <x:v>46178</x:v>
      </x:c>
      <x:c r="AO566" s="159" t="n">
        <x:v>10444</x:v>
      </x:c>
      <x:c r="AP566" s="154" t="n">
        <x:v>0.10158643698508886</x:v>
      </x:c>
      <x:c r="AQ566" s="159" t="n">
        <x:v>-17993</x:v>
      </x:c>
      <x:c r="AR566" s="147" t="str">
        <x:v>美国市场指标与CFTC数据均使用严格早于上金所交易日的最后已发布值</x:v>
      </x:c>
    </x:row>
    <x:row r="567">
      <x:c r="A567" s="155" t="n">
        <x:v>46188</x:v>
      </x:c>
      <x:c r="B567" s="153" t="n">
        <x:v>912.6</x:v>
      </x:c>
      <x:c r="C567" s="153" t="n">
        <x:v>943</x:v>
      </x:c>
      <x:c r="D567" s="153" t="n">
        <x:v>909</x:v>
      </x:c>
      <x:c r="E567" s="153" t="n">
        <x:v>937.51</x:v>
      </x:c>
      <x:c r="F567" s="154" t="n">
        <x:f>IFERROR(E567/E566-1,"")</x:f>
        <x:v>0.03310302268945531</x:v>
      </x:c>
      <x:c r="G567" s="154" t="n">
        <x:f>IFERROR((C567-D567)/E566,"")</x:f>
        <x:v>0.03746680331030227</x:v>
      </x:c>
      <x:c r="H567" s="153" t="n">
        <x:v>938.07</x:v>
      </x:c>
      <x:c r="I567" s="158" t="n">
        <x:v>4288.52</x:v>
      </x:c>
      <x:c r="J567" s="158" t="n">
        <x:v>4022963068.8</x:v>
      </x:c>
      <x:c r="K567" s="158"/>
      <x:c r="L567" s="153" t="n">
        <x:v>16032</x:v>
      </x:c>
      <x:c r="M567" s="153" t="n">
        <x:v>17000</x:v>
      </x:c>
      <x:c r="N567" s="153" t="n">
        <x:v>15847</x:v>
      </x:c>
      <x:c r="O567" s="153" t="n">
        <x:v>16869</x:v>
      </x:c>
      <x:c r="P567" s="154" t="n">
        <x:f>IFERROR(O567/O566-1,"")</x:f>
        <x:v>0.06765822784810127</x:v>
      </x:c>
      <x:c r="Q567" s="154" t="n">
        <x:f>IFERROR((M567-N567)/O566,"")</x:f>
        <x:v>0.0729746835443038</x:v>
      </x:c>
      <x:c r="R567" s="153" t="n">
        <x:v>16736</x:v>
      </x:c>
      <x:c r="S567" s="158" t="n">
        <x:v>280886</x:v>
      </x:c>
      <x:c r="T567" s="158" t="n">
        <x:v>4700972618</x:v>
      </x:c>
      <x:c r="U567" s="158" t="n">
        <x:v>2897840</x:v>
      </x:c>
      <x:c r="V567" s="153" t="n">
        <x:f>IFERROR(E567*1000/O567,"")</x:f>
        <x:v>55.57590847116012</x:v>
      </x:c>
      <x:c r="W567" s="153" t="n">
        <x:v>4.48</x:v>
      </x:c>
      <x:c r="X567" s="155" t="n">
        <x:v>46185</x:v>
      </x:c>
      <x:c r="Y567" s="153" t="n">
        <x:v>2.17</x:v>
      </x:c>
      <x:c r="Z567" s="155" t="n">
        <x:v>46185</x:v>
      </x:c>
      <x:c r="AA567" s="153" t="n">
        <x:f>IFERROR(Y567-Y566,"")</x:f>
        <x:v>0.009999999999999787</x:v>
      </x:c>
      <x:c r="AB567" s="153" t="n">
        <x:v>2.31</x:v>
      </x:c>
      <x:c r="AC567" s="153" t="n">
        <x:v>119.5073</x:v>
      </x:c>
      <x:c r="AD567" s="155" t="n">
        <x:v>46185</x:v>
      </x:c>
      <x:c r="AE567" s="154" t="n">
        <x:f>IFERROR(AC567/AC566-1,"")</x:f>
        <x:v>-0.0050791975184277804</x:v>
      </x:c>
      <x:c r="AF567" s="153" t="n">
        <x:v>17.68</x:v>
      </x:c>
      <x:c r="AG567" s="155" t="n">
        <x:v>46185</x:v>
      </x:c>
      <x:c r="AH567" s="153" t="n">
        <x:f>IFERROR(AF567-AF566,"")</x:f>
        <x:v>-1.7600000000000016</x:v>
      </x:c>
      <x:c r="AI567" s="153" t="n">
        <x:v>3.62</x:v>
      </x:c>
      <x:c r="AJ567" s="155" t="n">
        <x:v>46185</x:v>
      </x:c>
      <x:c r="AK567" s="159" t="n">
        <x:v>105863</x:v>
      </x:c>
      <x:c r="AL567" s="154" t="n">
        <x:v>0.31818496043088706</x:v>
      </x:c>
      <x:c r="AM567" s="159" t="n">
        <x:v>-19300</x:v>
      </x:c>
      <x:c r="AN567" s="155" t="n">
        <x:v>46185</x:v>
      </x:c>
      <x:c r="AO567" s="159" t="n">
        <x:v>10403</x:v>
      </x:c>
      <x:c r="AP567" s="154" t="n">
        <x:v>0.10057037896365043</x:v>
      </x:c>
      <x:c r="AQ567" s="159" t="n">
        <x:v>-16659</x:v>
      </x:c>
      <x:c r="AR567" s="147" t="str">
        <x:v>美国市场指标与CFTC数据均使用严格早于上金所交易日的最后已发布值</x:v>
      </x:c>
    </x:row>
    <x:row r="568">
      <x:c r="A568" s="155" t="n">
        <x:v>46189</x:v>
      </x:c>
      <x:c r="B568" s="153" t="n">
        <x:v>945</x:v>
      </x:c>
      <x:c r="C568" s="153" t="n">
        <x:v>948.6</x:v>
      </x:c>
      <x:c r="D568" s="153" t="n">
        <x:v>936.7</x:v>
      </x:c>
      <x:c r="E568" s="153" t="n">
        <x:v>940.48</x:v>
      </x:c>
      <x:c r="F568" s="154" t="n">
        <x:f>IFERROR(E568/E567-1,"")</x:f>
        <x:v>0.003167966208360573</x:v>
      </x:c>
      <x:c r="G568" s="154" t="n">
        <x:f>IFERROR((C568-D568)/E567,"")</x:f>
        <x:v>0.012693197939221957</x:v>
      </x:c>
      <x:c r="H568" s="153" t="n">
        <x:v>939.04</x:v>
      </x:c>
      <x:c r="I568" s="158" t="n">
        <x:v>4402.28</x:v>
      </x:c>
      <x:c r="J568" s="158" t="n">
        <x:v>4133937007.8</x:v>
      </x:c>
      <x:c r="K568" s="158"/>
      <x:c r="L568" s="153" t="n">
        <x:v>17000</x:v>
      </x:c>
      <x:c r="M568" s="153" t="n">
        <x:v>17083</x:v>
      </x:c>
      <x:c r="N568" s="153" t="n">
        <x:v>16507</x:v>
      </x:c>
      <x:c r="O568" s="153" t="n">
        <x:v>16658</x:v>
      </x:c>
      <x:c r="P568" s="154" t="n">
        <x:f>IFERROR(O568/O567-1,"")</x:f>
        <x:v>-0.012508151046297988</x:v>
      </x:c>
      <x:c r="Q568" s="154" t="n">
        <x:f>IFERROR((M568-N568)/O567,"")</x:f>
        <x:v>0.03414547394629201</x:v>
      </x:c>
      <x:c r="R568" s="153" t="n">
        <x:v>16692</x:v>
      </x:c>
      <x:c r="S568" s="158" t="n">
        <x:v>244924</x:v>
      </x:c>
      <x:c r="T568" s="158" t="n">
        <x:v>4088465696</x:v>
      </x:c>
      <x:c r="U568" s="158" t="n">
        <x:v>2834550</x:v>
      </x:c>
      <x:c r="V568" s="153" t="n">
        <x:f>IFERROR(E568*1000/O568,"")</x:f>
        <x:v>56.45815824228599</x:v>
      </x:c>
      <x:c r="W568" s="153" t="n">
        <x:v>4.47</x:v>
      </x:c>
      <x:c r="X568" s="155" t="n">
        <x:v>46188</x:v>
      </x:c>
      <x:c r="Y568" s="153" t="n">
        <x:v>2.15</x:v>
      </x:c>
      <x:c r="Z568" s="155" t="n">
        <x:v>46188</x:v>
      </x:c>
      <x:c r="AA568" s="153" t="n">
        <x:f>IFERROR(Y568-Y567,"")</x:f>
        <x:v>-0.020000000000000018</x:v>
      </x:c>
      <x:c r="AB568" s="153" t="n">
        <x:v>2.32</x:v>
      </x:c>
      <x:c r="AC568" s="153" t="n">
        <x:v>119.3158</x:v>
      </x:c>
      <x:c r="AD568" s="155" t="n">
        <x:v>46188</x:v>
      </x:c>
      <x:c r="AE568" s="154" t="n">
        <x:f>IFERROR(AC568/AC567-1,"")</x:f>
        <x:v>-0.001602412572286438</x:v>
      </x:c>
      <x:c r="AF568" s="153" t="n">
        <x:v>16.2</x:v>
      </x:c>
      <x:c r="AG568" s="155" t="n">
        <x:v>46188</x:v>
      </x:c>
      <x:c r="AH568" s="153" t="n">
        <x:f>IFERROR(AF568-AF567,"")</x:f>
        <x:v>-1.4800000000000004</x:v>
      </x:c>
      <x:c r="AI568" s="153" t="n">
        <x:v>3.63</x:v>
      </x:c>
      <x:c r="AJ568" s="155" t="n">
        <x:v>46185</x:v>
      </x:c>
      <x:c r="AK568" s="159" t="n">
        <x:v>105863</x:v>
      </x:c>
      <x:c r="AL568" s="154" t="n">
        <x:v>0.31818496043088706</x:v>
      </x:c>
      <x:c r="AM568" s="159" t="n">
        <x:v>-19300</x:v>
      </x:c>
      <x:c r="AN568" s="155" t="n">
        <x:v>46185</x:v>
      </x:c>
      <x:c r="AO568" s="159" t="n">
        <x:v>10403</x:v>
      </x:c>
      <x:c r="AP568" s="154" t="n">
        <x:v>0.10057037896365043</x:v>
      </x:c>
      <x:c r="AQ568" s="159" t="n">
        <x:v>-16659</x:v>
      </x:c>
      <x:c r="AR568" s="147" t="str">
        <x:v>美国市场指标与CFTC数据均使用严格早于上金所交易日的最后已发布值</x:v>
      </x:c>
    </x:row>
    <x:row r="569">
      <x:c r="A569" s="155" t="n">
        <x:v>46190</x:v>
      </x:c>
      <x:c r="B569" s="153" t="n">
        <x:v>941</x:v>
      </x:c>
      <x:c r="C569" s="153" t="n">
        <x:v>945.8</x:v>
      </x:c>
      <x:c r="D569" s="153" t="n">
        <x:v>937</x:v>
      </x:c>
      <x:c r="E569" s="153" t="n">
        <x:v>939.18</x:v>
      </x:c>
      <x:c r="F569" s="154" t="n">
        <x:f>IFERROR(E569/E568-1,"")</x:f>
        <x:v>-0.0013822728819327113</x:v>
      </x:c>
      <x:c r="G569" s="154" t="n">
        <x:f>IFERROR((C569-D569)/E568,"")</x:f>
        <x:v>0.009356924123851602</x:v>
      </x:c>
      <x:c r="H569" s="153" t="n">
        <x:v>940.6</x:v>
      </x:c>
      <x:c r="I569" s="158" t="n">
        <x:v>4105.38</x:v>
      </x:c>
      <x:c r="J569" s="158" t="n">
        <x:v>3861525148.2</x:v>
      </x:c>
      <x:c r="K569" s="158"/>
      <x:c r="L569" s="153" t="n">
        <x:v>16830</x:v>
      </x:c>
      <x:c r="M569" s="153" t="n">
        <x:v>17002</x:v>
      </x:c>
      <x:c r="N569" s="153" t="n">
        <x:v>16601</x:v>
      </x:c>
      <x:c r="O569" s="153" t="n">
        <x:v>16775</x:v>
      </x:c>
      <x:c r="P569" s="154" t="n">
        <x:f>IFERROR(O569/O568-1,"")</x:f>
        <x:v>0.0070236522991955486</x:v>
      </x:c>
      <x:c r="Q569" s="154" t="n">
        <x:f>IFERROR((M569-N569)/O568,"")</x:f>
        <x:v>0.024072517709208787</x:v>
      </x:c>
      <x:c r="R569" s="153" t="n">
        <x:v>16781</x:v>
      </x:c>
      <x:c r="S569" s="158" t="n">
        <x:v>245300</x:v>
      </x:c>
      <x:c r="T569" s="158" t="n">
        <x:v>4116478122</x:v>
      </x:c>
      <x:c r="U569" s="158" t="n">
        <x:v>2801454</x:v>
      </x:c>
      <x:c r="V569" s="153" t="n">
        <x:f>IFERROR(E569*1000/O569,"")</x:f>
        <x:v>55.98688524590164</x:v>
      </x:c>
      <x:c r="W569" s="153" t="n">
        <x:v>4.43</x:v>
      </x:c>
      <x:c r="X569" s="155" t="n">
        <x:v>46189</x:v>
      </x:c>
      <x:c r="Y569" s="153" t="n">
        <x:v>2.14</x:v>
      </x:c>
      <x:c r="Z569" s="155" t="n">
        <x:v>46189</x:v>
      </x:c>
      <x:c r="AA569" s="153" t="n">
        <x:f>IFERROR(Y569-Y568,"")</x:f>
        <x:v>-0.009999999999999787</x:v>
      </x:c>
      <x:c r="AB569" s="153" t="n">
        <x:v>2.29</x:v>
      </x:c>
      <x:c r="AC569" s="153" t="n">
        <x:v>119.256</x:v>
      </x:c>
      <x:c r="AD569" s="155" t="n">
        <x:v>46189</x:v>
      </x:c>
      <x:c r="AE569" s="154" t="n">
        <x:f>IFERROR(AC569/AC568-1,"")</x:f>
        <x:v>-0.0005011909571071005</x:v>
      </x:c>
      <x:c r="AF569" s="153" t="n">
        <x:v>16.41</x:v>
      </x:c>
      <x:c r="AG569" s="155" t="n">
        <x:v>46189</x:v>
      </x:c>
      <x:c r="AH569" s="153" t="n">
        <x:f>IFERROR(AF569-AF568,"")</x:f>
        <x:v>0.21000000000000085</x:v>
      </x:c>
      <x:c r="AI569" s="153" t="n">
        <x:v>3.63</x:v>
      </x:c>
      <x:c r="AJ569" s="155" t="n">
        <x:v>46185</x:v>
      </x:c>
      <x:c r="AK569" s="159" t="n">
        <x:v>105863</x:v>
      </x:c>
      <x:c r="AL569" s="154" t="n">
        <x:v>0.31818496043088706</x:v>
      </x:c>
      <x:c r="AM569" s="159" t="n">
        <x:v>-19300</x:v>
      </x:c>
      <x:c r="AN569" s="155" t="n">
        <x:v>46185</x:v>
      </x:c>
      <x:c r="AO569" s="159" t="n">
        <x:v>10403</x:v>
      </x:c>
      <x:c r="AP569" s="154" t="n">
        <x:v>0.10057037896365043</x:v>
      </x:c>
      <x:c r="AQ569" s="159" t="n">
        <x:v>-16659</x:v>
      </x:c>
      <x:c r="AR569" s="147" t="str">
        <x:v>美国市场指标与CFTC数据均使用严格早于上金所交易日的最后已发布值</x:v>
      </x:c>
    </x:row>
    <x:row r="570">
      <x:c r="A570" s="155" t="n">
        <x:v>46191</x:v>
      </x:c>
      <x:c r="B570" s="153" t="n">
        <x:v>939</x:v>
      </x:c>
      <x:c r="C570" s="153" t="n">
        <x:v>950</x:v>
      </x:c>
      <x:c r="D570" s="153" t="n">
        <x:v>933.33</x:v>
      </x:c>
      <x:c r="E570" s="153" t="n">
        <x:v>935.86</x:v>
      </x:c>
      <x:c r="F570" s="154" t="n">
        <x:f>IFERROR(E570/E569-1,"")</x:f>
        <x:v>-0.0035349986158137447</x:v>
      </x:c>
      <x:c r="G570" s="154" t="n">
        <x:f>IFERROR((C570-D570)/E569,"")</x:f>
        <x:v>0.017749526182414405</x:v>
      </x:c>
      <x:c r="H570" s="153" t="n">
        <x:v>937.33</x:v>
      </x:c>
      <x:c r="I570" s="158" t="n">
        <x:v>3475.1</x:v>
      </x:c>
      <x:c r="J570" s="158" t="n">
        <x:v>3257344474.2</x:v>
      </x:c>
      <x:c r="K570" s="158"/>
      <x:c r="L570" s="153" t="n">
        <x:v>16693</x:v>
      </x:c>
      <x:c r="M570" s="153" t="n">
        <x:v>17185</x:v>
      </x:c>
      <x:c r="N570" s="153" t="n">
        <x:v>16322</x:v>
      </x:c>
      <x:c r="O570" s="153" t="n">
        <x:v>16422</x:v>
      </x:c>
      <x:c r="P570" s="154" t="n">
        <x:f>IFERROR(O570/O569-1,"")</x:f>
        <x:v>-0.021043219076005926</x:v>
      </x:c>
      <x:c r="Q570" s="154" t="n">
        <x:f>IFERROR((M570-N570)/O569,"")</x:f>
        <x:v>0.05144560357675112</x:v>
      </x:c>
      <x:c r="R570" s="153" t="n">
        <x:v>16584</x:v>
      </x:c>
      <x:c r="S570" s="158" t="n">
        <x:v>297788</x:v>
      </x:c>
      <x:c r="T570" s="158" t="n">
        <x:v>4938772342</x:v>
      </x:c>
      <x:c r="U570" s="158" t="n">
        <x:v>2738398</x:v>
      </x:c>
      <x:c r="V570" s="153" t="n">
        <x:f>IFERROR(E570*1000/O570,"")</x:f>
        <x:v>56.988186578979416</x:v>
      </x:c>
      <x:c r="W570" s="153" t="n">
        <x:v>4.49</x:v>
      </x:c>
      <x:c r="X570" s="155" t="n">
        <x:v>46190</x:v>
      </x:c>
      <x:c r="Y570" s="153" t="n">
        <x:v>2.23</x:v>
      </x:c>
      <x:c r="Z570" s="155" t="n">
        <x:v>46190</x:v>
      </x:c>
      <x:c r="AA570" s="153" t="n">
        <x:f>IFERROR(Y570-Y569,"")</x:f>
        <x:v>0.08999999999999986</x:v>
      </x:c>
      <x:c r="AB570" s="153" t="n">
        <x:v>2.26</x:v>
      </x:c>
      <x:c r="AC570" s="153" t="n">
        <x:v>119.3871</x:v>
      </x:c>
      <x:c r="AD570" s="155" t="n">
        <x:v>46190</x:v>
      </x:c>
      <x:c r="AE570" s="154" t="n">
        <x:f>IFERROR(AC570/AC569-1,"")</x:f>
        <x:v>0.0010993157576977275</x:v>
      </x:c>
      <x:c r="AF570" s="153" t="n">
        <x:v>18.44</x:v>
      </x:c>
      <x:c r="AG570" s="155" t="n">
        <x:v>46190</x:v>
      </x:c>
      <x:c r="AH570" s="153" t="n">
        <x:f>IFERROR(AF570-AF569,"")</x:f>
        <x:v>2.030000000000001</x:v>
      </x:c>
      <x:c r="AI570" s="153" t="n">
        <x:v>3.63</x:v>
      </x:c>
      <x:c r="AJ570" s="155" t="n">
        <x:v>46185</x:v>
      </x:c>
      <x:c r="AK570" s="159" t="n">
        <x:v>105863</x:v>
      </x:c>
      <x:c r="AL570" s="154" t="n">
        <x:v>0.31818496043088706</x:v>
      </x:c>
      <x:c r="AM570" s="159" t="n">
        <x:v>-19300</x:v>
      </x:c>
      <x:c r="AN570" s="155" t="n">
        <x:v>46185</x:v>
      </x:c>
      <x:c r="AO570" s="159" t="n">
        <x:v>10403</x:v>
      </x:c>
      <x:c r="AP570" s="154" t="n">
        <x:v>0.10057037896365043</x:v>
      </x:c>
      <x:c r="AQ570" s="159" t="n">
        <x:v>-16659</x:v>
      </x:c>
      <x:c r="AR570" s="147" t="str">
        <x:v>美国市场指标与CFTC数据均使用严格早于上金所交易日的最后已发布值</x:v>
      </x:c>
    </x:row>
    <x:row r="571">
      <x:c r="A571" s="155" t="n">
        <x:v>46195</x:v>
      </x:c>
      <x:c r="B571" s="153" t="n">
        <x:v>917.5</x:v>
      </x:c>
      <x:c r="C571" s="153" t="n">
        <x:v>920</x:v>
      </x:c>
      <x:c r="D571" s="153" t="n">
        <x:v>908.01</x:v>
      </x:c>
      <x:c r="E571" s="153" t="n">
        <x:v>914.35</x:v>
      </x:c>
      <x:c r="F571" s="154" t="n">
        <x:f>IFERROR(E571/E570-1,"")</x:f>
        <x:v>-0.022984207039514426</x:v>
      </x:c>
      <x:c r="G571" s="154" t="n">
        <x:f>IFERROR((C571-D571)/E570,"")</x:f>
        <x:v>0.0128117453465262</x:v>
      </x:c>
      <x:c r="H571" s="153" t="n">
        <x:v>913.89</x:v>
      </x:c>
      <x:c r="I571" s="158" t="n">
        <x:v>5772.12</x:v>
      </x:c>
      <x:c r="J571" s="158" t="n">
        <x:v>5275112734.6</x:v>
      </x:c>
      <x:c r="K571" s="158"/>
      <x:c r="L571" s="153" t="n">
        <x:v>16050</x:v>
      </x:c>
      <x:c r="M571" s="153" t="n">
        <x:v>16151</x:v>
      </x:c>
      <x:c r="N571" s="153" t="n">
        <x:v>15701</x:v>
      </x:c>
      <x:c r="O571" s="153" t="n">
        <x:v>15991</x:v>
      </x:c>
      <x:c r="P571" s="154" t="n">
        <x:f>IFERROR(O571/O570-1,"")</x:f>
        <x:v>-0.026245280720984088</x:v>
      </x:c>
      <x:c r="Q571" s="154" t="n">
        <x:f>IFERROR((M571-N571)/O570,"")</x:f>
        <x:v>0.02740226525392766</x:v>
      </x:c>
      <x:c r="R571" s="153" t="n">
        <x:v>15905</x:v>
      </x:c>
      <x:c r="S571" s="158" t="n">
        <x:v>470506</x:v>
      </x:c>
      <x:c r="T571" s="158" t="n">
        <x:v>7483744916</x:v>
      </x:c>
      <x:c r="U571" s="158" t="n">
        <x:v>2731950</x:v>
      </x:c>
      <x:c r="V571" s="153" t="n">
        <x:f>IFERROR(E571*1000/O571,"")</x:f>
        <x:v>57.17903820899256</x:v>
      </x:c>
      <x:c r="W571" s="153" t="n">
        <x:v>4.46</x:v>
      </x:c>
      <x:c r="X571" s="155" t="n">
        <x:v>46191</x:v>
      </x:c>
      <x:c r="Y571" s="153" t="n">
        <x:v>2.21</x:v>
      </x:c>
      <x:c r="Z571" s="155" t="n">
        <x:v>46191</x:v>
      </x:c>
      <x:c r="AA571" s="153" t="n">
        <x:f>IFERROR(Y571-Y570,"")</x:f>
        <x:v>-0.020000000000000018</x:v>
      </x:c>
      <x:c r="AB571" s="153" t="n">
        <x:v>2.25</x:v>
      </x:c>
      <x:c r="AC571" s="153" t="n">
        <x:v>120.3958</x:v>
      </x:c>
      <x:c r="AD571" s="155" t="n">
        <x:v>46191</x:v>
      </x:c>
      <x:c r="AE571" s="154" t="n">
        <x:f>IFERROR(AC571/AC570-1,"")</x:f>
        <x:v>0.008448986532045621</x:v>
      </x:c>
      <x:c r="AF571" s="153" t="n">
        <x:v>16.78</x:v>
      </x:c>
      <x:c r="AG571" s="155" t="n">
        <x:v>46192</x:v>
      </x:c>
      <x:c r="AH571" s="153" t="n">
        <x:f>IFERROR(AF571-AF570,"")</x:f>
        <x:v>-1.6600000000000001</x:v>
      </x:c>
      <x:c r="AI571" s="153" t="n">
        <x:v>3.63</x:v>
      </x:c>
      <x:c r="AJ571" s="155" t="n">
        <x:v>46192</x:v>
      </x:c>
      <x:c r="AK571" s="159" t="n">
        <x:v>113721</x:v>
      </x:c>
      <x:c r="AL571" s="154" t="n">
        <x:v>0.33513394041198835</x:v>
      </x:c>
      <x:c r="AM571" s="159" t="n">
        <x:v>-17047</x:v>
      </x:c>
      <x:c r="AN571" s="155" t="n">
        <x:v>46192</x:v>
      </x:c>
      <x:c r="AO571" s="159" t="n">
        <x:v>12885</x:v>
      </x:c>
      <x:c r="AP571" s="154" t="n">
        <x:v>0.11961455983512964</x:v>
      </x:c>
      <x:c r="AQ571" s="159" t="n">
        <x:v>-16612</x:v>
      </x:c>
      <x:c r="AR571" s="147" t="str">
        <x:v>美国市场指标与CFTC数据均使用严格早于上金所交易日的最后已发布值</x:v>
      </x:c>
    </x:row>
    <x:row r="572">
      <x:c r="A572" s="155" t="n">
        <x:v>46196</x:v>
      </x:c>
      <x:c r="B572" s="153" t="n">
        <x:v>918.99</x:v>
      </x:c>
      <x:c r="C572" s="153" t="n">
        <x:v>918.99</x:v>
      </x:c>
      <x:c r="D572" s="153" t="n">
        <x:v>896.01</x:v>
      </x:c>
      <x:c r="E572" s="153" t="n">
        <x:v>898.93</x:v>
      </x:c>
      <x:c r="F572" s="154" t="n">
        <x:f>IFERROR(E572/E571-1,"")</x:f>
        <x:v>-0.01686443921911751</x:v>
      </x:c>
      <x:c r="G572" s="154" t="n">
        <x:f>IFERROR((C572-D572)/E571,"")</x:f>
        <x:v>0.025132607863509616</x:v>
      </x:c>
      <x:c r="H572" s="153" t="n">
        <x:v>901.08</x:v>
      </x:c>
      <x:c r="I572" s="158" t="n">
        <x:v>5464.34</x:v>
      </x:c>
      <x:c r="J572" s="158" t="n">
        <x:v>4923855647</x:v>
      </x:c>
      <x:c r="K572" s="158"/>
      <x:c r="L572" s="153" t="n">
        <x:v>15989</x:v>
      </x:c>
      <x:c r="M572" s="153" t="n">
        <x:v>16078</x:v>
      </x:c>
      <x:c r="N572" s="153" t="n">
        <x:v>14928</x:v>
      </x:c>
      <x:c r="O572" s="153" t="n">
        <x:v>15033</x:v>
      </x:c>
      <x:c r="P572" s="154" t="n">
        <x:f>IFERROR(O572/O571-1,"")</x:f>
        <x:v>-0.059908698642986646</x:v>
      </x:c>
      <x:c r="Q572" s="154" t="n">
        <x:f>IFERROR((M572-N572)/O571,"")</x:f>
        <x:v>0.07191545244199862</x:v>
      </x:c>
      <x:c r="R572" s="153" t="n">
        <x:v>15247</x:v>
      </x:c>
      <x:c r="S572" s="158" t="n">
        <x:v>381622</x:v>
      </x:c>
      <x:c r="T572" s="158" t="n">
        <x:v>5818934518</x:v>
      </x:c>
      <x:c r="U572" s="158" t="n">
        <x:v>2730578</x:v>
      </x:c>
      <x:c r="V572" s="153" t="n">
        <x:f>IFERROR(E572*1000/O572,"")</x:f>
        <x:v>59.797113018027005</x:v>
      </x:c>
      <x:c r="W572" s="153" t="n">
        <x:v>4.51</x:v>
      </x:c>
      <x:c r="X572" s="155" t="n">
        <x:v>46195</x:v>
      </x:c>
      <x:c r="Y572" s="153" t="n">
        <x:v>2.28</x:v>
      </x:c>
      <x:c r="Z572" s="155" t="n">
        <x:v>46195</x:v>
      </x:c>
      <x:c r="AA572" s="153" t="n">
        <x:f>IFERROR(Y572-Y571,"")</x:f>
        <x:v>0.06999999999999984</x:v>
      </x:c>
      <x:c r="AB572" s="153" t="n">
        <x:v>2.23</x:v>
      </x:c>
      <x:c r="AC572" s="153" t="n">
        <x:v>120.5463</x:v>
      </x:c>
      <x:c r="AD572" s="155" t="n">
        <x:v>46195</x:v>
      </x:c>
      <x:c r="AE572" s="154" t="n">
        <x:f>IFERROR(AC572/AC571-1,"")</x:f>
        <x:v>0.001250043606172424</x:v>
      </x:c>
      <x:c r="AF572" s="153" t="n">
        <x:v>17.28</x:v>
      </x:c>
      <x:c r="AG572" s="155" t="n">
        <x:v>46195</x:v>
      </x:c>
      <x:c r="AH572" s="153" t="n">
        <x:f>IFERROR(AF572-AF571,"")</x:f>
        <x:v>0.5</x:v>
      </x:c>
      <x:c r="AI572" s="153" t="n">
        <x:v>3.63</x:v>
      </x:c>
      <x:c r="AJ572" s="155" t="n">
        <x:v>46192</x:v>
      </x:c>
      <x:c r="AK572" s="159" t="n">
        <x:v>113721</x:v>
      </x:c>
      <x:c r="AL572" s="154" t="n">
        <x:v>0.33513394041198835</x:v>
      </x:c>
      <x:c r="AM572" s="159" t="n">
        <x:v>-17047</x:v>
      </x:c>
      <x:c r="AN572" s="155" t="n">
        <x:v>46192</x:v>
      </x:c>
      <x:c r="AO572" s="159" t="n">
        <x:v>12885</x:v>
      </x:c>
      <x:c r="AP572" s="154" t="n">
        <x:v>0.11961455983512964</x:v>
      </x:c>
      <x:c r="AQ572" s="159" t="n">
        <x:v>-16612</x:v>
      </x:c>
      <x:c r="AR572" s="147" t="str">
        <x:v>美国市场指标与CFTC数据均使用严格早于上金所交易日的最后已发布值</x:v>
      </x:c>
    </x:row>
    <x:row r="573">
      <x:c r="A573" s="155" t="n">
        <x:v>46197</x:v>
      </x:c>
      <x:c r="B573" s="153" t="n">
        <x:v>900</x:v>
      </x:c>
      <x:c r="C573" s="153" t="n">
        <x:v>904.6</x:v>
      </x:c>
      <x:c r="D573" s="153" t="n">
        <x:v>885</x:v>
      </x:c>
      <x:c r="E573" s="153" t="n">
        <x:v>894.39</x:v>
      </x:c>
      <x:c r="F573" s="154" t="n">
        <x:f>IFERROR(E573/E572-1,"")</x:f>
        <x:v>-0.005050448866986246</x:v>
      </x:c>
      <x:c r="G573" s="154" t="n">
        <x:f>IFERROR((C573-D573)/E572,"")</x:f>
        <x:v>0.021803699954390247</x:v>
      </x:c>
      <x:c r="H573" s="153" t="n">
        <x:v>891.59</x:v>
      </x:c>
      <x:c r="I573" s="158" t="n">
        <x:v>6070.88</x:v>
      </x:c>
      <x:c r="J573" s="158" t="n">
        <x:v>5412758313.6</x:v>
      </x:c>
      <x:c r="K573" s="158"/>
      <x:c r="L573" s="153" t="n">
        <x:v>15000</x:v>
      </x:c>
      <x:c r="M573" s="153" t="n">
        <x:v>15010</x:v>
      </x:c>
      <x:c r="N573" s="153" t="n">
        <x:v>14582</x:v>
      </x:c>
      <x:c r="O573" s="153" t="n">
        <x:v>14906</x:v>
      </x:c>
      <x:c r="P573" s="154" t="n">
        <x:f>IFERROR(O573/O572-1,"")</x:f>
        <x:v>-0.008448080888711518</x:v>
      </x:c>
      <x:c r="Q573" s="154" t="n">
        <x:f>IFERROR((M573-N573)/O572,"")</x:f>
        <x:v>0.028470697798177343</x:v>
      </x:c>
      <x:c r="R573" s="153" t="n">
        <x:v>14825</x:v>
      </x:c>
      <x:c r="S573" s="158" t="n">
        <x:v>367348</x:v>
      </x:c>
      <x:c r="T573" s="158" t="n">
        <x:v>5446200152</x:v>
      </x:c>
      <x:c r="U573" s="158" t="n">
        <x:v>2764350</x:v>
      </x:c>
      <x:c r="V573" s="153" t="n">
        <x:f>IFERROR(E573*1000/O573,"")</x:f>
        <x:v>60.002012612370855</x:v>
      </x:c>
      <x:c r="W573" s="153" t="n">
        <x:v>4.5</x:v>
      </x:c>
      <x:c r="X573" s="155" t="n">
        <x:v>46196</x:v>
      </x:c>
      <x:c r="Y573" s="153" t="n">
        <x:v>2.29</x:v>
      </x:c>
      <x:c r="Z573" s="155" t="n">
        <x:v>46196</x:v>
      </x:c>
      <x:c r="AA573" s="153" t="n">
        <x:f>IFERROR(Y573-Y572,"")</x:f>
        <x:v>0.010000000000000231</x:v>
      </x:c>
      <x:c r="AB573" s="153" t="n">
        <x:v>2.21</x:v>
      </x:c>
      <x:c r="AC573" s="153" t="n">
        <x:v>121.0552</x:v>
      </x:c>
      <x:c r="AD573" s="155" t="n">
        <x:v>46196</x:v>
      </x:c>
      <x:c r="AE573" s="154" t="n">
        <x:f>IFERROR(AC573/AC572-1,"")</x:f>
        <x:v>0.004221614433624232</x:v>
      </x:c>
      <x:c r="AF573" s="153" t="n">
        <x:v>19.49</x:v>
      </x:c>
      <x:c r="AG573" s="155" t="n">
        <x:v>46196</x:v>
      </x:c>
      <x:c r="AH573" s="153" t="n">
        <x:f>IFERROR(AF573-AF572,"")</x:f>
        <x:v>2.2099999999999973</x:v>
      </x:c>
      <x:c r="AI573" s="153" t="n">
        <x:v>3.63</x:v>
      </x:c>
      <x:c r="AJ573" s="155" t="n">
        <x:v>46192</x:v>
      </x:c>
      <x:c r="AK573" s="159" t="n">
        <x:v>113721</x:v>
      </x:c>
      <x:c r="AL573" s="154" t="n">
        <x:v>0.33513394041198835</x:v>
      </x:c>
      <x:c r="AM573" s="159" t="n">
        <x:v>-17047</x:v>
      </x:c>
      <x:c r="AN573" s="155" t="n">
        <x:v>46192</x:v>
      </x:c>
      <x:c r="AO573" s="159" t="n">
        <x:v>12885</x:v>
      </x:c>
      <x:c r="AP573" s="154" t="n">
        <x:v>0.11961455983512964</x:v>
      </x:c>
      <x:c r="AQ573" s="159" t="n">
        <x:v>-16612</x:v>
      </x:c>
      <x:c r="AR573" s="147" t="str">
        <x:v>美国市场指标与CFTC数据均使用严格早于上金所交易日的最后已发布值</x:v>
      </x:c>
    </x:row>
    <x:row r="574">
      <x:c r="A574" s="155" t="n">
        <x:v>46198</x:v>
      </x:c>
      <x:c r="B574" s="153" t="n">
        <x:v>887</x:v>
      </x:c>
      <x:c r="C574" s="153" t="n">
        <x:v>888</x:v>
      </x:c>
      <x:c r="D574" s="153" t="n">
        <x:v>867</x:v>
      </x:c>
      <x:c r="E574" s="153" t="n">
        <x:v>874.95</x:v>
      </x:c>
      <x:c r="F574" s="154" t="n">
        <x:f>IFERROR(E574/E573-1,"")</x:f>
        <x:v>-0.021735484520175707</x:v>
      </x:c>
      <x:c r="G574" s="154" t="n">
        <x:f>IFERROR((C574-D574)/E573,"")</x:f>
        <x:v>0.023479690068091103</x:v>
      </x:c>
      <x:c r="H574" s="153" t="n">
        <x:v>871.91</x:v>
      </x:c>
      <x:c r="I574" s="158" t="n">
        <x:v>7526.54</x:v>
      </x:c>
      <x:c r="J574" s="158" t="n">
        <x:v>6562477383.6</x:v>
      </x:c>
      <x:c r="K574" s="158"/>
      <x:c r="L574" s="153" t="n">
        <x:v>14449</x:v>
      </x:c>
      <x:c r="M574" s="153" t="n">
        <x:v>14449</x:v>
      </x:c>
      <x:c r="N574" s="153" t="n">
        <x:v>13535</x:v>
      </x:c>
      <x:c r="O574" s="153" t="n">
        <x:v>13813</x:v>
      </x:c>
      <x:c r="P574" s="154" t="n">
        <x:f>IFERROR(O574/O573-1,"")</x:f>
        <x:v>-0.07332617737823699</x:v>
      </x:c>
      <x:c r="Q574" s="154" t="n">
        <x:f>IFERROR((M574-N574)/O573,"")</x:f>
        <x:v>0.06131759023212129</x:v>
      </x:c>
      <x:c r="R574" s="153" t="n">
        <x:v>13923</x:v>
      </x:c>
      <x:c r="S574" s="158" t="n">
        <x:v>329402</x:v>
      </x:c>
      <x:c r="T574" s="158" t="n">
        <x:v>4586388624</x:v>
      </x:c>
      <x:c r="U574" s="158" t="n">
        <x:v>2784980</x:v>
      </x:c>
      <x:c r="V574" s="153" t="n">
        <x:f>IFERROR(E574*1000/O574,"")</x:f>
        <x:v>63.34250343878955</x:v>
      </x:c>
      <x:c r="W574" s="153" t="n">
        <x:v>4.41</x:v>
      </x:c>
      <x:c r="X574" s="155" t="n">
        <x:v>46197</x:v>
      </x:c>
      <x:c r="Y574" s="153" t="n">
        <x:v>2.23</x:v>
      </x:c>
      <x:c r="Z574" s="155" t="n">
        <x:v>46197</x:v>
      </x:c>
      <x:c r="AA574" s="153" t="n">
        <x:f>IFERROR(Y574-Y573,"")</x:f>
        <x:v>-0.06000000000000005</x:v>
      </x:c>
      <x:c r="AB574" s="153" t="n">
        <x:v>2.18</x:v>
      </x:c>
      <x:c r="AC574" s="153" t="n">
        <x:v>121.412</x:v>
      </x:c>
      <x:c r="AD574" s="155" t="n">
        <x:v>46197</x:v>
      </x:c>
      <x:c r="AE574" s="154" t="n">
        <x:f>IFERROR(AC574/AC573-1,"")</x:f>
        <x:v>0.00294741572439694</x:v>
      </x:c>
      <x:c r="AF574" s="153" t="n">
        <x:v>18.63</x:v>
      </x:c>
      <x:c r="AG574" s="155" t="n">
        <x:v>46197</x:v>
      </x:c>
      <x:c r="AH574" s="153" t="n">
        <x:f>IFERROR(AF574-AF573,"")</x:f>
        <x:v>-0.8599999999999994</x:v>
      </x:c>
      <x:c r="AI574" s="153" t="n">
        <x:v>3.63</x:v>
      </x:c>
      <x:c r="AJ574" s="155" t="n">
        <x:v>46192</x:v>
      </x:c>
      <x:c r="AK574" s="159" t="n">
        <x:v>113721</x:v>
      </x:c>
      <x:c r="AL574" s="154" t="n">
        <x:v>0.33513394041198835</x:v>
      </x:c>
      <x:c r="AM574" s="159" t="n">
        <x:v>-17047</x:v>
      </x:c>
      <x:c r="AN574" s="155" t="n">
        <x:v>46192</x:v>
      </x:c>
      <x:c r="AO574" s="159" t="n">
        <x:v>12885</x:v>
      </x:c>
      <x:c r="AP574" s="154" t="n">
        <x:v>0.11961455983512964</x:v>
      </x:c>
      <x:c r="AQ574" s="159" t="n">
        <x:v>-16612</x:v>
      </x:c>
      <x:c r="AR574" s="147" t="str">
        <x:v>美国市场指标与CFTC数据均使用严格早于上金所交易日的最后已发布值</x:v>
      </x:c>
    </x:row>
    <x:row r="575">
      <x:c r="A575" s="155" t="n">
        <x:v>46199</x:v>
      </x:c>
      <x:c r="B575" s="153" t="n">
        <x:v>874</x:v>
      </x:c>
      <x:c r="C575" s="153" t="n">
        <x:v>885</x:v>
      </x:c>
      <x:c r="D575" s="153" t="n">
        <x:v>870.01</x:v>
      </x:c>
      <x:c r="E575" s="153" t="n">
        <x:v>883.7</x:v>
      </x:c>
      <x:c r="F575" s="154" t="n">
        <x:f>IFERROR(E575/E574-1,"")</x:f>
        <x:v>0.010000571461226349</x:v>
      </x:c>
      <x:c r="G575" s="154" t="n">
        <x:f>IFERROR((C575-D575)/E574,"")</x:f>
        <x:v>0.017132407566146646</x:v>
      </x:c>
      <x:c r="H575" s="153" t="n">
        <x:v>877.32</x:v>
      </x:c>
      <x:c r="I575" s="158" t="n">
        <x:v>6305.86</x:v>
      </x:c>
      <x:c r="J575" s="158" t="n">
        <x:v>5532280776.2</x:v>
      </x:c>
      <x:c r="K575" s="158"/>
      <x:c r="L575" s="153" t="n">
        <x:v>13820</x:v>
      </x:c>
      <x:c r="M575" s="153" t="n">
        <x:v>14324</x:v>
      </x:c>
      <x:c r="N575" s="153" t="n">
        <x:v>13485</x:v>
      </x:c>
      <x:c r="O575" s="153" t="n">
        <x:v>14104</x:v>
      </x:c>
      <x:c r="P575" s="154" t="n">
        <x:f>IFERROR(O575/O574-1,"")</x:f>
        <x:v>0.02106711069282552</x:v>
      </x:c>
      <x:c r="Q575" s="154" t="n">
        <x:f>IFERROR((M575-N575)/O574,"")</x:f>
        <x:v>0.06073988271917759</x:v>
      </x:c>
      <x:c r="R575" s="153" t="n">
        <x:v>13873</x:v>
      </x:c>
      <x:c r="S575" s="158" t="n">
        <x:v>423318</x:v>
      </x:c>
      <x:c r="T575" s="158" t="n">
        <x:v>5872871372</x:v>
      </x:c>
      <x:c r="U575" s="158" t="n">
        <x:v>2768572</x:v>
      </x:c>
      <x:c r="V575" s="153" t="n">
        <x:f>IFERROR(E575*1000/O575,"")</x:f>
        <x:v>62.655984117980715</x:v>
      </x:c>
      <x:c r="W575" s="153" t="n">
        <x:v>4.4</x:v>
      </x:c>
      <x:c r="X575" s="155" t="n">
        <x:v>46198</x:v>
      </x:c>
      <x:c r="Y575" s="153" t="n">
        <x:v>2.19</x:v>
      </x:c>
      <x:c r="Z575" s="155" t="n">
        <x:v>46198</x:v>
      </x:c>
      <x:c r="AA575" s="153" t="n">
        <x:f>IFERROR(Y575-Y574,"")</x:f>
        <x:v>-0.040000000000000036</x:v>
      </x:c>
      <x:c r="AB575" s="153" t="n">
        <x:v>2.21</x:v>
      </x:c>
      <x:c r="AC575" s="153" t="n">
        <x:v>121.0559</x:v>
      </x:c>
      <x:c r="AD575" s="155" t="n">
        <x:v>46198</x:v>
      </x:c>
      <x:c r="AE575" s="154" t="n">
        <x:f>IFERROR(AC575/AC574-1,"")</x:f>
        <x:v>-0.002932988501960332</x:v>
      </x:c>
      <x:c r="AF575" s="153" t="n">
        <x:v>18.89</x:v>
      </x:c>
      <x:c r="AG575" s="155" t="n">
        <x:v>46198</x:v>
      </x:c>
      <x:c r="AH575" s="153" t="n">
        <x:f>IFERROR(AF575-AF574,"")</x:f>
        <x:v>0.26000000000000156</x:v>
      </x:c>
      <x:c r="AI575" s="153" t="n">
        <x:v>3.63</x:v>
      </x:c>
      <x:c r="AJ575" s="155" t="n">
        <x:v>46192</x:v>
      </x:c>
      <x:c r="AK575" s="159" t="n">
        <x:v>113721</x:v>
      </x:c>
      <x:c r="AL575" s="154" t="n">
        <x:v>0.33513394041198835</x:v>
      </x:c>
      <x:c r="AM575" s="159" t="n">
        <x:v>-17047</x:v>
      </x:c>
      <x:c r="AN575" s="155" t="n">
        <x:v>46192</x:v>
      </x:c>
      <x:c r="AO575" s="159" t="n">
        <x:v>12885</x:v>
      </x:c>
      <x:c r="AP575" s="154" t="n">
        <x:v>0.11961455983512964</x:v>
      </x:c>
      <x:c r="AQ575" s="159" t="n">
        <x:v>-16612</x:v>
      </x:c>
      <x:c r="AR575" s="147" t="str">
        <x:v>美国市场指标与CFTC数据均使用严格早于上金所交易日的最后已发布值</x:v>
      </x:c>
    </x:row>
    <x:row r="576">
      <x:c r="A576" s="155" t="n">
        <x:v>46202</x:v>
      </x:c>
      <x:c r="B576" s="153" t="n">
        <x:v>885</x:v>
      </x:c>
      <x:c r="C576" s="153" t="n">
        <x:v>894.88</x:v>
      </x:c>
      <x:c r="D576" s="153" t="n">
        <x:v>881.21</x:v>
      </x:c>
      <x:c r="E576" s="153" t="n">
        <x:v>886.74</x:v>
      </x:c>
      <x:c r="F576" s="154" t="n">
        <x:f>IFERROR(E576/E575-1,"")</x:f>
        <x:v>0.003440081475613921</x:v>
      </x:c>
      <x:c r="G576" s="154" t="n">
        <x:f>IFERROR((C576-D576)/E575,"")</x:f>
        <x:v>0.015469050582776913</x:v>
      </x:c>
      <x:c r="H576" s="153" t="n">
        <x:v>887.26</x:v>
      </x:c>
      <x:c r="I576" s="158" t="n">
        <x:v>4936.44</x:v>
      </x:c>
      <x:c r="J576" s="158" t="n">
        <x:v>4379937053.2</x:v>
      </x:c>
      <x:c r="K576" s="158"/>
      <x:c r="L576" s="153" t="n">
        <x:v>14110</x:v>
      </x:c>
      <x:c r="M576" s="153" t="n">
        <x:v>14414</x:v>
      </x:c>
      <x:c r="N576" s="153" t="n">
        <x:v>13986</x:v>
      </x:c>
      <x:c r="O576" s="153" t="n">
        <x:v>14223</x:v>
      </x:c>
      <x:c r="P576" s="154" t="n">
        <x:f>IFERROR(O576/O575-1,"")</x:f>
        <x:v>0.008437322745320497</x:v>
      </x:c>
      <x:c r="Q576" s="154" t="n">
        <x:f>IFERROR((M576-N576)/O575,"")</x:f>
        <x:v>0.030346001134429947</x:v>
      </x:c>
      <x:c r="R576" s="153" t="n">
        <x:v>14199</x:v>
      </x:c>
      <x:c r="S576" s="158" t="n">
        <x:v>416990</x:v>
      </x:c>
      <x:c r="T576" s="158" t="n">
        <x:v>5921013068</x:v>
      </x:c>
      <x:c r="U576" s="158" t="n">
        <x:v>2707226</x:v>
      </x:c>
      <x:c r="V576" s="153" t="n">
        <x:f>IFERROR(E576*1000/O576,"")</x:f>
        <x:v>62.34549673064754</x:v>
      </x:c>
      <x:c r="W576" s="153" t="n">
        <x:v>4.38</x:v>
      </x:c>
      <x:c r="X576" s="155" t="n">
        <x:v>46199</x:v>
      </x:c>
      <x:c r="Y576" s="153" t="n">
        <x:v>2.18</x:v>
      </x:c>
      <x:c r="Z576" s="155" t="n">
        <x:v>46199</x:v>
      </x:c>
      <x:c r="AA576" s="153" t="n">
        <x:f>IFERROR(Y576-Y575,"")</x:f>
        <x:v>-0.009999999999999787</x:v>
      </x:c>
      <x:c r="AB576" s="153" t="n">
        <x:v>2.2</x:v>
      </x:c>
      <x:c r="AC576" s="153" t="n">
        <x:v>120.8866</x:v>
      </x:c>
      <x:c r="AD576" s="155" t="n">
        <x:v>46199</x:v>
      </x:c>
      <x:c r="AE576" s="154" t="n">
        <x:f>IFERROR(AC576/AC575-1,"")</x:f>
        <x:v>-0.0013985274571498563</x:v>
      </x:c>
      <x:c r="AF576" s="153" t="n">
        <x:v>18.41</x:v>
      </x:c>
      <x:c r="AG576" s="155" t="n">
        <x:v>46199</x:v>
      </x:c>
      <x:c r="AH576" s="153" t="n">
        <x:f>IFERROR(AF576-AF575,"")</x:f>
        <x:v>-0.4800000000000004</x:v>
      </x:c>
      <x:c r="AI576" s="153" t="n">
        <x:v>3.63</x:v>
      </x:c>
      <x:c r="AJ576" s="155" t="n">
        <x:v>46199</x:v>
      </x:c>
      <x:c r="AK576" s="159" t="n">
        <x:v>115395</x:v>
      </x:c>
      <x:c r="AL576" s="154" t="n">
        <x:v>0.32767124688003135</x:v>
      </x:c>
      <x:c r="AM576" s="159" t="n">
        <x:v>-9336</x:v>
      </x:c>
      <x:c r="AN576" s="155" t="n">
        <x:v>46199</x:v>
      </x:c>
      <x:c r="AO576" s="159" t="n">
        <x:v>11741</x:v>
      </x:c>
      <x:c r="AP576" s="154" t="n">
        <x:v>0.10777096489939786</x:v>
      </x:c>
      <x:c r="AQ576" s="159" t="n">
        <x:v>-13722</x:v>
      </x:c>
      <x:c r="AR576" s="147" t="str">
        <x:v>美国市场指标与CFTC数据均使用严格早于上金所交易日的最后已发布值</x:v>
      </x:c>
    </x:row>
    <x:row r="577">
      <x:c r="A577" s="155" t="n">
        <x:v>46203</x:v>
      </x:c>
      <x:c r="B577" s="153" t="n">
        <x:v>883</x:v>
      </x:c>
      <x:c r="C577" s="153" t="n">
        <x:v>887.99</x:v>
      </x:c>
      <x:c r="D577" s="153" t="n">
        <x:v>860.02</x:v>
      </x:c>
      <x:c r="E577" s="153" t="n">
        <x:v>879.03</x:v>
      </x:c>
      <x:c r="F577" s="154" t="n">
        <x:f>IFERROR(E577/E576-1,"")</x:f>
        <x:v>-0.008694769605521402</x:v>
      </x:c>
      <x:c r="G577" s="154" t="n">
        <x:f>IFERROR((C577-D577)/E576,"")</x:f>
        <x:v>0.03154250400342832</x:v>
      </x:c>
      <x:c r="H577" s="153" t="n">
        <x:v>870.67</x:v>
      </x:c>
      <x:c r="I577" s="158" t="n">
        <x:v>5348.14</x:v>
      </x:c>
      <x:c r="J577" s="158" t="n">
        <x:v>4656497469.6</x:v>
      </x:c>
      <x:c r="K577" s="158"/>
      <x:c r="L577" s="153" t="n">
        <x:v>14157</x:v>
      </x:c>
      <x:c r="M577" s="153" t="n">
        <x:v>14489</x:v>
      </x:c>
      <x:c r="N577" s="153" t="n">
        <x:v>13710</x:v>
      </x:c>
      <x:c r="O577" s="153" t="n">
        <x:v>14343</x:v>
      </x:c>
      <x:c r="P577" s="154" t="n">
        <x:f>IFERROR(O577/O576-1,"")</x:f>
        <x:v>0.008437038599451663</x:v>
      </x:c>
      <x:c r="Q577" s="154" t="n">
        <x:f>IFERROR((M577-N577)/O576,"")</x:f>
        <x:v>0.05477044224143992</x:v>
      </x:c>
      <x:c r="R577" s="153" t="n">
        <x:v>14024</x:v>
      </x:c>
      <x:c r="S577" s="158" t="n">
        <x:v>413374</x:v>
      </x:c>
      <x:c r="T577" s="158" t="n">
        <x:v>5797318522</x:v>
      </x:c>
      <x:c r="U577" s="158" t="n">
        <x:v>2677298</x:v>
      </x:c>
      <x:c r="V577" s="153" t="n">
        <x:f>IFERROR(E577*1000/O577,"")</x:f>
        <x:v>61.28634176950429</x:v>
      </x:c>
      <x:c r="W577" s="153" t="n">
        <x:v>4.38</x:v>
      </x:c>
      <x:c r="X577" s="155" t="n">
        <x:v>46202</x:v>
      </x:c>
      <x:c r="Y577" s="153" t="n">
        <x:v>2.16</x:v>
      </x:c>
      <x:c r="Z577" s="155" t="n">
        <x:v>46202</x:v>
      </x:c>
      <x:c r="AA577" s="153" t="n">
        <x:f>IFERROR(Y577-Y576,"")</x:f>
        <x:v>-0.020000000000000018</x:v>
      </x:c>
      <x:c r="AB577" s="153" t="n">
        <x:v>2.22</x:v>
      </x:c>
      <x:c r="AC577" s="153" t="n">
        <x:v>120.9525</x:v>
      </x:c>
      <x:c r="AD577" s="155" t="n">
        <x:v>46202</x:v>
      </x:c>
      <x:c r="AE577" s="154" t="n">
        <x:f>IFERROR(AC577/AC576-1,"")</x:f>
        <x:v>0.0005451389980362098</x:v>
      </x:c>
      <x:c r="AF577" s="153" t="n">
        <x:v>17.65</x:v>
      </x:c>
      <x:c r="AG577" s="155" t="n">
        <x:v>46202</x:v>
      </x:c>
      <x:c r="AH577" s="153" t="n">
        <x:f>IFERROR(AF577-AF576,"")</x:f>
        <x:v>-0.7600000000000016</x:v>
      </x:c>
      <x:c r="AI577" s="153" t="n">
        <x:v>3.63</x:v>
      </x:c>
      <x:c r="AJ577" s="155" t="n">
        <x:v>46199</x:v>
      </x:c>
      <x:c r="AK577" s="159" t="n">
        <x:v>115395</x:v>
      </x:c>
      <x:c r="AL577" s="154" t="n">
        <x:v>0.32767124688003135</x:v>
      </x:c>
      <x:c r="AM577" s="159" t="n">
        <x:v>-9336</x:v>
      </x:c>
      <x:c r="AN577" s="155" t="n">
        <x:v>46199</x:v>
      </x:c>
      <x:c r="AO577" s="159" t="n">
        <x:v>11741</x:v>
      </x:c>
      <x:c r="AP577" s="154" t="n">
        <x:v>0.10777096489939786</x:v>
      </x:c>
      <x:c r="AQ577" s="159" t="n">
        <x:v>-13722</x:v>
      </x:c>
      <x:c r="AR577" s="147" t="str">
        <x:v>美国市场指标与CFTC数据均使用严格早于上金所交易日的最后已发布值</x:v>
      </x:c>
    </x:row>
    <x:row r="578">
      <x:c r="A578" s="155" t="n">
        <x:v>46204</x:v>
      </x:c>
      <x:c r="B578" s="153" t="n">
        <x:v>878</x:v>
      </x:c>
      <x:c r="C578" s="153" t="n">
        <x:v>886</x:v>
      </x:c>
      <x:c r="D578" s="153" t="n">
        <x:v>866.5</x:v>
      </x:c>
      <x:c r="E578" s="153" t="n">
        <x:v>868.8</x:v>
      </x:c>
      <x:c r="F578" s="154" t="n">
        <x:f>IFERROR(E578/E577-1,"")</x:f>
        <x:v>-0.011637828060475752</x:v>
      </x:c>
      <x:c r="G578" s="154" t="n">
        <x:f>IFERROR((C578-D578)/E577,"")</x:f>
        <x:v>0.022183543223780758</x:v>
      </x:c>
      <x:c r="H578" s="153" t="n">
        <x:v>869.17</x:v>
      </x:c>
      <x:c r="I578" s="158" t="n">
        <x:v>4553.66</x:v>
      </x:c>
      <x:c r="J578" s="158" t="n">
        <x:v>3957927434</x:v>
      </x:c>
      <x:c r="K578" s="158"/>
      <x:c r="L578" s="153" t="n">
        <x:v>14361</x:v>
      </x:c>
      <x:c r="M578" s="153" t="n">
        <x:v>14700</x:v>
      </x:c>
      <x:c r="N578" s="153" t="n">
        <x:v>13953</x:v>
      </x:c>
      <x:c r="O578" s="153" t="n">
        <x:v>13970</x:v>
      </x:c>
      <x:c r="P578" s="154" t="n">
        <x:f>IFERROR(O578/O577-1,"")</x:f>
        <x:v>-0.026005717074531143</x:v>
      </x:c>
      <x:c r="Q578" s="154" t="n">
        <x:f>IFERROR((M578-N578)/O577,"")</x:f>
        <x:v>0.05208115457017361</x:v>
      </x:c>
      <x:c r="R578" s="153" t="n">
        <x:v>14134</x:v>
      </x:c>
      <x:c r="S578" s="158" t="n">
        <x:v>291024</x:v>
      </x:c>
      <x:c r="T578" s="158" t="n">
        <x:v>4113492158</x:v>
      </x:c>
      <x:c r="U578" s="158" t="n">
        <x:v>2687496</x:v>
      </x:c>
      <x:c r="V578" s="153" t="n">
        <x:f>IFERROR(E578*1000/O578,"")</x:f>
        <x:v>62.19040801717967</x:v>
      </x:c>
      <x:c r="W578" s="153" t="n">
        <x:v>4.44</x:v>
      </x:c>
      <x:c r="X578" s="155" t="n">
        <x:v>46203</x:v>
      </x:c>
      <x:c r="Y578" s="153" t="n">
        <x:v>2.2</x:v>
      </x:c>
      <x:c r="Z578" s="155" t="n">
        <x:v>46203</x:v>
      </x:c>
      <x:c r="AA578" s="153" t="n">
        <x:f>IFERROR(Y578-Y577,"")</x:f>
        <x:v>0.040000000000000036</x:v>
      </x:c>
      <x:c r="AB578" s="153" t="n">
        <x:v>2.24</x:v>
      </x:c>
      <x:c r="AC578" s="153" t="n">
        <x:v>120.9248</x:v>
      </x:c>
      <x:c r="AD578" s="155" t="n">
        <x:v>46203</x:v>
      </x:c>
      <x:c r="AE578" s="154" t="n">
        <x:f>IFERROR(AC578/AC577-1,"")</x:f>
        <x:v>-0.0002290155226224444</x:v>
      </x:c>
      <x:c r="AF578" s="153" t="n">
        <x:v>16.45</x:v>
      </x:c>
      <x:c r="AG578" s="155" t="n">
        <x:v>46203</x:v>
      </x:c>
      <x:c r="AH578" s="153" t="n">
        <x:f>IFERROR(AF578-AF577,"")</x:f>
        <x:v>-1.1999999999999993</x:v>
      </x:c>
      <x:c r="AI578" s="153" t="n">
        <x:v>3.63</x:v>
      </x:c>
      <x:c r="AJ578" s="155" t="n">
        <x:v>46199</x:v>
      </x:c>
      <x:c r="AK578" s="159" t="n">
        <x:v>115395</x:v>
      </x:c>
      <x:c r="AL578" s="154" t="n">
        <x:v>0.32767124688003135</x:v>
      </x:c>
      <x:c r="AM578" s="159" t="n">
        <x:v>-9336</x:v>
      </x:c>
      <x:c r="AN578" s="155" t="n">
        <x:v>46199</x:v>
      </x:c>
      <x:c r="AO578" s="159" t="n">
        <x:v>11741</x:v>
      </x:c>
      <x:c r="AP578" s="154" t="n">
        <x:v>0.10777096489939786</x:v>
      </x:c>
      <x:c r="AQ578" s="159" t="n">
        <x:v>-13722</x:v>
      </x:c>
      <x:c r="AR578" s="147" t="str">
        <x:v>美国市场指标与CFTC数据均使用严格早于上金所交易日的最后已发布值</x:v>
      </x:c>
    </x:row>
    <x:row r="579">
      <x:c r="A579" s="155" t="n">
        <x:v>46205</x:v>
      </x:c>
      <x:c r="B579" s="153" t="n">
        <x:v>882</x:v>
      </x:c>
      <x:c r="C579" s="153" t="n">
        <x:v>896</x:v>
      </x:c>
      <x:c r="D579" s="153" t="n">
        <x:v>874.2</x:v>
      </x:c>
      <x:c r="E579" s="153" t="n">
        <x:v>887</x:v>
      </x:c>
      <x:c r="F579" s="154" t="n">
        <x:f>IFERROR(E579/E578-1,"")</x:f>
        <x:v>0.02094843462246776</x:v>
      </x:c>
      <x:c r="G579" s="154" t="n">
        <x:f>IFERROR((C579-D579)/E578,"")</x:f>
        <x:v>0.0250920810313075</x:v>
      </x:c>
      <x:c r="H579" s="153" t="n">
        <x:v>886.54</x:v>
      </x:c>
      <x:c r="I579" s="158" t="n">
        <x:v>3423.08</x:v>
      </x:c>
      <x:c r="J579" s="158" t="n">
        <x:v>3034712668.4</x:v>
      </x:c>
      <x:c r="K579" s="158"/>
      <x:c r="L579" s="153" t="n">
        <x:v>14330</x:v>
      </x:c>
      <x:c r="M579" s="153" t="n">
        <x:v>14852</x:v>
      </x:c>
      <x:c r="N579" s="153" t="n">
        <x:v>14199</x:v>
      </x:c>
      <x:c r="O579" s="153" t="n">
        <x:v>14551</x:v>
      </x:c>
      <x:c r="P579" s="154" t="n">
        <x:f>IFERROR(O579/O578-1,"")</x:f>
        <x:v>0.041589119541875386</x:v>
      </x:c>
      <x:c r="Q579" s="154" t="n">
        <x:f>IFERROR((M579-N579)/O578,"")</x:f>
        <x:v>0.04674302075876879</x:v>
      </x:c>
      <x:c r="R579" s="153" t="n">
        <x:v>14578</x:v>
      </x:c>
      <x:c r="S579" s="158" t="n">
        <x:v>277238</x:v>
      </x:c>
      <x:c r="T579" s="158" t="n">
        <x:v>4041688112</x:v>
      </x:c>
      <x:c r="U579" s="158" t="n">
        <x:v>2698000</x:v>
      </x:c>
      <x:c r="V579" s="153" t="n">
        <x:f>IFERROR(E579*1000/O579,"")</x:f>
        <x:v>60.95800975877947</x:v>
      </x:c>
      <x:c r="W579" s="153" t="n">
        <x:v>4.48</x:v>
      </x:c>
      <x:c r="X579" s="155" t="n">
        <x:v>46204</x:v>
      </x:c>
      <x:c r="Y579" s="153" t="n">
        <x:v>2.25</x:v>
      </x:c>
      <x:c r="Z579" s="155" t="n">
        <x:v>46204</x:v>
      </x:c>
      <x:c r="AA579" s="153" t="n">
        <x:f>IFERROR(Y579-Y578,"")</x:f>
        <x:v>0.04999999999999982</x:v>
      </x:c>
      <x:c r="AB579" s="153" t="n">
        <x:v>2.23</x:v>
      </x:c>
      <x:c r="AC579" s="153" t="n">
        <x:v>121.1455</x:v>
      </x:c>
      <x:c r="AD579" s="155" t="n">
        <x:v>46204</x:v>
      </x:c>
      <x:c r="AE579" s="154" t="n">
        <x:f>IFERROR(AC579/AC578-1,"")</x:f>
        <x:v>0.0018251012199317351</x:v>
      </x:c>
      <x:c r="AF579" s="153" t="n">
        <x:v>16.59</x:v>
      </x:c>
      <x:c r="AG579" s="155" t="n">
        <x:v>46204</x:v>
      </x:c>
      <x:c r="AH579" s="153" t="n">
        <x:f>IFERROR(AF579-AF578,"")</x:f>
        <x:v>0.14000000000000057</x:v>
      </x:c>
      <x:c r="AI579" s="153" t="n">
        <x:v>3.63</x:v>
      </x:c>
      <x:c r="AJ579" s="155" t="n">
        <x:v>46199</x:v>
      </x:c>
      <x:c r="AK579" s="159" t="n">
        <x:v>115395</x:v>
      </x:c>
      <x:c r="AL579" s="154" t="n">
        <x:v>0.32767124688003135</x:v>
      </x:c>
      <x:c r="AM579" s="159" t="n">
        <x:v>-9336</x:v>
      </x:c>
      <x:c r="AN579" s="155" t="n">
        <x:v>46199</x:v>
      </x:c>
      <x:c r="AO579" s="159" t="n">
        <x:v>11741</x:v>
      </x:c>
      <x:c r="AP579" s="154" t="n">
        <x:v>0.10777096489939786</x:v>
      </x:c>
      <x:c r="AQ579" s="159" t="n">
        <x:v>-13722</x:v>
      </x:c>
      <x:c r="AR579" s="147" t="str">
        <x:v>美国市场指标与CFTC数据均使用严格早于上金所交易日的最后已发布值</x:v>
      </x:c>
    </x:row>
    <x:row r="580">
      <x:c r="A580" s="155" t="n">
        <x:v>46206</x:v>
      </x:c>
      <x:c r="B580" s="153" t="n">
        <x:v>886</x:v>
      </x:c>
      <x:c r="C580" s="153" t="n">
        <x:v>915.7</x:v>
      </x:c>
      <x:c r="D580" s="153" t="n">
        <x:v>886</x:v>
      </x:c>
      <x:c r="E580" s="153" t="n">
        <x:v>910.98</x:v>
      </x:c>
      <x:c r="F580" s="154" t="n">
        <x:f>IFERROR(E580/E579-1,"")</x:f>
        <x:v>0.027034949267192854</x:v>
      </x:c>
      <x:c r="G580" s="154" t="n">
        <x:f>IFERROR((C580-D580)/E579,"")</x:f>
        <x:v>0.03348365276211956</x:v>
      </x:c>
      <x:c r="H580" s="153" t="n">
        <x:v>910.22</x:v>
      </x:c>
      <x:c r="I580" s="158" t="n">
        <x:v>4334.58</x:v>
      </x:c>
      <x:c r="J580" s="158" t="n">
        <x:v>3945439518.2</x:v>
      </x:c>
      <x:c r="K580" s="158"/>
      <x:c r="L580" s="153" t="n">
        <x:v>14588</x:v>
      </x:c>
      <x:c r="M580" s="153" t="n">
        <x:v>15286</x:v>
      </x:c>
      <x:c r="N580" s="153" t="n">
        <x:v>14400</x:v>
      </x:c>
      <x:c r="O580" s="153" t="n">
        <x:v>15267</x:v>
      </x:c>
      <x:c r="P580" s="154" t="n">
        <x:f>IFERROR(O580/O579-1,"")</x:f>
        <x:v>0.04920624012095387</x:v>
      </x:c>
      <x:c r="Q580" s="154" t="n">
        <x:f>IFERROR((M580-N580)/O579,"")</x:f>
        <x:v>0.060889285959727854</x:v>
      </x:c>
      <x:c r="R580" s="153" t="n">
        <x:v>15093</x:v>
      </x:c>
      <x:c r="S580" s="158" t="n">
        <x:v>331304</x:v>
      </x:c>
      <x:c r="T580" s="158" t="n">
        <x:v>5000475944</x:v>
      </x:c>
      <x:c r="U580" s="158" t="n">
        <x:v>2628730</x:v>
      </x:c>
      <x:c r="V580" s="153" t="n">
        <x:f>IFERROR(E580*1000/O580,"")</x:f>
        <x:v>59.669876203576344</x:v>
      </x:c>
      <x:c r="W580" s="153" t="n">
        <x:v>4.49</x:v>
      </x:c>
      <x:c r="X580" s="155" t="n">
        <x:v>46205</x:v>
      </x:c>
      <x:c r="Y580" s="153" t="n">
        <x:v>2.26</x:v>
      </x:c>
      <x:c r="Z580" s="155" t="n">
        <x:v>46205</x:v>
      </x:c>
      <x:c r="AA580" s="153" t="n">
        <x:f>IFERROR(Y580-Y579,"")</x:f>
        <x:v>0.009999999999999787</x:v>
      </x:c>
      <x:c r="AB580" s="153" t="n">
        <x:v>2.23</x:v>
      </x:c>
      <x:c r="AC580" s="153" t="n">
        <x:v>120.6902</x:v>
      </x:c>
      <x:c r="AD580" s="155" t="n">
        <x:v>46205</x:v>
      </x:c>
      <x:c r="AE580" s="154" t="n">
        <x:f>IFERROR(AC580/AC579-1,"")</x:f>
        <x:v>-0.003758290650498708</x:v>
      </x:c>
      <x:c r="AF580" s="153" t="n">
        <x:v>16.15</x:v>
      </x:c>
      <x:c r="AG580" s="155" t="n">
        <x:v>46205</x:v>
      </x:c>
      <x:c r="AH580" s="153" t="n">
        <x:f>IFERROR(AF580-AF579,"")</x:f>
        <x:v>-0.4400000000000013</x:v>
      </x:c>
      <x:c r="AI580" s="153" t="n">
        <x:v>3.63</x:v>
      </x:c>
      <x:c r="AJ580" s="155" t="n">
        <x:v>46199</x:v>
      </x:c>
      <x:c r="AK580" s="159" t="n">
        <x:v>115395</x:v>
      </x:c>
      <x:c r="AL580" s="154" t="n">
        <x:v>0.32767124688003135</x:v>
      </x:c>
      <x:c r="AM580" s="159" t="n">
        <x:v>-9336</x:v>
      </x:c>
      <x:c r="AN580" s="155" t="n">
        <x:v>46199</x:v>
      </x:c>
      <x:c r="AO580" s="159" t="n">
        <x:v>11741</x:v>
      </x:c>
      <x:c r="AP580" s="154" t="n">
        <x:v>0.10777096489939786</x:v>
      </x:c>
      <x:c r="AQ580" s="159" t="n">
        <x:v>-13722</x:v>
      </x:c>
      <x:c r="AR580" s="147" t="str">
        <x:v>美国市场指标与CFTC数据均使用严格早于上金所交易日的最后已发布值</x:v>
      </x:c>
    </x:row>
    <x:row r="581">
      <x:c r="A581" s="155" t="n">
        <x:v>46209</x:v>
      </x:c>
      <x:c r="B581" s="153" t="n">
        <x:v>910</x:v>
      </x:c>
      <x:c r="C581" s="153" t="n">
        <x:v>917</x:v>
      </x:c>
      <x:c r="D581" s="153" t="n">
        <x:v>905.1</x:v>
      </x:c>
      <x:c r="E581" s="153" t="n">
        <x:v>907.77</x:v>
      </x:c>
      <x:c r="F581" s="154" t="n">
        <x:f>IFERROR(E581/E580-1,"")</x:f>
        <x:v>-0.003523677797536706</x:v>
      </x:c>
      <x:c r="G581" s="154" t="n">
        <x:f>IFERROR((C581-D581)/E580,"")</x:f>
        <x:v>0.013062855386506814</x:v>
      </x:c>
      <x:c r="H581" s="153" t="n">
        <x:v>909.98</x:v>
      </x:c>
      <x:c r="I581" s="158" t="n">
        <x:v>3780.58</x:v>
      </x:c>
      <x:c r="J581" s="158" t="n">
        <x:v>3440274105.4</x:v>
      </x:c>
      <x:c r="K581" s="158"/>
      <x:c r="L581" s="153" t="n">
        <x:v>15200</x:v>
      </x:c>
      <x:c r="M581" s="153" t="n">
        <x:v>15387</x:v>
      </x:c>
      <x:c r="N581" s="153" t="n">
        <x:v>15005</x:v>
      </x:c>
      <x:c r="O581" s="153" t="n">
        <x:v>15081</x:v>
      </x:c>
      <x:c r="P581" s="154" t="n">
        <x:f>IFERROR(O581/O580-1,"")</x:f>
        <x:v>-0.012183140106111212</x:v>
      </x:c>
      <x:c r="Q581" s="154" t="n">
        <x:f>IFERROR((M581-N581)/O580,"")</x:f>
        <x:v>0.025021287744809065</x:v>
      </x:c>
      <x:c r="R581" s="153" t="n">
        <x:v>15121</x:v>
      </x:c>
      <x:c r="S581" s="158" t="n">
        <x:v>226948</x:v>
      </x:c>
      <x:c r="T581" s="158" t="n">
        <x:v>3431897650</x:v>
      </x:c>
      <x:c r="U581" s="158" t="n">
        <x:v>2657222</x:v>
      </x:c>
      <x:c r="V581" s="153" t="n">
        <x:f>IFERROR(E581*1000/O581,"")</x:f>
        <x:v>60.19295802665606</x:v>
      </x:c>
      <x:c r="W581" s="153" t="n">
        <x:v>4.49</x:v>
      </x:c>
      <x:c r="X581" s="155" t="n">
        <x:v>46205</x:v>
      </x:c>
      <x:c r="Y581" s="153" t="n">
        <x:v>2.26</x:v>
      </x:c>
      <x:c r="Z581" s="155" t="n">
        <x:v>46205</x:v>
      </x:c>
      <x:c r="AA581" s="153" t="n">
        <x:f>IFERROR(Y581-Y580,"")</x:f>
        <x:v>0</x:v>
      </x:c>
      <x:c r="AB581" s="153" t="n">
        <x:v>2.23</x:v>
      </x:c>
      <x:c r="AC581" s="153" t="n">
        <x:v>120.6902</x:v>
      </x:c>
      <x:c r="AD581" s="155" t="n">
        <x:v>46205</x:v>
      </x:c>
      <x:c r="AE581" s="154" t="n">
        <x:f>IFERROR(AC581/AC580-1,"")</x:f>
        <x:v>0</x:v>
      </x:c>
      <x:c r="AF581" s="153" t="n">
        <x:v>15.81</x:v>
      </x:c>
      <x:c r="AG581" s="155" t="n">
        <x:v>46206</x:v>
      </x:c>
      <x:c r="AH581" s="153" t="n">
        <x:f>IFERROR(AF581-AF580,"")</x:f>
        <x:v>-0.3399999999999981</x:v>
      </x:c>
      <x:c r="AI581" s="153" t="n">
        <x:v>3.63</x:v>
      </x:c>
      <x:c r="AJ581" s="155" t="n">
        <x:v>46206</x:v>
      </x:c>
      <x:c r="AK581" s="159" t="n">
        <x:v>120091</x:v>
      </x:c>
      <x:c r="AL581" s="154" t="n">
        <x:v>0.3249734129636495</x:v>
      </x:c>
      <x:c r="AM581" s="159" t="n">
        <x:v>-17046</x:v>
      </x:c>
      <x:c r="AN581" s="155" t="n">
        <x:v>46206</x:v>
      </x:c>
      <x:c r="AO581" s="159" t="n">
        <x:v>13782</x:v>
      </x:c>
      <x:c r="AP581" s="154" t="n">
        <x:v>0.12648214089056936</x:v>
      </x:c>
      <x:c r="AQ581" s="159" t="n">
        <x:v>-12271</x:v>
      </x:c>
      <x:c r="AR581" s="147" t="str">
        <x:v>美国市场指标与CFTC数据均使用严格早于上金所交易日的最后已发布值</x:v>
      </x:c>
    </x:row>
    <x:row r="582">
      <x:c r="A582" s="155" t="n">
        <x:v>46210</x:v>
      </x:c>
      <x:c r="B582" s="153" t="n">
        <x:v>906.5</x:v>
      </x:c>
      <x:c r="C582" s="153" t="n">
        <x:v>909</x:v>
      </x:c>
      <x:c r="D582" s="153" t="n">
        <x:v>899.01</x:v>
      </x:c>
      <x:c r="E582" s="153" t="n">
        <x:v>902.57</x:v>
      </x:c>
      <x:c r="F582" s="154" t="n">
        <x:f>IFERROR(E582/E581-1,"")</x:f>
        <x:v>-0.005728323253687551</x:v>
      </x:c>
      <x:c r="G582" s="154" t="n">
        <x:f>IFERROR((C582-D582)/E581,"")</x:f>
        <x:v>0.011004990250834472</x:v>
      </x:c>
      <x:c r="H582" s="153" t="n">
        <x:v>902.61</x:v>
      </x:c>
      <x:c r="I582" s="158" t="n">
        <x:v>2151.64</x:v>
      </x:c>
      <x:c r="J582" s="158" t="n">
        <x:v>1942099101.8</x:v>
      </x:c>
      <x:c r="K582" s="158"/>
      <x:c r="L582" s="153" t="n">
        <x:v>15150</x:v>
      </x:c>
      <x:c r="M582" s="153" t="n">
        <x:v>15170</x:v>
      </x:c>
      <x:c r="N582" s="153" t="n">
        <x:v>14636</x:v>
      </x:c>
      <x:c r="O582" s="153" t="n">
        <x:v>14857</x:v>
      </x:c>
      <x:c r="P582" s="154" t="n">
        <x:f>IFERROR(O582/O581-1,"")</x:f>
        <x:v>-0.014853126450500631</x:v>
      </x:c>
      <x:c r="Q582" s="154" t="n">
        <x:f>IFERROR((M582-N582)/O581,"")</x:f>
        <x:v>0.03540879252038989</x:v>
      </x:c>
      <x:c r="R582" s="153" t="n">
        <x:v>14864</x:v>
      </x:c>
      <x:c r="S582" s="158" t="n">
        <x:v>288858</x:v>
      </x:c>
      <x:c r="T582" s="158" t="n">
        <x:v>4293650812</x:v>
      </x:c>
      <x:c r="U582" s="158" t="n">
        <x:v>2653178</x:v>
      </x:c>
      <x:c r="V582" s="153" t="n">
        <x:f>IFERROR(E582*1000/O582,"")</x:f>
        <x:v>60.7504879854614</x:v>
      </x:c>
      <x:c r="W582" s="153" t="n">
        <x:v>4.48</x:v>
      </x:c>
      <x:c r="X582" s="155" t="n">
        <x:v>46209</x:v>
      </x:c>
      <x:c r="Y582" s="153" t="n">
        <x:v>2.24</x:v>
      </x:c>
      <x:c r="Z582" s="155" t="n">
        <x:v>46209</x:v>
      </x:c>
      <x:c r="AA582" s="153" t="n">
        <x:f>IFERROR(Y582-Y581,"")</x:f>
        <x:v>-0.019999999999999574</x:v>
      </x:c>
      <x:c r="AB582" s="153" t="n">
        <x:v>2.24</x:v>
      </x:c>
      <x:c r="AC582" s="153" t="n">
        <x:v>120.835</x:v>
      </x:c>
      <x:c r="AD582" s="155" t="n">
        <x:v>46209</x:v>
      </x:c>
      <x:c r="AE582" s="154" t="n">
        <x:f>IFERROR(AC582/AC581-1,"")</x:f>
        <x:v>0.0011997660124847265</x:v>
      </x:c>
      <x:c r="AF582" s="153" t="n">
        <x:v>15.57</x:v>
      </x:c>
      <x:c r="AG582" s="155" t="n">
        <x:v>46209</x:v>
      </x:c>
      <x:c r="AH582" s="153" t="n">
        <x:f>IFERROR(AF582-AF581,"")</x:f>
        <x:v>-0.2400000000000002</x:v>
      </x:c>
      <x:c r="AI582" s="153" t="n">
        <x:v>3.63</x:v>
      </x:c>
      <x:c r="AJ582" s="155" t="n">
        <x:v>46206</x:v>
      </x:c>
      <x:c r="AK582" s="159" t="n">
        <x:v>120091</x:v>
      </x:c>
      <x:c r="AL582" s="154" t="n">
        <x:v>0.3249734129636495</x:v>
      </x:c>
      <x:c r="AM582" s="159" t="n">
        <x:v>-17046</x:v>
      </x:c>
      <x:c r="AN582" s="155" t="n">
        <x:v>46206</x:v>
      </x:c>
      <x:c r="AO582" s="159" t="n">
        <x:v>13782</x:v>
      </x:c>
      <x:c r="AP582" s="154" t="n">
        <x:v>0.12648214089056936</x:v>
      </x:c>
      <x:c r="AQ582" s="159" t="n">
        <x:v>-12271</x:v>
      </x:c>
      <x:c r="AR582" s="147" t="str">
        <x:v>美国市场指标与CFTC数据均使用严格早于上金所交易日的最后已发布值</x:v>
      </x:c>
    </x:row>
    <x:row r="583">
      <x:c r="A583" s="155" t="n">
        <x:v>46211</x:v>
      </x:c>
      <x:c r="B583" s="153" t="n">
        <x:v>908</x:v>
      </x:c>
      <x:c r="C583" s="153" t="n">
        <x:v>912</x:v>
      </x:c>
      <x:c r="D583" s="153" t="n">
        <x:v>895.95</x:v>
      </x:c>
      <x:c r="E583" s="153" t="n">
        <x:v>901.07</x:v>
      </x:c>
      <x:c r="F583" s="154" t="n">
        <x:f>IFERROR(E583/E582-1,"")</x:f>
        <x:v>-0.0016619209590391648</x:v>
      </x:c>
      <x:c r="G583" s="154" t="n">
        <x:f>IFERROR((C583-D583)/E582,"")</x:f>
        <x:v>0.01778255426171926</x:v>
      </x:c>
      <x:c r="H583" s="153" t="n">
        <x:v>900.82</x:v>
      </x:c>
      <x:c r="I583" s="158" t="n">
        <x:v>3449.58</x:v>
      </x:c>
      <x:c r="J583" s="158" t="n">
        <x:v>3107468926.6</x:v>
      </x:c>
      <x:c r="K583" s="158"/>
      <x:c r="L583" s="153" t="n">
        <x:v>14945</x:v>
      </x:c>
      <x:c r="M583" s="153" t="n">
        <x:v>15041</x:v>
      </x:c>
      <x:c r="N583" s="153" t="n">
        <x:v>14541</x:v>
      </x:c>
      <x:c r="O583" s="153" t="n">
        <x:v>14818</x:v>
      </x:c>
      <x:c r="P583" s="154" t="n">
        <x:f>IFERROR(O583/O582-1,"")</x:f>
        <x:v>-0.0026250252406273544</x:v>
      </x:c>
      <x:c r="Q583" s="154" t="n">
        <x:f>IFERROR((M583-N583)/O582,"")</x:f>
        <x:v>0.033654169751632226</x:v>
      </x:c>
      <x:c r="R583" s="153" t="n">
        <x:v>14754</x:v>
      </x:c>
      <x:c r="S583" s="158" t="n">
        <x:v>274880</x:v>
      </x:c>
      <x:c r="T583" s="158" t="n">
        <x:v>4055603096</x:v>
      </x:c>
      <x:c r="U583" s="158" t="n">
        <x:v>2672234</x:v>
      </x:c>
      <x:c r="V583" s="153" t="n">
        <x:f>IFERROR(E583*1000/O583,"")</x:f>
        <x:v>60.80915103252801</x:v>
      </x:c>
      <x:c r="W583" s="153" t="n">
        <x:v>4.55</x:v>
      </x:c>
      <x:c r="X583" s="155" t="n">
        <x:v>46210</x:v>
      </x:c>
      <x:c r="Y583" s="153" t="n">
        <x:v>2.3</x:v>
      </x:c>
      <x:c r="Z583" s="155" t="n">
        <x:v>46210</x:v>
      </x:c>
      <x:c r="AA583" s="153" t="n">
        <x:f>IFERROR(Y583-Y582,"")</x:f>
        <x:v>0.05999999999999961</x:v>
      </x:c>
      <x:c r="AB583" s="153" t="n">
        <x:v>2.25</x:v>
      </x:c>
      <x:c r="AC583" s="153" t="n">
        <x:v>120.8145</x:v>
      </x:c>
      <x:c r="AD583" s="155" t="n">
        <x:v>46210</x:v>
      </x:c>
      <x:c r="AE583" s="154" t="n">
        <x:f>IFERROR(AC583/AC582-1,"")</x:f>
        <x:v>-0.0001696528323746893</x:v>
      </x:c>
      <x:c r="AF583" s="153" t="n">
        <x:v>16.13</x:v>
      </x:c>
      <x:c r="AG583" s="155" t="n">
        <x:v>46210</x:v>
      </x:c>
      <x:c r="AH583" s="153" t="n">
        <x:f>IFERROR(AF583-AF582,"")</x:f>
        <x:v>0.5599999999999987</x:v>
      </x:c>
      <x:c r="AI583" s="153" t="n">
        <x:v>3.63</x:v>
      </x:c>
      <x:c r="AJ583" s="155" t="n">
        <x:v>46206</x:v>
      </x:c>
      <x:c r="AK583" s="159" t="n">
        <x:v>120091</x:v>
      </x:c>
      <x:c r="AL583" s="154" t="n">
        <x:v>0.3249734129636495</x:v>
      </x:c>
      <x:c r="AM583" s="159" t="n">
        <x:v>-17046</x:v>
      </x:c>
      <x:c r="AN583" s="155" t="n">
        <x:v>46206</x:v>
      </x:c>
      <x:c r="AO583" s="159" t="n">
        <x:v>13782</x:v>
      </x:c>
      <x:c r="AP583" s="154" t="n">
        <x:v>0.12648214089056936</x:v>
      </x:c>
      <x:c r="AQ583" s="159" t="n">
        <x:v>-12271</x:v>
      </x:c>
      <x:c r="AR583" s="147" t="str">
        <x:v>美国市场指标与CFTC数据均使用严格早于上金所交易日的最后已发布值</x:v>
      </x:c>
    </x:row>
    <x:row r="584">
      <x:c r="A584" s="155" t="n">
        <x:v>46212</x:v>
      </x:c>
      <x:c r="B584" s="153" t="n">
        <x:v>892</x:v>
      </x:c>
      <x:c r="C584" s="153" t="n">
        <x:v>899</x:v>
      </x:c>
      <x:c r="D584" s="153" t="n">
        <x:v>883</x:v>
      </x:c>
      <x:c r="E584" s="153" t="n">
        <x:v>898.79</x:v>
      </x:c>
      <x:c r="F584" s="154" t="n">
        <x:f>IFERROR(E584/E583-1,"")</x:f>
        <x:v>-0.002530325057986671</x:v>
      </x:c>
      <x:c r="G584" s="154" t="n">
        <x:f>IFERROR((C584-D584)/E583,"")</x:f>
        <x:v>0.017756667073590287</x:v>
      </x:c>
      <x:c r="H584" s="153" t="n">
        <x:v>893.81</x:v>
      </x:c>
      <x:c r="I584" s="158" t="n">
        <x:v>4097.94</x:v>
      </x:c>
      <x:c r="J584" s="158" t="n">
        <x:v>3662813106.4</x:v>
      </x:c>
      <x:c r="K584" s="158"/>
      <x:c r="L584" s="153" t="n">
        <x:v>14420</x:v>
      </x:c>
      <x:c r="M584" s="153" t="n">
        <x:v>14450</x:v>
      </x:c>
      <x:c r="N584" s="153" t="n">
        <x:v>13985</x:v>
      </x:c>
      <x:c r="O584" s="153" t="n">
        <x:v>14430</x:v>
      </x:c>
      <x:c r="P584" s="154" t="n">
        <x:f>IFERROR(O584/O583-1,"")</x:f>
        <x:v>-0.026184370360372466</x:v>
      </x:c>
      <x:c r="Q584" s="154" t="n">
        <x:f>IFERROR((M584-N584)/O583,"")</x:f>
        <x:v>0.03138075313807531</x:v>
      </x:c>
      <x:c r="R584" s="153" t="n">
        <x:v>14232</x:v>
      </x:c>
      <x:c r="S584" s="158" t="n">
        <x:v>358056</x:v>
      </x:c>
      <x:c r="T584" s="158" t="n">
        <x:v>5096113272</x:v>
      </x:c>
      <x:c r="U584" s="158" t="n">
        <x:v>2668488</x:v>
      </x:c>
      <x:c r="V584" s="153" t="n">
        <x:f>IFERROR(E584*1000/O584,"")</x:f>
        <x:v>62.286209286209285</x:v>
      </x:c>
      <x:c r="W584" s="153" t="n">
        <x:v>4.56</x:v>
      </x:c>
      <x:c r="X584" s="155" t="n">
        <x:v>46211</x:v>
      </x:c>
      <x:c r="Y584" s="153" t="n">
        <x:v>2.31</x:v>
      </x:c>
      <x:c r="Z584" s="155" t="n">
        <x:v>46211</x:v>
      </x:c>
      <x:c r="AA584" s="153" t="n">
        <x:f>IFERROR(Y584-Y583,"")</x:f>
        <x:v>0.010000000000000231</x:v>
      </x:c>
      <x:c r="AB584" s="153" t="n">
        <x:v>2.25</x:v>
      </x:c>
      <x:c r="AC584" s="153" t="n">
        <x:v>121.1307</x:v>
      </x:c>
      <x:c r="AD584" s="155" t="n">
        <x:v>46211</x:v>
      </x:c>
      <x:c r="AE584" s="154" t="n">
        <x:f>IFERROR(AC584/AC583-1,"")</x:f>
        <x:v>0.002617235513949101</x:v>
      </x:c>
      <x:c r="AF584" s="153" t="n">
        <x:v>16.9</x:v>
      </x:c>
      <x:c r="AG584" s="155" t="n">
        <x:v>46211</x:v>
      </x:c>
      <x:c r="AH584" s="153" t="n">
        <x:f>IFERROR(AF584-AF583,"")</x:f>
        <x:v>0.7699999999999996</x:v>
      </x:c>
      <x:c r="AI584" s="153" t="n">
        <x:v>3.62</x:v>
      </x:c>
      <x:c r="AJ584" s="155" t="n">
        <x:v>46206</x:v>
      </x:c>
      <x:c r="AK584" s="159" t="n">
        <x:v>120091</x:v>
      </x:c>
      <x:c r="AL584" s="154" t="n">
        <x:v>0.3249734129636495</x:v>
      </x:c>
      <x:c r="AM584" s="159" t="n">
        <x:v>-17046</x:v>
      </x:c>
      <x:c r="AN584" s="155" t="n">
        <x:v>46206</x:v>
      </x:c>
      <x:c r="AO584" s="159" t="n">
        <x:v>13782</x:v>
      </x:c>
      <x:c r="AP584" s="154" t="n">
        <x:v>0.12648214089056936</x:v>
      </x:c>
      <x:c r="AQ584" s="159" t="n">
        <x:v>-12271</x:v>
      </x:c>
      <x:c r="AR584" s="147" t="str">
        <x:v>美国市场指标与CFTC数据均使用严格早于上金所交易日的最后已发布值</x:v>
      </x:c>
    </x:row>
    <x:row r="585">
      <x:c r="A585" s="155" t="n">
        <x:v>46213</x:v>
      </x:c>
      <x:c r="B585" s="153" t="n">
        <x:v>899</x:v>
      </x:c>
      <x:c r="C585" s="153" t="n">
        <x:v>904.5</x:v>
      </x:c>
      <x:c r="D585" s="153" t="n">
        <x:v>896.8</x:v>
      </x:c>
      <x:c r="E585" s="153" t="n">
        <x:v>897.25</x:v>
      </x:c>
      <x:c r="F585" s="154" t="n">
        <x:f>IFERROR(E585/E584-1,"")</x:f>
        <x:v>-0.0017134147019881585</x:v>
      </x:c>
      <x:c r="G585" s="154" t="n">
        <x:f>IFERROR((C585-D585)/E584,"")</x:f>
        <x:v>0.008567073509941195</x:v>
      </x:c>
      <x:c r="H585" s="153" t="n">
        <x:v>898.57</x:v>
      </x:c>
      <x:c r="I585" s="158" t="n">
        <x:v>3554.2</x:v>
      </x:c>
      <x:c r="J585" s="158" t="n">
        <x:v>3193717097.6</x:v>
      </x:c>
      <x:c r="K585" s="158"/>
      <x:c r="L585" s="153" t="n">
        <x:v>14406</x:v>
      </x:c>
      <x:c r="M585" s="153" t="n">
        <x:v>14782</x:v>
      </x:c>
      <x:c r="N585" s="153" t="n">
        <x:v>14351</x:v>
      </x:c>
      <x:c r="O585" s="153" t="n">
        <x:v>14628</x:v>
      </x:c>
      <x:c r="P585" s="154" t="n">
        <x:f>IFERROR(O585/O584-1,"")</x:f>
        <x:v>0.013721413721413667</x:v>
      </x:c>
      <x:c r="Q585" s="154" t="n">
        <x:f>IFERROR((M585-N585)/O584,"")</x:f>
        <x:v>0.02986832986832987</x:v>
      </x:c>
      <x:c r="R585" s="153" t="n">
        <x:v>14636</x:v>
      </x:c>
      <x:c r="S585" s="158" t="n">
        <x:v>210838</x:v>
      </x:c>
      <x:c r="T585" s="158" t="n">
        <x:v>3085971756</x:v>
      </x:c>
      <x:c r="U585" s="158" t="n">
        <x:v>2682752</x:v>
      </x:c>
      <x:c r="V585" s="153" t="n">
        <x:f>IFERROR(E585*1000/O585,"")</x:f>
        <x:v>61.33784522832923</x:v>
      </x:c>
      <x:c r="W585" s="153" t="n">
        <x:v>4.54</x:v>
      </x:c>
      <x:c r="X585" s="155" t="n">
        <x:v>46212</x:v>
      </x:c>
      <x:c r="Y585" s="153" t="n">
        <x:v>2.31</x:v>
      </x:c>
      <x:c r="Z585" s="155" t="n">
        <x:v>46212</x:v>
      </x:c>
      <x:c r="AA585" s="153" t="n">
        <x:f>IFERROR(Y585-Y584,"")</x:f>
        <x:v>0</x:v>
      </x:c>
      <x:c r="AB585" s="153" t="n">
        <x:v>2.23</x:v>
      </x:c>
      <x:c r="AC585" s="153" t="n">
        <x:v>120.753</x:v>
      </x:c>
      <x:c r="AD585" s="155" t="n">
        <x:v>46212</x:v>
      </x:c>
      <x:c r="AE585" s="154" t="n">
        <x:f>IFERROR(AC585/AC584-1,"")</x:f>
        <x:v>-0.003118119518833784</x:v>
      </x:c>
      <x:c r="AF585" s="153" t="n">
        <x:v>15.84</x:v>
      </x:c>
      <x:c r="AG585" s="155" t="n">
        <x:v>46212</x:v>
      </x:c>
      <x:c r="AH585" s="153" t="n">
        <x:f>IFERROR(AF585-AF584,"")</x:f>
        <x:v>-1.0599999999999987</x:v>
      </x:c>
      <x:c r="AI585" s="153" t="n">
        <x:v>3.62</x:v>
      </x:c>
      <x:c r="AJ585" s="155" t="n">
        <x:v>46206</x:v>
      </x:c>
      <x:c r="AK585" s="159" t="n">
        <x:v>120091</x:v>
      </x:c>
      <x:c r="AL585" s="154" t="n">
        <x:v>0.3249734129636495</x:v>
      </x:c>
      <x:c r="AM585" s="159" t="n">
        <x:v>-17046</x:v>
      </x:c>
      <x:c r="AN585" s="155" t="n">
        <x:v>46206</x:v>
      </x:c>
      <x:c r="AO585" s="159" t="n">
        <x:v>13782</x:v>
      </x:c>
      <x:c r="AP585" s="154" t="n">
        <x:v>0.12648214089056936</x:v>
      </x:c>
      <x:c r="AQ585" s="159" t="n">
        <x:v>-12271</x:v>
      </x:c>
      <x:c r="AR585" s="147" t="str">
        <x:v>美国市场指标与CFTC数据均使用严格早于上金所交易日的最后已发布值</x:v>
      </x:c>
    </x:row>
    <x:row r="586">
      <x:c r="A586" s="155" t="n">
        <x:v>46216</x:v>
      </x:c>
      <x:c r="B586" s="153" t="n">
        <x:v>899.99</x:v>
      </x:c>
      <x:c r="C586" s="153" t="n">
        <x:v>900</x:v>
      </x:c>
      <x:c r="D586" s="153" t="n">
        <x:v>883</x:v>
      </x:c>
      <x:c r="E586" s="153" t="n">
        <x:v>886.46</x:v>
      </x:c>
      <x:c r="F586" s="154" t="n">
        <x:f>IFERROR(E586/E585-1,"")</x:f>
        <x:v>-0.012025633881303954</x:v>
      </x:c>
      <x:c r="G586" s="154" t="n">
        <x:f>IFERROR((C586-D586)/E585,"")</x:f>
        <x:v>0.01894678183337977</x:v>
      </x:c>
      <x:c r="H586" s="153" t="n">
        <x:v>887.12</x:v>
      </x:c>
      <x:c r="I586" s="158" t="n">
        <x:v>4971.36</x:v>
      </x:c>
      <x:c r="J586" s="158" t="n">
        <x:v>4410220596.6</x:v>
      </x:c>
      <x:c r="K586" s="158"/>
      <x:c r="L586" s="153" t="n">
        <x:v>14490</x:v>
      </x:c>
      <x:c r="M586" s="153" t="n">
        <x:v>14622</x:v>
      </x:c>
      <x:c r="N586" s="153" t="n">
        <x:v>14054</x:v>
      </x:c>
      <x:c r="O586" s="153" t="n">
        <x:v>14160</x:v>
      </x:c>
      <x:c r="P586" s="154" t="n">
        <x:f>IFERROR(O586/O585-1,"")</x:f>
        <x:v>-0.03199343724364234</x:v>
      </x:c>
      <x:c r="Q586" s="154" t="n">
        <x:f>IFERROR((M586-N586)/O585,"")</x:f>
        <x:v>0.038829641782882146</x:v>
      </x:c>
      <x:c r="R586" s="153" t="n">
        <x:v>14216</x:v>
      </x:c>
      <x:c r="S586" s="158" t="n">
        <x:v>387974</x:v>
      </x:c>
      <x:c r="T586" s="158" t="n">
        <x:v>5515568298</x:v>
      </x:c>
      <x:c r="U586" s="158" t="n">
        <x:v>2782868</x:v>
      </x:c>
      <x:c r="V586" s="153" t="n">
        <x:f>IFERROR(E586*1000/O586,"")</x:f>
        <x:v>62.60310734463277</x:v>
      </x:c>
      <x:c r="W586" s="153" t="n">
        <x:v>4.56</x:v>
      </x:c>
      <x:c r="X586" s="155" t="n">
        <x:v>46213</x:v>
      </x:c>
      <x:c r="Y586" s="153" t="n">
        <x:v>2.32</x:v>
      </x:c>
      <x:c r="Z586" s="155" t="n">
        <x:v>46213</x:v>
      </x:c>
      <x:c r="AA586" s="153" t="n">
        <x:f>IFERROR(Y586-Y585,"")</x:f>
        <x:v>0.009999999999999787</x:v>
      </x:c>
      <x:c r="AB586" s="153" t="n">
        <x:v>2.24</x:v>
      </x:c>
      <x:c r="AC586" s="153" t="n">
        <x:v>120.5046</x:v>
      </x:c>
      <x:c r="AD586" s="155" t="n">
        <x:v>46213</x:v>
      </x:c>
      <x:c r="AE586" s="154" t="n">
        <x:f>IFERROR(AC586/AC585-1,"")</x:f>
        <x:v>-0.0020570917492733765</x:v>
      </x:c>
      <x:c r="AF586" s="153" t="n">
        <x:v>15.03</x:v>
      </x:c>
      <x:c r="AG586" s="155" t="n">
        <x:v>46213</x:v>
      </x:c>
      <x:c r="AH586" s="153" t="n">
        <x:f>IFERROR(AF586-AF585,"")</x:f>
        <x:v>-0.8100000000000005</x:v>
      </x:c>
      <x:c r="AI586" s="153" t="n">
        <x:v>3.62</x:v>
      </x:c>
      <x:c r="AJ586" s="155" t="n">
        <x:v>46213</x:v>
      </x:c>
      <x:c r="AK586" s="159" t="n">
        <x:v>116161</x:v>
      </x:c>
      <x:c r="AL586" s="154" t="n">
        <x:v>0.3124488939576519</x:v>
      </x:c>
      <x:c r="AM586" s="159" t="n">
        <x:v>-20986</x:v>
      </x:c>
      <x:c r="AN586" s="155" t="n">
        <x:v>46213</x:v>
      </x:c>
      <x:c r="AO586" s="159" t="n">
        <x:v>13201</x:v>
      </x:c>
      <x:c r="AP586" s="154" t="n">
        <x:v>0.1258928656576927</x:v>
      </x:c>
      <x:c r="AQ586" s="159" t="n">
        <x:v>-13356</x:v>
      </x:c>
      <x:c r="AR586" s="147" t="str">
        <x:v>美国市场指标与CFTC数据均使用严格早于上金所交易日的最后已发布值</x:v>
      </x:c>
    </x:row>
    <x:row r="587">
      <x:c r="A587" s="155" t="n">
        <x:v>46217</x:v>
      </x:c>
      <x:c r="B587" s="153" t="n">
        <x:v>885.3</x:v>
      </x:c>
      <x:c r="C587" s="153" t="n">
        <x:v>889</x:v>
      </x:c>
      <x:c r="D587" s="153" t="n">
        <x:v>872</x:v>
      </x:c>
      <x:c r="E587" s="153" t="n">
        <x:v>879.9</x:v>
      </x:c>
      <x:c r="F587" s="154" t="n">
        <x:f>IFERROR(E587/E586-1,"")</x:f>
        <x:v>-0.0074002211041671595</x:v>
      </x:c>
      <x:c r="G587" s="154" t="n">
        <x:f>IFERROR((C587-D587)/E586,"")</x:f>
        <x:v>0.01917740225165264</x:v>
      </x:c>
      <x:c r="H587" s="153" t="n">
        <x:v>877.59</x:v>
      </x:c>
      <x:c r="I587" s="158" t="n">
        <x:v>5884.54</x:v>
      </x:c>
      <x:c r="J587" s="158" t="n">
        <x:v>5164225500.6</x:v>
      </x:c>
      <x:c r="K587" s="158"/>
      <x:c r="L587" s="153" t="n">
        <x:v>14240</x:v>
      </x:c>
      <x:c r="M587" s="153" t="n">
        <x:v>14273</x:v>
      </x:c>
      <x:c r="N587" s="153" t="n">
        <x:v>13832</x:v>
      </x:c>
      <x:c r="O587" s="153" t="n">
        <x:v>14180</x:v>
      </x:c>
      <x:c r="P587" s="154" t="n">
        <x:f>IFERROR(O587/O586-1,"")</x:f>
        <x:v>0.0014124293785311437</x:v>
      </x:c>
      <x:c r="Q587" s="154" t="n">
        <x:f>IFERROR((M587-N587)/O586,"")</x:f>
        <x:v>0.03114406779661017</x:v>
      </x:c>
      <x:c r="R587" s="153" t="n">
        <x:v>14061</x:v>
      </x:c>
      <x:c r="S587" s="158" t="n">
        <x:v>373820</x:v>
      </x:c>
      <x:c r="T587" s="158" t="n">
        <x:v>5256300418</x:v>
      </x:c>
      <x:c r="U587" s="158" t="n">
        <x:v>2851676</x:v>
      </x:c>
      <x:c r="V587" s="153" t="n">
        <x:f>IFERROR(E587*1000/O587,"")</x:f>
        <x:v>62.05218617771509</x:v>
      </x:c>
      <x:c r="W587" s="153" t="n">
        <x:v>4.62</x:v>
      </x:c>
      <x:c r="X587" s="155" t="n">
        <x:v>46216</x:v>
      </x:c>
      <x:c r="Y587" s="153" t="n">
        <x:v>2.36</x:v>
      </x:c>
      <x:c r="Z587" s="155" t="n">
        <x:v>46216</x:v>
      </x:c>
      <x:c r="AA587" s="153" t="n">
        <x:f>IFERROR(Y587-Y586,"")</x:f>
        <x:v>0.040000000000000036</x:v>
      </x:c>
      <x:c r="AB587" s="153" t="n">
        <x:v>2.26</x:v>
      </x:c>
      <x:c r="AC587" s="153" t="n">
        <x:v>120.7413</x:v>
      </x:c>
      <x:c r="AD587" s="155" t="n">
        <x:v>46216</x:v>
      </x:c>
      <x:c r="AE587" s="154" t="n">
        <x:f>IFERROR(AC587/AC586-1,"")</x:f>
        <x:v>0.00196424036924725</x:v>
      </x:c>
      <x:c r="AF587" s="153" t="n">
        <x:v>17.16</x:v>
      </x:c>
      <x:c r="AG587" s="155" t="n">
        <x:v>46216</x:v>
      </x:c>
      <x:c r="AH587" s="153" t="n">
        <x:f>IFERROR(AF587-AF586,"")</x:f>
        <x:v>2.130000000000001</x:v>
      </x:c>
      <x:c r="AI587" s="153" t="n">
        <x:v>3.62</x:v>
      </x:c>
      <x:c r="AJ587" s="155" t="n">
        <x:v>46213</x:v>
      </x:c>
      <x:c r="AK587" s="159" t="n">
        <x:v>116161</x:v>
      </x:c>
      <x:c r="AL587" s="154" t="n">
        <x:v>0.3124488939576519</x:v>
      </x:c>
      <x:c r="AM587" s="159" t="n">
        <x:v>-20986</x:v>
      </x:c>
      <x:c r="AN587" s="155" t="n">
        <x:v>46213</x:v>
      </x:c>
      <x:c r="AO587" s="159" t="n">
        <x:v>13201</x:v>
      </x:c>
      <x:c r="AP587" s="154" t="n">
        <x:v>0.1258928656576927</x:v>
      </x:c>
      <x:c r="AQ587" s="159" t="n">
        <x:v>-13356</x:v>
      </x:c>
      <x:c r="AR587" s="147" t="str">
        <x:v>美国市场指标与CFTC数据均使用严格早于上金所交易日的最后已发布值</x:v>
      </x:c>
    </x:row>
    <x:row r="588">
      <x:c r="A588" s="155" t="n">
        <x:v>46218</x:v>
      </x:c>
      <x:c r="B588" s="153" t="n">
        <x:v>882</x:v>
      </x:c>
      <x:c r="C588" s="153" t="n">
        <x:v>895</x:v>
      </x:c>
      <x:c r="D588" s="153" t="n">
        <x:v>876.8</x:v>
      </x:c>
      <x:c r="E588" s="153" t="n">
        <x:v>877.99</x:v>
      </x:c>
      <x:c r="F588" s="154" t="n">
        <x:f>IFERROR(E588/E587-1,"")</x:f>
        <x:v>-0.0021707012160472328</x:v>
      </x:c>
      <x:c r="G588" s="154" t="n">
        <x:f>IFERROR((C588-D588)/E587,"")</x:f>
        <x:v>0.02068416865552909</x:v>
      </x:c>
      <x:c r="H588" s="153" t="n">
        <x:v>879.4</x:v>
      </x:c>
      <x:c r="I588" s="158" t="n">
        <x:v>4721.88</x:v>
      </x:c>
      <x:c r="J588" s="158" t="n">
        <x:v>4152461524</x:v>
      </x:c>
      <x:c r="K588" s="158"/>
      <x:c r="L588" s="153" t="n">
        <x:v>14170</x:v>
      </x:c>
      <x:c r="M588" s="153" t="n">
        <x:v>14536</x:v>
      </x:c>
      <x:c r="N588" s="153" t="n">
        <x:v>14100</x:v>
      </x:c>
      <x:c r="O588" s="153" t="n">
        <x:v>14163</x:v>
      </x:c>
      <x:c r="P588" s="154" t="n">
        <x:f>IFERROR(O588/O587-1,"")</x:f>
        <x:v>-0.001198871650211597</x:v>
      </x:c>
      <x:c r="Q588" s="154" t="n">
        <x:f>IFERROR((M588-N588)/O587,"")</x:f>
        <x:v>0.0307475317348378</x:v>
      </x:c>
      <x:c r="R588" s="153" t="n">
        <x:v>14280</x:v>
      </x:c>
      <x:c r="S588" s="158" t="n">
        <x:v>443888</x:v>
      </x:c>
      <x:c r="T588" s="158" t="n">
        <x:v>6338744280</x:v>
      </x:c>
      <x:c r="U588" s="158" t="n">
        <x:v>2935644</x:v>
      </x:c>
      <x:c r="V588" s="153" t="n">
        <x:f>IFERROR(E588*1000/O588,"")</x:f>
        <x:v>61.991809644849255</x:v>
      </x:c>
      <x:c r="W588" s="153" t="n">
        <x:v>4.58</x:v>
      </x:c>
      <x:c r="X588" s="155" t="n">
        <x:v>46217</x:v>
      </x:c>
      <x:c r="Y588" s="153" t="n">
        <x:v>2.33</x:v>
      </x:c>
      <x:c r="Z588" s="155" t="n">
        <x:v>46217</x:v>
      </x:c>
      <x:c r="AA588" s="153" t="n">
        <x:f>IFERROR(Y588-Y587,"")</x:f>
        <x:v>-0.029999999999999805</x:v>
      </x:c>
      <x:c r="AB588" s="153" t="n">
        <x:v>2.25</x:v>
      </x:c>
      <x:c r="AC588" s="153" t="n">
        <x:v>120.4728</x:v>
      </x:c>
      <x:c r="AD588" s="155" t="n">
        <x:v>46217</x:v>
      </x:c>
      <x:c r="AE588" s="154" t="n">
        <x:f>IFERROR(AC588/AC587-1,"")</x:f>
        <x:v>-0.0022237627058843135</x:v>
      </x:c>
      <x:c r="AF588" s="153" t="n">
        <x:v>16.5</x:v>
      </x:c>
      <x:c r="AG588" s="155" t="n">
        <x:v>46217</x:v>
      </x:c>
      <x:c r="AH588" s="153" t="n">
        <x:f>IFERROR(AF588-AF587,"")</x:f>
        <x:v>-0.6600000000000001</x:v>
      </x:c>
      <x:c r="AI588" s="153" t="n">
        <x:v>3.63</x:v>
      </x:c>
      <x:c r="AJ588" s="155" t="n">
        <x:v>46213</x:v>
      </x:c>
      <x:c r="AK588" s="159" t="n">
        <x:v>116161</x:v>
      </x:c>
      <x:c r="AL588" s="154" t="n">
        <x:v>0.3124488939576519</x:v>
      </x:c>
      <x:c r="AM588" s="159" t="n">
        <x:v>-20986</x:v>
      </x:c>
      <x:c r="AN588" s="155" t="n">
        <x:v>46213</x:v>
      </x:c>
      <x:c r="AO588" s="159" t="n">
        <x:v>13201</x:v>
      </x:c>
      <x:c r="AP588" s="154" t="n">
        <x:v>0.1258928656576927</x:v>
      </x:c>
      <x:c r="AQ588" s="159" t="n">
        <x:v>-13356</x:v>
      </x:c>
      <x:c r="AR588" s="147" t="str">
        <x:v>美国市场指标与CFTC数据均使用严格早于上金所交易日的最后已发布值</x:v>
      </x:c>
    </x:row>
    <x:row r="589">
      <x:c r="A589" s="155" t="n">
        <x:v>46219</x:v>
      </x:c>
      <x:c r="B589" s="153" t="n">
        <x:v>880</x:v>
      </x:c>
      <x:c r="C589" s="153" t="n">
        <x:v>888</x:v>
      </x:c>
      <x:c r="D589" s="153" t="n">
        <x:v>876</x:v>
      </x:c>
      <x:c r="E589" s="153" t="n">
        <x:v>877.32</x:v>
      </x:c>
      <x:c r="F589" s="154" t="n">
        <x:f>IFERROR(E589/E588-1,"")</x:f>
        <x:v>-0.0007631066413056331</x:v>
      </x:c>
      <x:c r="G589" s="154" t="n">
        <x:f>IFERROR((C589-D589)/E588,"")</x:f>
        <x:v>0.013667581635326142</x:v>
      </x:c>
      <x:c r="H589" s="153" t="n">
        <x:v>878.63</x:v>
      </x:c>
      <x:c r="I589" s="158" t="n">
        <x:v>3066.14</x:v>
      </x:c>
      <x:c r="J589" s="158" t="n">
        <x:v>2694026557.8</x:v>
      </x:c>
      <x:c r="K589" s="158"/>
      <x:c r="L589" s="153" t="n">
        <x:v>14160</x:v>
      </x:c>
      <x:c r="M589" s="153" t="n">
        <x:v>14335</x:v>
      </x:c>
      <x:c r="N589" s="153" t="n">
        <x:v>13771</x:v>
      </x:c>
      <x:c r="O589" s="153" t="n">
        <x:v>13821</x:v>
      </x:c>
      <x:c r="P589" s="154" t="n">
        <x:f>IFERROR(O589/O588-1,"")</x:f>
        <x:v>-0.02414742639271339</x:v>
      </x:c>
      <x:c r="Q589" s="154" t="n">
        <x:f>IFERROR((M589-N589)/O588,"")</x:f>
        <x:v>0.039822071595001056</x:v>
      </x:c>
      <x:c r="R589" s="153" t="n">
        <x:v>13911</x:v>
      </x:c>
      <x:c r="S589" s="158" t="n">
        <x:v>409044</x:v>
      </x:c>
      <x:c r="T589" s="158" t="n">
        <x:v>5690597994</x:v>
      </x:c>
      <x:c r="U589" s="158" t="n">
        <x:v>2988278</x:v>
      </x:c>
      <x:c r="V589" s="153" t="n">
        <x:f>IFERROR(E589*1000/O589,"")</x:f>
        <x:v>63.47731712611244</x:v>
      </x:c>
      <x:c r="W589" s="153" t="n">
        <x:v>4.55</x:v>
      </x:c>
      <x:c r="X589" s="155" t="n">
        <x:v>46218</x:v>
      </x:c>
      <x:c r="Y589" s="153" t="n">
        <x:v>2.32</x:v>
      </x:c>
      <x:c r="Z589" s="155" t="n">
        <x:v>46218</x:v>
      </x:c>
      <x:c r="AA589" s="153" t="n">
        <x:f>IFERROR(Y589-Y588,"")</x:f>
        <x:v>-0.010000000000000231</x:v>
      </x:c>
      <x:c r="AB589" s="153" t="n">
        <x:v>2.23</x:v>
      </x:c>
      <x:c r="AC589" s="153" t="n">
        <x:v>120.3088</x:v>
      </x:c>
      <x:c r="AD589" s="155" t="n">
        <x:v>46218</x:v>
      </x:c>
      <x:c r="AE589" s="154" t="n">
        <x:f>IFERROR(AC589/AC588-1,"")</x:f>
        <x:v>-0.0013613031323252978</x:v>
      </x:c>
      <x:c r="AF589" s="153" t="n">
        <x:v>15.67</x:v>
      </x:c>
      <x:c r="AG589" s="155" t="n">
        <x:v>46218</x:v>
      </x:c>
      <x:c r="AH589" s="153" t="n">
        <x:f>IFERROR(AF589-AF588,"")</x:f>
        <x:v>-0.8300000000000001</x:v>
      </x:c>
      <x:c r="AI589" s="153" t="n">
        <x:v>3.63</x:v>
      </x:c>
      <x:c r="AJ589" s="155" t="n">
        <x:v>46213</x:v>
      </x:c>
      <x:c r="AK589" s="159" t="n">
        <x:v>116161</x:v>
      </x:c>
      <x:c r="AL589" s="154" t="n">
        <x:v>0.3124488939576519</x:v>
      </x:c>
      <x:c r="AM589" s="159" t="n">
        <x:v>-20986</x:v>
      </x:c>
      <x:c r="AN589" s="155" t="n">
        <x:v>46213</x:v>
      </x:c>
      <x:c r="AO589" s="159" t="n">
        <x:v>13201</x:v>
      </x:c>
      <x:c r="AP589" s="154" t="n">
        <x:v>0.1258928656576927</x:v>
      </x:c>
      <x:c r="AQ589" s="159" t="n">
        <x:v>-13356</x:v>
      </x:c>
      <x:c r="AR589" s="147" t="str">
        <x:v>美国市场指标与CFTC数据均使用严格早于上金所交易日的最后已发布值</x:v>
      </x:c>
    </x:row>
    <x:row r="590">
      <x:c r="A590" s="155" t="n">
        <x:v>46220</x:v>
      </x:c>
      <x:c r="B590" s="153" t="n">
        <x:v>875</x:v>
      </x:c>
      <x:c r="C590" s="153" t="n">
        <x:v>882.5</x:v>
      </x:c>
      <x:c r="D590" s="153" t="n">
        <x:v>867</x:v>
      </x:c>
      <x:c r="E590" s="153" t="n">
        <x:v>872.48</x:v>
      </x:c>
      <x:c r="F590" s="154" t="n">
        <x:f>IFERROR(E590/E589-1,"")</x:f>
        <x:v>-0.005516801167190999</x:v>
      </x:c>
      <x:c r="G590" s="154" t="n">
        <x:f>IFERROR((C590-D590)/E589,"")</x:f>
        <x:v>0.017667441754433955</x:v>
      </x:c>
      <x:c r="H590" s="153" t="n">
        <x:v>870.84</x:v>
      </x:c>
      <x:c r="I590" s="158" t="n">
        <x:v>5776.98</x:v>
      </x:c>
      <x:c r="J590" s="158" t="n">
        <x:v>5030859359</x:v>
      </x:c>
      <x:c r="K590" s="158"/>
      <x:c r="L590" s="153" t="n">
        <x:v>13805</x:v>
      </x:c>
      <x:c r="M590" s="153" t="n">
        <x:v>13830</x:v>
      </x:c>
      <x:c r="N590" s="153" t="n">
        <x:v>13282</x:v>
      </x:c>
      <x:c r="O590" s="153" t="n">
        <x:v>13471</x:v>
      </x:c>
      <x:c r="P590" s="154" t="n">
        <x:f>IFERROR(O590/O589-1,"")</x:f>
        <x:v>-0.02532378264959123</x:v>
      </x:c>
      <x:c r="Q590" s="154" t="n">
        <x:f>IFERROR((M590-N590)/O589,"")</x:f>
        <x:v>0.03964980826278851</x:v>
      </x:c>
      <x:c r="R590" s="153" t="n">
        <x:v>13479</x:v>
      </x:c>
      <x:c r="S590" s="158" t="n">
        <x:v>487616</x:v>
      </x:c>
      <x:c r="T590" s="158" t="n">
        <x:v>6572615642</x:v>
      </x:c>
      <x:c r="U590" s="158" t="n">
        <x:v>3036592</x:v>
      </x:c>
      <x:c r="V590" s="153" t="n">
        <x:f>IFERROR(E590*1000/O590,"")</x:f>
        <x:v>64.76727785613541</x:v>
      </x:c>
      <x:c r="W590" s="153" t="n">
        <x:v>4.57</x:v>
      </x:c>
      <x:c r="X590" s="155" t="n">
        <x:v>46219</x:v>
      </x:c>
      <x:c r="Y590" s="153" t="n">
        <x:v>2.35</x:v>
      </x:c>
      <x:c r="Z590" s="155" t="n">
        <x:v>46219</x:v>
      </x:c>
      <x:c r="AA590" s="153" t="n">
        <x:f>IFERROR(Y590-Y589,"")</x:f>
        <x:v>0.03000000000000025</x:v>
      </x:c>
      <x:c r="AB590" s="153" t="n">
        <x:v>2.22</x:v>
      </x:c>
      <x:c r="AC590" s="153" t="n">
        <x:v>120.331</x:v>
      </x:c>
      <x:c r="AD590" s="155" t="n">
        <x:v>46219</x:v>
      </x:c>
      <x:c r="AE590" s="154" t="n">
        <x:f>IFERROR(AC590/AC589-1,"")</x:f>
        <x:v>0.0001845251552670124</x:v>
      </x:c>
      <x:c r="AF590" s="153" t="n">
        <x:v>16.73</x:v>
      </x:c>
      <x:c r="AG590" s="155" t="n">
        <x:v>46219</x:v>
      </x:c>
      <x:c r="AH590" s="153" t="n">
        <x:f>IFERROR(AF590-AF589,"")</x:f>
        <x:v>1.0600000000000005</x:v>
      </x:c>
      <x:c r="AI590" s="153" t="n">
        <x:v>3.63</x:v>
      </x:c>
      <x:c r="AJ590" s="155" t="n">
        <x:v>46213</x:v>
      </x:c>
      <x:c r="AK590" s="159" t="n">
        <x:v>116161</x:v>
      </x:c>
      <x:c r="AL590" s="154" t="n">
        <x:v>0.3124488939576519</x:v>
      </x:c>
      <x:c r="AM590" s="159" t="n">
        <x:v>-20986</x:v>
      </x:c>
      <x:c r="AN590" s="155" t="n">
        <x:v>46213</x:v>
      </x:c>
      <x:c r="AO590" s="159" t="n">
        <x:v>13201</x:v>
      </x:c>
      <x:c r="AP590" s="154" t="n">
        <x:v>0.1258928656576927</x:v>
      </x:c>
      <x:c r="AQ590" s="159" t="n">
        <x:v>-13356</x:v>
      </x:c>
      <x:c r="AR590" s="147" t="str">
        <x:v>美国市场指标与CFTC数据均使用严格早于上金所交易日的最后已发布值</x:v>
      </x:c>
    </x:row>
    <x:row r="591">
      <x:c r="A591" s="155" t="n">
        <x:v>46223</x:v>
      </x:c>
      <x:c r="B591" s="153" t="n">
        <x:v>872</x:v>
      </x:c>
      <x:c r="C591" s="153" t="n">
        <x:v>878.5</x:v>
      </x:c>
      <x:c r="D591" s="153" t="n">
        <x:v>866</x:v>
      </x:c>
      <x:c r="E591" s="153" t="n">
        <x:v>873</x:v>
      </x:c>
      <x:c r="F591" s="154" t="n">
        <x:f>IFERROR(E591/E590-1,"")</x:f>
        <x:v>0.0005960022006235022</x:v>
      </x:c>
      <x:c r="G591" s="154" t="n">
        <x:f>IFERROR((C591-D591)/E590,"")</x:f>
        <x:v>0.014326975976526683</x:v>
      </x:c>
      <x:c r="H591" s="153" t="n">
        <x:v>874.51</x:v>
      </x:c>
      <x:c r="I591" s="158" t="n">
        <x:v>4283.2</x:v>
      </x:c>
      <x:c r="J591" s="158" t="n">
        <x:v>3745708593</x:v>
      </x:c>
      <x:c r="K591" s="158"/>
      <x:c r="L591" s="153" t="n">
        <x:v>13466</x:v>
      </x:c>
      <x:c r="M591" s="153" t="n">
        <x:v>13922</x:v>
      </x:c>
      <x:c r="N591" s="153" t="n">
        <x:v>13345</x:v>
      </x:c>
      <x:c r="O591" s="153" t="n">
        <x:v>13714</x:v>
      </x:c>
      <x:c r="P591" s="154" t="n">
        <x:f>IFERROR(O591/O590-1,"")</x:f>
        <x:v>0.018038749907208107</x:v>
      </x:c>
      <x:c r="Q591" s="154" t="n">
        <x:f>IFERROR((M591-N591)/O590,"")</x:f>
        <x:v>0.04283275183728008</x:v>
      </x:c>
      <x:c r="R591" s="153" t="n">
        <x:v>13723</x:v>
      </x:c>
      <x:c r="S591" s="158" t="n">
        <x:v>295600</x:v>
      </x:c>
      <x:c r="T591" s="158" t="n">
        <x:v>4056530438</x:v>
      </x:c>
      <x:c r="U591" s="158" t="n">
        <x:v>3024454</x:v>
      </x:c>
      <x:c r="V591" s="153" t="n">
        <x:f>IFERROR(E591*1000/O591,"")</x:f>
        <x:v>63.657576199504156</x:v>
      </x:c>
      <x:c r="W591" s="153" t="n">
        <x:v>4.55</x:v>
      </x:c>
      <x:c r="X591" s="155" t="n">
        <x:v>46220</x:v>
      </x:c>
      <x:c r="Y591" s="153" t="n">
        <x:v>2.31</x:v>
      </x:c>
      <x:c r="Z591" s="155" t="n">
        <x:v>46220</x:v>
      </x:c>
      <x:c r="AA591" s="153" t="n">
        <x:f>IFERROR(Y591-Y590,"")</x:f>
        <x:v>-0.040000000000000036</x:v>
      </x:c>
      <x:c r="AB591" s="153" t="n">
        <x:v>2.24</x:v>
      </x:c>
      <x:c r="AC591" s="153" t="n">
        <x:v>120.5315</x:v>
      </x:c>
      <x:c r="AD591" s="155" t="n">
        <x:v>46220</x:v>
      </x:c>
      <x:c r="AE591" s="154" t="n">
        <x:f>IFERROR(AC591/AC590-1,"")</x:f>
        <x:v>0.0016662372954598936</x:v>
      </x:c>
      <x:c r="AF591" s="153" t="n">
        <x:v>18.77</x:v>
      </x:c>
      <x:c r="AG591" s="155" t="n">
        <x:v>46220</x:v>
      </x:c>
      <x:c r="AH591" s="153" t="n">
        <x:f>IFERROR(AF591-AF590,"")</x:f>
        <x:v>2.039999999999999</x:v>
      </x:c>
      <x:c r="AI591" s="153" t="n">
        <x:v>3.63</x:v>
      </x:c>
      <x:c r="AJ591" s="155" t="n">
        <x:v>46213</x:v>
      </x:c>
      <x:c r="AK591" s="159" t="n">
        <x:v>116161</x:v>
      </x:c>
      <x:c r="AL591" s="154" t="n">
        <x:v>0.3124488939576519</x:v>
      </x:c>
      <x:c r="AM591" s="159" t="n">
        <x:v>-20986</x:v>
      </x:c>
      <x:c r="AN591" s="155" t="n">
        <x:v>46213</x:v>
      </x:c>
      <x:c r="AO591" s="159" t="n">
        <x:v>13201</x:v>
      </x:c>
      <x:c r="AP591" s="154" t="n">
        <x:v>0.1258928656576927</x:v>
      </x:c>
      <x:c r="AQ591" s="159" t="n">
        <x:v>-13356</x:v>
      </x:c>
      <x:c r="AR591" s="147" t="str">
        <x:v>美国市场指标与CFTC数据均使用严格早于上金所交易日的最后已发布值</x:v>
      </x:c>
    </x:row>
    <x:row r="592">
      <x:c r="A592" s="155" t="n">
        <x:v>46224</x:v>
      </x:c>
      <x:c r="B592" s="153" t="n">
        <x:v>872.5</x:v>
      </x:c>
      <x:c r="C592" s="153" t="n">
        <x:v>889.6</x:v>
      </x:c>
      <x:c r="D592" s="153" t="n">
        <x:v>872</x:v>
      </x:c>
      <x:c r="E592" s="153" t="n">
        <x:v>886.95</x:v>
      </x:c>
      <x:c r="F592" s="154" t="n">
        <x:f>IFERROR(E592/E591-1,"")</x:f>
        <x:v>0.015979381443298912</x:v>
      </x:c>
      <x:c r="G592" s="154" t="n">
        <x:f>IFERROR((C592-D592)/E591,"")</x:f>
        <x:v>0.020160366552119155</x:v>
      </x:c>
      <x:c r="H592" s="153" t="n">
        <x:v>883.74</x:v>
      </x:c>
      <x:c r="I592" s="158" t="n">
        <x:v>6034.62</x:v>
      </x:c>
      <x:c r="J592" s="158" t="n">
        <x:v>5333065982.4</x:v>
      </x:c>
      <x:c r="K592" s="158"/>
      <x:c r="L592" s="153" t="n">
        <x:v>13866</x:v>
      </x:c>
      <x:c r="M592" s="153" t="n">
        <x:v>14383</x:v>
      </x:c>
      <x:c r="N592" s="153" t="n">
        <x:v>13689</x:v>
      </x:c>
      <x:c r="O592" s="153" t="n">
        <x:v>14348</x:v>
      </x:c>
      <x:c r="P592" s="154" t="n">
        <x:f>IFERROR(O592/O591-1,"")</x:f>
        <x:v>0.0462301297943708</x:v>
      </x:c>
      <x:c r="Q592" s="154" t="n">
        <x:f>IFERROR((M592-N592)/O591,"")</x:f>
        <x:v>0.05060522094210296</x:v>
      </x:c>
      <x:c r="R592" s="153" t="n">
        <x:v>14052</x:v>
      </x:c>
      <x:c r="S592" s="158" t="n">
        <x:v>352044</x:v>
      </x:c>
      <x:c r="T592" s="158" t="n">
        <x:v>4947074542</x:v>
      </x:c>
      <x:c r="U592" s="158" t="n">
        <x:v>3022188</x:v>
      </x:c>
      <x:c r="V592" s="153" t="n">
        <x:f>IFERROR(E592*1000/O592,"")</x:f>
        <x:v>61.81697797602453</x:v>
      </x:c>
      <x:c r="W592" s="153" t="n">
        <x:v>4.6</x:v>
      </x:c>
      <x:c r="X592" s="155" t="n">
        <x:v>46223</x:v>
      </x:c>
      <x:c r="Y592" s="153" t="n">
        <x:v>2.35</x:v>
      </x:c>
      <x:c r="Z592" s="155" t="n">
        <x:v>46223</x:v>
      </x:c>
      <x:c r="AA592" s="153" t="n">
        <x:f>IFERROR(Y592-Y591,"")</x:f>
        <x:v>0.040000000000000036</x:v>
      </x:c>
      <x:c r="AB592" s="153" t="n">
        <x:v>2.25</x:v>
      </x:c>
      <x:c r="AC592" s="153" t="n">
        <x:v>120.5315</x:v>
      </x:c>
      <x:c r="AD592" s="155" t="n">
        <x:v>46220</x:v>
      </x:c>
      <x:c r="AE592" s="154" t="n">
        <x:f>IFERROR(AC592/AC591-1,"")</x:f>
        <x:v>0</x:v>
      </x:c>
      <x:c r="AF592" s="153" t="n">
        <x:v>18.65</x:v>
      </x:c>
      <x:c r="AG592" s="155" t="n">
        <x:v>46223</x:v>
      </x:c>
      <x:c r="AH592" s="153" t="n">
        <x:f>IFERROR(AF592-AF591,"")</x:f>
        <x:v>-0.120000000000001</x:v>
      </x:c>
      <x:c r="AI592" s="153" t="n">
        <x:v>3.63</x:v>
      </x:c>
      <x:c r="AJ592" s="155" t="n">
        <x:v>46213</x:v>
      </x:c>
      <x:c r="AK592" s="159" t="n">
        <x:v>116161</x:v>
      </x:c>
      <x:c r="AL592" s="154" t="n">
        <x:v>0.3124488939576519</x:v>
      </x:c>
      <x:c r="AM592" s="159" t="n">
        <x:v>-20986</x:v>
      </x:c>
      <x:c r="AN592" s="155" t="n">
        <x:v>46213</x:v>
      </x:c>
      <x:c r="AO592" s="159" t="n">
        <x:v>13201</x:v>
      </x:c>
      <x:c r="AP592" s="154" t="n">
        <x:v>0.1258928656576927</x:v>
      </x:c>
      <x:c r="AQ592" s="159" t="n">
        <x:v>-13356</x:v>
      </x:c>
      <x:c r="AR592" s="147" t="str">
        <x:v>美国市场指标与CFTC数据均使用严格早于上金所交易日的最后已发布值</x:v>
      </x:c>
    </x:row>
    <x:row r="593">
      <x:c r="A593" s="155" t="n">
        <x:v>46225</x:v>
      </x:c>
      <x:c r="B593" s="153" t="n">
        <x:v>882.01</x:v>
      </x:c>
      <x:c r="C593" s="153" t="n">
        <x:v>904</x:v>
      </x:c>
      <x:c r="D593" s="153" t="n">
        <x:v>882.01</x:v>
      </x:c>
      <x:c r="E593" s="153" t="n">
        <x:v>899</x:v>
      </x:c>
      <x:c r="F593" s="154" t="n">
        <x:f>IFERROR(E593/E592-1,"")</x:f>
        <x:v>0.013585884209932786</x:v>
      </x:c>
      <x:c r="G593" s="154" t="n">
        <x:f>IFERROR((C593-D593)/E592,"")</x:f>
        <x:v>0.024792829359039415</x:v>
      </x:c>
      <x:c r="H593" s="153" t="n">
        <x:v>899.68</x:v>
      </x:c>
      <x:c r="I593" s="158" t="n">
        <x:v>8620.36</x:v>
      </x:c>
      <x:c r="J593" s="158" t="n">
        <x:v>7755601827.6</x:v>
      </x:c>
      <x:c r="K593" s="158"/>
      <x:c r="L593" s="153" t="n">
        <x:v>14350</x:v>
      </x:c>
      <x:c r="M593" s="153" t="n">
        <x:v>14625</x:v>
      </x:c>
      <x:c r="N593" s="153" t="n">
        <x:v>14184</x:v>
      </x:c>
      <x:c r="O593" s="153" t="n">
        <x:v>14474</x:v>
      </x:c>
      <x:c r="P593" s="154" t="n">
        <x:f>IFERROR(O593/O592-1,"")</x:f>
        <x:v>0.008781711736827402</x:v>
      </x:c>
      <x:c r="Q593" s="154" t="n">
        <x:f>IFERROR((M593-N593)/O592,"")</x:f>
        <x:v>0.030735991078896012</x:v>
      </x:c>
      <x:c r="R593" s="153" t="n">
        <x:v>14494</x:v>
      </x:c>
      <x:c r="S593" s="158" t="n">
        <x:v>355736</x:v>
      </x:c>
      <x:c r="T593" s="158" t="n">
        <x:v>5156210730</x:v>
      </x:c>
      <x:c r="U593" s="158" t="n">
        <x:v>2977282</x:v>
      </x:c>
      <x:c r="V593" s="153" t="n">
        <x:f>IFERROR(E593*1000/O593,"")</x:f>
        <x:v>62.11137211551748</x:v>
      </x:c>
      <x:c r="W593" s="153" t="n">
        <x:v>4.63</x:v>
      </x:c>
      <x:c r="X593" s="155" t="n">
        <x:v>46224</x:v>
      </x:c>
      <x:c r="Y593" s="153" t="n">
        <x:v>2.37</x:v>
      </x:c>
      <x:c r="Z593" s="155" t="n">
        <x:v>46224</x:v>
      </x:c>
      <x:c r="AA593" s="153" t="n">
        <x:f>IFERROR(Y593-Y592,"")</x:f>
        <x:v>0.020000000000000018</x:v>
      </x:c>
      <x:c r="AB593" s="153" t="n">
        <x:v>2.26</x:v>
      </x:c>
      <x:c r="AC593" s="153" t="n">
        <x:v>120.5315</x:v>
      </x:c>
      <x:c r="AD593" s="155" t="n">
        <x:v>46220</x:v>
      </x:c>
      <x:c r="AE593" s="154" t="n">
        <x:f>IFERROR(AC593/AC592-1,"")</x:f>
        <x:v>0</x:v>
      </x:c>
      <x:c r="AF593" s="153" t="n">
        <x:v>17.05</x:v>
      </x:c>
      <x:c r="AG593" s="155" t="n">
        <x:v>46224</x:v>
      </x:c>
      <x:c r="AH593" s="153" t="n">
        <x:f>IFERROR(AF593-AF592,"")</x:f>
        <x:v>-1.5999999999999979</x:v>
      </x:c>
      <x:c r="AI593" s="153" t="n">
        <x:v>3.63</x:v>
      </x:c>
      <x:c r="AJ593" s="155" t="n">
        <x:v>46213</x:v>
      </x:c>
      <x:c r="AK593" s="159" t="n">
        <x:v>116161</x:v>
      </x:c>
      <x:c r="AL593" s="154" t="n">
        <x:v>0.3124488939576519</x:v>
      </x:c>
      <x:c r="AM593" s="159" t="n">
        <x:v>-20986</x:v>
      </x:c>
      <x:c r="AN593" s="155" t="n">
        <x:v>46213</x:v>
      </x:c>
      <x:c r="AO593" s="159" t="n">
        <x:v>13201</x:v>
      </x:c>
      <x:c r="AP593" s="154" t="n">
        <x:v>0.1258928656576927</x:v>
      </x:c>
      <x:c r="AQ593" s="159" t="n">
        <x:v>-13356</x:v>
      </x:c>
      <x:c r="AR593" s="147" t="str">
        <x:v>美国市场指标与CFTC数据均使用严格早于上金所交易日的最后已发布值</x:v>
      </x:c>
    </x:row>
    <x:row r="594">
      <x:c r="A594" s="155" t="n">
        <x:v>46226</x:v>
      </x:c>
      <x:c r="B594" s="153" t="n">
        <x:v>900</x:v>
      </x:c>
      <x:c r="C594" s="153" t="n">
        <x:v>908</x:v>
      </x:c>
      <x:c r="D594" s="153" t="n">
        <x:v>895</x:v>
      </x:c>
      <x:c r="E594" s="153" t="n">
        <x:v>895.67</x:v>
      </x:c>
      <x:c r="F594" s="154" t="n">
        <x:f>IFERROR(E594/E593-1,"")</x:f>
        <x:v>-0.0037041156840934564</x:v>
      </x:c>
      <x:c r="G594" s="154" t="n">
        <x:f>IFERROR((C594-D594)/E593,"")</x:f>
        <x:v>0.014460511679644048</x:v>
      </x:c>
      <x:c r="H594" s="153" t="n">
        <x:v>898.96</x:v>
      </x:c>
      <x:c r="I594" s="158" t="n">
        <x:v>4672.3</x:v>
      </x:c>
      <x:c r="J594" s="158" t="n">
        <x:v>4200250467.6</x:v>
      </x:c>
      <x:c r="K594" s="158"/>
      <x:c r="L594" s="153" t="n">
        <x:v>14488</x:v>
      </x:c>
      <x:c r="M594" s="153" t="n">
        <x:v>14870</x:v>
      </x:c>
      <x:c r="N594" s="153" t="n">
        <x:v>14384</x:v>
      </x:c>
      <x:c r="O594" s="153" t="n">
        <x:v>14494</x:v>
      </x:c>
      <x:c r="P594" s="154" t="n">
        <x:f>IFERROR(O594/O593-1,"")</x:f>
        <x:v>0.0013817880337156918</x:v>
      </x:c>
      <x:c r="Q594" s="154" t="n">
        <x:f>IFERROR((M594-N594)/O593,"")</x:f>
        <x:v>0.03357744921928976</x:v>
      </x:c>
      <x:c r="R594" s="153" t="n">
        <x:v>14617</x:v>
      </x:c>
      <x:c r="S594" s="158" t="n">
        <x:v>390902</x:v>
      </x:c>
      <x:c r="T594" s="158" t="n">
        <x:v>5714093674</x:v>
      </x:c>
      <x:c r="U594" s="158" t="n">
        <x:v>3008444</x:v>
      </x:c>
      <x:c r="V594" s="153" t="n">
        <x:f>IFERROR(E594*1000/O594,"")</x:f>
        <x:v>61.79591555126259</x:v>
      </x:c>
      <x:c r="W594" s="153" t="n">
        <x:v>4.67</x:v>
      </x:c>
      <x:c r="X594" s="155" t="n">
        <x:v>46225</x:v>
      </x:c>
      <x:c r="Y594" s="153" t="n">
        <x:v>2.39</x:v>
      </x:c>
      <x:c r="Z594" s="155" t="n">
        <x:v>46225</x:v>
      </x:c>
      <x:c r="AA594" s="153" t="n">
        <x:f>IFERROR(Y594-Y593,"")</x:f>
        <x:v>0.020000000000000018</x:v>
      </x:c>
      <x:c r="AB594" s="153" t="n">
        <x:v>2.28</x:v>
      </x:c>
      <x:c r="AC594" s="153" t="n">
        <x:v>120.5315</x:v>
      </x:c>
      <x:c r="AD594" s="155" t="n">
        <x:v>46220</x:v>
      </x:c>
      <x:c r="AE594" s="154" t="n">
        <x:f>IFERROR(AC594/AC593-1,"")</x:f>
        <x:v>0</x:v>
      </x:c>
      <x:c r="AF594" s="153" t="n">
        <x:v>16.64</x:v>
      </x:c>
      <x:c r="AG594" s="155" t="n">
        <x:v>46225</x:v>
      </x:c>
      <x:c r="AH594" s="153" t="n">
        <x:f>IFERROR(AF594-AF593,"")</x:f>
        <x:v>-0.41000000000000014</x:v>
      </x:c>
      <x:c r="AI594" s="153" t="n">
        <x:v>3.63</x:v>
      </x:c>
      <x:c r="AJ594" s="155" t="n">
        <x:v>46213</x:v>
      </x:c>
      <x:c r="AK594" s="159" t="n">
        <x:v>116161</x:v>
      </x:c>
      <x:c r="AL594" s="154" t="n">
        <x:v>0.3124488939576519</x:v>
      </x:c>
      <x:c r="AM594" s="159" t="n">
        <x:v>-20986</x:v>
      </x:c>
      <x:c r="AN594" s="155" t="n">
        <x:v>46213</x:v>
      </x:c>
      <x:c r="AO594" s="159" t="n">
        <x:v>13201</x:v>
      </x:c>
      <x:c r="AP594" s="154" t="n">
        <x:v>0.1258928656576927</x:v>
      </x:c>
      <x:c r="AQ594" s="159" t="n">
        <x:v>-13356</x:v>
      </x:c>
      <x:c r="AR594" s="147" t="str">
        <x:v>美国市场指标与CFTC数据均使用严格早于上金所交易日的最后已发布值</x:v>
      </x:c>
    </x:row>
    <x:row r="595">
      <x:c r="A595" s="155" t="n">
        <x:v>46227</x:v>
      </x:c>
      <x:c r="B595" s="153" t="n">
        <x:v>892</x:v>
      </x:c>
      <x:c r="C595" s="153" t="n">
        <x:v>892</x:v>
      </x:c>
      <x:c r="D595" s="153" t="n">
        <x:v>877.53</x:v>
      </x:c>
      <x:c r="E595" s="153" t="n">
        <x:v>883.66</x:v>
      </x:c>
      <x:c r="F595" s="154" t="n">
        <x:f>IFERROR(E595/E594-1,"")</x:f>
        <x:v>-0.013408956423682783</x:v>
      </x:c>
      <x:c r="G595" s="154" t="n">
        <x:f>IFERROR((C595-D595)/E594,"")</x:f>
        <x:v>0.01615550370113996</x:v>
      </x:c>
      <x:c r="H595" s="153" t="n">
        <x:v>880.95</x:v>
      </x:c>
      <x:c r="I595" s="158" t="n">
        <x:v>5658.24</x:v>
      </x:c>
      <x:c r="J595" s="158" t="n">
        <x:v>4984680286.2</x:v>
      </x:c>
      <x:c r="K595" s="158"/>
      <x:c r="L595" s="153" t="n">
        <x:v>14350</x:v>
      </x:c>
      <x:c r="M595" s="153" t="n">
        <x:v>14359</x:v>
      </x:c>
      <x:c r="N595" s="153" t="n">
        <x:v>13940</x:v>
      </x:c>
      <x:c r="O595" s="153" t="n">
        <x:v>14192</x:v>
      </x:c>
      <x:c r="P595" s="154" t="n">
        <x:f>IFERROR(O595/O594-1,"")</x:f>
        <x:v>-0.020836208086104646</x:v>
      </x:c>
      <x:c r="Q595" s="154" t="n">
        <x:f>IFERROR((M595-N595)/O594,"")</x:f>
        <x:v>0.028908513867807368</x:v>
      </x:c>
      <x:c r="R595" s="153" t="n">
        <x:v>14064</x:v>
      </x:c>
      <x:c r="S595" s="158" t="n">
        <x:v>229730</x:v>
      </x:c>
      <x:c r="T595" s="158" t="n">
        <x:v>3231066680</x:v>
      </x:c>
      <x:c r="U595" s="158" t="n">
        <x:v>2929520</x:v>
      </x:c>
      <x:c r="V595" s="153" t="n">
        <x:f>IFERROR(E595*1000/O595,"")</x:f>
        <x:v>62.26465614430665</x:v>
      </x:c>
      <x:c r="W595" s="153" t="n">
        <x:v>4.67</x:v>
      </x:c>
      <x:c r="X595" s="155" t="n">
        <x:v>46225</x:v>
      </x:c>
      <x:c r="Y595" s="153" t="n">
        <x:v>2.39</x:v>
      </x:c>
      <x:c r="Z595" s="155" t="n">
        <x:v>46225</x:v>
      </x:c>
      <x:c r="AA595" s="153" t="n">
        <x:f>IFERROR(Y595-Y594,"")</x:f>
        <x:v>0</x:v>
      </x:c>
      <x:c r="AB595" s="153" t="n">
        <x:v>2.28</x:v>
      </x:c>
      <x:c r="AC595" s="153" t="n">
        <x:v>120.5315</x:v>
      </x:c>
      <x:c r="AD595" s="155" t="n">
        <x:v>46220</x:v>
      </x:c>
      <x:c r="AE595" s="154" t="n">
        <x:f>IFERROR(AC595/AC594-1,"")</x:f>
        <x:v>0</x:v>
      </x:c>
      <x:c r="AF595" s="153" t="n">
        <x:v>16.64</x:v>
      </x:c>
      <x:c r="AG595" s="155" t="n">
        <x:v>46225</x:v>
      </x:c>
      <x:c r="AH595" s="153" t="n">
        <x:f>IFERROR(AF595-AF594,"")</x:f>
        <x:v>0</x:v>
      </x:c>
      <x:c r="AI595" s="153" t="n">
        <x:v>3.63</x:v>
      </x:c>
      <x:c r="AJ595" s="155" t="n">
        <x:v>46213</x:v>
      </x:c>
      <x:c r="AK595" s="159" t="n">
        <x:v>116161</x:v>
      </x:c>
      <x:c r="AL595" s="154" t="n">
        <x:v>0.3124488939576519</x:v>
      </x:c>
      <x:c r="AM595" s="159" t="n">
        <x:v>-20986</x:v>
      </x:c>
      <x:c r="AN595" s="155" t="n">
        <x:v>46213</x:v>
      </x:c>
      <x:c r="AO595" s="159" t="n">
        <x:v>13201</x:v>
      </x:c>
      <x:c r="AP595" s="154" t="n">
        <x:v>0.1258928656576927</x:v>
      </x:c>
      <x:c r="AQ595" s="159" t="n">
        <x:v>-13356</x:v>
      </x:c>
      <x:c r="AR595" s="147" t="str">
        <x:v>美国市场指标与CFTC数据均使用严格早于上金所交易日的最后已发布值</x:v>
      </x:c>
    </x:row>
  </x:sheetData>
  <x:pageMargins left="0.7" right="0.7" top="0.75" bottom="0.75" header="0.3" footer="0.3"/>
  <x:tableParts count="1">
    <x:tablePart xmlns:r="http://schemas.openxmlformats.org/officeDocument/2006/relationships" r:id="Rc5ff712977a4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6" hidden="0" customWidth="1"/>
  </x:cols>
  <x:sheetData>
    <x:row r="1" ht="42" customHeight="1">
      <x:c r="A1" s="151" t="str">
        <x:v>date</x:v>
      </x:c>
      <x:c r="B1" s="151" t="str">
        <x:v>contract</x:v>
      </x:c>
      <x:c r="C1" s="151" t="str">
        <x:v>open</x:v>
      </x:c>
      <x:c r="D1" s="151" t="str">
        <x:v>high</x:v>
      </x:c>
      <x:c r="E1" s="151" t="str">
        <x:v>low</x:v>
      </x:c>
      <x:c r="F1" s="151" t="str">
        <x:v>close</x:v>
      </x:c>
      <x:c r="G1" s="151" t="str">
        <x:v>change_cny</x:v>
      </x:c>
      <x:c r="H1" s="151" t="str">
        <x:v>change_pct</x:v>
      </x:c>
      <x:c r="I1" s="151" t="str">
        <x:v>weighted_avg</x:v>
      </x:c>
      <x:c r="J1" s="151" t="str">
        <x:v>volume_kg</x:v>
      </x:c>
      <x:c r="K1" s="151" t="str">
        <x:v>turnover_cny</x:v>
      </x:c>
      <x:c r="L1" s="151" t="str">
        <x:v>open_interest_lots</x:v>
      </x:c>
      <x:c r="M1" s="151" t="str">
        <x:v>source_url</x:v>
      </x:c>
    </x:row>
    <x:row r="2">
      <x:c r="A2" s="155" t="n">
        <x:v>45295</x:v>
      </x:c>
      <x:c r="B2" s="141" t="str">
        <x:v>Ag(T+D)</x:v>
      </x:c>
      <x:c r="C2" s="153" t="n">
        <x:v>5910</x:v>
      </x:c>
      <x:c r="D2" s="153" t="n">
        <x:v>5930</x:v>
      </x:c>
      <x:c r="E2" s="153" t="n">
        <x:v>5851</x:v>
      </x:c>
      <x:c r="F2" s="153" t="n">
        <x:v>5867</x:v>
      </x:c>
      <x:c r="G2" s="153" t="n">
        <x:v>-113</x:v>
      </x:c>
      <x:c r="H2" s="154" t="n">
        <x:v>-0.0189</x:v>
      </x:c>
      <x:c r="I2" s="158" t="n">
        <x:v>5873</x:v>
      </x:c>
      <x:c r="J2" s="158" t="n">
        <x:v>930034</x:v>
      </x:c>
      <x:c r="K2" s="158" t="n">
        <x:v>5462494174</x:v>
      </x:c>
      <x:c r="L2" s="158" t="n">
        <x:v>5208366</x:v>
      </x:c>
      <x:c r="M2" s="141" t="str">
        <x:v>https://www.sge.com.cn/sjzx/quotation_daily_new?start_date=2024-01-01&amp;end_date=2024-01-31&amp;inst_ids=Ag%28T%2BD%29&amp;p=</x:v>
      </x:c>
    </x:row>
    <x:row r="3">
      <x:c r="A3" s="155" t="n">
        <x:v>45295</x:v>
      </x:c>
      <x:c r="B3" s="141" t="str">
        <x:v>Au99.99</x:v>
      </x:c>
      <x:c r="C3" s="153" t="n">
        <x:v>479</x:v>
      </x:c>
      <x:c r="D3" s="153" t="n">
        <x:v>482</x:v>
      </x:c>
      <x:c r="E3" s="153" t="n">
        <x:v>477</x:v>
      </x:c>
      <x:c r="F3" s="153" t="n">
        <x:v>480.4</x:v>
      </x:c>
      <x:c r="G3" s="153" t="n">
        <x:v>-1.09</x:v>
      </x:c>
      <x:c r="H3" s="154" t="n">
        <x:v>-0.0023</x:v>
      </x:c>
      <x:c r="I3" s="158" t="n">
        <x:v>480.05</x:v>
      </x:c>
      <x:c r="J3" s="158" t="n">
        <x:v>24970.08</x:v>
      </x:c>
      <x:c r="K3" s="158" t="n">
        <x:v>11986918083.4</x:v>
      </x:c>
      <x:c r="L3" s="158"/>
      <x:c r="M3" s="141" t="str">
        <x:v>https://www.sge.com.cn/sjzx/quotation_daily_new?start_date=2024-01-01&amp;end_date=2024-01-31&amp;inst_ids=Au99.99&amp;p=</x:v>
      </x:c>
    </x:row>
    <x:row r="4">
      <x:c r="A4" s="155" t="n">
        <x:v>45296</x:v>
      </x:c>
      <x:c r="B4" s="141" t="str">
        <x:v>Ag(T+D)</x:v>
      </x:c>
      <x:c r="C4" s="153" t="n">
        <x:v>5857</x:v>
      </x:c>
      <x:c r="D4" s="153" t="n">
        <x:v>5912</x:v>
      </x:c>
      <x:c r="E4" s="153" t="n">
        <x:v>5808</x:v>
      </x:c>
      <x:c r="F4" s="153" t="n">
        <x:v>5884</x:v>
      </x:c>
      <x:c r="G4" s="153" t="n">
        <x:v>11</x:v>
      </x:c>
      <x:c r="H4" s="154" t="n">
        <x:v>0.0019</x:v>
      </x:c>
      <x:c r="I4" s="158" t="n">
        <x:v>5880</x:v>
      </x:c>
      <x:c r="J4" s="158" t="n">
        <x:v>591858</x:v>
      </x:c>
      <x:c r="K4" s="158" t="n">
        <x:v>3480385694</x:v>
      </x:c>
      <x:c r="L4" s="158" t="n">
        <x:v>4934840</x:v>
      </x:c>
      <x:c r="M4" s="141" t="str">
        <x:v>https://www.sge.com.cn/sjzx/quotation_daily_new?start_date=2024-01-01&amp;end_date=2024-01-31&amp;inst_ids=Ag%28T%2BD%29&amp;p=</x:v>
      </x:c>
    </x:row>
    <x:row r="5">
      <x:c r="A5" s="155" t="n">
        <x:v>45296</x:v>
      </x:c>
      <x:c r="B5" s="141" t="str">
        <x:v>Au99.99</x:v>
      </x:c>
      <x:c r="C5" s="153" t="n">
        <x:v>480.2</x:v>
      </x:c>
      <x:c r="D5" s="153" t="n">
        <x:v>482.32</x:v>
      </x:c>
      <x:c r="E5" s="153" t="n">
        <x:v>479.2</x:v>
      </x:c>
      <x:c r="F5" s="153" t="n">
        <x:v>480</x:v>
      </x:c>
      <x:c r="G5" s="153" t="n">
        <x:v>-0.4</x:v>
      </x:c>
      <x:c r="H5" s="154" t="n">
        <x:v>-0.0008</x:v>
      </x:c>
      <x:c r="I5" s="158" t="n">
        <x:v>481.03</x:v>
      </x:c>
      <x:c r="J5" s="158" t="n">
        <x:v>30191.3</x:v>
      </x:c>
      <x:c r="K5" s="158" t="n">
        <x:v>14523104667</x:v>
      </x:c>
      <x:c r="L5" s="158"/>
      <x:c r="M5" s="141" t="str">
        <x:v>https://www.sge.com.cn/sjzx/quotation_daily_new?start_date=2024-01-01&amp;end_date=2024-01-31&amp;inst_ids=Au99.99&amp;p=</x:v>
      </x:c>
    </x:row>
    <x:row r="6">
      <x:c r="A6" s="155" t="n">
        <x:v>45299</x:v>
      </x:c>
      <x:c r="B6" s="141" t="str">
        <x:v>Ag(T+D)</x:v>
      </x:c>
      <x:c r="C6" s="153" t="n">
        <x:v>5878</x:v>
      </x:c>
      <x:c r="D6" s="153" t="n">
        <x:v>5944</x:v>
      </x:c>
      <x:c r="E6" s="153" t="n">
        <x:v>5838</x:v>
      </x:c>
      <x:c r="F6" s="153" t="n">
        <x:v>5879</x:v>
      </x:c>
      <x:c r="G6" s="153" t="n">
        <x:v>-1</x:v>
      </x:c>
      <x:c r="H6" s="154" t="n">
        <x:v>-0.0002</x:v>
      </x:c>
      <x:c r="I6" s="158" t="n">
        <x:v>5889</x:v>
      </x:c>
      <x:c r="J6" s="158" t="n">
        <x:v>500296</x:v>
      </x:c>
      <x:c r="K6" s="158" t="n">
        <x:v>2946522704</x:v>
      </x:c>
      <x:c r="L6" s="158" t="n">
        <x:v>4777100</x:v>
      </x:c>
      <x:c r="M6" s="141" t="str">
        <x:v>https://www.sge.com.cn/sjzx/quotation_daily_new?start_date=2024-01-01&amp;end_date=2024-01-31&amp;inst_ids=Ag%28T%2BD%29&amp;p=</x:v>
      </x:c>
    </x:row>
    <x:row r="7">
      <x:c r="A7" s="155" t="n">
        <x:v>45299</x:v>
      </x:c>
      <x:c r="B7" s="141" t="str">
        <x:v>Au99.99</x:v>
      </x:c>
      <x:c r="C7" s="153" t="n">
        <x:v>479.5</x:v>
      </x:c>
      <x:c r="D7" s="153" t="n">
        <x:v>483</x:v>
      </x:c>
      <x:c r="E7" s="153" t="n">
        <x:v>477.86</x:v>
      </x:c>
      <x:c r="F7" s="153" t="n">
        <x:v>479</x:v>
      </x:c>
      <x:c r="G7" s="153" t="n">
        <x:v>-1</x:v>
      </x:c>
      <x:c r="H7" s="154" t="n">
        <x:v>-0.0021</x:v>
      </x:c>
      <x:c r="I7" s="158" t="n">
        <x:v>480.23</x:v>
      </x:c>
      <x:c r="J7" s="158" t="n">
        <x:v>27580.96</x:v>
      </x:c>
      <x:c r="K7" s="158" t="n">
        <x:v>13245337904.4</x:v>
      </x:c>
      <x:c r="L7" s="158"/>
      <x:c r="M7" s="141" t="str">
        <x:v>https://www.sge.com.cn/sjzx/quotation_daily_new?start_date=2024-01-01&amp;end_date=2024-01-31&amp;inst_ids=Au99.99&amp;p=</x:v>
      </x:c>
    </x:row>
    <x:row r="8">
      <x:c r="A8" s="155" t="n">
        <x:v>45300</x:v>
      </x:c>
      <x:c r="B8" s="141" t="str">
        <x:v>Ag(T+D)</x:v>
      </x:c>
      <x:c r="C8" s="153" t="n">
        <x:v>5855</x:v>
      </x:c>
      <x:c r="D8" s="153" t="n">
        <x:v>5914</x:v>
      </x:c>
      <x:c r="E8" s="153" t="n">
        <x:v>5851</x:v>
      </x:c>
      <x:c r="F8" s="153" t="n">
        <x:v>5894</x:v>
      </x:c>
      <x:c r="G8" s="153" t="n">
        <x:v>5</x:v>
      </x:c>
      <x:c r="H8" s="154" t="n">
        <x:v>0.0008</x:v>
      </x:c>
      <x:c r="I8" s="158" t="n">
        <x:v>5891</x:v>
      </x:c>
      <x:c r="J8" s="158" t="n">
        <x:v>542246</x:v>
      </x:c>
      <x:c r="K8" s="158" t="n">
        <x:v>3194724464</x:v>
      </x:c>
      <x:c r="L8" s="158" t="n">
        <x:v>4708800</x:v>
      </x:c>
      <x:c r="M8" s="141" t="str">
        <x:v>https://www.sge.com.cn/sjzx/quotation_daily_new?start_date=2024-01-01&amp;end_date=2024-01-31&amp;inst_ids=Ag%28T%2BD%29&amp;p=</x:v>
      </x:c>
    </x:row>
    <x:row r="9">
      <x:c r="A9" s="155" t="n">
        <x:v>45300</x:v>
      </x:c>
      <x:c r="B9" s="141" t="str">
        <x:v>Au99.99</x:v>
      </x:c>
      <x:c r="C9" s="153" t="n">
        <x:v>480.9</x:v>
      </x:c>
      <x:c r="D9" s="153" t="n">
        <x:v>480.94</x:v>
      </x:c>
      <x:c r="E9" s="153" t="n">
        <x:v>476</x:v>
      </x:c>
      <x:c r="F9" s="153" t="n">
        <x:v>478.66</x:v>
      </x:c>
      <x:c r="G9" s="153" t="n">
        <x:v>-0.34</x:v>
      </x:c>
      <x:c r="H9" s="154" t="n">
        <x:v>-0.0007000000000000001</x:v>
      </x:c>
      <x:c r="I9" s="158" t="n">
        <x:v>479.66</x:v>
      </x:c>
      <x:c r="J9" s="158" t="n">
        <x:v>22200.72</x:v>
      </x:c>
      <x:c r="K9" s="158" t="n">
        <x:v>10648839541.4</x:v>
      </x:c>
      <x:c r="L9" s="158"/>
      <x:c r="M9" s="141" t="str">
        <x:v>https://www.sge.com.cn/sjzx/quotation_daily_new?start_date=2024-01-01&amp;end_date=2024-01-31&amp;inst_ids=Au99.99&amp;p=</x:v>
      </x:c>
    </x:row>
    <x:row r="10">
      <x:c r="A10" s="155" t="n">
        <x:v>45301</x:v>
      </x:c>
      <x:c r="B10" s="141" t="str">
        <x:v>Ag(T+D)</x:v>
      </x:c>
      <x:c r="C10" s="153" t="n">
        <x:v>5898</x:v>
      </x:c>
      <x:c r="D10" s="153" t="n">
        <x:v>5924</x:v>
      </x:c>
      <x:c r="E10" s="153" t="n">
        <x:v>5863</x:v>
      </x:c>
      <x:c r="F10" s="153" t="n">
        <x:v>5871</x:v>
      </x:c>
      <x:c r="G10" s="153" t="n">
        <x:v>-20</x:v>
      </x:c>
      <x:c r="H10" s="154" t="n">
        <x:v>-0.0034000000000000002</x:v>
      </x:c>
      <x:c r="I10" s="158" t="n">
        <x:v>5886</x:v>
      </x:c>
      <x:c r="J10" s="158" t="n">
        <x:v>508772</x:v>
      </x:c>
      <x:c r="K10" s="158" t="n">
        <x:v>2995008466</x:v>
      </x:c>
      <x:c r="L10" s="158" t="n">
        <x:v>4728984</x:v>
      </x:c>
      <x:c r="M10" s="141" t="str">
        <x:v>https://www.sge.com.cn/sjzx/quotation_daily_new?start_date=2024-01-01&amp;end_date=2024-01-31&amp;inst_ids=Ag%28T%2BD%29&amp;p=</x:v>
      </x:c>
    </x:row>
    <x:row r="11">
      <x:c r="A11" s="155" t="n">
        <x:v>45301</x:v>
      </x:c>
      <x:c r="B11" s="141" t="str">
        <x:v>Au99.99</x:v>
      </x:c>
      <x:c r="C11" s="153" t="n">
        <x:v>479.5</x:v>
      </x:c>
      <x:c r="D11" s="153" t="n">
        <x:v>480.3</x:v>
      </x:c>
      <x:c r="E11" s="153" t="n">
        <x:v>477.9</x:v>
      </x:c>
      <x:c r="F11" s="153" t="n">
        <x:v>478.08</x:v>
      </x:c>
      <x:c r="G11" s="153" t="n">
        <x:v>-0.58</x:v>
      </x:c>
      <x:c r="H11" s="154" t="n">
        <x:v>-0.0012</x:v>
      </x:c>
      <x:c r="I11" s="158" t="n">
        <x:v>478.74</x:v>
      </x:c>
      <x:c r="J11" s="158" t="n">
        <x:v>20558.5</x:v>
      </x:c>
      <x:c r="K11" s="158" t="n">
        <x:v>9842328547.2</x:v>
      </x:c>
      <x:c r="L11" s="158"/>
      <x:c r="M11" s="141" t="str">
        <x:v>https://www.sge.com.cn/sjzx/quotation_daily_new?start_date=2024-01-01&amp;end_date=2024-01-31&amp;inst_ids=Au99.99&amp;p=</x:v>
      </x:c>
    </x:row>
    <x:row r="12">
      <x:c r="A12" s="155" t="n">
        <x:v>45302</x:v>
      </x:c>
      <x:c r="B12" s="141" t="str">
        <x:v>Ag(T+D)</x:v>
      </x:c>
      <x:c r="C12" s="153" t="n">
        <x:v>5873</x:v>
      </x:c>
      <x:c r="D12" s="153" t="n">
        <x:v>5904</x:v>
      </x:c>
      <x:c r="E12" s="153" t="n">
        <x:v>5870</x:v>
      </x:c>
      <x:c r="F12" s="153" t="n">
        <x:v>5903</x:v>
      </x:c>
      <x:c r="G12" s="153" t="n">
        <x:v>17</x:v>
      </x:c>
      <x:c r="H12" s="154" t="n">
        <x:v>0.0029</x:v>
      </x:c>
      <x:c r="I12" s="158" t="n">
        <x:v>5890</x:v>
      </x:c>
      <x:c r="J12" s="158" t="n">
        <x:v>329728</x:v>
      </x:c>
      <x:c r="K12" s="158" t="n">
        <x:v>1942258086</x:v>
      </x:c>
      <x:c r="L12" s="158" t="n">
        <x:v>4648650</x:v>
      </x:c>
      <x:c r="M12" s="141" t="str">
        <x:v>https://www.sge.com.cn/sjzx/quotation_daily_new?start_date=2024-01-01&amp;end_date=2024-01-31&amp;inst_ids=Ag%28T%2BD%29&amp;p=</x:v>
      </x:c>
    </x:row>
    <x:row r="13">
      <x:c r="A13" s="155" t="n">
        <x:v>45302</x:v>
      </x:c>
      <x:c r="B13" s="141" t="str">
        <x:v>Au99.99</x:v>
      </x:c>
      <x:c r="C13" s="153" t="n">
        <x:v>478.8</x:v>
      </x:c>
      <x:c r="D13" s="153" t="n">
        <x:v>480.56</x:v>
      </x:c>
      <x:c r="E13" s="153" t="n">
        <x:v>477.71</x:v>
      </x:c>
      <x:c r="F13" s="153" t="n">
        <x:v>478.2</x:v>
      </x:c>
      <x:c r="G13" s="153" t="n">
        <x:v>0.12</x:v>
      </x:c>
      <x:c r="H13" s="154" t="n">
        <x:v>0.0003</x:v>
      </x:c>
      <x:c r="I13" s="158" t="n">
        <x:v>478.6</x:v>
      </x:c>
      <x:c r="J13" s="158" t="n">
        <x:v>17794.5</x:v>
      </x:c>
      <x:c r="K13" s="158" t="n">
        <x:v>8516597538.2</x:v>
      </x:c>
      <x:c r="L13" s="158"/>
      <x:c r="M13" s="141" t="str">
        <x:v>https://www.sge.com.cn/sjzx/quotation_daily_new?start_date=2024-01-01&amp;end_date=2024-01-31&amp;inst_ids=Au99.99&amp;p=</x:v>
      </x:c>
    </x:row>
    <x:row r="14">
      <x:c r="A14" s="155" t="n">
        <x:v>45303</x:v>
      </x:c>
      <x:c r="B14" s="141" t="str">
        <x:v>Ag(T+D)</x:v>
      </x:c>
      <x:c r="C14" s="153" t="n">
        <x:v>5904</x:v>
      </x:c>
      <x:c r="D14" s="153" t="n">
        <x:v>5937</x:v>
      </x:c>
      <x:c r="E14" s="153" t="n">
        <x:v>5827</x:v>
      </x:c>
      <x:c r="F14" s="153" t="n">
        <x:v>5909</x:v>
      </x:c>
      <x:c r="G14" s="153" t="n">
        <x:v>19</x:v>
      </x:c>
      <x:c r="H14" s="154" t="n">
        <x:v>0.0032</x:v>
      </x:c>
      <x:c r="I14" s="158" t="n">
        <x:v>5889</x:v>
      </x:c>
      <x:c r="J14" s="158" t="n">
        <x:v>784986</x:v>
      </x:c>
      <x:c r="K14" s="158" t="n">
        <x:v>4623494230</x:v>
      </x:c>
      <x:c r="L14" s="158" t="n">
        <x:v>4688230</x:v>
      </x:c>
      <x:c r="M14" s="141" t="str">
        <x:v>https://www.sge.com.cn/sjzx/quotation_daily_new?start_date=2024-01-01&amp;end_date=2024-01-31&amp;inst_ids=Ag%28T%2BD%29&amp;p=</x:v>
      </x:c>
    </x:row>
    <x:row r="15">
      <x:c r="A15" s="155" t="n">
        <x:v>45303</x:v>
      </x:c>
      <x:c r="B15" s="141" t="str">
        <x:v>Au99.99</x:v>
      </x:c>
      <x:c r="C15" s="153" t="n">
        <x:v>478.51</x:v>
      </x:c>
      <x:c r="D15" s="153" t="n">
        <x:v>495</x:v>
      </x:c>
      <x:c r="E15" s="153" t="n">
        <x:v>477.12</x:v>
      </x:c>
      <x:c r="F15" s="153" t="n">
        <x:v>479.18</x:v>
      </x:c>
      <x:c r="G15" s="153" t="n">
        <x:v>0.98</x:v>
      </x:c>
      <x:c r="H15" s="154" t="n">
        <x:v>0.002</x:v>
      </x:c>
      <x:c r="I15" s="158" t="n">
        <x:v>479.51</x:v>
      </x:c>
      <x:c r="J15" s="158" t="n">
        <x:v>17936.5</x:v>
      </x:c>
      <x:c r="K15" s="158" t="n">
        <x:v>8600879483</x:v>
      </x:c>
      <x:c r="L15" s="158"/>
      <x:c r="M15" s="141" t="str">
        <x:v>https://www.sge.com.cn/sjzx/quotation_daily_new?start_date=2024-01-01&amp;end_date=2024-01-31&amp;inst_ids=Au99.99&amp;p=</x:v>
      </x:c>
    </x:row>
    <x:row r="16">
      <x:c r="A16" s="155" t="n">
        <x:v>45306</x:v>
      </x:c>
      <x:c r="B16" s="141" t="str">
        <x:v>Ag(T+D)</x:v>
      </x:c>
      <x:c r="C16" s="153" t="n">
        <x:v>5920</x:v>
      </x:c>
      <x:c r="D16" s="153" t="n">
        <x:v>5993</x:v>
      </x:c>
      <x:c r="E16" s="153" t="n">
        <x:v>5915</x:v>
      </x:c>
      <x:c r="F16" s="153" t="n">
        <x:v>5981</x:v>
      </x:c>
      <x:c r="G16" s="153" t="n">
        <x:v>92</x:v>
      </x:c>
      <x:c r="H16" s="154" t="n">
        <x:v>0.015600000000000001</x:v>
      </x:c>
      <x:c r="I16" s="158" t="n">
        <x:v>5966</x:v>
      </x:c>
      <x:c r="J16" s="158" t="n">
        <x:v>492424</x:v>
      </x:c>
      <x:c r="K16" s="158" t="n">
        <x:v>2938197990</x:v>
      </x:c>
      <x:c r="L16" s="158" t="n">
        <x:v>4714820</x:v>
      </x:c>
      <x:c r="M16" s="141" t="str">
        <x:v>https://www.sge.com.cn/sjzx/quotation_daily_new?start_date=2024-01-01&amp;end_date=2024-01-31&amp;inst_ids=Ag%28T%2BD%29&amp;p=</x:v>
      </x:c>
    </x:row>
    <x:row r="17">
      <x:c r="A17" s="155" t="n">
        <x:v>45306</x:v>
      </x:c>
      <x:c r="B17" s="141" t="str">
        <x:v>Au99.99</x:v>
      </x:c>
      <x:c r="C17" s="153" t="n">
        <x:v>480.1</x:v>
      </x:c>
      <x:c r="D17" s="153" t="n">
        <x:v>483.99</x:v>
      </x:c>
      <x:c r="E17" s="153" t="n">
        <x:v>480.1</x:v>
      </x:c>
      <x:c r="F17" s="153" t="n">
        <x:v>483.44</x:v>
      </x:c>
      <x:c r="G17" s="153" t="n">
        <x:v>4.26</x:v>
      </x:c>
      <x:c r="H17" s="154" t="n">
        <x:v>0.0089</x:v>
      </x:c>
      <x:c r="I17" s="158" t="n">
        <x:v>482.41</x:v>
      </x:c>
      <x:c r="J17" s="158" t="n">
        <x:v>16454.62</x:v>
      </x:c>
      <x:c r="K17" s="158" t="n">
        <x:v>7938010324.4</x:v>
      </x:c>
      <x:c r="L17" s="158"/>
      <x:c r="M17" s="141" t="str">
        <x:v>https://www.sge.com.cn/sjzx/quotation_daily_new?start_date=2024-01-01&amp;end_date=2024-01-31&amp;inst_ids=Au99.99&amp;p=</x:v>
      </x:c>
    </x:row>
    <x:row r="18">
      <x:c r="A18" s="155" t="n">
        <x:v>45307</x:v>
      </x:c>
      <x:c r="B18" s="141" t="str">
        <x:v>Ag(T+D)</x:v>
      </x:c>
      <x:c r="C18" s="153" t="n">
        <x:v>5980</x:v>
      </x:c>
      <x:c r="D18" s="153" t="n">
        <x:v>5980</x:v>
      </x:c>
      <x:c r="E18" s="153" t="n">
        <x:v>5945</x:v>
      </x:c>
      <x:c r="F18" s="153" t="n">
        <x:v>5961</x:v>
      </x:c>
      <x:c r="G18" s="153" t="n">
        <x:v>-5</x:v>
      </x:c>
      <x:c r="H18" s="154" t="n">
        <x:v>-0.0008</x:v>
      </x:c>
      <x:c r="I18" s="158" t="n">
        <x:v>5959</x:v>
      </x:c>
      <x:c r="J18" s="158" t="n">
        <x:v>262782</x:v>
      </x:c>
      <x:c r="K18" s="158" t="n">
        <x:v>1566134534</x:v>
      </x:c>
      <x:c r="L18" s="158" t="n">
        <x:v>4718260</x:v>
      </x:c>
      <x:c r="M18" s="141" t="str">
        <x:v>https://www.sge.com.cn/sjzx/quotation_daily_new?start_date=2024-01-01&amp;end_date=2024-01-31&amp;inst_ids=Ag%28T%2BD%29&amp;p=</x:v>
      </x:c>
    </x:row>
    <x:row r="19">
      <x:c r="A19" s="155" t="n">
        <x:v>45307</x:v>
      </x:c>
      <x:c r="B19" s="141" t="str">
        <x:v>Au99.99</x:v>
      </x:c>
      <x:c r="C19" s="153" t="n">
        <x:v>482.32</x:v>
      </x:c>
      <x:c r="D19" s="153" t="n">
        <x:v>484</x:v>
      </x:c>
      <x:c r="E19" s="153" t="n">
        <x:v>482.32</x:v>
      </x:c>
      <x:c r="F19" s="153" t="n">
        <x:v>482.7</x:v>
      </x:c>
      <x:c r="G19" s="153" t="n">
        <x:v>-0.74</x:v>
      </x:c>
      <x:c r="H19" s="154" t="n">
        <x:v>-0.0015</x:v>
      </x:c>
      <x:c r="I19" s="158" t="n">
        <x:v>482.95</x:v>
      </x:c>
      <x:c r="J19" s="158" t="n">
        <x:v>13671.24</x:v>
      </x:c>
      <x:c r="K19" s="158" t="n">
        <x:v>6602655233.4</x:v>
      </x:c>
      <x:c r="L19" s="158"/>
      <x:c r="M19" s="141" t="str">
        <x:v>https://www.sge.com.cn/sjzx/quotation_daily_new?start_date=2024-01-01&amp;end_date=2024-01-31&amp;inst_ids=Au99.99&amp;p=</x:v>
      </x:c>
    </x:row>
    <x:row r="20">
      <x:c r="A20" s="155" t="n">
        <x:v>45308</x:v>
      </x:c>
      <x:c r="B20" s="141" t="str">
        <x:v>Ag(T+D)</x:v>
      </x:c>
      <x:c r="C20" s="153" t="n">
        <x:v>5945</x:v>
      </x:c>
      <x:c r="D20" s="153" t="n">
        <x:v>5972</x:v>
      </x:c>
      <x:c r="E20" s="153" t="n">
        <x:v>5895</x:v>
      </x:c>
      <x:c r="F20" s="153" t="n">
        <x:v>5895</x:v>
      </x:c>
      <x:c r="G20" s="153" t="n">
        <x:v>-64</x:v>
      </x:c>
      <x:c r="H20" s="154" t="n">
        <x:v>-0.010700000000000001</x:v>
      </x:c>
      <x:c r="I20" s="158" t="n">
        <x:v>5932</x:v>
      </x:c>
      <x:c r="J20" s="158" t="n">
        <x:v>412528</x:v>
      </x:c>
      <x:c r="K20" s="158" t="n">
        <x:v>2447172926</x:v>
      </x:c>
      <x:c r="L20" s="158" t="n">
        <x:v>4686092</x:v>
      </x:c>
      <x:c r="M20" s="141" t="str">
        <x:v>https://www.sge.com.cn/sjzx/quotation_daily_new?start_date=2024-01-01&amp;end_date=2024-01-31&amp;inst_ids=Ag%28T%2BD%29&amp;p=</x:v>
      </x:c>
    </x:row>
    <x:row r="21">
      <x:c r="A21" s="155" t="n">
        <x:v>45308</x:v>
      </x:c>
      <x:c r="B21" s="141" t="str">
        <x:v>Au99.99</x:v>
      </x:c>
      <x:c r="C21" s="153" t="n">
        <x:v>481.03</x:v>
      </x:c>
      <x:c r="D21" s="153" t="n">
        <x:v>482.49</x:v>
      </x:c>
      <x:c r="E21" s="153" t="n">
        <x:v>477.11</x:v>
      </x:c>
      <x:c r="F21" s="153" t="n">
        <x:v>477.3</x:v>
      </x:c>
      <x:c r="G21" s="153" t="n">
        <x:v>-5.4</x:v>
      </x:c>
      <x:c r="H21" s="154" t="n">
        <x:v>-0.011200000000000002</x:v>
      </x:c>
      <x:c r="I21" s="158" t="n">
        <x:v>479.17</x:v>
      </x:c>
      <x:c r="J21" s="158" t="n">
        <x:v>31241.92</x:v>
      </x:c>
      <x:c r="K21" s="158" t="n">
        <x:v>14970225188.4</x:v>
      </x:c>
      <x:c r="L21" s="158"/>
      <x:c r="M21" s="141" t="str">
        <x:v>https://www.sge.com.cn/sjzx/quotation_daily_new?start_date=2024-01-01&amp;end_date=2024-01-31&amp;inst_ids=Au99.99&amp;p=</x:v>
      </x:c>
    </x:row>
    <x:row r="22">
      <x:c r="A22" s="155" t="n">
        <x:v>45309</x:v>
      </x:c>
      <x:c r="B22" s="141" t="str">
        <x:v>Ag(T+D)</x:v>
      </x:c>
      <x:c r="C22" s="153" t="n">
        <x:v>5915</x:v>
      </x:c>
      <x:c r="D22" s="153" t="n">
        <x:v>5923</x:v>
      </x:c>
      <x:c r="E22" s="153" t="n">
        <x:v>5872</x:v>
      </x:c>
      <x:c r="F22" s="153" t="n">
        <x:v>5907</x:v>
      </x:c>
      <x:c r="G22" s="153" t="n">
        <x:v>-25</x:v>
      </x:c>
      <x:c r="H22" s="154" t="n">
        <x:v>-0.0042</x:v>
      </x:c>
      <x:c r="I22" s="158" t="n">
        <x:v>5892</x:v>
      </x:c>
      <x:c r="J22" s="158" t="n">
        <x:v>499868</x:v>
      </x:c>
      <x:c r="K22" s="158" t="n">
        <x:v>2945707632</x:v>
      </x:c>
      <x:c r="L22" s="158" t="n">
        <x:v>4707430</x:v>
      </x:c>
      <x:c r="M22" s="141" t="str">
        <x:v>https://www.sge.com.cn/sjzx/quotation_daily_new?start_date=2024-01-01&amp;end_date=2024-01-31&amp;inst_ids=Ag%28T%2BD%29&amp;p=</x:v>
      </x:c>
    </x:row>
    <x:row r="23">
      <x:c r="A23" s="155" t="n">
        <x:v>45309</x:v>
      </x:c>
      <x:c r="B23" s="141" t="str">
        <x:v>Au99.99</x:v>
      </x:c>
      <x:c r="C23" s="153" t="n">
        <x:v>478</x:v>
      </x:c>
      <x:c r="D23" s="153" t="n">
        <x:v>479.51</x:v>
      </x:c>
      <x:c r="E23" s="153" t="n">
        <x:v>476</x:v>
      </x:c>
      <x:c r="F23" s="153" t="n">
        <x:v>476</x:v>
      </x:c>
      <x:c r="G23" s="153" t="n">
        <x:v>-1.3</x:v>
      </x:c>
      <x:c r="H23" s="154" t="n">
        <x:v>-0.0027</x:v>
      </x:c>
      <x:c r="I23" s="158" t="n">
        <x:v>477.44</x:v>
      </x:c>
      <x:c r="J23" s="158" t="n">
        <x:v>28869.14</x:v>
      </x:c>
      <x:c r="K23" s="158" t="n">
        <x:v>13783498144</x:v>
      </x:c>
      <x:c r="L23" s="158"/>
      <x:c r="M23" s="141" t="str">
        <x:v>https://www.sge.com.cn/sjzx/quotation_daily_new?start_date=2024-01-01&amp;end_date=2024-01-31&amp;inst_ids=Au99.99&amp;p=</x:v>
      </x:c>
    </x:row>
    <x:row r="24">
      <x:c r="A24" s="155" t="n">
        <x:v>45310</x:v>
      </x:c>
      <x:c r="B24" s="141" t="str">
        <x:v>Ag(T+D)</x:v>
      </x:c>
      <x:c r="C24" s="153" t="n">
        <x:v>5885</x:v>
      </x:c>
      <x:c r="D24" s="153" t="n">
        <x:v>5928</x:v>
      </x:c>
      <x:c r="E24" s="153" t="n">
        <x:v>5877</x:v>
      </x:c>
      <x:c r="F24" s="153" t="n">
        <x:v>5920</x:v>
      </x:c>
      <x:c r="G24" s="153" t="n">
        <x:v>28</x:v>
      </x:c>
      <x:c r="H24" s="154" t="n">
        <x:v>0.0048</x:v>
      </x:c>
      <x:c r="I24" s="158" t="n">
        <x:v>5910</x:v>
      </x:c>
      <x:c r="J24" s="158" t="n">
        <x:v>420136</x:v>
      </x:c>
      <x:c r="K24" s="158" t="n">
        <x:v>2483200162</x:v>
      </x:c>
      <x:c r="L24" s="158" t="n">
        <x:v>4658206</x:v>
      </x:c>
      <x:c r="M24" s="141" t="str">
        <x:v>https://www.sge.com.cn/sjzx/quotation_daily_new?start_date=2024-01-01&amp;end_date=2024-01-31&amp;inst_ids=Ag%28T%2BD%29&amp;p=</x:v>
      </x:c>
    </x:row>
    <x:row r="25">
      <x:c r="A25" s="155" t="n">
        <x:v>45310</x:v>
      </x:c>
      <x:c r="B25" s="141" t="str">
        <x:v>Au99.99</x:v>
      </x:c>
      <x:c r="C25" s="153" t="n">
        <x:v>478.1</x:v>
      </x:c>
      <x:c r="D25" s="153" t="n">
        <x:v>482</x:v>
      </x:c>
      <x:c r="E25" s="153" t="n">
        <x:v>477.1</x:v>
      </x:c>
      <x:c r="F25" s="153" t="n">
        <x:v>479.51</x:v>
      </x:c>
      <x:c r="G25" s="153" t="n">
        <x:v>3.51</x:v>
      </x:c>
      <x:c r="H25" s="154" t="n">
        <x:v>0.0074</x:v>
      </x:c>
      <x:c r="I25" s="158" t="n">
        <x:v>479.82</x:v>
      </x:c>
      <x:c r="J25" s="158" t="n">
        <x:v>14881.74</x:v>
      </x:c>
      <x:c r="K25" s="158" t="n">
        <x:v>7140560969</x:v>
      </x:c>
      <x:c r="L25" s="158"/>
      <x:c r="M25" s="141" t="str">
        <x:v>https://www.sge.com.cn/sjzx/quotation_daily_new?start_date=2024-01-01&amp;end_date=2024-01-31&amp;inst_ids=Au99.99&amp;p=</x:v>
      </x:c>
    </x:row>
    <x:row r="26">
      <x:c r="A26" s="155" t="n">
        <x:v>45313</x:v>
      </x:c>
      <x:c r="B26" s="141" t="str">
        <x:v>Ag(T+D)</x:v>
      </x:c>
      <x:c r="C26" s="153" t="n">
        <x:v>5935</x:v>
      </x:c>
      <x:c r="D26" s="153" t="n">
        <x:v>5935</x:v>
      </x:c>
      <x:c r="E26" s="153" t="n">
        <x:v>5762</x:v>
      </x:c>
      <x:c r="F26" s="153" t="n">
        <x:v>5766</x:v>
      </x:c>
      <x:c r="G26" s="153" t="n">
        <x:v>-144</x:v>
      </x:c>
      <x:c r="H26" s="154" t="n">
        <x:v>-0.024399999999999998</x:v>
      </x:c>
      <x:c r="I26" s="158" t="n">
        <x:v>5843</x:v>
      </x:c>
      <x:c r="J26" s="158" t="n">
        <x:v>672636</x:v>
      </x:c>
      <x:c r="K26" s="158" t="n">
        <x:v>3930437018</x:v>
      </x:c>
      <x:c r="L26" s="158" t="n">
        <x:v>4689124</x:v>
      </x:c>
      <x:c r="M26" s="141" t="str">
        <x:v>https://www.sge.com.cn/sjzx/quotation_daily_new?start_date=2024-01-01&amp;end_date=2024-01-31&amp;inst_ids=Ag%28T%2BD%29&amp;p=</x:v>
      </x:c>
    </x:row>
    <x:row r="27">
      <x:c r="A27" s="155" t="n">
        <x:v>45313</x:v>
      </x:c>
      <x:c r="B27" s="141" t="str">
        <x:v>Au99.99</x:v>
      </x:c>
      <x:c r="C27" s="153" t="n">
        <x:v>480.1</x:v>
      </x:c>
      <x:c r="D27" s="153" t="n">
        <x:v>481</x:v>
      </x:c>
      <x:c r="E27" s="153" t="n">
        <x:v>477.5</x:v>
      </x:c>
      <x:c r="F27" s="153" t="n">
        <x:v>478.39</x:v>
      </x:c>
      <x:c r="G27" s="153" t="n">
        <x:v>-1.12</x:v>
      </x:c>
      <x:c r="H27" s="154" t="n">
        <x:v>-0.0023</x:v>
      </x:c>
      <x:c r="I27" s="158" t="n">
        <x:v>479.73</x:v>
      </x:c>
      <x:c r="J27" s="158" t="n">
        <x:v>20485.24</x:v>
      </x:c>
      <x:c r="K27" s="158" t="n">
        <x:v>9827442345.4</x:v>
      </x:c>
      <x:c r="L27" s="158"/>
      <x:c r="M27" s="141" t="str">
        <x:v>https://www.sge.com.cn/sjzx/quotation_daily_new?start_date=2024-01-01&amp;end_date=2024-01-31&amp;inst_ids=Au99.99&amp;p=</x:v>
      </x:c>
    </x:row>
    <x:row r="28">
      <x:c r="A28" s="155" t="n">
        <x:v>45314</x:v>
      </x:c>
      <x:c r="B28" s="141" t="str">
        <x:v>Ag(T+D)</x:v>
      </x:c>
      <x:c r="C28" s="153" t="n">
        <x:v>5780</x:v>
      </x:c>
      <x:c r="D28" s="153" t="n">
        <x:v>5830</x:v>
      </x:c>
      <x:c r="E28" s="153" t="n">
        <x:v>5759</x:v>
      </x:c>
      <x:c r="F28" s="153" t="n">
        <x:v>5830</x:v>
      </x:c>
      <x:c r="G28" s="153" t="n">
        <x:v>-13</x:v>
      </x:c>
      <x:c r="H28" s="154" t="n">
        <x:v>-0.0022</x:v>
      </x:c>
      <x:c r="I28" s="158" t="n">
        <x:v>5797</x:v>
      </x:c>
      <x:c r="J28" s="158" t="n">
        <x:v>457988</x:v>
      </x:c>
      <x:c r="K28" s="158" t="n">
        <x:v>2655344448</x:v>
      </x:c>
      <x:c r="L28" s="158" t="n">
        <x:v>4665220</x:v>
      </x:c>
      <x:c r="M28" s="141" t="str">
        <x:v>https://www.sge.com.cn/sjzx/quotation_daily_new?start_date=2024-01-01&amp;end_date=2024-01-31&amp;inst_ids=Ag%28T%2BD%29&amp;p=</x:v>
      </x:c>
    </x:row>
    <x:row r="29">
      <x:c r="A29" s="155" t="n">
        <x:v>45314</x:v>
      </x:c>
      <x:c r="B29" s="141" t="str">
        <x:v>Au99.99</x:v>
      </x:c>
      <x:c r="C29" s="153" t="n">
        <x:v>479.49</x:v>
      </x:c>
      <x:c r="D29" s="153" t="n">
        <x:v>479.65</x:v>
      </x:c>
      <x:c r="E29" s="153" t="n">
        <x:v>477.5</x:v>
      </x:c>
      <x:c r="F29" s="153" t="n">
        <x:v>478.52</x:v>
      </x:c>
      <x:c r="G29" s="153" t="n">
        <x:v>0.13</x:v>
      </x:c>
      <x:c r="H29" s="154" t="n">
        <x:v>0.0003</x:v>
      </x:c>
      <x:c r="I29" s="158" t="n">
        <x:v>478.35</x:v>
      </x:c>
      <x:c r="J29" s="158" t="n">
        <x:v>16100.68</x:v>
      </x:c>
      <x:c r="K29" s="158" t="n">
        <x:v>7701809187.2</x:v>
      </x:c>
      <x:c r="L29" s="158"/>
      <x:c r="M29" s="141" t="str">
        <x:v>https://www.sge.com.cn/sjzx/quotation_daily_new?start_date=2024-01-01&amp;end_date=2024-01-31&amp;inst_ids=Au99.99&amp;p=</x:v>
      </x:c>
    </x:row>
    <x:row r="30">
      <x:c r="A30" s="155" t="n">
        <x:v>45315</x:v>
      </x:c>
      <x:c r="B30" s="141" t="str">
        <x:v>Ag(T+D)</x:v>
      </x:c>
      <x:c r="C30" s="153" t="n">
        <x:v>5811</x:v>
      </x:c>
      <x:c r="D30" s="153" t="n">
        <x:v>5868</x:v>
      </x:c>
      <x:c r="E30" s="153" t="n">
        <x:v>5807</x:v>
      </x:c>
      <x:c r="F30" s="153" t="n">
        <x:v>5866</x:v>
      </x:c>
      <x:c r="G30" s="153" t="n">
        <x:v>69</x:v>
      </x:c>
      <x:c r="H30" s="154" t="n">
        <x:v>0.011899999999999999</x:v>
      </x:c>
      <x:c r="I30" s="158" t="n">
        <x:v>5835</x:v>
      </x:c>
      <x:c r="J30" s="158" t="n">
        <x:v>419342</x:v>
      </x:c>
      <x:c r="K30" s="158" t="n">
        <x:v>2446863346</x:v>
      </x:c>
      <x:c r="L30" s="158" t="n">
        <x:v>4687330</x:v>
      </x:c>
      <x:c r="M30" s="141" t="str">
        <x:v>https://www.sge.com.cn/sjzx/quotation_daily_new?start_date=2024-01-01&amp;end_date=2024-01-31&amp;inst_ids=Ag%28T%2BD%29&amp;p=</x:v>
      </x:c>
    </x:row>
    <x:row r="31">
      <x:c r="A31" s="155" t="n">
        <x:v>45315</x:v>
      </x:c>
      <x:c r="B31" s="141" t="str">
        <x:v>Au99.99</x:v>
      </x:c>
      <x:c r="C31" s="153" t="n">
        <x:v>478.31</x:v>
      </x:c>
      <x:c r="D31" s="153" t="n">
        <x:v>479</x:v>
      </x:c>
      <x:c r="E31" s="153" t="n">
        <x:v>477.8</x:v>
      </x:c>
      <x:c r="F31" s="153" t="n">
        <x:v>478</x:v>
      </x:c>
      <x:c r="G31" s="153" t="n">
        <x:v>-0.52</x:v>
      </x:c>
      <x:c r="H31" s="154" t="n">
        <x:v>-0.0011</x:v>
      </x:c>
      <x:c r="I31" s="158" t="n">
        <x:v>478.45</x:v>
      </x:c>
      <x:c r="J31" s="158" t="n">
        <x:v>18980.82</x:v>
      </x:c>
      <x:c r="K31" s="158" t="n">
        <x:v>9081510102</x:v>
      </x:c>
      <x:c r="L31" s="158"/>
      <x:c r="M31" s="141" t="str">
        <x:v>https://www.sge.com.cn/sjzx/quotation_daily_new?start_date=2024-01-01&amp;end_date=2024-01-31&amp;inst_ids=Au99.99&amp;p=</x:v>
      </x:c>
    </x:row>
    <x:row r="32">
      <x:c r="A32" s="155" t="n">
        <x:v>45316</x:v>
      </x:c>
      <x:c r="B32" s="141" t="str">
        <x:v>Ag(T+D)</x:v>
      </x:c>
      <x:c r="C32" s="153" t="n">
        <x:v>5880</x:v>
      </x:c>
      <x:c r="D32" s="153" t="n">
        <x:v>5906</x:v>
      </x:c>
      <x:c r="E32" s="153" t="n">
        <x:v>5861</x:v>
      </x:c>
      <x:c r="F32" s="153" t="n">
        <x:v>5885</x:v>
      </x:c>
      <x:c r="G32" s="153" t="n">
        <x:v>50</x:v>
      </x:c>
      <x:c r="H32" s="154" t="n">
        <x:v>0.0086</x:v>
      </x:c>
      <x:c r="I32" s="158" t="n">
        <x:v>5886</x:v>
      </x:c>
      <x:c r="J32" s="158" t="n">
        <x:v>387592</x:v>
      </x:c>
      <x:c r="K32" s="158" t="n">
        <x:v>2281650368</x:v>
      </x:c>
      <x:c r="L32" s="158" t="n">
        <x:v>4723328</x:v>
      </x:c>
      <x:c r="M32" s="141" t="str">
        <x:v>https://www.sge.com.cn/sjzx/quotation_daily_new?start_date=2024-01-01&amp;end_date=2024-01-31&amp;inst_ids=Ag%28T%2BD%29&amp;p=</x:v>
      </x:c>
    </x:row>
    <x:row r="33">
      <x:c r="A33" s="155" t="n">
        <x:v>45316</x:v>
      </x:c>
      <x:c r="B33" s="141" t="str">
        <x:v>Au99.99</x:v>
      </x:c>
      <x:c r="C33" s="153" t="n">
        <x:v>479.45</x:v>
      </x:c>
      <x:c r="D33" s="153" t="n">
        <x:v>479.5</x:v>
      </x:c>
      <x:c r="E33" s="153" t="n">
        <x:v>475</x:v>
      </x:c>
      <x:c r="F33" s="153" t="n">
        <x:v>475.8</x:v>
      </x:c>
      <x:c r="G33" s="153" t="n">
        <x:v>-2.2</x:v>
      </x:c>
      <x:c r="H33" s="154" t="n">
        <x:v>-0.0046</x:v>
      </x:c>
      <x:c r="I33" s="158" t="n">
        <x:v>476.18</x:v>
      </x:c>
      <x:c r="J33" s="158" t="n">
        <x:v>21079.44</x:v>
      </x:c>
      <x:c r="K33" s="158" t="n">
        <x:v>10037799479.2</x:v>
      </x:c>
      <x:c r="L33" s="158"/>
      <x:c r="M33" s="141" t="str">
        <x:v>https://www.sge.com.cn/sjzx/quotation_daily_new?start_date=2024-01-01&amp;end_date=2024-01-31&amp;inst_ids=Au99.99&amp;p=</x:v>
      </x:c>
    </x:row>
    <x:row r="34">
      <x:c r="A34" s="155" t="n">
        <x:v>45317</x:v>
      </x:c>
      <x:c r="B34" s="141" t="str">
        <x:v>Ag(T+D)</x:v>
      </x:c>
      <x:c r="C34" s="153" t="n">
        <x:v>5899</x:v>
      </x:c>
      <x:c r="D34" s="153" t="n">
        <x:v>5922</x:v>
      </x:c>
      <x:c r="E34" s="153" t="n">
        <x:v>5882</x:v>
      </x:c>
      <x:c r="F34" s="153" t="n">
        <x:v>5920</x:v>
      </x:c>
      <x:c r="G34" s="153" t="n">
        <x:v>34</x:v>
      </x:c>
      <x:c r="H34" s="154" t="n">
        <x:v>0.0058</x:v>
      </x:c>
      <x:c r="I34" s="158" t="n">
        <x:v>5910</x:v>
      </x:c>
      <x:c r="J34" s="158" t="n">
        <x:v>265194</x:v>
      </x:c>
      <x:c r="K34" s="158" t="n">
        <x:v>1567523910</x:v>
      </x:c>
      <x:c r="L34" s="158" t="n">
        <x:v>4688118</x:v>
      </x:c>
      <x:c r="M34" s="141" t="str">
        <x:v>https://www.sge.com.cn/sjzx/quotation_daily_new?start_date=2024-01-01&amp;end_date=2024-01-31&amp;inst_ids=Ag%28T%2BD%29&amp;p=</x:v>
      </x:c>
    </x:row>
    <x:row r="35">
      <x:c r="A35" s="155" t="n">
        <x:v>45317</x:v>
      </x:c>
      <x:c r="B35" s="141" t="str">
        <x:v>Au99.99</x:v>
      </x:c>
      <x:c r="C35" s="153" t="n">
        <x:v>476.5</x:v>
      </x:c>
      <x:c r="D35" s="153" t="n">
        <x:v>479.5</x:v>
      </x:c>
      <x:c r="E35" s="153" t="n">
        <x:v>475.75</x:v>
      </x:c>
      <x:c r="F35" s="153" t="n">
        <x:v>479.26</x:v>
      </x:c>
      <x:c r="G35" s="153" t="n">
        <x:v>3.46</x:v>
      </x:c>
      <x:c r="H35" s="154" t="n">
        <x:v>0.0073</x:v>
      </x:c>
      <x:c r="I35" s="158" t="n">
        <x:v>478.37</x:v>
      </x:c>
      <x:c r="J35" s="158" t="n">
        <x:v>16673.74</x:v>
      </x:c>
      <x:c r="K35" s="158" t="n">
        <x:v>7976270153</x:v>
      </x:c>
      <x:c r="L35" s="158"/>
      <x:c r="M35" s="141" t="str">
        <x:v>https://www.sge.com.cn/sjzx/quotation_daily_new?start_date=2024-01-01&amp;end_date=2024-01-31&amp;inst_ids=Au99.99&amp;p=</x:v>
      </x:c>
    </x:row>
    <x:row r="36">
      <x:c r="A36" s="155" t="n">
        <x:v>45320</x:v>
      </x:c>
      <x:c r="B36" s="141" t="str">
        <x:v>Ag(T+D)</x:v>
      </x:c>
      <x:c r="C36" s="153" t="n">
        <x:v>5925</x:v>
      </x:c>
      <x:c r="D36" s="153" t="n">
        <x:v>5935</x:v>
      </x:c>
      <x:c r="E36" s="153" t="n">
        <x:v>5886</x:v>
      </x:c>
      <x:c r="F36" s="153" t="n">
        <x:v>5929</x:v>
      </x:c>
      <x:c r="G36" s="153" t="n">
        <x:v>19</x:v>
      </x:c>
      <x:c r="H36" s="154" t="n">
        <x:v>0.0032</x:v>
      </x:c>
      <x:c r="I36" s="158" t="n">
        <x:v>5920</x:v>
      </x:c>
      <x:c r="J36" s="158" t="n">
        <x:v>391322</x:v>
      </x:c>
      <x:c r="K36" s="158" t="n">
        <x:v>2316823744</x:v>
      </x:c>
      <x:c r="L36" s="158" t="n">
        <x:v>4779322</x:v>
      </x:c>
      <x:c r="M36" s="141" t="str">
        <x:v>https://www.sge.com.cn/sjzx/quotation_daily_new?start_date=2024-01-01&amp;end_date=2024-01-31&amp;inst_ids=Ag%28T%2BD%29&amp;p=</x:v>
      </x:c>
    </x:row>
    <x:row r="37">
      <x:c r="A37" s="155" t="n">
        <x:v>45320</x:v>
      </x:c>
      <x:c r="B37" s="141" t="str">
        <x:v>Au99.99</x:v>
      </x:c>
      <x:c r="C37" s="153" t="n">
        <x:v>478.45</x:v>
      </x:c>
      <x:c r="D37" s="153" t="n">
        <x:v>480.2</x:v>
      </x:c>
      <x:c r="E37" s="153" t="n">
        <x:v>476</x:v>
      </x:c>
      <x:c r="F37" s="153" t="n">
        <x:v>479.2</x:v>
      </x:c>
      <x:c r="G37" s="153" t="n">
        <x:v>-0.06</x:v>
      </x:c>
      <x:c r="H37" s="154" t="n">
        <x:v>-0.0001</x:v>
      </x:c>
      <x:c r="I37" s="158" t="n">
        <x:v>479.22</x:v>
      </x:c>
      <x:c r="J37" s="158" t="n">
        <x:v>22269.12</x:v>
      </x:c>
      <x:c r="K37" s="158" t="n">
        <x:v>10672002851.4</x:v>
      </x:c>
      <x:c r="L37" s="158"/>
      <x:c r="M37" s="141" t="str">
        <x:v>https://www.sge.com.cn/sjzx/quotation_daily_new?start_date=2024-01-01&amp;end_date=2024-01-31&amp;inst_ids=Au99.99&amp;p=</x:v>
      </x:c>
    </x:row>
    <x:row r="38">
      <x:c r="A38" s="155" t="n">
        <x:v>45321</x:v>
      </x:c>
      <x:c r="B38" s="141" t="str">
        <x:v>Ag(T+D)</x:v>
      </x:c>
      <x:c r="C38" s="153" t="n">
        <x:v>5935</x:v>
      </x:c>
      <x:c r="D38" s="153" t="n">
        <x:v>5971</x:v>
      </x:c>
      <x:c r="E38" s="153" t="n">
        <x:v>5907</x:v>
      </x:c>
      <x:c r="F38" s="153" t="n">
        <x:v>5963</x:v>
      </x:c>
      <x:c r="G38" s="153" t="n">
        <x:v>43</x:v>
      </x:c>
      <x:c r="H38" s="154" t="n">
        <x:v>0.0073</x:v>
      </x:c>
      <x:c r="I38" s="158" t="n">
        <x:v>5952</x:v>
      </x:c>
      <x:c r="J38" s="158" t="n">
        <x:v>319714</x:v>
      </x:c>
      <x:c r="K38" s="158" t="n">
        <x:v>1903128756</x:v>
      </x:c>
      <x:c r="L38" s="158" t="n">
        <x:v>4821092</x:v>
      </x:c>
      <x:c r="M38" s="141" t="str">
        <x:v>https://www.sge.com.cn/sjzx/quotation_daily_new?start_date=2024-01-01&amp;end_date=2024-01-31&amp;inst_ids=Ag%28T%2BD%29&amp;p=</x:v>
      </x:c>
    </x:row>
    <x:row r="39">
      <x:c r="A39" s="155" t="n">
        <x:v>45321</x:v>
      </x:c>
      <x:c r="B39" s="141" t="str">
        <x:v>Au99.99</x:v>
      </x:c>
      <x:c r="C39" s="153" t="n">
        <x:v>478.11</x:v>
      </x:c>
      <x:c r="D39" s="153" t="n">
        <x:v>480.9</x:v>
      </x:c>
      <x:c r="E39" s="153" t="n">
        <x:v>478.11</x:v>
      </x:c>
      <x:c r="F39" s="153" t="n">
        <x:v>480.15</x:v>
      </x:c>
      <x:c r="G39" s="153" t="n">
        <x:v>0.95</x:v>
      </x:c>
      <x:c r="H39" s="154" t="n">
        <x:v>0.002</x:v>
      </x:c>
      <x:c r="I39" s="158" t="n">
        <x:v>480.33</x:v>
      </x:c>
      <x:c r="J39" s="158" t="n">
        <x:v>14099.58</x:v>
      </x:c>
      <x:c r="K39" s="158" t="n">
        <x:v>6772475597.2</x:v>
      </x:c>
      <x:c r="L39" s="158"/>
      <x:c r="M39" s="141" t="str">
        <x:v>https://www.sge.com.cn/sjzx/quotation_daily_new?start_date=2024-01-01&amp;end_date=2024-01-31&amp;inst_ids=Au99.99&amp;p=</x:v>
      </x:c>
    </x:row>
    <x:row r="40">
      <x:c r="A40" s="155" t="n">
        <x:v>45322</x:v>
      </x:c>
      <x:c r="B40" s="141" t="str">
        <x:v>Ag(T+D)</x:v>
      </x:c>
      <x:c r="C40" s="153" t="n">
        <x:v>5958</x:v>
      </x:c>
      <x:c r="D40" s="153" t="n">
        <x:v>5976</x:v>
      </x:c>
      <x:c r="E40" s="153" t="n">
        <x:v>5934</x:v>
      </x:c>
      <x:c r="F40" s="153" t="n">
        <x:v>5939</x:v>
      </x:c>
      <x:c r="G40" s="153" t="n">
        <x:v>-13</x:v>
      </x:c>
      <x:c r="H40" s="154" t="n">
        <x:v>-0.0022</x:v>
      </x:c>
      <x:c r="I40" s="158" t="n">
        <x:v>5951</x:v>
      </x:c>
      <x:c r="J40" s="158" t="n">
        <x:v>203532</x:v>
      </x:c>
      <x:c r="K40" s="158" t="n">
        <x:v>1211223342</x:v>
      </x:c>
      <x:c r="L40" s="158" t="n">
        <x:v>4862398</x:v>
      </x:c>
      <x:c r="M40" s="141" t="str">
        <x:v>https://www.sge.com.cn/sjzx/quotation_daily_new?start_date=2024-01-01&amp;end_date=2024-01-31&amp;inst_ids=Ag%28T%2BD%29&amp;p=</x:v>
      </x:c>
    </x:row>
    <x:row r="41">
      <x:c r="A41" s="155" t="n">
        <x:v>45322</x:v>
      </x:c>
      <x:c r="B41" s="141" t="str">
        <x:v>Au99.99</x:v>
      </x:c>
      <x:c r="C41" s="153" t="n">
        <x:v>479.5</x:v>
      </x:c>
      <x:c r="D41" s="153" t="n">
        <x:v>481.93</x:v>
      </x:c>
      <x:c r="E41" s="153" t="n">
        <x:v>479.5</x:v>
      </x:c>
      <x:c r="F41" s="153" t="n">
        <x:v>480</x:v>
      </x:c>
      <x:c r="G41" s="153" t="n">
        <x:v>-0.15</x:v>
      </x:c>
      <x:c r="H41" s="154" t="n">
        <x:v>-0.0003</x:v>
      </x:c>
      <x:c r="I41" s="158" t="n">
        <x:v>480.57</x:v>
      </x:c>
      <x:c r="J41" s="158" t="n">
        <x:v>12557</x:v>
      </x:c>
      <x:c r="K41" s="158" t="n">
        <x:v>6034585541</x:v>
      </x:c>
      <x:c r="L41" s="158"/>
      <x:c r="M41" s="141" t="str">
        <x:v>https://www.sge.com.cn/sjzx/quotation_daily_new?start_date=2024-01-01&amp;end_date=2024-01-31&amp;inst_ids=Au99.99&amp;p=</x:v>
      </x:c>
    </x:row>
    <x:row r="42">
      <x:c r="A42" s="155" t="n">
        <x:v>45323</x:v>
      </x:c>
      <x:c r="B42" s="141" t="str">
        <x:v>Ag(T+D)</x:v>
      </x:c>
      <x:c r="C42" s="153" t="n">
        <x:v>5944</x:v>
      </x:c>
      <x:c r="D42" s="153" t="n">
        <x:v>5972</x:v>
      </x:c>
      <x:c r="E42" s="153" t="n">
        <x:v>5911</x:v>
      </x:c>
      <x:c r="F42" s="153" t="n">
        <x:v>5920</x:v>
      </x:c>
      <x:c r="G42" s="153" t="n">
        <x:v>-31</x:v>
      </x:c>
      <x:c r="H42" s="154" t="n">
        <x:v>-0.0052</x:v>
      </x:c>
      <x:c r="I42" s="158" t="n">
        <x:v>5930</x:v>
      </x:c>
      <x:c r="J42" s="158" t="n">
        <x:v>293058</x:v>
      </x:c>
      <x:c r="K42" s="158" t="n">
        <x:v>1738060558</x:v>
      </x:c>
      <x:c r="L42" s="158" t="n">
        <x:v>4861238</x:v>
      </x:c>
      <x:c r="M42" s="141" t="str">
        <x:v>https://www.sge.com.cn/sjzx/quotation_daily_new?start_date=2024-02-01&amp;end_date=2024-02-29&amp;inst_ids=Ag%28T%2BD%29&amp;p=</x:v>
      </x:c>
    </x:row>
    <x:row r="43">
      <x:c r="A43" s="155" t="n">
        <x:v>45323</x:v>
      </x:c>
      <x:c r="B43" s="141" t="str">
        <x:v>Au99.99</x:v>
      </x:c>
      <x:c r="C43" s="153" t="n">
        <x:v>480.01</x:v>
      </x:c>
      <x:c r="D43" s="153" t="n">
        <x:v>482.2</x:v>
      </x:c>
      <x:c r="E43" s="153" t="n">
        <x:v>480</x:v>
      </x:c>
      <x:c r="F43" s="153" t="n">
        <x:v>480</x:v>
      </x:c>
      <x:c r="G43" s="153" t="n">
        <x:v>0</x:v>
      </x:c>
      <x:c r="H43" s="154" t="n">
        <x:v>0</x:v>
      </x:c>
      <x:c r="I43" s="158" t="n">
        <x:v>481.5</x:v>
      </x:c>
      <x:c r="J43" s="158" t="n">
        <x:v>15215.58</x:v>
      </x:c>
      <x:c r="K43" s="158" t="n">
        <x:v>7326426401.8</x:v>
      </x:c>
      <x:c r="L43" s="158"/>
      <x:c r="M43" s="141" t="str">
        <x:v>https://www.sge.com.cn/sjzx/quotation_daily_new?start_date=2024-02-01&amp;end_date=2024-02-29&amp;inst_ids=Au99.99&amp;p=</x:v>
      </x:c>
    </x:row>
    <x:row r="44">
      <x:c r="A44" s="155" t="n">
        <x:v>45324</x:v>
      </x:c>
      <x:c r="B44" s="141" t="str">
        <x:v>Ag(T+D)</x:v>
      </x:c>
      <x:c r="C44" s="153" t="n">
        <x:v>5894</x:v>
      </x:c>
      <x:c r="D44" s="153" t="n">
        <x:v>5951</x:v>
      </x:c>
      <x:c r="E44" s="153" t="n">
        <x:v>5853</x:v>
      </x:c>
      <x:c r="F44" s="153" t="n">
        <x:v>5940</x:v>
      </x:c>
      <x:c r="G44" s="153" t="n">
        <x:v>10</x:v>
      </x:c>
      <x:c r="H44" s="154" t="n">
        <x:v>0.0017000000000000001</x:v>
      </x:c>
      <x:c r="I44" s="158" t="n">
        <x:v>5919</x:v>
      </x:c>
      <x:c r="J44" s="158" t="n">
        <x:v>417394</x:v>
      </x:c>
      <x:c r="K44" s="158" t="n">
        <x:v>2470918748</x:v>
      </x:c>
      <x:c r="L44" s="158" t="n">
        <x:v>4812148</x:v>
      </x:c>
      <x:c r="M44" s="141" t="str">
        <x:v>https://www.sge.com.cn/sjzx/quotation_daily_new?start_date=2024-02-01&amp;end_date=2024-02-29&amp;inst_ids=Ag%28T%2BD%29&amp;p=</x:v>
      </x:c>
    </x:row>
    <x:row r="45">
      <x:c r="A45" s="155" t="n">
        <x:v>45324</x:v>
      </x:c>
      <x:c r="B45" s="141" t="str">
        <x:v>Au99.99</x:v>
      </x:c>
      <x:c r="C45" s="153" t="n">
        <x:v>479.81</x:v>
      </x:c>
      <x:c r="D45" s="153" t="n">
        <x:v>483.8</x:v>
      </x:c>
      <x:c r="E45" s="153" t="n">
        <x:v>479.81</x:v>
      </x:c>
      <x:c r="F45" s="153" t="n">
        <x:v>483.55</x:v>
      </x:c>
      <x:c r="G45" s="153" t="n">
        <x:v>3.55</x:v>
      </x:c>
      <x:c r="H45" s="154" t="n">
        <x:v>0.0074</x:v>
      </x:c>
      <x:c r="I45" s="158" t="n">
        <x:v>483.28</x:v>
      </x:c>
      <x:c r="J45" s="158" t="n">
        <x:v>10879.34</x:v>
      </x:c>
      <x:c r="K45" s="158" t="n">
        <x:v>5257795801.8</x:v>
      </x:c>
      <x:c r="L45" s="158"/>
      <x:c r="M45" s="141" t="str">
        <x:v>https://www.sge.com.cn/sjzx/quotation_daily_new?start_date=2024-02-01&amp;end_date=2024-02-29&amp;inst_ids=Au99.99&amp;p=</x:v>
      </x:c>
    </x:row>
    <x:row r="46">
      <x:c r="A46" s="155" t="n">
        <x:v>45327</x:v>
      </x:c>
      <x:c r="B46" s="141" t="str">
        <x:v>Ag(T+D)</x:v>
      </x:c>
      <x:c r="C46" s="153" t="n">
        <x:v>5949</x:v>
      </x:c>
      <x:c r="D46" s="153" t="n">
        <x:v>5955</x:v>
      </x:c>
      <x:c r="E46" s="153" t="n">
        <x:v>5850</x:v>
      </x:c>
      <x:c r="F46" s="153" t="n">
        <x:v>5861</x:v>
      </x:c>
      <x:c r="G46" s="153" t="n">
        <x:v>-58</x:v>
      </x:c>
      <x:c r="H46" s="154" t="n">
        <x:v>-0.0098</x:v>
      </x:c>
      <x:c r="I46" s="158" t="n">
        <x:v>5876</x:v>
      </x:c>
      <x:c r="J46" s="158" t="n">
        <x:v>389722</x:v>
      </x:c>
      <x:c r="K46" s="158" t="n">
        <x:v>2290109652</x:v>
      </x:c>
      <x:c r="L46" s="158" t="n">
        <x:v>4850708</x:v>
      </x:c>
      <x:c r="M46" s="141" t="str">
        <x:v>https://www.sge.com.cn/sjzx/quotation_daily_new?start_date=2024-02-01&amp;end_date=2024-02-29&amp;inst_ids=Ag%28T%2BD%29&amp;p=</x:v>
      </x:c>
    </x:row>
    <x:row r="47">
      <x:c r="A47" s="155" t="n">
        <x:v>45327</x:v>
      </x:c>
      <x:c r="B47" s="141" t="str">
        <x:v>Au99.99</x:v>
      </x:c>
      <x:c r="C47" s="153" t="n">
        <x:v>484</x:v>
      </x:c>
      <x:c r="D47" s="153" t="n">
        <x:v>484</x:v>
      </x:c>
      <x:c r="E47" s="153" t="n">
        <x:v>479.08</x:v>
      </x:c>
      <x:c r="F47" s="153" t="n">
        <x:v>479.11</x:v>
      </x:c>
      <x:c r="G47" s="153" t="n">
        <x:v>-4.44</x:v>
      </x:c>
      <x:c r="H47" s="154" t="n">
        <x:v>-0.0092</x:v>
      </x:c>
      <x:c r="I47" s="158" t="n">
        <x:v>481.01</x:v>
      </x:c>
      <x:c r="J47" s="158" t="n">
        <x:v>15799.46</x:v>
      </x:c>
      <x:c r="K47" s="158" t="n">
        <x:v>7599774074.6</x:v>
      </x:c>
      <x:c r="L47" s="158"/>
      <x:c r="M47" s="141" t="str">
        <x:v>https://www.sge.com.cn/sjzx/quotation_daily_new?start_date=2024-02-01&amp;end_date=2024-02-29&amp;inst_ids=Au99.99&amp;p=</x:v>
      </x:c>
    </x:row>
    <x:row r="48">
      <x:c r="A48" s="155" t="n">
        <x:v>45328</x:v>
      </x:c>
      <x:c r="B48" s="141" t="str">
        <x:v>Ag(T+D)</x:v>
      </x:c>
      <x:c r="C48" s="153" t="n">
        <x:v>5860</x:v>
      </x:c>
      <x:c r="D48" s="153" t="n">
        <x:v>5860</x:v>
      </x:c>
      <x:c r="E48" s="153" t="n">
        <x:v>5820</x:v>
      </x:c>
      <x:c r="F48" s="153" t="n">
        <x:v>5836</x:v>
      </x:c>
      <x:c r="G48" s="153" t="n">
        <x:v>-40</x:v>
      </x:c>
      <x:c r="H48" s="154" t="n">
        <x:v>-0.0068000000000000005</x:v>
      </x:c>
      <x:c r="I48" s="158" t="n">
        <x:v>5838</x:v>
      </x:c>
      <x:c r="J48" s="158" t="n">
        <x:v>292104</x:v>
      </x:c>
      <x:c r="K48" s="158" t="n">
        <x:v>1705570526</x:v>
      </x:c>
      <x:c r="L48" s="158" t="n">
        <x:v>4728210</x:v>
      </x:c>
      <x:c r="M48" s="141" t="str">
        <x:v>https://www.sge.com.cn/sjzx/quotation_daily_new?start_date=2024-02-01&amp;end_date=2024-02-29&amp;inst_ids=Ag%28T%2BD%29&amp;p=</x:v>
      </x:c>
    </x:row>
    <x:row r="49">
      <x:c r="A49" s="155" t="n">
        <x:v>45328</x:v>
      </x:c>
      <x:c r="B49" s="141" t="str">
        <x:v>Au99.99</x:v>
      </x:c>
      <x:c r="C49" s="153" t="n">
        <x:v>480.79</x:v>
      </x:c>
      <x:c r="D49" s="153" t="n">
        <x:v>480.79</x:v>
      </x:c>
      <x:c r="E49" s="153" t="n">
        <x:v>477</x:v>
      </x:c>
      <x:c r="F49" s="153" t="n">
        <x:v>478.81</x:v>
      </x:c>
      <x:c r="G49" s="153" t="n">
        <x:v>-0.3</x:v>
      </x:c>
      <x:c r="H49" s="154" t="n">
        <x:v>-0.0006</x:v>
      </x:c>
      <x:c r="I49" s="158" t="n">
        <x:v>479.57</x:v>
      </x:c>
      <x:c r="J49" s="158" t="n">
        <x:v>9541.94</x:v>
      </x:c>
      <x:c r="K49" s="158" t="n">
        <x:v>4576070391.6</x:v>
      </x:c>
      <x:c r="L49" s="158"/>
      <x:c r="M49" s="141" t="str">
        <x:v>https://www.sge.com.cn/sjzx/quotation_daily_new?start_date=2024-02-01&amp;end_date=2024-02-29&amp;inst_ids=Au99.99&amp;p=</x:v>
      </x:c>
    </x:row>
    <x:row r="50">
      <x:c r="A50" s="155" t="n">
        <x:v>45329</x:v>
      </x:c>
      <x:c r="B50" s="141" t="str">
        <x:v>Ag(T+D)</x:v>
      </x:c>
      <x:c r="C50" s="153" t="n">
        <x:v>5834</x:v>
      </x:c>
      <x:c r="D50" s="153" t="n">
        <x:v>5847</x:v>
      </x:c>
      <x:c r="E50" s="153" t="n">
        <x:v>5783</x:v>
      </x:c>
      <x:c r="F50" s="153" t="n">
        <x:v>5795</x:v>
      </x:c>
      <x:c r="G50" s="153" t="n">
        <x:v>-43</x:v>
      </x:c>
      <x:c r="H50" s="154" t="n">
        <x:v>-0.0074</x:v>
      </x:c>
      <x:c r="I50" s="158" t="n">
        <x:v>5804</x:v>
      </x:c>
      <x:c r="J50" s="158" t="n">
        <x:v>398624</x:v>
      </x:c>
      <x:c r="K50" s="158" t="n">
        <x:v>2313905546</x:v>
      </x:c>
      <x:c r="L50" s="158" t="n">
        <x:v>4748856</x:v>
      </x:c>
      <x:c r="M50" s="141" t="str">
        <x:v>https://www.sge.com.cn/sjzx/quotation_daily_new?start_date=2024-02-01&amp;end_date=2024-02-29&amp;inst_ids=Ag%28T%2BD%29&amp;p=</x:v>
      </x:c>
    </x:row>
    <x:row r="51">
      <x:c r="A51" s="155" t="n">
        <x:v>45329</x:v>
      </x:c>
      <x:c r="B51" s="141" t="str">
        <x:v>Au99.99</x:v>
      </x:c>
      <x:c r="C51" s="153" t="n">
        <x:v>479.8</x:v>
      </x:c>
      <x:c r="D51" s="153" t="n">
        <x:v>481.28</x:v>
      </x:c>
      <x:c r="E51" s="153" t="n">
        <x:v>478.6</x:v>
      </x:c>
      <x:c r="F51" s="153" t="n">
        <x:v>480.08</x:v>
      </x:c>
      <x:c r="G51" s="153" t="n">
        <x:v>1.27</x:v>
      </x:c>
      <x:c r="H51" s="154" t="n">
        <x:v>0.0027</x:v>
      </x:c>
      <x:c r="I51" s="158" t="n">
        <x:v>480.66</x:v>
      </x:c>
      <x:c r="J51" s="158" t="n">
        <x:v>8017.42</x:v>
      </x:c>
      <x:c r="K51" s="158" t="n">
        <x:v>3853679823.6</x:v>
      </x:c>
      <x:c r="L51" s="158"/>
      <x:c r="M51" s="141" t="str">
        <x:v>https://www.sge.com.cn/sjzx/quotation_daily_new?start_date=2024-02-01&amp;end_date=2024-02-29&amp;inst_ids=Au99.99&amp;p=</x:v>
      </x:c>
    </x:row>
    <x:row r="52">
      <x:c r="A52" s="155" t="n">
        <x:v>45330</x:v>
      </x:c>
      <x:c r="B52" s="141" t="str">
        <x:v>Ag(T+D)</x:v>
      </x:c>
      <x:c r="C52" s="153" t="n">
        <x:v>5811</x:v>
      </x:c>
      <x:c r="D52" s="153" t="n">
        <x:v>5845</x:v>
      </x:c>
      <x:c r="E52" s="153" t="n">
        <x:v>5789</x:v>
      </x:c>
      <x:c r="F52" s="153" t="n">
        <x:v>5839</x:v>
      </x:c>
      <x:c r="G52" s="153" t="n">
        <x:v>35</x:v>
      </x:c>
      <x:c r="H52" s="154" t="n">
        <x:v>0.006</x:v>
      </x:c>
      <x:c r="I52" s="158" t="n">
        <x:v>5817</x:v>
      </x:c>
      <x:c r="J52" s="158" t="n">
        <x:v>208414</x:v>
      </x:c>
      <x:c r="K52" s="158" t="n">
        <x:v>1212472246</x:v>
      </x:c>
      <x:c r="L52" s="158" t="n">
        <x:v>4712518</x:v>
      </x:c>
      <x:c r="M52" s="141" t="str">
        <x:v>https://www.sge.com.cn/sjzx/quotation_daily_new?start_date=2024-02-01&amp;end_date=2024-02-29&amp;inst_ids=Ag%28T%2BD%29&amp;p=</x:v>
      </x:c>
    </x:row>
    <x:row r="53">
      <x:c r="A53" s="155" t="n">
        <x:v>45330</x:v>
      </x:c>
      <x:c r="B53" s="141" t="str">
        <x:v>Au99.99</x:v>
      </x:c>
      <x:c r="C53" s="153" t="n">
        <x:v>479.11</x:v>
      </x:c>
      <x:c r="D53" s="153" t="n">
        <x:v>482.49</x:v>
      </x:c>
      <x:c r="E53" s="153" t="n">
        <x:v>479</x:v>
      </x:c>
      <x:c r="F53" s="153" t="n">
        <x:v>480.58</x:v>
      </x:c>
      <x:c r="G53" s="153" t="n">
        <x:v>0.5</x:v>
      </x:c>
      <x:c r="H53" s="154" t="n">
        <x:v>0.001</x:v>
      </x:c>
      <x:c r="I53" s="158" t="n">
        <x:v>481.14</x:v>
      </x:c>
      <x:c r="J53" s="158" t="n">
        <x:v>10063.5</x:v>
      </x:c>
      <x:c r="K53" s="158" t="n">
        <x:v>4842010754.6</x:v>
      </x:c>
      <x:c r="L53" s="158"/>
      <x:c r="M53" s="141" t="str">
        <x:v>https://www.sge.com.cn/sjzx/quotation_daily_new?start_date=2024-02-01&amp;end_date=2024-02-29&amp;inst_ids=Au99.99&amp;p=</x:v>
      </x:c>
    </x:row>
    <x:row r="54">
      <x:c r="A54" s="155" t="n">
        <x:v>45331</x:v>
      </x:c>
      <x:c r="B54" s="141" t="str">
        <x:v>Ag(T+D)</x:v>
      </x:c>
      <x:c r="C54" s="153" t="n">
        <x:v>5839</x:v>
      </x:c>
      <x:c r="D54" s="153" t="n">
        <x:v>5893</x:v>
      </x:c>
      <x:c r="E54" s="153" t="n">
        <x:v>5802</x:v>
      </x:c>
      <x:c r="F54" s="153" t="n">
        <x:v>5873</x:v>
      </x:c>
      <x:c r="G54" s="153" t="n">
        <x:v>56</x:v>
      </x:c>
      <x:c r="H54" s="154" t="n">
        <x:v>0.0096</x:v>
      </x:c>
      <x:c r="I54" s="158" t="n">
        <x:v>5845</x:v>
      </x:c>
      <x:c r="J54" s="158" t="n">
        <x:v>73756</x:v>
      </x:c>
      <x:c r="K54" s="158" t="n">
        <x:v>431154974</x:v>
      </x:c>
      <x:c r="L54" s="158" t="n">
        <x:v>4707930</x:v>
      </x:c>
      <x:c r="M54" s="141" t="str">
        <x:v>https://www.sge.com.cn/sjzx/quotation_daily_new?start_date=2024-02-01&amp;end_date=2024-02-29&amp;inst_ids=Ag%28T%2BD%29&amp;p=</x:v>
      </x:c>
    </x:row>
    <x:row r="55">
      <x:c r="A55" s="155" t="n">
        <x:v>45331</x:v>
      </x:c>
      <x:c r="B55" s="141" t="str">
        <x:v>Au99.99</x:v>
      </x:c>
      <x:c r="C55" s="153" t="n">
        <x:v>479.2</x:v>
      </x:c>
      <x:c r="D55" s="153" t="n">
        <x:v>482.2</x:v>
      </x:c>
      <x:c r="E55" s="153" t="n">
        <x:v>478.48</x:v>
      </x:c>
      <x:c r="F55" s="153" t="n">
        <x:v>479.99</x:v>
      </x:c>
      <x:c r="G55" s="153" t="n">
        <x:v>-0.59</x:v>
      </x:c>
      <x:c r="H55" s="154" t="n">
        <x:v>-0.0012</x:v>
      </x:c>
      <x:c r="I55" s="158" t="n">
        <x:v>480.73</x:v>
      </x:c>
      <x:c r="J55" s="158" t="n">
        <x:v>5420</x:v>
      </x:c>
      <x:c r="K55" s="158" t="n">
        <x:v>2605597329.2</x:v>
      </x:c>
      <x:c r="L55" s="158"/>
      <x:c r="M55" s="141" t="str">
        <x:v>https://www.sge.com.cn/sjzx/quotation_daily_new?start_date=2024-02-01&amp;end_date=2024-02-29&amp;inst_ids=Au99.99&amp;p=</x:v>
      </x:c>
    </x:row>
    <x:row r="56">
      <x:c r="A56" s="155" t="n">
        <x:v>45341</x:v>
      </x:c>
      <x:c r="B56" s="141" t="str">
        <x:v>Ag(T+D)</x:v>
      </x:c>
      <x:c r="C56" s="153" t="n">
        <x:v>5966</x:v>
      </x:c>
      <x:c r="D56" s="153" t="n">
        <x:v>5985</x:v>
      </x:c>
      <x:c r="E56" s="153" t="n">
        <x:v>5943</x:v>
      </x:c>
      <x:c r="F56" s="153" t="n">
        <x:v>5955</x:v>
      </x:c>
      <x:c r="G56" s="153" t="n">
        <x:v>110</x:v>
      </x:c>
      <x:c r="H56" s="154" t="n">
        <x:v>0.018799999999999997</x:v>
      </x:c>
      <x:c r="I56" s="158" t="n">
        <x:v>5961</x:v>
      </x:c>
      <x:c r="J56" s="158" t="n">
        <x:v>366704</x:v>
      </x:c>
      <x:c r="K56" s="158" t="n">
        <x:v>2186192500</x:v>
      </x:c>
      <x:c r="L56" s="158" t="n">
        <x:v>4726284</x:v>
      </x:c>
      <x:c r="M56" s="141" t="str">
        <x:v>https://www.sge.com.cn/sjzx/quotation_daily_new?start_date=2024-02-01&amp;end_date=2024-02-29&amp;inst_ids=Ag%28T%2BD%29&amp;p=</x:v>
      </x:c>
    </x:row>
    <x:row r="57">
      <x:c r="A57" s="155" t="n">
        <x:v>45341</x:v>
      </x:c>
      <x:c r="B57" s="141" t="str">
        <x:v>Au99.99</x:v>
      </x:c>
      <x:c r="C57" s="153" t="n">
        <x:v>478.1</x:v>
      </x:c>
      <x:c r="D57" s="153" t="n">
        <x:v>481.9</x:v>
      </x:c>
      <x:c r="E57" s="153" t="n">
        <x:v>477.5</x:v>
      </x:c>
      <x:c r="F57" s="153" t="n">
        <x:v>479.52</x:v>
      </x:c>
      <x:c r="G57" s="153" t="n">
        <x:v>-0.47</x:v>
      </x:c>
      <x:c r="H57" s="154" t="n">
        <x:v>-0.001</x:v>
      </x:c>
      <x:c r="I57" s="158" t="n">
        <x:v>479.37</x:v>
      </x:c>
      <x:c r="J57" s="158" t="n">
        <x:v>31702.54</x:v>
      </x:c>
      <x:c r="K57" s="158" t="n">
        <x:v>15197311957.2</x:v>
      </x:c>
      <x:c r="L57" s="158"/>
      <x:c r="M57" s="141" t="str">
        <x:v>https://www.sge.com.cn/sjzx/quotation_daily_new?start_date=2024-02-01&amp;end_date=2024-02-29&amp;inst_ids=Au99.99&amp;p=</x:v>
      </x:c>
    </x:row>
    <x:row r="58">
      <x:c r="A58" s="155" t="n">
        <x:v>45342</x:v>
      </x:c>
      <x:c r="B58" s="141" t="str">
        <x:v>Ag(T+D)</x:v>
      </x:c>
      <x:c r="C58" s="153" t="n">
        <x:v>5955</x:v>
      </x:c>
      <x:c r="D58" s="153" t="n">
        <x:v>5957</x:v>
      </x:c>
      <x:c r="E58" s="153" t="n">
        <x:v>5920</x:v>
      </x:c>
      <x:c r="F58" s="153" t="n">
        <x:v>5936</x:v>
      </x:c>
      <x:c r="G58" s="153" t="n">
        <x:v>-25</x:v>
      </x:c>
      <x:c r="H58" s="154" t="n">
        <x:v>-0.0042</x:v>
      </x:c>
      <x:c r="I58" s="158" t="n">
        <x:v>5938</x:v>
      </x:c>
      <x:c r="J58" s="158" t="n">
        <x:v>229436</x:v>
      </x:c>
      <x:c r="K58" s="158" t="n">
        <x:v>1362618098</x:v>
      </x:c>
      <x:c r="L58" s="158" t="n">
        <x:v>4742580</x:v>
      </x:c>
      <x:c r="M58" s="141" t="str">
        <x:v>https://www.sge.com.cn/sjzx/quotation_daily_new?start_date=2024-02-01&amp;end_date=2024-02-29&amp;inst_ids=Ag%28T%2BD%29&amp;p=</x:v>
      </x:c>
    </x:row>
    <x:row r="59">
      <x:c r="A59" s="155" t="n">
        <x:v>45342</x:v>
      </x:c>
      <x:c r="B59" s="141" t="str">
        <x:v>Au99.99</x:v>
      </x:c>
      <x:c r="C59" s="153" t="n">
        <x:v>479.52</x:v>
      </x:c>
      <x:c r="D59" s="153" t="n">
        <x:v>480.3</x:v>
      </x:c>
      <x:c r="E59" s="153" t="n">
        <x:v>479.08</x:v>
      </x:c>
      <x:c r="F59" s="153" t="n">
        <x:v>479.66</x:v>
      </x:c>
      <x:c r="G59" s="153" t="n">
        <x:v>0.14</x:v>
      </x:c>
      <x:c r="H59" s="154" t="n">
        <x:v>0.0003</x:v>
      </x:c>
      <x:c r="I59" s="158" t="n">
        <x:v>479.67</x:v>
      </x:c>
      <x:c r="J59" s="158" t="n">
        <x:v>25552.06</x:v>
      </x:c>
      <x:c r="K59" s="158" t="n">
        <x:v>12256712617.8</x:v>
      </x:c>
      <x:c r="L59" s="158"/>
      <x:c r="M59" s="141" t="str">
        <x:v>https://www.sge.com.cn/sjzx/quotation_daily_new?start_date=2024-02-01&amp;end_date=2024-02-29&amp;inst_ids=Au99.99&amp;p=</x:v>
      </x:c>
    </x:row>
    <x:row r="60">
      <x:c r="A60" s="155" t="n">
        <x:v>45343</x:v>
      </x:c>
      <x:c r="B60" s="141" t="str">
        <x:v>Ag(T+D)</x:v>
      </x:c>
      <x:c r="C60" s="153" t="n">
        <x:v>5949</x:v>
      </x:c>
      <x:c r="D60" s="153" t="n">
        <x:v>5966</x:v>
      </x:c>
      <x:c r="E60" s="153" t="n">
        <x:v>5942</x:v>
      </x:c>
      <x:c r="F60" s="153" t="n">
        <x:v>5956</x:v>
      </x:c>
      <x:c r="G60" s="153" t="n">
        <x:v>18</x:v>
      </x:c>
      <x:c r="H60" s="154" t="n">
        <x:v>0.003</x:v>
      </x:c>
      <x:c r="I60" s="158" t="n">
        <x:v>5955</x:v>
      </x:c>
      <x:c r="J60" s="158" t="n">
        <x:v>387598</x:v>
      </x:c>
      <x:c r="K60" s="158" t="n">
        <x:v>2308354248</x:v>
      </x:c>
      <x:c r="L60" s="158" t="n">
        <x:v>4858062</x:v>
      </x:c>
      <x:c r="M60" s="141" t="str">
        <x:v>https://www.sge.com.cn/sjzx/quotation_daily_new?start_date=2024-02-01&amp;end_date=2024-02-29&amp;inst_ids=Ag%28T%2BD%29&amp;p=</x:v>
      </x:c>
    </x:row>
    <x:row r="61">
      <x:c r="A61" s="155" t="n">
        <x:v>45343</x:v>
      </x:c>
      <x:c r="B61" s="141" t="str">
        <x:v>Au99.99</x:v>
      </x:c>
      <x:c r="C61" s="153" t="n">
        <x:v>480.95</x:v>
      </x:c>
      <x:c r="D61" s="153" t="n">
        <x:v>480.95</x:v>
      </x:c>
      <x:c r="E61" s="153" t="n">
        <x:v>479.31</x:v>
      </x:c>
      <x:c r="F61" s="153" t="n">
        <x:v>479.57</x:v>
      </x:c>
      <x:c r="G61" s="153" t="n">
        <x:v>-0.09</x:v>
      </x:c>
      <x:c r="H61" s="154" t="n">
        <x:v>-0.0002</x:v>
      </x:c>
      <x:c r="I61" s="158" t="n">
        <x:v>480.07</x:v>
      </x:c>
      <x:c r="J61" s="158" t="n">
        <x:v>13918.46</x:v>
      </x:c>
      <x:c r="K61" s="158" t="n">
        <x:v>6681917734.8</x:v>
      </x:c>
      <x:c r="L61" s="158"/>
      <x:c r="M61" s="141" t="str">
        <x:v>https://www.sge.com.cn/sjzx/quotation_daily_new?start_date=2024-02-01&amp;end_date=2024-02-29&amp;inst_ids=Au99.99&amp;p=</x:v>
      </x:c>
    </x:row>
    <x:row r="62">
      <x:c r="A62" s="155" t="n">
        <x:v>45344</x:v>
      </x:c>
      <x:c r="B62" s="141" t="str">
        <x:v>Ag(T+D)</x:v>
      </x:c>
      <x:c r="C62" s="153" t="n">
        <x:v>5956</x:v>
      </x:c>
      <x:c r="D62" s="153" t="n">
        <x:v>5959</x:v>
      </x:c>
      <x:c r="E62" s="153" t="n">
        <x:v>5913</x:v>
      </x:c>
      <x:c r="F62" s="153" t="n">
        <x:v>5930</x:v>
      </x:c>
      <x:c r="G62" s="153" t="n">
        <x:v>-25</x:v>
      </x:c>
      <x:c r="H62" s="154" t="n">
        <x:v>-0.0042</x:v>
      </x:c>
      <x:c r="I62" s="158" t="n">
        <x:v>5934</x:v>
      </x:c>
      <x:c r="J62" s="158" t="n">
        <x:v>428864</x:v>
      </x:c>
      <x:c r="K62" s="158" t="n">
        <x:v>2544880390</x:v>
      </x:c>
      <x:c r="L62" s="158" t="n">
        <x:v>5049292</x:v>
      </x:c>
      <x:c r="M62" s="141" t="str">
        <x:v>https://www.sge.com.cn/sjzx/quotation_daily_new?start_date=2024-02-01&amp;end_date=2024-02-29&amp;inst_ids=Ag%28T%2BD%29&amp;p=</x:v>
      </x:c>
    </x:row>
    <x:row r="63">
      <x:c r="A63" s="155" t="n">
        <x:v>45344</x:v>
      </x:c>
      <x:c r="B63" s="141" t="str">
        <x:v>Au99.99</x:v>
      </x:c>
      <x:c r="C63" s="153" t="n">
        <x:v>479.21</x:v>
      </x:c>
      <x:c r="D63" s="153" t="n">
        <x:v>480.4</x:v>
      </x:c>
      <x:c r="E63" s="153" t="n">
        <x:v>478.4</x:v>
      </x:c>
      <x:c r="F63" s="153" t="n">
        <x:v>479.32</x:v>
      </x:c>
      <x:c r="G63" s="153" t="n">
        <x:v>-0.25</x:v>
      </x:c>
      <x:c r="H63" s="154" t="n">
        <x:v>-0.0005</x:v>
      </x:c>
      <x:c r="I63" s="158" t="n">
        <x:v>479.21</x:v>
      </x:c>
      <x:c r="J63" s="158" t="n">
        <x:v>17491.5</x:v>
      </x:c>
      <x:c r="K63" s="158" t="n">
        <x:v>8382228438.2</x:v>
      </x:c>
      <x:c r="L63" s="158"/>
      <x:c r="M63" s="141" t="str">
        <x:v>https://www.sge.com.cn/sjzx/quotation_daily_new?start_date=2024-02-01&amp;end_date=2024-02-29&amp;inst_ids=Au99.99&amp;p=</x:v>
      </x:c>
    </x:row>
    <x:row r="64">
      <x:c r="A64" s="155" t="n">
        <x:v>45345</x:v>
      </x:c>
      <x:c r="B64" s="141" t="str">
        <x:v>Ag(T+D)</x:v>
      </x:c>
      <x:c r="C64" s="153" t="n">
        <x:v>5938</x:v>
      </x:c>
      <x:c r="D64" s="153" t="n">
        <x:v>5940</x:v>
      </x:c>
      <x:c r="E64" s="153" t="n">
        <x:v>5866</x:v>
      </x:c>
      <x:c r="F64" s="153" t="n">
        <x:v>5880</x:v>
      </x:c>
      <x:c r="G64" s="153" t="n">
        <x:v>-54</x:v>
      </x:c>
      <x:c r="H64" s="154" t="n">
        <x:v>-0.0091</x:v>
      </x:c>
      <x:c r="I64" s="158" t="n">
        <x:v>5899</x:v>
      </x:c>
      <x:c r="J64" s="158" t="n">
        <x:v>690646</x:v>
      </x:c>
      <x:c r="K64" s="158" t="n">
        <x:v>4074357510</x:v>
      </x:c>
      <x:c r="L64" s="158" t="n">
        <x:v>5051990</x:v>
      </x:c>
      <x:c r="M64" s="141" t="str">
        <x:v>https://www.sge.com.cn/sjzx/quotation_daily_new?start_date=2024-02-01&amp;end_date=2024-02-29&amp;inst_ids=Ag%28T%2BD%29&amp;p=</x:v>
      </x:c>
    </x:row>
    <x:row r="65">
      <x:c r="A65" s="155" t="n">
        <x:v>45345</x:v>
      </x:c>
      <x:c r="B65" s="141" t="str">
        <x:v>Au99.99</x:v>
      </x:c>
      <x:c r="C65" s="153" t="n">
        <x:v>479.21</x:v>
      </x:c>
      <x:c r="D65" s="153" t="n">
        <x:v>480</x:v>
      </x:c>
      <x:c r="E65" s="153" t="n">
        <x:v>477.65</x:v>
      </x:c>
      <x:c r="F65" s="153" t="n">
        <x:v>477.81</x:v>
      </x:c>
      <x:c r="G65" s="153" t="n">
        <x:v>-1.51</x:v>
      </x:c>
      <x:c r="H65" s="154" t="n">
        <x:v>-0.0032</x:v>
      </x:c>
      <x:c r="I65" s="158" t="n">
        <x:v>478.61</x:v>
      </x:c>
      <x:c r="J65" s="158" t="n">
        <x:v>16090.64</x:v>
      </x:c>
      <x:c r="K65" s="158" t="n">
        <x:v>7701207890.6</x:v>
      </x:c>
      <x:c r="L65" s="158"/>
      <x:c r="M65" s="141" t="str">
        <x:v>https://www.sge.com.cn/sjzx/quotation_daily_new?start_date=2024-02-01&amp;end_date=2024-02-29&amp;inst_ids=Au99.99&amp;p=</x:v>
      </x:c>
    </x:row>
    <x:row r="66">
      <x:c r="A66" s="155" t="n">
        <x:v>45348</x:v>
      </x:c>
      <x:c r="B66" s="141" t="str">
        <x:v>Ag(T+D)</x:v>
      </x:c>
      <x:c r="C66" s="153" t="n">
        <x:v>5888</x:v>
      </x:c>
      <x:c r="D66" s="153" t="n">
        <x:v>5928</x:v>
      </x:c>
      <x:c r="E66" s="153" t="n">
        <x:v>5875</x:v>
      </x:c>
      <x:c r="F66" s="153" t="n">
        <x:v>5901</x:v>
      </x:c>
      <x:c r="G66" s="153" t="n">
        <x:v>2</x:v>
      </x:c>
      <x:c r="H66" s="154" t="n">
        <x:v>0.0003</x:v>
      </x:c>
      <x:c r="I66" s="158" t="n">
        <x:v>5902</x:v>
      </x:c>
      <x:c r="J66" s="158" t="n">
        <x:v>430230</x:v>
      </x:c>
      <x:c r="K66" s="158" t="n">
        <x:v>2539390502</x:v>
      </x:c>
      <x:c r="L66" s="158" t="n">
        <x:v>5061424</x:v>
      </x:c>
      <x:c r="M66" s="141" t="str">
        <x:v>https://www.sge.com.cn/sjzx/quotation_daily_new?start_date=2024-02-01&amp;end_date=2024-02-29&amp;inst_ids=Ag%28T%2BD%29&amp;p=</x:v>
      </x:c>
    </x:row>
    <x:row r="67">
      <x:c r="A67" s="155" t="n">
        <x:v>45348</x:v>
      </x:c>
      <x:c r="B67" s="141" t="str">
        <x:v>Au99.99</x:v>
      </x:c>
      <x:c r="C67" s="153" t="n">
        <x:v>478.8</x:v>
      </x:c>
      <x:c r="D67" s="153" t="n">
        <x:v>481</x:v>
      </x:c>
      <x:c r="E67" s="153" t="n">
        <x:v>478.8</x:v>
      </x:c>
      <x:c r="F67" s="153" t="n">
        <x:v>480.57</x:v>
      </x:c>
      <x:c r="G67" s="153" t="n">
        <x:v>2.76</x:v>
      </x:c>
      <x:c r="H67" s="154" t="n">
        <x:v>0.0058</x:v>
      </x:c>
      <x:c r="I67" s="158" t="n">
        <x:v>480.65</x:v>
      </x:c>
      <x:c r="J67" s="158" t="n">
        <x:v>11465.5</x:v>
      </x:c>
      <x:c r="K67" s="158" t="n">
        <x:v>5510983991.8</x:v>
      </x:c>
      <x:c r="L67" s="158"/>
      <x:c r="M67" s="141" t="str">
        <x:v>https://www.sge.com.cn/sjzx/quotation_daily_new?start_date=2024-02-01&amp;end_date=2024-02-29&amp;inst_ids=Au99.99&amp;p=</x:v>
      </x:c>
    </x:row>
    <x:row r="68">
      <x:c r="A68" s="155" t="n">
        <x:v>45349</x:v>
      </x:c>
      <x:c r="B68" s="141" t="str">
        <x:v>Ag(T+D)</x:v>
      </x:c>
      <x:c r="C68" s="153" t="n">
        <x:v>5860</x:v>
      </x:c>
      <x:c r="D68" s="153" t="n">
        <x:v>5883</x:v>
      </x:c>
      <x:c r="E68" s="153" t="n">
        <x:v>5840</x:v>
      </x:c>
      <x:c r="F68" s="153" t="n">
        <x:v>5879</x:v>
      </x:c>
      <x:c r="G68" s="153" t="n">
        <x:v>-23</x:v>
      </x:c>
      <x:c r="H68" s="154" t="n">
        <x:v>-0.0039000000000000003</x:v>
      </x:c>
      <x:c r="I68" s="158" t="n">
        <x:v>5867</x:v>
      </x:c>
      <x:c r="J68" s="158" t="n">
        <x:v>474368</x:v>
      </x:c>
      <x:c r="K68" s="158" t="n">
        <x:v>2783386186</x:v>
      </x:c>
      <x:c r="L68" s="158" t="n">
        <x:v>5182764</x:v>
      </x:c>
      <x:c r="M68" s="141" t="str">
        <x:v>https://www.sge.com.cn/sjzx/quotation_daily_new?start_date=2024-02-01&amp;end_date=2024-02-29&amp;inst_ids=Ag%28T%2BD%29&amp;p=</x:v>
      </x:c>
    </x:row>
    <x:row r="69">
      <x:c r="A69" s="155" t="n">
        <x:v>45349</x:v>
      </x:c>
      <x:c r="B69" s="141" t="str">
        <x:v>Au99.99</x:v>
      </x:c>
      <x:c r="C69" s="153" t="n">
        <x:v>480.79</x:v>
      </x:c>
      <x:c r="D69" s="153" t="n">
        <x:v>481.3</x:v>
      </x:c>
      <x:c r="E69" s="153" t="n">
        <x:v>479.58</x:v>
      </x:c>
      <x:c r="F69" s="153" t="n">
        <x:v>481.3</x:v>
      </x:c>
      <x:c r="G69" s="153" t="n">
        <x:v>0.73</x:v>
      </x:c>
      <x:c r="H69" s="154" t="n">
        <x:v>0.0015</x:v>
      </x:c>
      <x:c r="I69" s="158" t="n">
        <x:v>480.7</x:v>
      </x:c>
      <x:c r="J69" s="158" t="n">
        <x:v>7588.14</x:v>
      </x:c>
      <x:c r="K69" s="158" t="n">
        <x:v>3647673330.6</x:v>
      </x:c>
      <x:c r="L69" s="158"/>
      <x:c r="M69" s="141" t="str">
        <x:v>https://www.sge.com.cn/sjzx/quotation_daily_new?start_date=2024-02-01&amp;end_date=2024-02-29&amp;inst_ids=Au99.99&amp;p=</x:v>
      </x:c>
    </x:row>
    <x:row r="70">
      <x:c r="A70" s="155" t="n">
        <x:v>45350</x:v>
      </x:c>
      <x:c r="B70" s="141" t="str">
        <x:v>Ag(T+D)</x:v>
      </x:c>
      <x:c r="C70" s="153" t="n">
        <x:v>5888</x:v>
      </x:c>
      <x:c r="D70" s="153" t="n">
        <x:v>5894</x:v>
      </x:c>
      <x:c r="E70" s="153" t="n">
        <x:v>5848</x:v>
      </x:c>
      <x:c r="F70" s="153" t="n">
        <x:v>5848</x:v>
      </x:c>
      <x:c r="G70" s="153" t="n">
        <x:v>-19</x:v>
      </x:c>
      <x:c r="H70" s="154" t="n">
        <x:v>-0.0032</x:v>
      </x:c>
      <x:c r="I70" s="158" t="n">
        <x:v>5866</x:v>
      </x:c>
      <x:c r="J70" s="158" t="n">
        <x:v>475540</x:v>
      </x:c>
      <x:c r="K70" s="158" t="n">
        <x:v>2789721152</x:v>
      </x:c>
      <x:c r="L70" s="158" t="n">
        <x:v>5216772</x:v>
      </x:c>
      <x:c r="M70" s="141" t="str">
        <x:v>https://www.sge.com.cn/sjzx/quotation_daily_new?start_date=2024-02-01&amp;end_date=2024-02-29&amp;inst_ids=Ag%28T%2BD%29&amp;p=</x:v>
      </x:c>
    </x:row>
    <x:row r="71">
      <x:c r="A71" s="155" t="n">
        <x:v>45350</x:v>
      </x:c>
      <x:c r="B71" s="141" t="str">
        <x:v>Au99.99</x:v>
      </x:c>
      <x:c r="C71" s="153" t="n">
        <x:v>481.3</x:v>
      </x:c>
      <x:c r="D71" s="153" t="n">
        <x:v>481.97</x:v>
      </x:c>
      <x:c r="E71" s="153" t="n">
        <x:v>480.05</x:v>
      </x:c>
      <x:c r="F71" s="153" t="n">
        <x:v>480.1</x:v>
      </x:c>
      <x:c r="G71" s="153" t="n">
        <x:v>-1.2</x:v>
      </x:c>
      <x:c r="H71" s="154" t="n">
        <x:v>-0.0025</x:v>
      </x:c>
      <x:c r="I71" s="158" t="n">
        <x:v>480.56</x:v>
      </x:c>
      <x:c r="J71" s="158" t="n">
        <x:v>8592.14</x:v>
      </x:c>
      <x:c r="K71" s="158" t="n">
        <x:v>4129104864.2</x:v>
      </x:c>
      <x:c r="L71" s="158"/>
      <x:c r="M71" s="141" t="str">
        <x:v>https://www.sge.com.cn/sjzx/quotation_daily_new?start_date=2024-02-01&amp;end_date=2024-02-29&amp;inst_ids=Au99.99&amp;p=</x:v>
      </x:c>
    </x:row>
    <x:row r="72">
      <x:c r="A72" s="155" t="n">
        <x:v>45351</x:v>
      </x:c>
      <x:c r="B72" s="141" t="str">
        <x:v>Ag(T+D)</x:v>
      </x:c>
      <x:c r="C72" s="153" t="n">
        <x:v>5828</x:v>
      </x:c>
      <x:c r="D72" s="153" t="n">
        <x:v>5880</x:v>
      </x:c>
      <x:c r="E72" s="153" t="n">
        <x:v>5828</x:v>
      </x:c>
      <x:c r="F72" s="153" t="n">
        <x:v>5871</x:v>
      </x:c>
      <x:c r="G72" s="153" t="n">
        <x:v>5</x:v>
      </x:c>
      <x:c r="H72" s="154" t="n">
        <x:v>0.0009</x:v>
      </x:c>
      <x:c r="I72" s="158" t="n">
        <x:v>5864</x:v>
      </x:c>
      <x:c r="J72" s="158" t="n">
        <x:v>304532</x:v>
      </x:c>
      <x:c r="K72" s="158" t="n">
        <x:v>1786077078</x:v>
      </x:c>
      <x:c r="L72" s="158" t="n">
        <x:v>5285942</x:v>
      </x:c>
      <x:c r="M72" s="141" t="str">
        <x:v>https://www.sge.com.cn/sjzx/quotation_daily_new?start_date=2024-02-01&amp;end_date=2024-02-29&amp;inst_ids=Ag%28T%2BD%29&amp;p=</x:v>
      </x:c>
    </x:row>
    <x:row r="73">
      <x:c r="A73" s="155" t="n">
        <x:v>45351</x:v>
      </x:c>
      <x:c r="B73" s="141" t="str">
        <x:v>Au99.99</x:v>
      </x:c>
      <x:c r="C73" s="153" t="n">
        <x:v>479.6</x:v>
      </x:c>
      <x:c r="D73" s="153" t="n">
        <x:v>481.5</x:v>
      </x:c>
      <x:c r="E73" s="153" t="n">
        <x:v>479.6</x:v>
      </x:c>
      <x:c r="F73" s="153" t="n">
        <x:v>480.96</x:v>
      </x:c>
      <x:c r="G73" s="153" t="n">
        <x:v>0.86</x:v>
      </x:c>
      <x:c r="H73" s="154" t="n">
        <x:v>0.0018</x:v>
      </x:c>
      <x:c r="I73" s="158" t="n">
        <x:v>480.91</x:v>
      </x:c>
      <x:c r="J73" s="158" t="n">
        <x:v>6880.04</x:v>
      </x:c>
      <x:c r="K73" s="158" t="n">
        <x:v>3308708679.8</x:v>
      </x:c>
      <x:c r="L73" s="158"/>
      <x:c r="M73" s="141" t="str">
        <x:v>https://www.sge.com.cn/sjzx/quotation_daily_new?start_date=2024-02-01&amp;end_date=2024-02-29&amp;inst_ids=Au99.99&amp;p=</x:v>
      </x:c>
    </x:row>
    <x:row r="74">
      <x:c r="A74" s="155" t="n">
        <x:v>45355</x:v>
      </x:c>
      <x:c r="B74" s="141" t="str">
        <x:v>Ag(T+D)</x:v>
      </x:c>
      <x:c r="C74" s="153" t="n">
        <x:v>5900</x:v>
      </x:c>
      <x:c r="D74" s="153" t="n">
        <x:v>5993</x:v>
      </x:c>
      <x:c r="E74" s="153" t="n">
        <x:v>5889</x:v>
      </x:c>
      <x:c r="F74" s="153" t="n">
        <x:v>5979</x:v>
      </x:c>
      <x:c r="G74" s="153" t="n">
        <x:v>84</x:v>
      </x:c>
      <x:c r="H74" s="154" t="n">
        <x:v>0.014199999999999999</x:v>
      </x:c>
      <x:c r="I74" s="158" t="n">
        <x:v>5962</x:v>
      </x:c>
      <x:c r="J74" s="158" t="n">
        <x:v>484270</x:v>
      </x:c>
      <x:c r="K74" s="158" t="n">
        <x:v>2887587646</x:v>
      </x:c>
      <x:c r="L74" s="158" t="n">
        <x:v>5327452</x:v>
      </x:c>
      <x:c r="M74" s="141" t="str">
        <x:v>https://www.sge.com.cn/sjzx/quotation_daily_new?start_date=2024-03-01&amp;end_date=2024-03-31&amp;inst_ids=Ag%28T%2BD%29&amp;p=</x:v>
      </x:c>
    </x:row>
    <x:row r="75">
      <x:c r="A75" s="155" t="n">
        <x:v>45355</x:v>
      </x:c>
      <x:c r="B75" s="141" t="str">
        <x:v>Au99.99</x:v>
      </x:c>
      <x:c r="C75" s="153" t="n">
        <x:v>482.88</x:v>
      </x:c>
      <x:c r="D75" s="153" t="n">
        <x:v>490</x:v>
      </x:c>
      <x:c r="E75" s="153" t="n">
        <x:v>482.88</x:v>
      </x:c>
      <x:c r="F75" s="153" t="n">
        <x:v>489</x:v>
      </x:c>
      <x:c r="G75" s="153" t="n">
        <x:v>5.6</x:v>
      </x:c>
      <x:c r="H75" s="154" t="n">
        <x:v>0.0116</x:v>
      </x:c>
      <x:c r="I75" s="158" t="n">
        <x:v>489.43</x:v>
      </x:c>
      <x:c r="J75" s="158" t="n">
        <x:v>9286.32</x:v>
      </x:c>
      <x:c r="K75" s="158" t="n">
        <x:v>4545052767.6</x:v>
      </x:c>
      <x:c r="L75" s="158"/>
      <x:c r="M75" s="141" t="str">
        <x:v>https://www.sge.com.cn/sjzx/quotation_daily_new?start_date=2024-03-01&amp;end_date=2024-03-31&amp;inst_ids=Au99.99&amp;p=</x:v>
      </x:c>
    </x:row>
    <x:row r="76">
      <x:c r="A76" s="155" t="n">
        <x:v>45356</x:v>
      </x:c>
      <x:c r="B76" s="141" t="str">
        <x:v>Ag(T+D)</x:v>
      </x:c>
      <x:c r="C76" s="153" t="n">
        <x:v>5982</x:v>
      </x:c>
      <x:c r="D76" s="153" t="n">
        <x:v>6118</x:v>
      </x:c>
      <x:c r="E76" s="153" t="n">
        <x:v>5980</x:v>
      </x:c>
      <x:c r="F76" s="153" t="n">
        <x:v>6102</x:v>
      </x:c>
      <x:c r="G76" s="153" t="n">
        <x:v>140</x:v>
      </x:c>
      <x:c r="H76" s="154" t="n">
        <x:v>0.0235</x:v>
      </x:c>
      <x:c r="I76" s="158" t="n">
        <x:v>6080</x:v>
      </x:c>
      <x:c r="J76" s="158" t="n">
        <x:v>1002610</x:v>
      </x:c>
      <x:c r="K76" s="158" t="n">
        <x:v>6096788342</x:v>
      </x:c>
      <x:c r="L76" s="158" t="n">
        <x:v>5444160</x:v>
      </x:c>
      <x:c r="M76" s="141" t="str">
        <x:v>https://www.sge.com.cn/sjzx/quotation_daily_new?start_date=2024-03-01&amp;end_date=2024-03-31&amp;inst_ids=Ag%28T%2BD%29&amp;p=</x:v>
      </x:c>
    </x:row>
    <x:row r="77">
      <x:c r="A77" s="155" t="n">
        <x:v>45356</x:v>
      </x:c>
      <x:c r="B77" s="141" t="str">
        <x:v>Au99.99</x:v>
      </x:c>
      <x:c r="C77" s="153" t="n">
        <x:v>489.43</x:v>
      </x:c>
      <x:c r="D77" s="153" t="n">
        <x:v>496.6</x:v>
      </x:c>
      <x:c r="E77" s="153" t="n">
        <x:v>489</x:v>
      </x:c>
      <x:c r="F77" s="153" t="n">
        <x:v>496.52</x:v>
      </x:c>
      <x:c r="G77" s="153" t="n">
        <x:v>7.52</x:v>
      </x:c>
      <x:c r="H77" s="154" t="n">
        <x:v>0.0154</x:v>
      </x:c>
      <x:c r="I77" s="158" t="n">
        <x:v>495.32</x:v>
      </x:c>
      <x:c r="J77" s="158" t="n">
        <x:v>10983.64</x:v>
      </x:c>
      <x:c r="K77" s="158" t="n">
        <x:v>5440499596.8</x:v>
      </x:c>
      <x:c r="L77" s="158"/>
      <x:c r="M77" s="141" t="str">
        <x:v>https://www.sge.com.cn/sjzx/quotation_daily_new?start_date=2024-03-01&amp;end_date=2024-03-31&amp;inst_ids=Au99.99&amp;p=</x:v>
      </x:c>
    </x:row>
    <x:row r="78">
      <x:c r="A78" s="155" t="n">
        <x:v>45357</x:v>
      </x:c>
      <x:c r="B78" s="141" t="str">
        <x:v>Ag(T+D)</x:v>
      </x:c>
      <x:c r="C78" s="153" t="n">
        <x:v>6123</x:v>
      </x:c>
      <x:c r="D78" s="153" t="n">
        <x:v>6174</x:v>
      </x:c>
      <x:c r="E78" s="153" t="n">
        <x:v>6080</x:v>
      </x:c>
      <x:c r="F78" s="153" t="n">
        <x:v>6105</x:v>
      </x:c>
      <x:c r="G78" s="153" t="n">
        <x:v>25</x:v>
      </x:c>
      <x:c r="H78" s="154" t="n">
        <x:v>0.0040999999999999995</x:v>
      </x:c>
      <x:c r="I78" s="158" t="n">
        <x:v>6107</x:v>
      </x:c>
      <x:c r="J78" s="158" t="n">
        <x:v>583774</x:v>
      </x:c>
      <x:c r="K78" s="158" t="n">
        <x:v>3565615348</x:v>
      </x:c>
      <x:c r="L78" s="158" t="n">
        <x:v>5530338</x:v>
      </x:c>
      <x:c r="M78" s="141" t="str">
        <x:v>https://www.sge.com.cn/sjzx/quotation_daily_new?start_date=2024-03-01&amp;end_date=2024-03-31&amp;inst_ids=Ag%28T%2BD%29&amp;p=</x:v>
      </x:c>
    </x:row>
    <x:row r="79">
      <x:c r="A79" s="155" t="n">
        <x:v>45357</x:v>
      </x:c>
      <x:c r="B79" s="141" t="str">
        <x:v>Au99.99</x:v>
      </x:c>
      <x:c r="C79" s="153" t="n">
        <x:v>498.09</x:v>
      </x:c>
      <x:c r="D79" s="153" t="n">
        <x:v>503.99</x:v>
      </x:c>
      <x:c r="E79" s="153" t="n">
        <x:v>497.5</x:v>
      </x:c>
      <x:c r="F79" s="153" t="n">
        <x:v>499.76</x:v>
      </x:c>
      <x:c r="G79" s="153" t="n">
        <x:v>3.24</x:v>
      </x:c>
      <x:c r="H79" s="154" t="n">
        <x:v>0.006500000000000001</x:v>
      </x:c>
      <x:c r="I79" s="158" t="n">
        <x:v>498.48</x:v>
      </x:c>
      <x:c r="J79" s="158" t="n">
        <x:v>11147.76</x:v>
      </x:c>
      <x:c r="K79" s="158" t="n">
        <x:v>5557028826</x:v>
      </x:c>
      <x:c r="L79" s="158"/>
      <x:c r="M79" s="141" t="str">
        <x:v>https://www.sge.com.cn/sjzx/quotation_daily_new?start_date=2024-03-01&amp;end_date=2024-03-31&amp;inst_ids=Au99.99&amp;p=</x:v>
      </x:c>
    </x:row>
    <x:row r="80">
      <x:c r="A80" s="155" t="n">
        <x:v>45358</x:v>
      </x:c>
      <x:c r="B80" s="141" t="str">
        <x:v>Ag(T+D)</x:v>
      </x:c>
      <x:c r="C80" s="153" t="n">
        <x:v>6113</x:v>
      </x:c>
      <x:c r="D80" s="153" t="n">
        <x:v>6182</x:v>
      </x:c>
      <x:c r="E80" s="153" t="n">
        <x:v>6102</x:v>
      </x:c>
      <x:c r="F80" s="153" t="n">
        <x:v>6136</x:v>
      </x:c>
      <x:c r="G80" s="153" t="n">
        <x:v>29</x:v>
      </x:c>
      <x:c r="H80" s="154" t="n">
        <x:v>0.004699999999999999</x:v>
      </x:c>
      <x:c r="I80" s="158" t="n">
        <x:v>6145</x:v>
      </x:c>
      <x:c r="J80" s="158" t="n">
        <x:v>631014</x:v>
      </x:c>
      <x:c r="K80" s="158" t="n">
        <x:v>3877771542</x:v>
      </x:c>
      <x:c r="L80" s="158" t="n">
        <x:v>5563040</x:v>
      </x:c>
      <x:c r="M80" s="141" t="str">
        <x:v>https://www.sge.com.cn/sjzx/quotation_daily_new?start_date=2024-03-01&amp;end_date=2024-03-31&amp;inst_ids=Ag%28T%2BD%29&amp;p=</x:v>
      </x:c>
    </x:row>
    <x:row r="81">
      <x:c r="A81" s="155" t="n">
        <x:v>45358</x:v>
      </x:c>
      <x:c r="B81" s="141" t="str">
        <x:v>Au99.99</x:v>
      </x:c>
      <x:c r="C81" s="153" t="n">
        <x:v>499.5</x:v>
      </x:c>
      <x:c r="D81" s="153" t="n">
        <x:v>506</x:v>
      </x:c>
      <x:c r="E81" s="153" t="n">
        <x:v>499.5</x:v>
      </x:c>
      <x:c r="F81" s="153" t="n">
        <x:v>505.1</x:v>
      </x:c>
      <x:c r="G81" s="153" t="n">
        <x:v>5.34</x:v>
      </x:c>
      <x:c r="H81" s="154" t="n">
        <x:v>0.010700000000000001</x:v>
      </x:c>
      <x:c r="I81" s="158" t="n">
        <x:v>504.28</x:v>
      </x:c>
      <x:c r="J81" s="158" t="n">
        <x:v>10666.76</x:v>
      </x:c>
      <x:c r="K81" s="158" t="n">
        <x:v>5379132322.2</x:v>
      </x:c>
      <x:c r="L81" s="158"/>
      <x:c r="M81" s="141" t="str">
        <x:v>https://www.sge.com.cn/sjzx/quotation_daily_new?start_date=2024-03-01&amp;end_date=2024-03-31&amp;inst_ids=Au99.99&amp;p=</x:v>
      </x:c>
    </x:row>
    <x:row r="82">
      <x:c r="A82" s="155" t="n">
        <x:v>45359</x:v>
      </x:c>
      <x:c r="B82" s="141" t="str">
        <x:v>Ag(T+D)</x:v>
      </x:c>
      <x:c r="C82" s="153" t="n">
        <x:v>6144</x:v>
      </x:c>
      <x:c r="D82" s="153" t="n">
        <x:v>6173</x:v>
      </x:c>
      <x:c r="E82" s="153" t="n">
        <x:v>6127</x:v>
      </x:c>
      <x:c r="F82" s="153" t="n">
        <x:v>6166</x:v>
      </x:c>
      <x:c r="G82" s="153" t="n">
        <x:v>21</x:v>
      </x:c>
      <x:c r="H82" s="154" t="n">
        <x:v>0.0034000000000000002</x:v>
      </x:c>
      <x:c r="I82" s="158" t="n">
        <x:v>6151</x:v>
      </x:c>
      <x:c r="J82" s="158" t="n">
        <x:v>613142</x:v>
      </x:c>
      <x:c r="K82" s="158" t="n">
        <x:v>3772000736</x:v>
      </x:c>
      <x:c r="L82" s="158" t="n">
        <x:v>5495092</x:v>
      </x:c>
      <x:c r="M82" s="141" t="str">
        <x:v>https://www.sge.com.cn/sjzx/quotation_daily_new?start_date=2024-03-01&amp;end_date=2024-03-31&amp;inst_ids=Ag%28T%2BD%29&amp;p=</x:v>
      </x:c>
    </x:row>
    <x:row r="83">
      <x:c r="A83" s="155" t="n">
        <x:v>45359</x:v>
      </x:c>
      <x:c r="B83" s="141" t="str">
        <x:v>Au99.99</x:v>
      </x:c>
      <x:c r="C83" s="153" t="n">
        <x:v>505.1</x:v>
      </x:c>
      <x:c r="D83" s="153" t="n">
        <x:v>505.99</x:v>
      </x:c>
      <x:c r="E83" s="153" t="n">
        <x:v>503</x:v>
      </x:c>
      <x:c r="F83" s="153" t="n">
        <x:v>505.84</x:v>
      </x:c>
      <x:c r="G83" s="153" t="n">
        <x:v>0.74</x:v>
      </x:c>
      <x:c r="H83" s="154" t="n">
        <x:v>0.0015</x:v>
      </x:c>
      <x:c r="I83" s="158" t="n">
        <x:v>504.79</x:v>
      </x:c>
      <x:c r="J83" s="158" t="n">
        <x:v>9342.46</x:v>
      </x:c>
      <x:c r="K83" s="158" t="n">
        <x:v>4716048804.4</x:v>
      </x:c>
      <x:c r="L83" s="158"/>
      <x:c r="M83" s="141" t="str">
        <x:v>https://www.sge.com.cn/sjzx/quotation_daily_new?start_date=2024-03-01&amp;end_date=2024-03-31&amp;inst_ids=Au99.99&amp;p=</x:v>
      </x:c>
    </x:row>
    <x:row r="84">
      <x:c r="A84" s="155" t="n">
        <x:v>45362</x:v>
      </x:c>
      <x:c r="B84" s="141" t="str">
        <x:v>Ag(T+D)</x:v>
      </x:c>
      <x:c r="C84" s="153" t="n">
        <x:v>6183</x:v>
      </x:c>
      <x:c r="D84" s="153" t="n">
        <x:v>6188</x:v>
      </x:c>
      <x:c r="E84" s="153" t="n">
        <x:v>6118</x:v>
      </x:c>
      <x:c r="F84" s="153" t="n">
        <x:v>6159</x:v>
      </x:c>
      <x:c r="G84" s="153" t="n">
        <x:v>8</x:v>
      </x:c>
      <x:c r="H84" s="154" t="n">
        <x:v>0.0013</x:v>
      </x:c>
      <x:c r="I84" s="158" t="n">
        <x:v>6155</x:v>
      </x:c>
      <x:c r="J84" s="158" t="n">
        <x:v>551720</x:v>
      </x:c>
      <x:c r="K84" s="158" t="n">
        <x:v>3396031502</x:v>
      </x:c>
      <x:c r="L84" s="158" t="n">
        <x:v>5566898</x:v>
      </x:c>
      <x:c r="M84" s="141" t="str">
        <x:v>https://www.sge.com.cn/sjzx/quotation_daily_new?start_date=2024-03-01&amp;end_date=2024-03-31&amp;inst_ids=Ag%28T%2BD%29&amp;p=</x:v>
      </x:c>
    </x:row>
    <x:row r="85">
      <x:c r="A85" s="155" t="n">
        <x:v>45362</x:v>
      </x:c>
      <x:c r="B85" s="141" t="str">
        <x:v>Au99.99</x:v>
      </x:c>
      <x:c r="C85" s="153" t="n">
        <x:v>507</x:v>
      </x:c>
      <x:c r="D85" s="153" t="n">
        <x:v>509.99</x:v>
      </x:c>
      <x:c r="E85" s="153" t="n">
        <x:v>505.1</x:v>
      </x:c>
      <x:c r="F85" s="153" t="n">
        <x:v>507.29</x:v>
      </x:c>
      <x:c r="G85" s="153" t="n">
        <x:v>1.45</x:v>
      </x:c>
      <x:c r="H85" s="154" t="n">
        <x:v>0.0029</x:v>
      </x:c>
      <x:c r="I85" s="158" t="n">
        <x:v>507.84</x:v>
      </x:c>
      <x:c r="J85" s="158" t="n">
        <x:v>11214.08</x:v>
      </x:c>
      <x:c r="K85" s="158" t="n">
        <x:v>5695050009.4</x:v>
      </x:c>
      <x:c r="L85" s="158"/>
      <x:c r="M85" s="141" t="str">
        <x:v>https://www.sge.com.cn/sjzx/quotation_daily_new?start_date=2024-03-01&amp;end_date=2024-03-31&amp;inst_ids=Au99.99&amp;p=</x:v>
      </x:c>
    </x:row>
    <x:row r="86">
      <x:c r="A86" s="155" t="n">
        <x:v>45363</x:v>
      </x:c>
      <x:c r="B86" s="141" t="str">
        <x:v>Ag(T+D)</x:v>
      </x:c>
      <x:c r="C86" s="153" t="n">
        <x:v>6154</x:v>
      </x:c>
      <x:c r="D86" s="153" t="n">
        <x:v>6180</x:v>
      </x:c>
      <x:c r="E86" s="153" t="n">
        <x:v>6147</x:v>
      </x:c>
      <x:c r="F86" s="153" t="n">
        <x:v>6160</x:v>
      </x:c>
      <x:c r="G86" s="153" t="n">
        <x:v>5</x:v>
      </x:c>
      <x:c r="H86" s="154" t="n">
        <x:v>0.0008</x:v>
      </x:c>
      <x:c r="I86" s="158" t="n">
        <x:v>6163</x:v>
      </x:c>
      <x:c r="J86" s="158" t="n">
        <x:v>377592</x:v>
      </x:c>
      <x:c r="K86" s="158" t="n">
        <x:v>2327289880</x:v>
      </x:c>
      <x:c r="L86" s="158" t="n">
        <x:v>5523532</x:v>
      </x:c>
      <x:c r="M86" s="141" t="str">
        <x:v>https://www.sge.com.cn/sjzx/quotation_daily_new?start_date=2024-03-01&amp;end_date=2024-03-31&amp;inst_ids=Ag%28T%2BD%29&amp;p=</x:v>
      </x:c>
    </x:row>
    <x:row r="87">
      <x:c r="A87" s="155" t="n">
        <x:v>45363</x:v>
      </x:c>
      <x:c r="B87" s="141" t="str">
        <x:v>Au99.99</x:v>
      </x:c>
      <x:c r="C87" s="153" t="n">
        <x:v>507.3</x:v>
      </x:c>
      <x:c r="D87" s="153" t="n">
        <x:v>507.9</x:v>
      </x:c>
      <x:c r="E87" s="153" t="n">
        <x:v>505.15</x:v>
      </x:c>
      <x:c r="F87" s="153" t="n">
        <x:v>505.24</x:v>
      </x:c>
      <x:c r="G87" s="153" t="n">
        <x:v>-2.05</x:v>
      </x:c>
      <x:c r="H87" s="154" t="n">
        <x:v>-0.004</x:v>
      </x:c>
      <x:c r="I87" s="158" t="n">
        <x:v>506.74</x:v>
      </x:c>
      <x:c r="J87" s="158" t="n">
        <x:v>8635.24</x:v>
      </x:c>
      <x:c r="K87" s="158" t="n">
        <x:v>4375839521.4</x:v>
      </x:c>
      <x:c r="L87" s="158"/>
      <x:c r="M87" s="141" t="str">
        <x:v>https://www.sge.com.cn/sjzx/quotation_daily_new?start_date=2024-03-01&amp;end_date=2024-03-31&amp;inst_ids=Au99.99&amp;p=</x:v>
      </x:c>
    </x:row>
    <x:row r="88">
      <x:c r="A88" s="155" t="n">
        <x:v>45364</x:v>
      </x:c>
      <x:c r="B88" s="141" t="str">
        <x:v>Ag(T+D)</x:v>
      </x:c>
      <x:c r="C88" s="153" t="n">
        <x:v>6161</x:v>
      </x:c>
      <x:c r="D88" s="153" t="n">
        <x:v>6206</x:v>
      </x:c>
      <x:c r="E88" s="153" t="n">
        <x:v>6109</x:v>
      </x:c>
      <x:c r="F88" s="153" t="n">
        <x:v>6151</x:v>
      </x:c>
      <x:c r="G88" s="153" t="n">
        <x:v>-12</x:v>
      </x:c>
      <x:c r="H88" s="154" t="n">
        <x:v>-0.0019</x:v>
      </x:c>
      <x:c r="I88" s="158" t="n">
        <x:v>6144</x:v>
      </x:c>
      <x:c r="J88" s="158" t="n">
        <x:v>661980</x:v>
      </x:c>
      <x:c r="K88" s="158" t="n">
        <x:v>4067599188</x:v>
      </x:c>
      <x:c r="L88" s="158" t="n">
        <x:v>5512152</x:v>
      </x:c>
      <x:c r="M88" s="141" t="str">
        <x:v>https://www.sge.com.cn/sjzx/quotation_daily_new?start_date=2024-03-01&amp;end_date=2024-03-31&amp;inst_ids=Ag%28T%2BD%29&amp;p=</x:v>
      </x:c>
    </x:row>
    <x:row r="89">
      <x:c r="A89" s="155" t="n">
        <x:v>45364</x:v>
      </x:c>
      <x:c r="B89" s="141" t="str">
        <x:v>Au99.99</x:v>
      </x:c>
      <x:c r="C89" s="153" t="n">
        <x:v>504.5</x:v>
      </x:c>
      <x:c r="D89" s="153" t="n">
        <x:v>506</x:v>
      </x:c>
      <x:c r="E89" s="153" t="n">
        <x:v>503.26</x:v>
      </x:c>
      <x:c r="F89" s="153" t="n">
        <x:v>504.79</x:v>
      </x:c>
      <x:c r="G89" s="153" t="n">
        <x:v>-0.45</x:v>
      </x:c>
      <x:c r="H89" s="154" t="n">
        <x:v>-0.0009</x:v>
      </x:c>
      <x:c r="I89" s="158" t="n">
        <x:v>504.33</x:v>
      </x:c>
      <x:c r="J89" s="158" t="n">
        <x:v>13162.48</x:v>
      </x:c>
      <x:c r="K89" s="158" t="n">
        <x:v>6638299849.6</x:v>
      </x:c>
      <x:c r="L89" s="158"/>
      <x:c r="M89" s="141" t="str">
        <x:v>https://www.sge.com.cn/sjzx/quotation_daily_new?start_date=2024-03-01&amp;end_date=2024-03-31&amp;inst_ids=Au99.99&amp;p=</x:v>
      </x:c>
    </x:row>
    <x:row r="90">
      <x:c r="A90" s="155" t="n">
        <x:v>45365</x:v>
      </x:c>
      <x:c r="B90" s="141" t="str">
        <x:v>Ag(T+D)</x:v>
      </x:c>
      <x:c r="C90" s="153" t="n">
        <x:v>6163</x:v>
      </x:c>
      <x:c r="D90" s="153" t="n">
        <x:v>6345</x:v>
      </x:c>
      <x:c r="E90" s="153" t="n">
        <x:v>6161</x:v>
      </x:c>
      <x:c r="F90" s="153" t="n">
        <x:v>6281</x:v>
      </x:c>
      <x:c r="G90" s="153" t="n">
        <x:v>137</x:v>
      </x:c>
      <x:c r="H90" s="154" t="n">
        <x:v>0.0223</x:v>
      </x:c>
      <x:c r="I90" s="158" t="n">
        <x:v>6273</x:v>
      </x:c>
      <x:c r="J90" s="158" t="n">
        <x:v>1043482</x:v>
      </x:c>
      <x:c r="K90" s="158" t="n">
        <x:v>6546062110</x:v>
      </x:c>
      <x:c r="L90" s="158" t="n">
        <x:v>5501558</x:v>
      </x:c>
      <x:c r="M90" s="141" t="str">
        <x:v>https://www.sge.com.cn/sjzx/quotation_daily_new?start_date=2024-03-01&amp;end_date=2024-03-31&amp;inst_ids=Ag%28T%2BD%29&amp;p=</x:v>
      </x:c>
    </x:row>
    <x:row r="91">
      <x:c r="A91" s="155" t="n">
        <x:v>45365</x:v>
      </x:c>
      <x:c r="B91" s="141" t="str">
        <x:v>Au99.99</x:v>
      </x:c>
      <x:c r="C91" s="153" t="n">
        <x:v>505.2</x:v>
      </x:c>
      <x:c r="D91" s="153" t="n">
        <x:v>507.95</x:v>
      </x:c>
      <x:c r="E91" s="153" t="n">
        <x:v>505</x:v>
      </x:c>
      <x:c r="F91" s="153" t="n">
        <x:v>505.2</x:v>
      </x:c>
      <x:c r="G91" s="153" t="n">
        <x:v>0.41</x:v>
      </x:c>
      <x:c r="H91" s="154" t="n">
        <x:v>0.0008</x:v>
      </x:c>
      <x:c r="I91" s="158" t="n">
        <x:v>506.36</x:v>
      </x:c>
      <x:c r="J91" s="158" t="n">
        <x:v>6961.58</x:v>
      </x:c>
      <x:c r="K91" s="158" t="n">
        <x:v>3525098125.8</x:v>
      </x:c>
      <x:c r="L91" s="158"/>
      <x:c r="M91" s="141" t="str">
        <x:v>https://www.sge.com.cn/sjzx/quotation_daily_new?start_date=2024-03-01&amp;end_date=2024-03-31&amp;inst_ids=Au99.99&amp;p=</x:v>
      </x:c>
    </x:row>
    <x:row r="92">
      <x:c r="A92" s="155" t="n">
        <x:v>45366</x:v>
      </x:c>
      <x:c r="B92" s="141" t="str">
        <x:v>Ag(T+D)</x:v>
      </x:c>
      <x:c r="C92" s="153" t="n">
        <x:v>6294</x:v>
      </x:c>
      <x:c r="D92" s="153" t="n">
        <x:v>6383</x:v>
      </x:c>
      <x:c r="E92" s="153" t="n">
        <x:v>6252</x:v>
      </x:c>
      <x:c r="F92" s="153" t="n">
        <x:v>6343</x:v>
      </x:c>
      <x:c r="G92" s="153" t="n">
        <x:v>70</x:v>
      </x:c>
      <x:c r="H92" s="154" t="n">
        <x:v>0.011200000000000002</x:v>
      </x:c>
      <x:c r="I92" s="158" t="n">
        <x:v>6316</x:v>
      </x:c>
      <x:c r="J92" s="158" t="n">
        <x:v>507290</x:v>
      </x:c>
      <x:c r="K92" s="158" t="n">
        <x:v>3204322692</x:v>
      </x:c>
      <x:c r="L92" s="158" t="n">
        <x:v>5404302</x:v>
      </x:c>
      <x:c r="M92" s="141" t="str">
        <x:v>https://www.sge.com.cn/sjzx/quotation_daily_new?start_date=2024-03-01&amp;end_date=2024-03-31&amp;inst_ids=Ag%28T%2BD%29&amp;p=</x:v>
      </x:c>
    </x:row>
    <x:row r="93">
      <x:c r="A93" s="155" t="n">
        <x:v>45366</x:v>
      </x:c>
      <x:c r="B93" s="141" t="str">
        <x:v>Au99.99</x:v>
      </x:c>
      <x:c r="C93" s="153" t="n">
        <x:v>505.3</x:v>
      </x:c>
      <x:c r="D93" s="153" t="n">
        <x:v>507.2</x:v>
      </x:c>
      <x:c r="E93" s="153" t="n">
        <x:v>504.5</x:v>
      </x:c>
      <x:c r="F93" s="153" t="n">
        <x:v>507.12</x:v>
      </x:c>
      <x:c r="G93" s="153" t="n">
        <x:v>1.92</x:v>
      </x:c>
      <x:c r="H93" s="154" t="n">
        <x:v>0.0038</x:v>
      </x:c>
      <x:c r="I93" s="158" t="n">
        <x:v>506.15</x:v>
      </x:c>
      <x:c r="J93" s="158" t="n">
        <x:v>10185.02</x:v>
      </x:c>
      <x:c r="K93" s="158" t="n">
        <x:v>5155174814.6</x:v>
      </x:c>
      <x:c r="L93" s="158"/>
      <x:c r="M93" s="141" t="str">
        <x:v>https://www.sge.com.cn/sjzx/quotation_daily_new?start_date=2024-03-01&amp;end_date=2024-03-31&amp;inst_ids=Au99.99&amp;p=</x:v>
      </x:c>
    </x:row>
    <x:row r="94">
      <x:c r="A94" s="155" t="n">
        <x:v>45369</x:v>
      </x:c>
      <x:c r="B94" s="141" t="str">
        <x:v>Ag(T+D)</x:v>
      </x:c>
      <x:c r="C94" s="153" t="n">
        <x:v>6360</x:v>
      </x:c>
      <x:c r="D94" s="153" t="n">
        <x:v>6419</x:v>
      </x:c>
      <x:c r="E94" s="153" t="n">
        <x:v>6306</x:v>
      </x:c>
      <x:c r="F94" s="153" t="n">
        <x:v>6325</x:v>
      </x:c>
      <x:c r="G94" s="153" t="n">
        <x:v>9</x:v>
      </x:c>
      <x:c r="H94" s="154" t="n">
        <x:v>0.0014000000000000002</x:v>
      </x:c>
      <x:c r="I94" s="158" t="n">
        <x:v>6345</x:v>
      </x:c>
      <x:c r="J94" s="158" t="n">
        <x:v>635926</x:v>
      </x:c>
      <x:c r="K94" s="158" t="n">
        <x:v>4035242744</x:v>
      </x:c>
      <x:c r="L94" s="158" t="n">
        <x:v>5375452</x:v>
      </x:c>
      <x:c r="M94" s="141" t="str">
        <x:v>https://www.sge.com.cn/sjzx/quotation_daily_new?start_date=2024-03-01&amp;end_date=2024-03-31&amp;inst_ids=Ag%28T%2BD%29&amp;p=</x:v>
      </x:c>
    </x:row>
    <x:row r="95">
      <x:c r="A95" s="155" t="n">
        <x:v>45369</x:v>
      </x:c>
      <x:c r="B95" s="141" t="str">
        <x:v>Au99.99</x:v>
      </x:c>
      <x:c r="C95" s="153" t="n">
        <x:v>505.5</x:v>
      </x:c>
      <x:c r="D95" s="153" t="n">
        <x:v>506.3</x:v>
      </x:c>
      <x:c r="E95" s="153" t="n">
        <x:v>502.7</x:v>
      </x:c>
      <x:c r="F95" s="153" t="n">
        <x:v>503.26</x:v>
      </x:c>
      <x:c r="G95" s="153" t="n">
        <x:v>-3.86</x:v>
      </x:c>
      <x:c r="H95" s="154" t="n">
        <x:v>-0.0076</x:v>
      </x:c>
      <x:c r="I95" s="158" t="n">
        <x:v>503.42</x:v>
      </x:c>
      <x:c r="J95" s="158" t="n">
        <x:v>10146.66</x:v>
      </x:c>
      <x:c r="K95" s="158" t="n">
        <x:v>5108033502</x:v>
      </x:c>
      <x:c r="L95" s="158"/>
      <x:c r="M95" s="141" t="str">
        <x:v>https://www.sge.com.cn/sjzx/quotation_daily_new?start_date=2024-03-01&amp;end_date=2024-03-31&amp;inst_ids=Au99.99&amp;p=</x:v>
      </x:c>
    </x:row>
    <x:row r="96">
      <x:c r="A96" s="155" t="n">
        <x:v>45370</x:v>
      </x:c>
      <x:c r="B96" s="141" t="str">
        <x:v>Ag(T+D)</x:v>
      </x:c>
      <x:c r="C96" s="153" t="n">
        <x:v>6345</x:v>
      </x:c>
      <x:c r="D96" s="153" t="n">
        <x:v>6378</x:v>
      </x:c>
      <x:c r="E96" s="153" t="n">
        <x:v>6290</x:v>
      </x:c>
      <x:c r="F96" s="153" t="n">
        <x:v>6311</x:v>
      </x:c>
      <x:c r="G96" s="153" t="n">
        <x:v>-34</x:v>
      </x:c>
      <x:c r="H96" s="154" t="n">
        <x:v>-0.0054</x:v>
      </x:c>
      <x:c r="I96" s="158" t="n">
        <x:v>6330</x:v>
      </x:c>
      <x:c r="J96" s="158" t="n">
        <x:v>568280</x:v>
      </x:c>
      <x:c r="K96" s="158" t="n">
        <x:v>3597237204</x:v>
      </x:c>
      <x:c r="L96" s="158" t="n">
        <x:v>5356614</x:v>
      </x:c>
      <x:c r="M96" s="141" t="str">
        <x:v>https://www.sge.com.cn/sjzx/quotation_daily_new?start_date=2024-03-01&amp;end_date=2024-03-31&amp;inst_ids=Ag%28T%2BD%29&amp;p=</x:v>
      </x:c>
    </x:row>
    <x:row r="97">
      <x:c r="A97" s="155" t="n">
        <x:v>45370</x:v>
      </x:c>
      <x:c r="B97" s="141" t="str">
        <x:v>Au99.99</x:v>
      </x:c>
      <x:c r="C97" s="153" t="n">
        <x:v>504.5</x:v>
      </x:c>
      <x:c r="D97" s="153" t="n">
        <x:v>505.94</x:v>
      </x:c>
      <x:c r="E97" s="153" t="n">
        <x:v>503.21</x:v>
      </x:c>
      <x:c r="F97" s="153" t="n">
        <x:v>504.06</x:v>
      </x:c>
      <x:c r="G97" s="153" t="n">
        <x:v>0.8</x:v>
      </x:c>
      <x:c r="H97" s="154" t="n">
        <x:v>0.0016</x:v>
      </x:c>
      <x:c r="I97" s="158" t="n">
        <x:v>504.44</x:v>
      </x:c>
      <x:c r="J97" s="158" t="n">
        <x:v>10873.84</x:v>
      </x:c>
      <x:c r="K97" s="158" t="n">
        <x:v>5485295879.2</x:v>
      </x:c>
      <x:c r="L97" s="158"/>
      <x:c r="M97" s="141" t="str">
        <x:v>https://www.sge.com.cn/sjzx/quotation_daily_new?start_date=2024-03-01&amp;end_date=2024-03-31&amp;inst_ids=Au99.99&amp;p=</x:v>
      </x:c>
    </x:row>
    <x:row r="98">
      <x:c r="A98" s="155" t="n">
        <x:v>45371</x:v>
      </x:c>
      <x:c r="B98" s="141" t="str">
        <x:v>Ag(T+D)</x:v>
      </x:c>
      <x:c r="C98" s="153" t="n">
        <x:v>6310</x:v>
      </x:c>
      <x:c r="D98" s="153" t="n">
        <x:v>6334</x:v>
      </x:c>
      <x:c r="E98" s="153" t="n">
        <x:v>6260</x:v>
      </x:c>
      <x:c r="F98" s="153" t="n">
        <x:v>6324</x:v>
      </x:c>
      <x:c r="G98" s="153" t="n">
        <x:v>-6</x:v>
      </x:c>
      <x:c r="H98" s="154" t="n">
        <x:v>-0.0009</x:v>
      </x:c>
      <x:c r="I98" s="158" t="n">
        <x:v>6310</x:v>
      </x:c>
      <x:c r="J98" s="158" t="n">
        <x:v>579492</x:v>
      </x:c>
      <x:c r="K98" s="158" t="n">
        <x:v>3656846738</x:v>
      </x:c>
      <x:c r="L98" s="158" t="n">
        <x:v>5324586</x:v>
      </x:c>
      <x:c r="M98" s="141" t="str">
        <x:v>https://www.sge.com.cn/sjzx/quotation_daily_new?start_date=2024-03-01&amp;end_date=2024-03-31&amp;inst_ids=Ag%28T%2BD%29&amp;p=</x:v>
      </x:c>
    </x:row>
    <x:row r="99">
      <x:c r="A99" s="155" t="n">
        <x:v>45371</x:v>
      </x:c>
      <x:c r="B99" s="141" t="str">
        <x:v>Au99.99</x:v>
      </x:c>
      <x:c r="C99" s="153" t="n">
        <x:v>504.2</x:v>
      </x:c>
      <x:c r="D99" s="153" t="n">
        <x:v>505.2</x:v>
      </x:c>
      <x:c r="E99" s="153" t="n">
        <x:v>503.6</x:v>
      </x:c>
      <x:c r="F99" s="153" t="n">
        <x:v>505.2</x:v>
      </x:c>
      <x:c r="G99" s="153" t="n">
        <x:v>1.14</x:v>
      </x:c>
      <x:c r="H99" s="154" t="n">
        <x:v>0.0023</x:v>
      </x:c>
      <x:c r="I99" s="158" t="n">
        <x:v>504.91</x:v>
      </x:c>
      <x:c r="J99" s="158" t="n">
        <x:v>8102.4</x:v>
      </x:c>
      <x:c r="K99" s="158" t="n">
        <x:v>4091024394.2</x:v>
      </x:c>
      <x:c r="L99" s="158"/>
      <x:c r="M99" s="141" t="str">
        <x:v>https://www.sge.com.cn/sjzx/quotation_daily_new?start_date=2024-03-01&amp;end_date=2024-03-31&amp;inst_ids=Au99.99&amp;p=</x:v>
      </x:c>
    </x:row>
    <x:row r="100">
      <x:c r="A100" s="155" t="n">
        <x:v>45372</x:v>
      </x:c>
      <x:c r="B100" s="141" t="str">
        <x:v>Ag(T+D)</x:v>
      </x:c>
      <x:c r="C100" s="153" t="n">
        <x:v>6311</x:v>
      </x:c>
      <x:c r="D100" s="153" t="n">
        <x:v>6501</x:v>
      </x:c>
      <x:c r="E100" s="153" t="n">
        <x:v>6291</x:v>
      </x:c>
      <x:c r="F100" s="153" t="n">
        <x:v>6498</x:v>
      </x:c>
      <x:c r="G100" s="153" t="n">
        <x:v>188</x:v>
      </x:c>
      <x:c r="H100" s="154" t="n">
        <x:v>0.0298</x:v>
      </x:c>
      <x:c r="I100" s="158" t="n">
        <x:v>6457</x:v>
      </x:c>
      <x:c r="J100" s="158" t="n">
        <x:v>848648</x:v>
      </x:c>
      <x:c r="K100" s="158" t="n">
        <x:v>5480263726</x:v>
      </x:c>
      <x:c r="L100" s="158" t="n">
        <x:v>5214078</x:v>
      </x:c>
      <x:c r="M100" s="141" t="str">
        <x:v>https://www.sge.com.cn/sjzx/quotation_daily_new?start_date=2024-03-01&amp;end_date=2024-03-31&amp;inst_ids=Ag%28T%2BD%29&amp;p=</x:v>
      </x:c>
    </x:row>
    <x:row r="101">
      <x:c r="A101" s="155" t="n">
        <x:v>45372</x:v>
      </x:c>
      <x:c r="B101" s="141" t="str">
        <x:v>Au99.99</x:v>
      </x:c>
      <x:c r="C101" s="153" t="n">
        <x:v>504.51</x:v>
      </x:c>
      <x:c r="D101" s="153" t="n">
        <x:v>514.95</x:v>
      </x:c>
      <x:c r="E101" s="153" t="n">
        <x:v>504</x:v>
      </x:c>
      <x:c r="F101" s="153" t="n">
        <x:v>514.94</x:v>
      </x:c>
      <x:c r="G101" s="153" t="n">
        <x:v>9.74</x:v>
      </x:c>
      <x:c r="H101" s="154" t="n">
        <x:v>0.019299999999999998</x:v>
      </x:c>
      <x:c r="I101" s="158" t="n">
        <x:v>514.21</x:v>
      </x:c>
      <x:c r="J101" s="158" t="n">
        <x:v>15456.88</x:v>
      </x:c>
      <x:c r="K101" s="158" t="n">
        <x:v>7948185903.8</x:v>
      </x:c>
      <x:c r="L101" s="158"/>
      <x:c r="M101" s="141" t="str">
        <x:v>https://www.sge.com.cn/sjzx/quotation_daily_new?start_date=2024-03-01&amp;end_date=2024-03-31&amp;inst_ids=Au99.99&amp;p=</x:v>
      </x:c>
    </x:row>
    <x:row r="102">
      <x:c r="A102" s="155" t="n">
        <x:v>45373</x:v>
      </x:c>
      <x:c r="B102" s="141" t="str">
        <x:v>Ag(T+D)</x:v>
      </x:c>
      <x:c r="C102" s="153" t="n">
        <x:v>6441</x:v>
      </x:c>
      <x:c r="D102" s="153" t="n">
        <x:v>6459</x:v>
      </x:c>
      <x:c r="E102" s="153" t="n">
        <x:v>6282</x:v>
      </x:c>
      <x:c r="F102" s="153" t="n">
        <x:v>6301</x:v>
      </x:c>
      <x:c r="G102" s="153" t="n">
        <x:v>-156</x:v>
      </x:c>
      <x:c r="H102" s="154" t="n">
        <x:v>-0.0242</x:v>
      </x:c>
      <x:c r="I102" s="158" t="n">
        <x:v>6347</x:v>
      </x:c>
      <x:c r="J102" s="158" t="n">
        <x:v>1412642</x:v>
      </x:c>
      <x:c r="K102" s="158" t="n">
        <x:v>8966296972</x:v>
      </x:c>
      <x:c r="L102" s="158" t="n">
        <x:v>5325506</x:v>
      </x:c>
      <x:c r="M102" s="141" t="str">
        <x:v>https://www.sge.com.cn/sjzx/quotation_daily_new?start_date=2024-03-01&amp;end_date=2024-03-31&amp;inst_ids=Ag%28T%2BD%29&amp;p=</x:v>
      </x:c>
    </x:row>
    <x:row r="103">
      <x:c r="A103" s="155" t="n">
        <x:v>45373</x:v>
      </x:c>
      <x:c r="B103" s="141" t="str">
        <x:v>Au99.99</x:v>
      </x:c>
      <x:c r="C103" s="153" t="n">
        <x:v>514.94</x:v>
      </x:c>
      <x:c r="D103" s="153" t="n">
        <x:v>515.5</x:v>
      </x:c>
      <x:c r="E103" s="153" t="n">
        <x:v>508</x:v>
      </x:c>
      <x:c r="F103" s="153" t="n">
        <x:v>511.16</x:v>
      </x:c>
      <x:c r="G103" s="153" t="n">
        <x:v>-3.78</x:v>
      </x:c>
      <x:c r="H103" s="154" t="n">
        <x:v>-0.0073</x:v>
      </x:c>
      <x:c r="I103" s="158" t="n">
        <x:v>511.21</x:v>
      </x:c>
      <x:c r="J103" s="158" t="n">
        <x:v>12209.02</x:v>
      </x:c>
      <x:c r="K103" s="158" t="n">
        <x:v>6241395832.4</x:v>
      </x:c>
      <x:c r="L103" s="158"/>
      <x:c r="M103" s="141" t="str">
        <x:v>https://www.sge.com.cn/sjzx/quotation_daily_new?start_date=2024-03-01&amp;end_date=2024-03-31&amp;inst_ids=Au99.99&amp;p=</x:v>
      </x:c>
    </x:row>
    <x:row r="104">
      <x:c r="A104" s="155" t="n">
        <x:v>45376</x:v>
      </x:c>
      <x:c r="B104" s="141" t="str">
        <x:v>Ag(T+D)</x:v>
      </x:c>
      <x:c r="C104" s="153" t="n">
        <x:v>6325</x:v>
      </x:c>
      <x:c r="D104" s="153" t="n">
        <x:v>6414</x:v>
      </x:c>
      <x:c r="E104" s="153" t="n">
        <x:v>6325</x:v>
      </x:c>
      <x:c r="F104" s="153" t="n">
        <x:v>6346</x:v>
      </x:c>
      <x:c r="G104" s="153" t="n">
        <x:v>-1</x:v>
      </x:c>
      <x:c r="H104" s="154" t="n">
        <x:v>-0.0002</x:v>
      </x:c>
      <x:c r="I104" s="158" t="n">
        <x:v>6365</x:v>
      </x:c>
      <x:c r="J104" s="158" t="n">
        <x:v>657984</x:v>
      </x:c>
      <x:c r="K104" s="158" t="n">
        <x:v>4188506070</x:v>
      </x:c>
      <x:c r="L104" s="158" t="n">
        <x:v>5420702</x:v>
      </x:c>
      <x:c r="M104" s="141" t="str">
        <x:v>https://www.sge.com.cn/sjzx/quotation_daily_new?start_date=2024-03-01&amp;end_date=2024-03-31&amp;inst_ids=Ag%28T%2BD%29&amp;p=</x:v>
      </x:c>
    </x:row>
    <x:row r="105">
      <x:c r="A105" s="155" t="n">
        <x:v>45376</x:v>
      </x:c>
      <x:c r="B105" s="141" t="str">
        <x:v>Au99.99</x:v>
      </x:c>
      <x:c r="C105" s="153" t="n">
        <x:v>510.7</x:v>
      </x:c>
      <x:c r="D105" s="153" t="n">
        <x:v>514.8</x:v>
      </x:c>
      <x:c r="E105" s="153" t="n">
        <x:v>510.7</x:v>
      </x:c>
      <x:c r="F105" s="153" t="n">
        <x:v>511.13</x:v>
      </x:c>
      <x:c r="G105" s="153" t="n">
        <x:v>-0.03</x:v>
      </x:c>
      <x:c r="H105" s="154" t="n">
        <x:v>-0.0001</x:v>
      </x:c>
      <x:c r="I105" s="158" t="n">
        <x:v>512.62</x:v>
      </x:c>
      <x:c r="J105" s="158" t="n">
        <x:v>12879.04</x:v>
      </x:c>
      <x:c r="K105" s="158" t="n">
        <x:v>6602180980</x:v>
      </x:c>
      <x:c r="L105" s="158"/>
      <x:c r="M105" s="141" t="str">
        <x:v>https://www.sge.com.cn/sjzx/quotation_daily_new?start_date=2024-03-01&amp;end_date=2024-03-31&amp;inst_ids=Au99.99&amp;p=</x:v>
      </x:c>
    </x:row>
    <x:row r="106">
      <x:c r="A106" s="155" t="n">
        <x:v>45377</x:v>
      </x:c>
      <x:c r="B106" s="141" t="str">
        <x:v>Ag(T+D)</x:v>
      </x:c>
      <x:c r="C106" s="153" t="n">
        <x:v>6352</x:v>
      </x:c>
      <x:c r="D106" s="153" t="n">
        <x:v>6383</x:v>
      </x:c>
      <x:c r="E106" s="153" t="n">
        <x:v>6333</x:v>
      </x:c>
      <x:c r="F106" s="153" t="n">
        <x:v>6346</x:v>
      </x:c>
      <x:c r="G106" s="153" t="n">
        <x:v>-19</x:v>
      </x:c>
      <x:c r="H106" s="154" t="n">
        <x:v>-0.003</x:v>
      </x:c>
      <x:c r="I106" s="158" t="n">
        <x:v>6353</x:v>
      </x:c>
      <x:c r="J106" s="158" t="n">
        <x:v>472270</x:v>
      </x:c>
      <x:c r="K106" s="158" t="n">
        <x:v>3000537780</x:v>
      </x:c>
      <x:c r="L106" s="158" t="n">
        <x:v>5491740</x:v>
      </x:c>
      <x:c r="M106" s="141" t="str">
        <x:v>https://www.sge.com.cn/sjzx/quotation_daily_new?start_date=2024-03-01&amp;end_date=2024-03-31&amp;inst_ids=Ag%28T%2BD%29&amp;p=</x:v>
      </x:c>
    </x:row>
    <x:row r="107">
      <x:c r="A107" s="155" t="n">
        <x:v>45377</x:v>
      </x:c>
      <x:c r="B107" s="141" t="str">
        <x:v>Au99.99</x:v>
      </x:c>
      <x:c r="C107" s="153" t="n">
        <x:v>511.2</x:v>
      </x:c>
      <x:c r="D107" s="153" t="n">
        <x:v>513.9</x:v>
      </x:c>
      <x:c r="E107" s="153" t="n">
        <x:v>511.2</x:v>
      </x:c>
      <x:c r="F107" s="153" t="n">
        <x:v>512.52</x:v>
      </x:c>
      <x:c r="G107" s="153" t="n">
        <x:v>1.39</x:v>
      </x:c>
      <x:c r="H107" s="154" t="n">
        <x:v>0.0027</x:v>
      </x:c>
      <x:c r="I107" s="158" t="n">
        <x:v>512.86</x:v>
      </x:c>
      <x:c r="J107" s="158" t="n">
        <x:v>12660.36</x:v>
      </x:c>
      <x:c r="K107" s="158" t="n">
        <x:v>6493016252.4</x:v>
      </x:c>
      <x:c r="L107" s="158"/>
      <x:c r="M107" s="141" t="str">
        <x:v>https://www.sge.com.cn/sjzx/quotation_daily_new?start_date=2024-03-01&amp;end_date=2024-03-31&amp;inst_ids=Au99.99&amp;p=</x:v>
      </x:c>
    </x:row>
    <x:row r="108">
      <x:c r="A108" s="155" t="n">
        <x:v>45378</x:v>
      </x:c>
      <x:c r="B108" s="141" t="str">
        <x:v>Ag(T+D)</x:v>
      </x:c>
      <x:c r="C108" s="153" t="n">
        <x:v>6390</x:v>
      </x:c>
      <x:c r="D108" s="153" t="n">
        <x:v>6394</x:v>
      </x:c>
      <x:c r="E108" s="153" t="n">
        <x:v>6297</x:v>
      </x:c>
      <x:c r="F108" s="153" t="n">
        <x:v>6338</x:v>
      </x:c>
      <x:c r="G108" s="153" t="n">
        <x:v>-15</x:v>
      </x:c>
      <x:c r="H108" s="154" t="n">
        <x:v>-0.0024</x:v>
      </x:c>
      <x:c r="I108" s="158" t="n">
        <x:v>6331</x:v>
      </x:c>
      <x:c r="J108" s="158" t="n">
        <x:v>759714</x:v>
      </x:c>
      <x:c r="K108" s="158" t="n">
        <x:v>4810392002</x:v>
      </x:c>
      <x:c r="L108" s="158" t="n">
        <x:v>5602194</x:v>
      </x:c>
      <x:c r="M108" s="141" t="str">
        <x:v>https://www.sge.com.cn/sjzx/quotation_daily_new?start_date=2024-03-01&amp;end_date=2024-03-31&amp;inst_ids=Ag%28T%2BD%29&amp;p=</x:v>
      </x:c>
    </x:row>
    <x:row r="109">
      <x:c r="A109" s="155" t="n">
        <x:v>45378</x:v>
      </x:c>
      <x:c r="B109" s="141" t="str">
        <x:v>Au99.99</x:v>
      </x:c>
      <x:c r="C109" s="153" t="n">
        <x:v>517</x:v>
      </x:c>
      <x:c r="D109" s="153" t="n">
        <x:v>517.5</x:v>
      </x:c>
      <x:c r="E109" s="153" t="n">
        <x:v>514</x:v>
      </x:c>
      <x:c r="F109" s="153" t="n">
        <x:v>515.94</x:v>
      </x:c>
      <x:c r="G109" s="153" t="n">
        <x:v>3.42</x:v>
      </x:c>
      <x:c r="H109" s="154" t="n">
        <x:v>0.0067</x:v>
      </x:c>
      <x:c r="I109" s="158" t="n">
        <x:v>515.03</x:v>
      </x:c>
      <x:c r="J109" s="158" t="n">
        <x:v>11755.02</x:v>
      </x:c>
      <x:c r="K109" s="158" t="n">
        <x:v>6054295805</x:v>
      </x:c>
      <x:c r="L109" s="158"/>
      <x:c r="M109" s="141" t="str">
        <x:v>https://www.sge.com.cn/sjzx/quotation_daily_new?start_date=2024-03-01&amp;end_date=2024-03-31&amp;inst_ids=Au99.99&amp;p=</x:v>
      </x:c>
    </x:row>
    <x:row r="110">
      <x:c r="A110" s="155" t="n">
        <x:v>45379</x:v>
      </x:c>
      <x:c r="B110" s="141" t="str">
        <x:v>Ag(T+D)</x:v>
      </x:c>
      <x:c r="C110" s="153" t="n">
        <x:v>6340</x:v>
      </x:c>
      <x:c r="D110" s="153" t="n">
        <x:v>6374</x:v>
      </x:c>
      <x:c r="E110" s="153" t="n">
        <x:v>6321</x:v>
      </x:c>
      <x:c r="F110" s="153" t="n">
        <x:v>6358</x:v>
      </x:c>
      <x:c r="G110" s="153" t="n">
        <x:v>27</x:v>
      </x:c>
      <x:c r="H110" s="154" t="n">
        <x:v>0.0043</x:v>
      </x:c>
      <x:c r="I110" s="158" t="n">
        <x:v>6358</x:v>
      </x:c>
      <x:c r="J110" s="158" t="n">
        <x:v>614638</x:v>
      </x:c>
      <x:c r="K110" s="158" t="n">
        <x:v>3908471986</x:v>
      </x:c>
      <x:c r="L110" s="158" t="n">
        <x:v>5611326</x:v>
      </x:c>
      <x:c r="M110" s="141" t="str">
        <x:v>https://www.sge.com.cn/sjzx/quotation_daily_new?start_date=2024-03-01&amp;end_date=2024-03-31&amp;inst_ids=Ag%28T%2BD%29&amp;p=</x:v>
      </x:c>
    </x:row>
    <x:row r="111">
      <x:c r="A111" s="155" t="n">
        <x:v>45379</x:v>
      </x:c>
      <x:c r="B111" s="141" t="str">
        <x:v>Au99.99</x:v>
      </x:c>
      <x:c r="C111" s="153" t="n">
        <x:v>516</x:v>
      </x:c>
      <x:c r="D111" s="153" t="n">
        <x:v>518.9</x:v>
      </x:c>
      <x:c r="E111" s="153" t="n">
        <x:v>516</x:v>
      </x:c>
      <x:c r="F111" s="153" t="n">
        <x:v>518.8</x:v>
      </x:c>
      <x:c r="G111" s="153" t="n">
        <x:v>2.86</x:v>
      </x:c>
      <x:c r="H111" s="154" t="n">
        <x:v>0.0055000000000000005</x:v>
      </x:c>
      <x:c r="I111" s="158" t="n">
        <x:v>517.44</x:v>
      </x:c>
      <x:c r="J111" s="158" t="n">
        <x:v>13231.42</x:v>
      </x:c>
      <x:c r="K111" s="158" t="n">
        <x:v>6846552101.4</x:v>
      </x:c>
      <x:c r="L111" s="158"/>
      <x:c r="M111" s="141" t="str">
        <x:v>https://www.sge.com.cn/sjzx/quotation_daily_new?start_date=2024-03-01&amp;end_date=2024-03-31&amp;inst_ids=Au99.99&amp;p=</x:v>
      </x:c>
    </x:row>
    <x:row r="112">
      <x:c r="A112" s="155" t="n">
        <x:v>45380</x:v>
      </x:c>
      <x:c r="B112" s="141" t="str">
        <x:v>Ag(T+D)</x:v>
      </x:c>
      <x:c r="C112" s="153" t="n">
        <x:v>6369</x:v>
      </x:c>
      <x:c r="D112" s="153" t="n">
        <x:v>6479</x:v>
      </x:c>
      <x:c r="E112" s="153" t="n">
        <x:v>6344</x:v>
      </x:c>
      <x:c r="F112" s="153" t="n">
        <x:v>6454</x:v>
      </x:c>
      <x:c r="G112" s="153" t="n">
        <x:v>96</x:v>
      </x:c>
      <x:c r="H112" s="154" t="n">
        <x:v>0.0151</x:v>
      </x:c>
      <x:c r="I112" s="158" t="n">
        <x:v>6432</x:v>
      </x:c>
      <x:c r="J112" s="158" t="n">
        <x:v>500146</x:v>
      </x:c>
      <x:c r="K112" s="158" t="n">
        <x:v>3217396376</x:v>
      </x:c>
      <x:c r="L112" s="158" t="n">
        <x:v>5570788</x:v>
      </x:c>
      <x:c r="M112" s="141" t="str">
        <x:v>https://www.sge.com.cn/sjzx/quotation_daily_new?start_date=2024-03-01&amp;end_date=2024-03-31&amp;inst_ids=Ag%28T%2BD%29&amp;p=</x:v>
      </x:c>
    </x:row>
    <x:row r="113">
      <x:c r="A113" s="155" t="n">
        <x:v>45380</x:v>
      </x:c>
      <x:c r="B113" s="141" t="str">
        <x:v>Au99.99</x:v>
      </x:c>
      <x:c r="C113" s="153" t="n">
        <x:v>520.5</x:v>
      </x:c>
      <x:c r="D113" s="153" t="n">
        <x:v>538</x:v>
      </x:c>
      <x:c r="E113" s="153" t="n">
        <x:v>519</x:v>
      </x:c>
      <x:c r="F113" s="153" t="n">
        <x:v>527.54</x:v>
      </x:c>
      <x:c r="G113" s="153" t="n">
        <x:v>8.74</x:v>
      </x:c>
      <x:c r="H113" s="154" t="n">
        <x:v>0.0168</x:v>
      </x:c>
      <x:c r="I113" s="158" t="n">
        <x:v>527.72</x:v>
      </x:c>
      <x:c r="J113" s="158" t="n">
        <x:v>19152.08</x:v>
      </x:c>
      <x:c r="K113" s="158" t="n">
        <x:v>10107044762.8</x:v>
      </x:c>
      <x:c r="L113" s="158"/>
      <x:c r="M113" s="141" t="str">
        <x:v>https://www.sge.com.cn/sjzx/quotation_daily_new?start_date=2024-03-01&amp;end_date=2024-03-31&amp;inst_ids=Au99.99&amp;p=</x:v>
      </x:c>
    </x:row>
    <x:row r="114">
      <x:c r="A114" s="155" t="n">
        <x:v>45383</x:v>
      </x:c>
      <x:c r="B114" s="141" t="str">
        <x:v>Ag(T+D)</x:v>
      </x:c>
      <x:c r="C114" s="153" t="n">
        <x:v>6459</x:v>
      </x:c>
      <x:c r="D114" s="153" t="n">
        <x:v>6515</x:v>
      </x:c>
      <x:c r="E114" s="153" t="n">
        <x:v>6430</x:v>
      </x:c>
      <x:c r="F114" s="153" t="n">
        <x:v>6489</x:v>
      </x:c>
      <x:c r="G114" s="153" t="n">
        <x:v>57</x:v>
      </x:c>
      <x:c r="H114" s="154" t="n">
        <x:v>0.0089</x:v>
      </x:c>
      <x:c r="I114" s="158" t="n">
        <x:v>6475</x:v>
      </x:c>
      <x:c r="J114" s="158" t="n">
        <x:v>451100</x:v>
      </x:c>
      <x:c r="K114" s="158" t="n">
        <x:v>2920999550</x:v>
      </x:c>
      <x:c r="L114" s="158" t="n">
        <x:v>5531288</x:v>
      </x:c>
      <x:c r="M114" s="141" t="str">
        <x:v>https://www.sge.com.cn/sjzx/quotation_daily_new?start_date=2024-04-01&amp;end_date=2024-04-30&amp;inst_ids=Ag%28T%2BD%29&amp;p=</x:v>
      </x:c>
    </x:row>
    <x:row r="115">
      <x:c r="A115" s="155" t="n">
        <x:v>45383</x:v>
      </x:c>
      <x:c r="B115" s="141" t="str">
        <x:v>Au99.99</x:v>
      </x:c>
      <x:c r="C115" s="153" t="n">
        <x:v>528</x:v>
      </x:c>
      <x:c r="D115" s="153" t="n">
        <x:v>533.8</x:v>
      </x:c>
      <x:c r="E115" s="153" t="n">
        <x:v>527.11</x:v>
      </x:c>
      <x:c r="F115" s="153" t="n">
        <x:v>533.74</x:v>
      </x:c>
      <x:c r="G115" s="153" t="n">
        <x:v>6.2</x:v>
      </x:c>
      <x:c r="H115" s="154" t="n">
        <x:v>0.0118</x:v>
      </x:c>
      <x:c r="I115" s="158" t="n">
        <x:v>532.33</x:v>
      </x:c>
      <x:c r="J115" s="158" t="n">
        <x:v>16442.06</x:v>
      </x:c>
      <x:c r="K115" s="158" t="n">
        <x:v>8752618132.8</x:v>
      </x:c>
      <x:c r="L115" s="158"/>
      <x:c r="M115" s="141" t="str">
        <x:v>https://www.sge.com.cn/sjzx/quotation_daily_new?start_date=2024-04-01&amp;end_date=2024-04-30&amp;inst_ids=Au99.99&amp;p=</x:v>
      </x:c>
    </x:row>
    <x:row r="116">
      <x:c r="A116" s="155" t="n">
        <x:v>45384</x:v>
      </x:c>
      <x:c r="B116" s="141" t="str">
        <x:v>Ag(T+D)</x:v>
      </x:c>
      <x:c r="C116" s="153" t="n">
        <x:v>6455</x:v>
      </x:c>
      <x:c r="D116" s="153" t="n">
        <x:v>6548</x:v>
      </x:c>
      <x:c r="E116" s="153" t="n">
        <x:v>6402</x:v>
      </x:c>
      <x:c r="F116" s="153" t="n">
        <x:v>6545</x:v>
      </x:c>
      <x:c r="G116" s="153" t="n">
        <x:v>70</x:v>
      </x:c>
      <x:c r="H116" s="154" t="n">
        <x:v>0.0108</x:v>
      </x:c>
      <x:c r="I116" s="158" t="n">
        <x:v>6485</x:v>
      </x:c>
      <x:c r="J116" s="158" t="n">
        <x:v>978150</x:v>
      </x:c>
      <x:c r="K116" s="158" t="n">
        <x:v>6343612116</x:v>
      </x:c>
      <x:c r="L116" s="158" t="n">
        <x:v>5592552</x:v>
      </x:c>
      <x:c r="M116" s="141" t="str">
        <x:v>https://www.sge.com.cn/sjzx/quotation_daily_new?start_date=2024-04-01&amp;end_date=2024-04-30&amp;inst_ids=Ag%28T%2BD%29&amp;p=</x:v>
      </x:c>
    </x:row>
    <x:row r="117">
      <x:c r="A117" s="155" t="n">
        <x:v>45384</x:v>
      </x:c>
      <x:c r="B117" s="141" t="str">
        <x:v>Au99.99</x:v>
      </x:c>
      <x:c r="C117" s="153" t="n">
        <x:v>529.81</x:v>
      </x:c>
      <x:c r="D117" s="153" t="n">
        <x:v>533.9</x:v>
      </x:c>
      <x:c r="E117" s="153" t="n">
        <x:v>528</x:v>
      </x:c>
      <x:c r="F117" s="153" t="n">
        <x:v>533.8</x:v>
      </x:c>
      <x:c r="G117" s="153" t="n">
        <x:v>0.06</x:v>
      </x:c>
      <x:c r="H117" s="154" t="n">
        <x:v>0.0001</x:v>
      </x:c>
      <x:c r="I117" s="158" t="n">
        <x:v>532.62</x:v>
      </x:c>
      <x:c r="J117" s="158" t="n">
        <x:v>14610.88</x:v>
      </x:c>
      <x:c r="K117" s="158" t="n">
        <x:v>7782089522.8</x:v>
      </x:c>
      <x:c r="L117" s="158"/>
      <x:c r="M117" s="141" t="str">
        <x:v>https://www.sge.com.cn/sjzx/quotation_daily_new?start_date=2024-04-01&amp;end_date=2024-04-30&amp;inst_ids=Au99.99&amp;p=</x:v>
      </x:c>
    </x:row>
    <x:row r="118">
      <x:c r="A118" s="155" t="n">
        <x:v>45385</x:v>
      </x:c>
      <x:c r="B118" s="141" t="str">
        <x:v>Ag(T+D)</x:v>
      </x:c>
      <x:c r="C118" s="153" t="n">
        <x:v>6566</x:v>
      </x:c>
      <x:c r="D118" s="153" t="n">
        <x:v>6780</x:v>
      </x:c>
      <x:c r="E118" s="153" t="n">
        <x:v>6513</x:v>
      </x:c>
      <x:c r="F118" s="153" t="n">
        <x:v>6739</x:v>
      </x:c>
      <x:c r="G118" s="153" t="n">
        <x:v>254</x:v>
      </x:c>
      <x:c r="H118" s="154" t="n">
        <x:v>0.0392</x:v>
      </x:c>
      <x:c r="I118" s="158" t="n">
        <x:v>6698</x:v>
      </x:c>
      <x:c r="J118" s="158" t="n">
        <x:v>1161602</x:v>
      </x:c>
      <x:c r="K118" s="158" t="n">
        <x:v>7781138296</x:v>
      </x:c>
      <x:c r="L118" s="158" t="n">
        <x:v>5560380</x:v>
      </x:c>
      <x:c r="M118" s="141" t="str">
        <x:v>https://www.sge.com.cn/sjzx/quotation_daily_new?start_date=2024-04-01&amp;end_date=2024-04-30&amp;inst_ids=Ag%28T%2BD%29&amp;p=</x:v>
      </x:c>
    </x:row>
    <x:row r="119">
      <x:c r="A119" s="155" t="n">
        <x:v>45385</x:v>
      </x:c>
      <x:c r="B119" s="141" t="str">
        <x:v>Au99.99</x:v>
      </x:c>
      <x:c r="C119" s="153" t="n">
        <x:v>533.8</x:v>
      </x:c>
      <x:c r="D119" s="153" t="n">
        <x:v>540.7</x:v>
      </x:c>
      <x:c r="E119" s="153" t="n">
        <x:v>533</x:v>
      </x:c>
      <x:c r="F119" s="153" t="n">
        <x:v>537.5</x:v>
      </x:c>
      <x:c r="G119" s="153" t="n">
        <x:v>3.7</x:v>
      </x:c>
      <x:c r="H119" s="154" t="n">
        <x:v>0.0069</x:v>
      </x:c>
      <x:c r="I119" s="158" t="n">
        <x:v>539.6</x:v>
      </x:c>
      <x:c r="J119" s="158" t="n">
        <x:v>17672.44</x:v>
      </x:c>
      <x:c r="K119" s="158" t="n">
        <x:v>9536139770</x:v>
      </x:c>
      <x:c r="L119" s="158"/>
      <x:c r="M119" s="141" t="str">
        <x:v>https://www.sge.com.cn/sjzx/quotation_daily_new?start_date=2024-04-01&amp;end_date=2024-04-30&amp;inst_ids=Au99.99&amp;p=</x:v>
      </x:c>
    </x:row>
    <x:row r="120">
      <x:c r="A120" s="155" t="n">
        <x:v>45390</x:v>
      </x:c>
      <x:c r="B120" s="141" t="str">
        <x:v>Ag(T+D)</x:v>
      </x:c>
      <x:c r="C120" s="153" t="n">
        <x:v>6895</x:v>
      </x:c>
      <x:c r="D120" s="153" t="n">
        <x:v>7170</x:v>
      </x:c>
      <x:c r="E120" s="153" t="n">
        <x:v>6789</x:v>
      </x:c>
      <x:c r="F120" s="153" t="n">
        <x:v>7110</x:v>
      </x:c>
      <x:c r="G120" s="153" t="n">
        <x:v>412</x:v>
      </x:c>
      <x:c r="H120" s="154" t="n">
        <x:v>0.061500000000000006</x:v>
      </x:c>
      <x:c r="I120" s="158" t="n">
        <x:v>7057</x:v>
      </x:c>
      <x:c r="J120" s="158" t="n">
        <x:v>1303136</x:v>
      </x:c>
      <x:c r="K120" s="158" t="n">
        <x:v>9196478842</x:v>
      </x:c>
      <x:c r="L120" s="158" t="n">
        <x:v>5371568</x:v>
      </x:c>
      <x:c r="M120" s="141" t="str">
        <x:v>https://www.sge.com.cn/sjzx/quotation_daily_new?start_date=2024-04-01&amp;end_date=2024-04-30&amp;inst_ids=Ag%28T%2BD%29&amp;p=</x:v>
      </x:c>
    </x:row>
    <x:row r="121">
      <x:c r="A121" s="155" t="n">
        <x:v>45390</x:v>
      </x:c>
      <x:c r="B121" s="141" t="str">
        <x:v>Au99.99</x:v>
      </x:c>
      <x:c r="C121" s="153" t="n">
        <x:v>537.5</x:v>
      </x:c>
      <x:c r="D121" s="153" t="n">
        <x:v>560</x:v>
      </x:c>
      <x:c r="E121" s="153" t="n">
        <x:v>537.5</x:v>
      </x:c>
      <x:c r="F121" s="153" t="n">
        <x:v>554.11</x:v>
      </x:c>
      <x:c r="G121" s="153" t="n">
        <x:v>16.61</x:v>
      </x:c>
      <x:c r="H121" s="154" t="n">
        <x:v>0.030899999999999997</x:v>
      </x:c>
      <x:c r="I121" s="158" t="n">
        <x:v>552.81</x:v>
      </x:c>
      <x:c r="J121" s="158" t="n">
        <x:v>25204.7</x:v>
      </x:c>
      <x:c r="K121" s="158" t="n">
        <x:v>13933661916.6</x:v>
      </x:c>
      <x:c r="L121" s="158"/>
      <x:c r="M121" s="141" t="str">
        <x:v>https://www.sge.com.cn/sjzx/quotation_daily_new?start_date=2024-04-01&amp;end_date=2024-04-30&amp;inst_ids=Au99.99&amp;p=</x:v>
      </x:c>
    </x:row>
    <x:row r="122">
      <x:c r="A122" s="155" t="n">
        <x:v>45391</x:v>
      </x:c>
      <x:c r="B122" s="141" t="str">
        <x:v>Ag(T+D)</x:v>
      </x:c>
      <x:c r="C122" s="153" t="n">
        <x:v>7085</x:v>
      </x:c>
      <x:c r="D122" s="153" t="n">
        <x:v>7269</x:v>
      </x:c>
      <x:c r="E122" s="153" t="n">
        <x:v>7002</x:v>
      </x:c>
      <x:c r="F122" s="153" t="n">
        <x:v>7188</x:v>
      </x:c>
      <x:c r="G122" s="153" t="n">
        <x:v>131</x:v>
      </x:c>
      <x:c r="H122" s="154" t="n">
        <x:v>0.018600000000000002</x:v>
      </x:c>
      <x:c r="I122" s="158" t="n">
        <x:v>7159</x:v>
      </x:c>
      <x:c r="J122" s="158" t="n">
        <x:v>1319284</x:v>
      </x:c>
      <x:c r="K122" s="158" t="n">
        <x:v>9444978604</x:v>
      </x:c>
      <x:c r="L122" s="158" t="n">
        <x:v>5177476</x:v>
      </x:c>
      <x:c r="M122" s="141" t="str">
        <x:v>https://www.sge.com.cn/sjzx/quotation_daily_new?start_date=2024-04-01&amp;end_date=2024-04-30&amp;inst_ids=Ag%28T%2BD%29&amp;p=</x:v>
      </x:c>
    </x:row>
    <x:row r="123">
      <x:c r="A123" s="155" t="n">
        <x:v>45391</x:v>
      </x:c>
      <x:c r="B123" s="141" t="str">
        <x:v>Au99.99</x:v>
      </x:c>
      <x:c r="C123" s="153" t="n">
        <x:v>552</x:v>
      </x:c>
      <x:c r="D123" s="153" t="n">
        <x:v>558.3</x:v>
      </x:c>
      <x:c r="E123" s="153" t="n">
        <x:v>550.5</x:v>
      </x:c>
      <x:c r="F123" s="153" t="n">
        <x:v>555.5</x:v>
      </x:c>
      <x:c r="G123" s="153" t="n">
        <x:v>1.39</x:v>
      </x:c>
      <x:c r="H123" s="154" t="n">
        <x:v>0.0025</x:v>
      </x:c>
      <x:c r="I123" s="158" t="n">
        <x:v>555.61</x:v>
      </x:c>
      <x:c r="J123" s="158" t="n">
        <x:v>25558.48</x:v>
      </x:c>
      <x:c r="K123" s="158" t="n">
        <x:v>14200737013</x:v>
      </x:c>
      <x:c r="L123" s="158"/>
      <x:c r="M123" s="141" t="str">
        <x:v>https://www.sge.com.cn/sjzx/quotation_daily_new?start_date=2024-04-01&amp;end_date=2024-04-30&amp;inst_ids=Au99.99&amp;p=</x:v>
      </x:c>
    </x:row>
    <x:row r="124">
      <x:c r="A124" s="155" t="n">
        <x:v>45392</x:v>
      </x:c>
      <x:c r="B124" s="141" t="str">
        <x:v>Ag(T+D)</x:v>
      </x:c>
      <x:c r="C124" s="153" t="n">
        <x:v>7210</x:v>
      </x:c>
      <x:c r="D124" s="153" t="n">
        <x:v>7507</x:v>
      </x:c>
      <x:c r="E124" s="153" t="n">
        <x:v>7123</x:v>
      </x:c>
      <x:c r="F124" s="153" t="n">
        <x:v>7196</x:v>
      </x:c>
      <x:c r="G124" s="153" t="n">
        <x:v>37</x:v>
      </x:c>
      <x:c r="H124" s="154" t="n">
        <x:v>0.0052</x:v>
      </x:c>
      <x:c r="I124" s="158" t="n">
        <x:v>7198</x:v>
      </x:c>
      <x:c r="J124" s="158" t="n">
        <x:v>945416</x:v>
      </x:c>
      <x:c r="K124" s="158" t="n">
        <x:v>6805658186</x:v>
      </x:c>
      <x:c r="L124" s="158" t="n">
        <x:v>5176462</x:v>
      </x:c>
      <x:c r="M124" s="141" t="str">
        <x:v>https://www.sge.com.cn/sjzx/quotation_daily_new?start_date=2024-04-01&amp;end_date=2024-04-30&amp;inst_ids=Ag%28T%2BD%29&amp;p=</x:v>
      </x:c>
    </x:row>
    <x:row r="125">
      <x:c r="A125" s="155" t="n">
        <x:v>45392</x:v>
      </x:c>
      <x:c r="B125" s="141" t="str">
        <x:v>Au99.99</x:v>
      </x:c>
      <x:c r="C125" s="153" t="n">
        <x:v>556</x:v>
      </x:c>
      <x:c r="D125" s="153" t="n">
        <x:v>559.97</x:v>
      </x:c>
      <x:c r="E125" s="153" t="n">
        <x:v>554.5</x:v>
      </x:c>
      <x:c r="F125" s="153" t="n">
        <x:v>557.9</x:v>
      </x:c>
      <x:c r="G125" s="153" t="n">
        <x:v>2.4</x:v>
      </x:c>
      <x:c r="H125" s="154" t="n">
        <x:v>0.0043</x:v>
      </x:c>
      <x:c r="I125" s="158" t="n">
        <x:v>557.43</x:v>
      </x:c>
      <x:c r="J125" s="158" t="n">
        <x:v>17173.4</x:v>
      </x:c>
      <x:c r="K125" s="158" t="n">
        <x:v>9573130596</x:v>
      </x:c>
      <x:c r="L125" s="158"/>
      <x:c r="M125" s="141" t="str">
        <x:v>https://www.sge.com.cn/sjzx/quotation_daily_new?start_date=2024-04-01&amp;end_date=2024-04-30&amp;inst_ids=Au99.99&amp;p=</x:v>
      </x:c>
    </x:row>
    <x:row r="126">
      <x:c r="A126" s="155" t="n">
        <x:v>45393</x:v>
      </x:c>
      <x:c r="B126" s="141" t="str">
        <x:v>Ag(T+D)</x:v>
      </x:c>
      <x:c r="C126" s="153" t="n">
        <x:v>7188</x:v>
      </x:c>
      <x:c r="D126" s="153" t="n">
        <x:v>7250</x:v>
      </x:c>
      <x:c r="E126" s="153" t="n">
        <x:v>7086</x:v>
      </x:c>
      <x:c r="F126" s="153" t="n">
        <x:v>7169</x:v>
      </x:c>
      <x:c r="G126" s="153" t="n">
        <x:v>-29</x:v>
      </x:c>
      <x:c r="H126" s="154" t="n">
        <x:v>-0.004</x:v>
      </x:c>
      <x:c r="I126" s="158" t="n">
        <x:v>7168</x:v>
      </x:c>
      <x:c r="J126" s="158" t="n">
        <x:v>818058</x:v>
      </x:c>
      <x:c r="K126" s="158" t="n">
        <x:v>5864611160</x:v>
      </x:c>
      <x:c r="L126" s="158" t="n">
        <x:v>5138574</x:v>
      </x:c>
      <x:c r="M126" s="141" t="str">
        <x:v>https://www.sge.com.cn/sjzx/quotation_daily_new?start_date=2024-04-01&amp;end_date=2024-04-30&amp;inst_ids=Ag%28T%2BD%29&amp;p=</x:v>
      </x:c>
    </x:row>
    <x:row r="127">
      <x:c r="A127" s="155" t="n">
        <x:v>45393</x:v>
      </x:c>
      <x:c r="B127" s="141" t="str">
        <x:v>Au99.99</x:v>
      </x:c>
      <x:c r="C127" s="153" t="n">
        <x:v>554.3</x:v>
      </x:c>
      <x:c r="D127" s="153" t="n">
        <x:v>556.89</x:v>
      </x:c>
      <x:c r="E127" s="153" t="n">
        <x:v>551</x:v>
      </x:c>
      <x:c r="F127" s="153" t="n">
        <x:v>554.14</x:v>
      </x:c>
      <x:c r="G127" s="153" t="n">
        <x:v>-3.76</x:v>
      </x:c>
      <x:c r="H127" s="154" t="n">
        <x:v>-0.0067</x:v>
      </x:c>
      <x:c r="I127" s="158" t="n">
        <x:v>554.95</x:v>
      </x:c>
      <x:c r="J127" s="158" t="n">
        <x:v>19175.42</x:v>
      </x:c>
      <x:c r="K127" s="158" t="n">
        <x:v>10641524129.2</x:v>
      </x:c>
      <x:c r="L127" s="158"/>
      <x:c r="M127" s="141" t="str">
        <x:v>https://www.sge.com.cn/sjzx/quotation_daily_new?start_date=2024-04-01&amp;end_date=2024-04-30&amp;inst_ids=Au99.99&amp;p=</x:v>
      </x:c>
    </x:row>
    <x:row r="128">
      <x:c r="A128" s="155" t="n">
        <x:v>45394</x:v>
      </x:c>
      <x:c r="B128" s="141" t="str">
        <x:v>Ag(T+D)</x:v>
      </x:c>
      <x:c r="C128" s="153" t="n">
        <x:v>7167</x:v>
      </x:c>
      <x:c r="D128" s="153" t="n">
        <x:v>7475</x:v>
      </x:c>
      <x:c r="E128" s="153" t="n">
        <x:v>7143</x:v>
      </x:c>
      <x:c r="F128" s="153" t="n">
        <x:v>7450</x:v>
      </x:c>
      <x:c r="G128" s="153" t="n">
        <x:v>282</x:v>
      </x:c>
      <x:c r="H128" s="154" t="n">
        <x:v>0.0393</x:v>
      </x:c>
      <x:c r="I128" s="158" t="n">
        <x:v>7354</x:v>
      </x:c>
      <x:c r="J128" s="158" t="n">
        <x:v>1299688</x:v>
      </x:c>
      <x:c r="K128" s="158" t="n">
        <x:v>9558194330</x:v>
      </x:c>
      <x:c r="L128" s="158" t="n">
        <x:v>5038964</x:v>
      </x:c>
      <x:c r="M128" s="141" t="str">
        <x:v>https://www.sge.com.cn/sjzx/quotation_daily_new?start_date=2024-04-01&amp;end_date=2024-04-30&amp;inst_ids=Ag%28T%2BD%29&amp;p=</x:v>
      </x:c>
    </x:row>
    <x:row r="129">
      <x:c r="A129" s="155" t="n">
        <x:v>45394</x:v>
      </x:c>
      <x:c r="B129" s="141" t="str">
        <x:v>Au99.99</x:v>
      </x:c>
      <x:c r="C129" s="153" t="n">
        <x:v>553.5</x:v>
      </x:c>
      <x:c r="D129" s="153" t="n">
        <x:v>569.87</x:v>
      </x:c>
      <x:c r="E129" s="153" t="n">
        <x:v>553.5</x:v>
      </x:c>
      <x:c r="F129" s="153" t="n">
        <x:v>567.21</x:v>
      </x:c>
      <x:c r="G129" s="153" t="n">
        <x:v>13.07</x:v>
      </x:c>
      <x:c r="H129" s="154" t="n">
        <x:v>0.0236</x:v>
      </x:c>
      <x:c r="I129" s="158" t="n">
        <x:v>566.49</x:v>
      </x:c>
      <x:c r="J129" s="158" t="n">
        <x:v>16110.18</x:v>
      </x:c>
      <x:c r="K129" s="158" t="n">
        <x:v>9126390906</x:v>
      </x:c>
      <x:c r="L129" s="158"/>
      <x:c r="M129" s="141" t="str">
        <x:v>https://www.sge.com.cn/sjzx/quotation_daily_new?start_date=2024-04-01&amp;end_date=2024-04-30&amp;inst_ids=Au99.99&amp;p=</x:v>
      </x:c>
    </x:row>
    <x:row r="130">
      <x:c r="A130" s="155" t="n">
        <x:v>45397</x:v>
      </x:c>
      <x:c r="B130" s="141" t="str">
        <x:v>Ag(T+D)</x:v>
      </x:c>
      <x:c r="C130" s="153" t="n">
        <x:v>7450</x:v>
      </x:c>
      <x:c r="D130" s="153" t="n">
        <x:v>7786</x:v>
      </x:c>
      <x:c r="E130" s="153" t="n">
        <x:v>7200</x:v>
      </x:c>
      <x:c r="F130" s="153" t="n">
        <x:v>7433</x:v>
      </x:c>
      <x:c r="G130" s="153" t="n">
        <x:v>79</x:v>
      </x:c>
      <x:c r="H130" s="154" t="n">
        <x:v>0.010700000000000001</x:v>
      </x:c>
      <x:c r="I130" s="158" t="n">
        <x:v>7485</x:v>
      </x:c>
      <x:c r="J130" s="158" t="n">
        <x:v>2243474</x:v>
      </x:c>
      <x:c r="K130" s="158" t="n">
        <x:v>16793635638</x:v>
      </x:c>
      <x:c r="L130" s="158" t="n">
        <x:v>4827720</x:v>
      </x:c>
      <x:c r="M130" s="141" t="str">
        <x:v>https://www.sge.com.cn/sjzx/quotation_daily_new?start_date=2024-04-01&amp;end_date=2024-04-30&amp;inst_ids=Ag%28T%2BD%29&amp;p=</x:v>
      </x:c>
    </x:row>
    <x:row r="131">
      <x:c r="A131" s="155" t="n">
        <x:v>45397</x:v>
      </x:c>
      <x:c r="B131" s="141" t="str">
        <x:v>Au99.99</x:v>
      </x:c>
      <x:c r="C131" s="153" t="n">
        <x:v>567.01</x:v>
      </x:c>
      <x:c r="D131" s="153" t="n">
        <x:v>576.99</x:v>
      </x:c>
      <x:c r="E131" s="153" t="n">
        <x:v>556</x:v>
      </x:c>
      <x:c r="F131" s="153" t="n">
        <x:v>558.68</x:v>
      </x:c>
      <x:c r="G131" s="153" t="n">
        <x:v>-8.53</x:v>
      </x:c>
      <x:c r="H131" s="154" t="n">
        <x:v>-0.015</x:v>
      </x:c>
      <x:c r="I131" s="158" t="n">
        <x:v>561.43</x:v>
      </x:c>
      <x:c r="J131" s="158" t="n">
        <x:v>29370.68</x:v>
      </x:c>
      <x:c r="K131" s="158" t="n">
        <x:v>16489665322</x:v>
      </x:c>
      <x:c r="L131" s="158"/>
      <x:c r="M131" s="141" t="str">
        <x:v>https://www.sge.com.cn/sjzx/quotation_daily_new?start_date=2024-04-01&amp;end_date=2024-04-30&amp;inst_ids=Au99.99&amp;p=</x:v>
      </x:c>
    </x:row>
    <x:row r="132">
      <x:c r="A132" s="155" t="n">
        <x:v>45398</x:v>
      </x:c>
      <x:c r="B132" s="141" t="str">
        <x:v>Ag(T+D)</x:v>
      </x:c>
      <x:c r="C132" s="153" t="n">
        <x:v>7445</x:v>
      </x:c>
      <x:c r="D132" s="153" t="n">
        <x:v>7498</x:v>
      </x:c>
      <x:c r="E132" s="153" t="n">
        <x:v>7320</x:v>
      </x:c>
      <x:c r="F132" s="153" t="n">
        <x:v>7360</x:v>
      </x:c>
      <x:c r="G132" s="153" t="n">
        <x:v>-125</x:v>
      </x:c>
      <x:c r="H132" s="154" t="n">
        <x:v>-0.0167</x:v>
      </x:c>
      <x:c r="I132" s="158" t="n">
        <x:v>7421</x:v>
      </x:c>
      <x:c r="J132" s="158" t="n">
        <x:v>768676</x:v>
      </x:c>
      <x:c r="K132" s="158" t="n">
        <x:v>5705002114</x:v>
      </x:c>
      <x:c r="L132" s="158" t="n">
        <x:v>4856750</x:v>
      </x:c>
      <x:c r="M132" s="141" t="str">
        <x:v>https://www.sge.com.cn/sjzx/quotation_daily_new?start_date=2024-04-01&amp;end_date=2024-04-30&amp;inst_ids=Ag%28T%2BD%29&amp;p=</x:v>
      </x:c>
    </x:row>
    <x:row r="133">
      <x:c r="A133" s="155" t="n">
        <x:v>45398</x:v>
      </x:c>
      <x:c r="B133" s="141" t="str">
        <x:v>Au99.99</x:v>
      </x:c>
      <x:c r="C133" s="153" t="n">
        <x:v>559</x:v>
      </x:c>
      <x:c r="D133" s="153" t="n">
        <x:v>569</x:v>
      </x:c>
      <x:c r="E133" s="153" t="n">
        <x:v>552.66</x:v>
      </x:c>
      <x:c r="F133" s="153" t="n">
        <x:v>562.5</x:v>
      </x:c>
      <x:c r="G133" s="153" t="n">
        <x:v>3.82</x:v>
      </x:c>
      <x:c r="H133" s="154" t="n">
        <x:v>0.0068000000000000005</x:v>
      </x:c>
      <x:c r="I133" s="158" t="n">
        <x:v>565.81</x:v>
      </x:c>
      <x:c r="J133" s="158" t="n">
        <x:v>14841.34</x:v>
      </x:c>
      <x:c r="K133" s="158" t="n">
        <x:v>8397498763.8</x:v>
      </x:c>
      <x:c r="L133" s="158"/>
      <x:c r="M133" s="141" t="str">
        <x:v>https://www.sge.com.cn/sjzx/quotation_daily_new?start_date=2024-04-01&amp;end_date=2024-04-30&amp;inst_ids=Au99.99&amp;p=</x:v>
      </x:c>
    </x:row>
    <x:row r="134">
      <x:c r="A134" s="155" t="n">
        <x:v>45399</x:v>
      </x:c>
      <x:c r="B134" s="141" t="str">
        <x:v>Ag(T+D)</x:v>
      </x:c>
      <x:c r="C134" s="153" t="n">
        <x:v>7363</x:v>
      </x:c>
      <x:c r="D134" s="153" t="n">
        <x:v>7408</x:v>
      </x:c>
      <x:c r="E134" s="153" t="n">
        <x:v>7297</x:v>
      </x:c>
      <x:c r="F134" s="153" t="n">
        <x:v>7371</x:v>
      </x:c>
      <x:c r="G134" s="153" t="n">
        <x:v>-50</x:v>
      </x:c>
      <x:c r="H134" s="154" t="n">
        <x:v>-0.0067</x:v>
      </x:c>
      <x:c r="I134" s="158" t="n">
        <x:v>7351</x:v>
      </x:c>
      <x:c r="J134" s="158" t="n">
        <x:v>722248</x:v>
      </x:c>
      <x:c r="K134" s="158" t="n">
        <x:v>5309425588</x:v>
      </x:c>
      <x:c r="L134" s="158" t="n">
        <x:v>4963684</x:v>
      </x:c>
      <x:c r="M134" s="141" t="str">
        <x:v>https://www.sge.com.cn/sjzx/quotation_daily_new?start_date=2024-04-01&amp;end_date=2024-04-30&amp;inst_ids=Ag%28T%2BD%29&amp;p=</x:v>
      </x:c>
    </x:row>
    <x:row r="135">
      <x:c r="A135" s="155" t="n">
        <x:v>45399</x:v>
      </x:c>
      <x:c r="B135" s="141" t="str">
        <x:v>Au99.99</x:v>
      </x:c>
      <x:c r="C135" s="153" t="n">
        <x:v>562.61</x:v>
      </x:c>
      <x:c r="D135" s="153" t="n">
        <x:v>569</x:v>
      </x:c>
      <x:c r="E135" s="153" t="n">
        <x:v>562.02</x:v>
      </x:c>
      <x:c r="F135" s="153" t="n">
        <x:v>564.46</x:v>
      </x:c>
      <x:c r="G135" s="153" t="n">
        <x:v>1.96</x:v>
      </x:c>
      <x:c r="H135" s="154" t="n">
        <x:v>0.0034999999999999996</x:v>
      </x:c>
      <x:c r="I135" s="158" t="n">
        <x:v>565.67</x:v>
      </x:c>
      <x:c r="J135" s="158" t="n">
        <x:v>13674.22</x:v>
      </x:c>
      <x:c r="K135" s="158" t="n">
        <x:v>7735106058.6</x:v>
      </x:c>
      <x:c r="L135" s="158"/>
      <x:c r="M135" s="141" t="str">
        <x:v>https://www.sge.com.cn/sjzx/quotation_daily_new?start_date=2024-04-01&amp;end_date=2024-04-30&amp;inst_ids=Au99.99&amp;p=</x:v>
      </x:c>
    </x:row>
    <x:row r="136">
      <x:c r="A136" s="155" t="n">
        <x:v>45400</x:v>
      </x:c>
      <x:c r="B136" s="141" t="str">
        <x:v>Ag(T+D)</x:v>
      </x:c>
      <x:c r="C136" s="153" t="n">
        <x:v>7397</x:v>
      </x:c>
      <x:c r="D136" s="153" t="n">
        <x:v>7490</x:v>
      </x:c>
      <x:c r="E136" s="153" t="n">
        <x:v>7310</x:v>
      </x:c>
      <x:c r="F136" s="153" t="n">
        <x:v>7416</x:v>
      </x:c>
      <x:c r="G136" s="153" t="n">
        <x:v>65</x:v>
      </x:c>
      <x:c r="H136" s="154" t="n">
        <x:v>0.0088</x:v>
      </x:c>
      <x:c r="I136" s="158" t="n">
        <x:v>7391</x:v>
      </x:c>
      <x:c r="J136" s="158" t="n">
        <x:v>762798</x:v>
      </x:c>
      <x:c r="K136" s="158" t="n">
        <x:v>5638396712</x:v>
      </x:c>
      <x:c r="L136" s="158" t="n">
        <x:v>5003582</x:v>
      </x:c>
      <x:c r="M136" s="141" t="str">
        <x:v>https://www.sge.com.cn/sjzx/quotation_daily_new?start_date=2024-04-01&amp;end_date=2024-04-30&amp;inst_ids=Ag%28T%2BD%29&amp;p=</x:v>
      </x:c>
    </x:row>
    <x:row r="137">
      <x:c r="A137" s="155" t="n">
        <x:v>45400</x:v>
      </x:c>
      <x:c r="B137" s="141" t="str">
        <x:v>Au99.99</x:v>
      </x:c>
      <x:c r="C137" s="153" t="n">
        <x:v>566.3</x:v>
      </x:c>
      <x:c r="D137" s="153" t="n">
        <x:v>568</x:v>
      </x:c>
      <x:c r="E137" s="153" t="n">
        <x:v>558.8</x:v>
      </x:c>
      <x:c r="F137" s="153" t="n">
        <x:v>563.37</x:v>
      </x:c>
      <x:c r="G137" s="153" t="n">
        <x:v>-1.09</x:v>
      </x:c>
      <x:c r="H137" s="154" t="n">
        <x:v>-0.0019</x:v>
      </x:c>
      <x:c r="I137" s="158" t="n">
        <x:v>561.77</x:v>
      </x:c>
      <x:c r="J137" s="158" t="n">
        <x:v>9874.98</x:v>
      </x:c>
      <x:c r="K137" s="158" t="n">
        <x:v>5547477005.6</x:v>
      </x:c>
      <x:c r="L137" s="158"/>
      <x:c r="M137" s="141" t="str">
        <x:v>https://www.sge.com.cn/sjzx/quotation_daily_new?start_date=2024-04-01&amp;end_date=2024-04-30&amp;inst_ids=Au99.99&amp;p=</x:v>
      </x:c>
    </x:row>
    <x:row r="138">
      <x:c r="A138" s="155" t="n">
        <x:v>45401</x:v>
      </x:c>
      <x:c r="B138" s="141" t="str">
        <x:v>Ag(T+D)</x:v>
      </x:c>
      <x:c r="C138" s="153" t="n">
        <x:v>7412</x:v>
      </x:c>
      <x:c r="D138" s="153" t="n">
        <x:v>7534</x:v>
      </x:c>
      <x:c r="E138" s="153" t="n">
        <x:v>7331</x:v>
      </x:c>
      <x:c r="F138" s="153" t="n">
        <x:v>7418</x:v>
      </x:c>
      <x:c r="G138" s="153" t="n">
        <x:v>27</x:v>
      </x:c>
      <x:c r="H138" s="154" t="n">
        <x:v>0.0037</x:v>
      </x:c>
      <x:c r="I138" s="158" t="n">
        <x:v>7412</x:v>
      </x:c>
      <x:c r="J138" s="158" t="n">
        <x:v>976708</x:v>
      </x:c>
      <x:c r="K138" s="158" t="n">
        <x:v>7239474824</x:v>
      </x:c>
      <x:c r="L138" s="158" t="n">
        <x:v>5019410</x:v>
      </x:c>
      <x:c r="M138" s="141" t="str">
        <x:v>https://www.sge.com.cn/sjzx/quotation_daily_new?start_date=2024-04-01&amp;end_date=2024-04-30&amp;inst_ids=Ag%28T%2BD%29&amp;p=</x:v>
      </x:c>
    </x:row>
    <x:row r="139">
      <x:c r="A139" s="155" t="n">
        <x:v>45401</x:v>
      </x:c>
      <x:c r="B139" s="141" t="str">
        <x:v>Au99.99</x:v>
      </x:c>
      <x:c r="C139" s="153" t="n">
        <x:v>562.8</x:v>
      </x:c>
      <x:c r="D139" s="153" t="n">
        <x:v>573.96</x:v>
      </x:c>
      <x:c r="E139" s="153" t="n">
        <x:v>561</x:v>
      </x:c>
      <x:c r="F139" s="153" t="n">
        <x:v>565.55</x:v>
      </x:c>
      <x:c r="G139" s="153" t="n">
        <x:v>2.18</x:v>
      </x:c>
      <x:c r="H139" s="154" t="n">
        <x:v>0.0039000000000000003</x:v>
      </x:c>
      <x:c r="I139" s="158" t="n">
        <x:v>567.2</x:v>
      </x:c>
      <x:c r="J139" s="158" t="n">
        <x:v>9604.92</x:v>
      </x:c>
      <x:c r="K139" s="158" t="n">
        <x:v>5447961625.4</x:v>
      </x:c>
      <x:c r="L139" s="158"/>
      <x:c r="M139" s="141" t="str">
        <x:v>https://www.sge.com.cn/sjzx/quotation_daily_new?start_date=2024-04-01&amp;end_date=2024-04-30&amp;inst_ids=Au99.99&amp;p=</x:v>
      </x:c>
    </x:row>
    <x:row r="140">
      <x:c r="A140" s="155" t="n">
        <x:v>45404</x:v>
      </x:c>
      <x:c r="B140" s="141" t="str">
        <x:v>Ag(T+D)</x:v>
      </x:c>
      <x:c r="C140" s="153" t="n">
        <x:v>7361</x:v>
      </x:c>
      <x:c r="D140" s="153" t="n">
        <x:v>7458</x:v>
      </x:c>
      <x:c r="E140" s="153" t="n">
        <x:v>7154</x:v>
      </x:c>
      <x:c r="F140" s="153" t="n">
        <x:v>7164</x:v>
      </x:c>
      <x:c r="G140" s="153" t="n">
        <x:v>-248</x:v>
      </x:c>
      <x:c r="H140" s="154" t="n">
        <x:v>-0.0335</x:v>
      </x:c>
      <x:c r="I140" s="158" t="n">
        <x:v>7270</x:v>
      </x:c>
      <x:c r="J140" s="158" t="n">
        <x:v>1131126</x:v>
      </x:c>
      <x:c r="K140" s="158" t="n">
        <x:v>8224177618</x:v>
      </x:c>
      <x:c r="L140" s="158" t="n">
        <x:v>4789080</x:v>
      </x:c>
      <x:c r="M140" s="141" t="str">
        <x:v>https://www.sge.com.cn/sjzx/quotation_daily_new?start_date=2024-04-01&amp;end_date=2024-04-30&amp;inst_ids=Ag%28T%2BD%29&amp;p=</x:v>
      </x:c>
    </x:row>
    <x:row r="141">
      <x:c r="A141" s="155" t="n">
        <x:v>45404</x:v>
      </x:c>
      <x:c r="B141" s="141" t="str">
        <x:v>Au99.99</x:v>
      </x:c>
      <x:c r="C141" s="153" t="n">
        <x:v>563.1</x:v>
      </x:c>
      <x:c r="D141" s="153" t="n">
        <x:v>567.6</x:v>
      </x:c>
      <x:c r="E141" s="153" t="n">
        <x:v>555.8</x:v>
      </x:c>
      <x:c r="F141" s="153" t="n">
        <x:v>556.55</x:v>
      </x:c>
      <x:c r="G141" s="153" t="n">
        <x:v>-9</x:v>
      </x:c>
      <x:c r="H141" s="154" t="n">
        <x:v>-0.0159</x:v>
      </x:c>
      <x:c r="I141" s="158" t="n">
        <x:v>560.07</x:v>
      </x:c>
      <x:c r="J141" s="158" t="n">
        <x:v>11469.94</x:v>
      </x:c>
      <x:c r="K141" s="158" t="n">
        <x:v>6423989404.6</x:v>
      </x:c>
      <x:c r="L141" s="158"/>
      <x:c r="M141" s="141" t="str">
        <x:v>https://www.sge.com.cn/sjzx/quotation_daily_new?start_date=2024-04-01&amp;end_date=2024-04-30&amp;inst_ids=Au99.99&amp;p=</x:v>
      </x:c>
    </x:row>
    <x:row r="142">
      <x:c r="A142" s="155" t="n">
        <x:v>45405</x:v>
      </x:c>
      <x:c r="B142" s="141" t="str">
        <x:v>Ag(T+D)</x:v>
      </x:c>
      <x:c r="C142" s="153" t="n">
        <x:v>7122</x:v>
      </x:c>
      <x:c r="D142" s="153" t="n">
        <x:v>7136</x:v>
      </x:c>
      <x:c r="E142" s="153" t="n">
        <x:v>6947</x:v>
      </x:c>
      <x:c r="F142" s="153" t="n">
        <x:v>6985</x:v>
      </x:c>
      <x:c r="G142" s="153" t="n">
        <x:v>-285</x:v>
      </x:c>
      <x:c r="H142" s="154" t="n">
        <x:v>-0.0392</x:v>
      </x:c>
      <x:c r="I142" s="158" t="n">
        <x:v>7024</x:v>
      </x:c>
      <x:c r="J142" s="158" t="n">
        <x:v>1165426</x:v>
      </x:c>
      <x:c r="K142" s="158" t="n">
        <x:v>8186546186</x:v>
      </x:c>
      <x:c r="L142" s="158" t="n">
        <x:v>4610454</x:v>
      </x:c>
      <x:c r="M142" s="141" t="str">
        <x:v>https://www.sge.com.cn/sjzx/quotation_daily_new?start_date=2024-04-01&amp;end_date=2024-04-30&amp;inst_ids=Ag%28T%2BD%29&amp;p=</x:v>
      </x:c>
    </x:row>
    <x:row r="143">
      <x:c r="A143" s="155" t="n">
        <x:v>45405</x:v>
      </x:c>
      <x:c r="B143" s="141" t="str">
        <x:v>Au99.99</x:v>
      </x:c>
      <x:c r="C143" s="153" t="n">
        <x:v>552.8</x:v>
      </x:c>
      <x:c r="D143" s="153" t="n">
        <x:v>553.55</x:v>
      </x:c>
      <x:c r="E143" s="153" t="n">
        <x:v>542.01</x:v>
      </x:c>
      <x:c r="F143" s="153" t="n">
        <x:v>544.01</x:v>
      </x:c>
      <x:c r="G143" s="153" t="n">
        <x:v>-12.54</x:v>
      </x:c>
      <x:c r="H143" s="154" t="n">
        <x:v>-0.0225</x:v>
      </x:c>
      <x:c r="I143" s="158" t="n">
        <x:v>545.05</x:v>
      </x:c>
      <x:c r="J143" s="158" t="n">
        <x:v>11876.42</x:v>
      </x:c>
      <x:c r="K143" s="158" t="n">
        <x:v>6473327084.6</x:v>
      </x:c>
      <x:c r="L143" s="158"/>
      <x:c r="M143" s="141" t="str">
        <x:v>https://www.sge.com.cn/sjzx/quotation_daily_new?start_date=2024-04-01&amp;end_date=2024-04-30&amp;inst_ids=Au99.99&amp;p=</x:v>
      </x:c>
    </x:row>
    <x:row r="144">
      <x:c r="A144" s="155" t="n">
        <x:v>45406</x:v>
      </x:c>
      <x:c r="B144" s="141" t="str">
        <x:v>Ag(T+D)</x:v>
      </x:c>
      <x:c r="C144" s="153" t="n">
        <x:v>6996</x:v>
      </x:c>
      <x:c r="D144" s="153" t="n">
        <x:v>7127</x:v>
      </x:c>
      <x:c r="E144" s="153" t="n">
        <x:v>6981</x:v>
      </x:c>
      <x:c r="F144" s="153" t="n">
        <x:v>7093</x:v>
      </x:c>
      <x:c r="G144" s="153" t="n">
        <x:v>69</x:v>
      </x:c>
      <x:c r="H144" s="154" t="n">
        <x:v>0.0098</x:v>
      </x:c>
      <x:c r="I144" s="158" t="n">
        <x:v>7053</x:v>
      </x:c>
      <x:c r="J144" s="158" t="n">
        <x:v>1011894</x:v>
      </x:c>
      <x:c r="K144" s="158" t="n">
        <x:v>7137398628</x:v>
      </x:c>
      <x:c r="L144" s="158" t="n">
        <x:v>4502394</x:v>
      </x:c>
      <x:c r="M144" s="141" t="str">
        <x:v>https://www.sge.com.cn/sjzx/quotation_daily_new?start_date=2024-04-01&amp;end_date=2024-04-30&amp;inst_ids=Ag%28T%2BD%29&amp;p=</x:v>
      </x:c>
    </x:row>
    <x:row r="145">
      <x:c r="A145" s="155" t="n">
        <x:v>45406</x:v>
      </x:c>
      <x:c r="B145" s="141" t="str">
        <x:v>Au99.99</x:v>
      </x:c>
      <x:c r="C145" s="153" t="n">
        <x:v>544</x:v>
      </x:c>
      <x:c r="D145" s="153" t="n">
        <x:v>549.3</x:v>
      </x:c>
      <x:c r="E145" s="153" t="n">
        <x:v>544</x:v>
      </x:c>
      <x:c r="F145" s="153" t="n">
        <x:v>548.33</x:v>
      </x:c>
      <x:c r="G145" s="153" t="n">
        <x:v>4.32</x:v>
      </x:c>
      <x:c r="H145" s="154" t="n">
        <x:v>0.0079</x:v>
      </x:c>
      <x:c r="I145" s="158" t="n">
        <x:v>547.73</x:v>
      </x:c>
      <x:c r="J145" s="158" t="n">
        <x:v>12047.44</x:v>
      </x:c>
      <x:c r="K145" s="158" t="n">
        <x:v>6598844902</x:v>
      </x:c>
      <x:c r="L145" s="158"/>
      <x:c r="M145" s="141" t="str">
        <x:v>https://www.sge.com.cn/sjzx/quotation_daily_new?start_date=2024-04-01&amp;end_date=2024-04-30&amp;inst_ids=Au99.99&amp;p=</x:v>
      </x:c>
    </x:row>
    <x:row r="146">
      <x:c r="A146" s="155" t="n">
        <x:v>45407</x:v>
      </x:c>
      <x:c r="B146" s="141" t="str">
        <x:v>Ag(T+D)</x:v>
      </x:c>
      <x:c r="C146" s="153" t="n">
        <x:v>7049</x:v>
      </x:c>
      <x:c r="D146" s="153" t="n">
        <x:v>7100</x:v>
      </x:c>
      <x:c r="E146" s="153" t="n">
        <x:v>6992</x:v>
      </x:c>
      <x:c r="F146" s="153" t="n">
        <x:v>7075</x:v>
      </x:c>
      <x:c r="G146" s="153" t="n">
        <x:v>22</x:v>
      </x:c>
      <x:c r="H146" s="154" t="n">
        <x:v>0.0031</x:v>
      </x:c>
      <x:c r="I146" s="158" t="n">
        <x:v>7054</x:v>
      </x:c>
      <x:c r="J146" s="158" t="n">
        <x:v>539868</x:v>
      </x:c>
      <x:c r="K146" s="158" t="n">
        <x:v>3808364408</x:v>
      </x:c>
      <x:c r="L146" s="158" t="n">
        <x:v>4542150</x:v>
      </x:c>
      <x:c r="M146" s="141" t="str">
        <x:v>https://www.sge.com.cn/sjzx/quotation_daily_new?start_date=2024-04-01&amp;end_date=2024-04-30&amp;inst_ids=Ag%28T%2BD%29&amp;p=</x:v>
      </x:c>
    </x:row>
    <x:row r="147">
      <x:c r="A147" s="155" t="n">
        <x:v>45407</x:v>
      </x:c>
      <x:c r="B147" s="141" t="str">
        <x:v>Au99.99</x:v>
      </x:c>
      <x:c r="C147" s="153" t="n">
        <x:v>546.01</x:v>
      </x:c>
      <x:c r="D147" s="153" t="n">
        <x:v>550</x:v>
      </x:c>
      <x:c r="E147" s="153" t="n">
        <x:v>544.6</x:v>
      </x:c>
      <x:c r="F147" s="153" t="n">
        <x:v>548.16</x:v>
      </x:c>
      <x:c r="G147" s="153" t="n">
        <x:v>-0.17</x:v>
      </x:c>
      <x:c r="H147" s="154" t="n">
        <x:v>-0.0003</x:v>
      </x:c>
      <x:c r="I147" s="158" t="n">
        <x:v>547.09</x:v>
      </x:c>
      <x:c r="J147" s="158" t="n">
        <x:v>9228.32</x:v>
      </x:c>
      <x:c r="K147" s="158" t="n">
        <x:v>5048753660</x:v>
      </x:c>
      <x:c r="L147" s="158"/>
      <x:c r="M147" s="141" t="str">
        <x:v>https://www.sge.com.cn/sjzx/quotation_daily_new?start_date=2024-04-01&amp;end_date=2024-04-30&amp;inst_ids=Au99.99&amp;p=</x:v>
      </x:c>
    </x:row>
    <x:row r="148">
      <x:c r="A148" s="155" t="n">
        <x:v>45408</x:v>
      </x:c>
      <x:c r="B148" s="141" t="str">
        <x:v>Ag(T+D)</x:v>
      </x:c>
      <x:c r="C148" s="153" t="n">
        <x:v>7098</x:v>
      </x:c>
      <x:c r="D148" s="153" t="n">
        <x:v>7163</x:v>
      </x:c>
      <x:c r="E148" s="153" t="n">
        <x:v>7044</x:v>
      </x:c>
      <x:c r="F148" s="153" t="n">
        <x:v>7151</x:v>
      </x:c>
      <x:c r="G148" s="153" t="n">
        <x:v>97</x:v>
      </x:c>
      <x:c r="H148" s="154" t="n">
        <x:v>0.0138</x:v>
      </x:c>
      <x:c r="I148" s="158" t="n">
        <x:v>7108</x:v>
      </x:c>
      <x:c r="J148" s="158" t="n">
        <x:v>592092</x:v>
      </x:c>
      <x:c r="K148" s="158" t="n">
        <x:v>4208911764</x:v>
      </x:c>
      <x:c r="L148" s="158" t="n">
        <x:v>4583412</x:v>
      </x:c>
      <x:c r="M148" s="141" t="str">
        <x:v>https://www.sge.com.cn/sjzx/quotation_daily_new?start_date=2024-04-01&amp;end_date=2024-04-30&amp;inst_ids=Ag%28T%2BD%29&amp;p=</x:v>
      </x:c>
    </x:row>
    <x:row r="149">
      <x:c r="A149" s="155" t="n">
        <x:v>45408</x:v>
      </x:c>
      <x:c r="B149" s="141" t="str">
        <x:v>Au99.99</x:v>
      </x:c>
      <x:c r="C149" s="153" t="n">
        <x:v>555</x:v>
      </x:c>
      <x:c r="D149" s="153" t="n">
        <x:v>555</x:v>
      </x:c>
      <x:c r="E149" s="153" t="n">
        <x:v>546</x:v>
      </x:c>
      <x:c r="F149" s="153" t="n">
        <x:v>553</x:v>
      </x:c>
      <x:c r="G149" s="153" t="n">
        <x:v>4.84</x:v>
      </x:c>
      <x:c r="H149" s="154" t="n">
        <x:v>0.0088</x:v>
      </x:c>
      <x:c r="I149" s="158" t="n">
        <x:v>550.45</x:v>
      </x:c>
      <x:c r="J149" s="158" t="n">
        <x:v>11807.96</x:v>
      </x:c>
      <x:c r="K149" s="158" t="n">
        <x:v>6499794114.4</x:v>
      </x:c>
      <x:c r="L149" s="158"/>
      <x:c r="M149" s="141" t="str">
        <x:v>https://www.sge.com.cn/sjzx/quotation_daily_new?start_date=2024-04-01&amp;end_date=2024-04-30&amp;inst_ids=Au99.99&amp;p=</x:v>
      </x:c>
    </x:row>
    <x:row r="150">
      <x:c r="A150" s="155" t="n">
        <x:v>45411</x:v>
      </x:c>
      <x:c r="B150" s="141" t="str">
        <x:v>Ag(T+D)</x:v>
      </x:c>
      <x:c r="C150" s="153" t="n">
        <x:v>7123</x:v>
      </x:c>
      <x:c r="D150" s="153" t="n">
        <x:v>7160</x:v>
      </x:c>
      <x:c r="E150" s="153" t="n">
        <x:v>7019</x:v>
      </x:c>
      <x:c r="F150" s="153" t="n">
        <x:v>7076</x:v>
      </x:c>
      <x:c r="G150" s="153" t="n">
        <x:v>-32</x:v>
      </x:c>
      <x:c r="H150" s="154" t="n">
        <x:v>-0.0045000000000000005</x:v>
      </x:c>
      <x:c r="I150" s="158" t="n">
        <x:v>7082</x:v>
      </x:c>
      <x:c r="J150" s="158" t="n">
        <x:v>755224</x:v>
      </x:c>
      <x:c r="K150" s="158" t="n">
        <x:v>5348700228</x:v>
      </x:c>
      <x:c r="L150" s="158" t="n">
        <x:v>4717682</x:v>
      </x:c>
      <x:c r="M150" s="141" t="str">
        <x:v>https://www.sge.com.cn/sjzx/quotation_daily_new?start_date=2024-04-01&amp;end_date=2024-04-30&amp;inst_ids=Ag%28T%2BD%29&amp;p=</x:v>
      </x:c>
    </x:row>
    <x:row r="151">
      <x:c r="A151" s="155" t="n">
        <x:v>45411</x:v>
      </x:c>
      <x:c r="B151" s="141" t="str">
        <x:v>Au99.99</x:v>
      </x:c>
      <x:c r="C151" s="153" t="n">
        <x:v>552</x:v>
      </x:c>
      <x:c r="D151" s="153" t="n">
        <x:v>553</x:v>
      </x:c>
      <x:c r="E151" s="153" t="n">
        <x:v>548</x:v>
      </x:c>
      <x:c r="F151" s="153" t="n">
        <x:v>549.06</x:v>
      </x:c>
      <x:c r="G151" s="153" t="n">
        <x:v>-3.94</x:v>
      </x:c>
      <x:c r="H151" s="154" t="n">
        <x:v>-0.0070999999999999995</x:v>
      </x:c>
      <x:c r="I151" s="158" t="n">
        <x:v>548.88</x:v>
      </x:c>
      <x:c r="J151" s="158" t="n">
        <x:v>14023.7</x:v>
      </x:c>
      <x:c r="K151" s="158" t="n">
        <x:v>7697380989.6</x:v>
      </x:c>
      <x:c r="L151" s="158"/>
      <x:c r="M151" s="141" t="str">
        <x:v>https://www.sge.com.cn/sjzx/quotation_daily_new?start_date=2024-04-01&amp;end_date=2024-04-30&amp;inst_ids=Au99.99&amp;p=</x:v>
      </x:c>
    </x:row>
    <x:row r="152">
      <x:c r="A152" s="155" t="n">
        <x:v>45412</x:v>
      </x:c>
      <x:c r="B152" s="141" t="str">
        <x:v>Ag(T+D)</x:v>
      </x:c>
      <x:c r="C152" s="153" t="n">
        <x:v>7089</x:v>
      </x:c>
      <x:c r="D152" s="153" t="n">
        <x:v>7106</x:v>
      </x:c>
      <x:c r="E152" s="153" t="n">
        <x:v>6963</x:v>
      </x:c>
      <x:c r="F152" s="153" t="n">
        <x:v>7000</x:v>
      </x:c>
      <x:c r="G152" s="153" t="n">
        <x:v>-82</x:v>
      </x:c>
      <x:c r="H152" s="154" t="n">
        <x:v>-0.0116</x:v>
      </x:c>
      <x:c r="I152" s="158" t="n">
        <x:v>7026</x:v>
      </x:c>
      <x:c r="J152" s="158" t="n">
        <x:v>855164</x:v>
      </x:c>
      <x:c r="K152" s="158" t="n">
        <x:v>6008670328</x:v>
      </x:c>
      <x:c r="L152" s="158" t="n">
        <x:v>4316360</x:v>
      </x:c>
      <x:c r="M152" s="141" t="str">
        <x:v>https://www.sge.com.cn/sjzx/quotation_daily_new?start_date=2024-04-01&amp;end_date=2024-04-30&amp;inst_ids=Ag%28T%2BD%29&amp;p=</x:v>
      </x:c>
    </x:row>
    <x:row r="153">
      <x:c r="A153" s="155" t="n">
        <x:v>45412</x:v>
      </x:c>
      <x:c r="B153" s="141" t="str">
        <x:v>Au99.99</x:v>
      </x:c>
      <x:c r="C153" s="153" t="n">
        <x:v>549.2</x:v>
      </x:c>
      <x:c r="D153" s="153" t="n">
        <x:v>550</x:v>
      </x:c>
      <x:c r="E153" s="153" t="n">
        <x:v>545.67</x:v>
      </x:c>
      <x:c r="F153" s="153" t="n">
        <x:v>545.8</x:v>
      </x:c>
      <x:c r="G153" s="153" t="n">
        <x:v>-3.26</x:v>
      </x:c>
      <x:c r="H153" s="154" t="n">
        <x:v>-0.0059</x:v>
      </x:c>
      <x:c r="I153" s="158" t="n">
        <x:v>547.21</x:v>
      </x:c>
      <x:c r="J153" s="158" t="n">
        <x:v>9798.2</x:v>
      </x:c>
      <x:c r="K153" s="158" t="n">
        <x:v>5361711143.6</x:v>
      </x:c>
      <x:c r="L153" s="158"/>
      <x:c r="M153" s="141" t="str">
        <x:v>https://www.sge.com.cn/sjzx/quotation_daily_new?start_date=2024-04-01&amp;end_date=2024-04-30&amp;inst_ids=Au99.99&amp;p=</x:v>
      </x:c>
    </x:row>
    <x:row r="154">
      <x:c r="A154" s="155" t="n">
        <x:v>45418</x:v>
      </x:c>
      <x:c r="B154" s="141" t="str">
        <x:v>Ag(T+D)</x:v>
      </x:c>
      <x:c r="C154" s="153" t="n">
        <x:v>6919</x:v>
      </x:c>
      <x:c r="D154" s="153" t="n">
        <x:v>7050</x:v>
      </x:c>
      <x:c r="E154" s="153" t="n">
        <x:v>6906</x:v>
      </x:c>
      <x:c r="F154" s="153" t="n">
        <x:v>7042</x:v>
      </x:c>
      <x:c r="G154" s="153" t="n">
        <x:v>16</x:v>
      </x:c>
      <x:c r="H154" s="154" t="n">
        <x:v>0.0023</x:v>
      </x:c>
      <x:c r="I154" s="158" t="n">
        <x:v>7019</x:v>
      </x:c>
      <x:c r="J154" s="158" t="n">
        <x:v>573696</x:v>
      </x:c>
      <x:c r="K154" s="158" t="n">
        <x:v>4027267482</x:v>
      </x:c>
      <x:c r="L154" s="158" t="n">
        <x:v>4281210</x:v>
      </x:c>
      <x:c r="M154" s="141" t="str">
        <x:v>https://www.sge.com.cn/sjzx/quotation_daily_new?start_date=2024-05-01&amp;end_date=2024-05-31&amp;inst_ids=Ag%28T%2BD%29&amp;p=</x:v>
      </x:c>
    </x:row>
    <x:row r="155">
      <x:c r="A155" s="155" t="n">
        <x:v>45418</x:v>
      </x:c>
      <x:c r="B155" s="141" t="str">
        <x:v>Au99.99</x:v>
      </x:c>
      <x:c r="C155" s="153" t="n">
        <x:v>545.8</x:v>
      </x:c>
      <x:c r="D155" s="153" t="n">
        <x:v>545.8</x:v>
      </x:c>
      <x:c r="E155" s="153" t="n">
        <x:v>540</x:v>
      </x:c>
      <x:c r="F155" s="153" t="n">
        <x:v>544.13</x:v>
      </x:c>
      <x:c r="G155" s="153" t="n">
        <x:v>-1.67</x:v>
      </x:c>
      <x:c r="H155" s="154" t="n">
        <x:v>-0.0031</x:v>
      </x:c>
      <x:c r="I155" s="158" t="n">
        <x:v>543.01</x:v>
      </x:c>
      <x:c r="J155" s="158" t="n">
        <x:v>8944.7</x:v>
      </x:c>
      <x:c r="K155" s="158" t="n">
        <x:v>4857092472.2</x:v>
      </x:c>
      <x:c r="L155" s="158"/>
      <x:c r="M155" s="141" t="str">
        <x:v>https://www.sge.com.cn/sjzx/quotation_daily_new?start_date=2024-05-01&amp;end_date=2024-05-31&amp;inst_ids=Au99.99&amp;p=</x:v>
      </x:c>
    </x:row>
    <x:row r="156">
      <x:c r="A156" s="155" t="n">
        <x:v>45419</x:v>
      </x:c>
      <x:c r="B156" s="141" t="str">
        <x:v>Ag(T+D)</x:v>
      </x:c>
      <x:c r="C156" s="153" t="n">
        <x:v>7042</x:v>
      </x:c>
      <x:c r="D156" s="153" t="n">
        <x:v>7145</x:v>
      </x:c>
      <x:c r="E156" s="153" t="n">
        <x:v>7030</x:v>
      </x:c>
      <x:c r="F156" s="153" t="n">
        <x:v>7083</x:v>
      </x:c>
      <x:c r="G156" s="153" t="n">
        <x:v>64</x:v>
      </x:c>
      <x:c r="H156" s="154" t="n">
        <x:v>0.0091</x:v>
      </x:c>
      <x:c r="I156" s="158" t="n">
        <x:v>7096</x:v>
      </x:c>
      <x:c r="J156" s="158" t="n">
        <x:v>568710</x:v>
      </x:c>
      <x:c r="K156" s="158" t="n">
        <x:v>4035855622</x:v>
      </x:c>
      <x:c r="L156" s="158" t="n">
        <x:v>4179222</x:v>
      </x:c>
      <x:c r="M156" s="141" t="str">
        <x:v>https://www.sge.com.cn/sjzx/quotation_daily_new?start_date=2024-05-01&amp;end_date=2024-05-31&amp;inst_ids=Ag%28T%2BD%29&amp;p=</x:v>
      </x:c>
    </x:row>
    <x:row r="157">
      <x:c r="A157" s="155" t="n">
        <x:v>45419</x:v>
      </x:c>
      <x:c r="B157" s="141" t="str">
        <x:v>Au99.99</x:v>
      </x:c>
      <x:c r="C157" s="153" t="n">
        <x:v>544.1</x:v>
      </x:c>
      <x:c r="D157" s="153" t="n">
        <x:v>547.6</x:v>
      </x:c>
      <x:c r="E157" s="153" t="n">
        <x:v>543.3</x:v>
      </x:c>
      <x:c r="F157" s="153" t="n">
        <x:v>544.84</x:v>
      </x:c>
      <x:c r="G157" s="153" t="n">
        <x:v>0.71</x:v>
      </x:c>
      <x:c r="H157" s="154" t="n">
        <x:v>0.0013</x:v>
      </x:c>
      <x:c r="I157" s="158" t="n">
        <x:v>545.54</x:v>
      </x:c>
      <x:c r="J157" s="158" t="n">
        <x:v>7234.94</x:v>
      </x:c>
      <x:c r="K157" s="158" t="n">
        <x:v>3946957258.6</x:v>
      </x:c>
      <x:c r="L157" s="158"/>
      <x:c r="M157" s="141" t="str">
        <x:v>https://www.sge.com.cn/sjzx/quotation_daily_new?start_date=2024-05-01&amp;end_date=2024-05-31&amp;inst_ids=Au99.99&amp;p=</x:v>
      </x:c>
    </x:row>
    <x:row r="158">
      <x:c r="A158" s="155" t="n">
        <x:v>45420</x:v>
      </x:c>
      <x:c r="B158" s="141" t="str">
        <x:v>Ag(T+D)</x:v>
      </x:c>
      <x:c r="C158" s="153" t="n">
        <x:v>7090</x:v>
      </x:c>
      <x:c r="D158" s="153" t="n">
        <x:v>7129</x:v>
      </x:c>
      <x:c r="E158" s="153" t="n">
        <x:v>7037</x:v>
      </x:c>
      <x:c r="F158" s="153" t="n">
        <x:v>7097</x:v>
      </x:c>
      <x:c r="G158" s="153" t="n">
        <x:v>1</x:v>
      </x:c>
      <x:c r="H158" s="154" t="n">
        <x:v>0.0001</x:v>
      </x:c>
      <x:c r="I158" s="158" t="n">
        <x:v>7089</x:v>
      </x:c>
      <x:c r="J158" s="158" t="n">
        <x:v>612780</x:v>
      </x:c>
      <x:c r="K158" s="158" t="n">
        <x:v>4344007810</x:v>
      </x:c>
      <x:c r="L158" s="158" t="n">
        <x:v>4042588</x:v>
      </x:c>
      <x:c r="M158" s="141" t="str">
        <x:v>https://www.sge.com.cn/sjzx/quotation_daily_new?start_date=2024-05-01&amp;end_date=2024-05-31&amp;inst_ids=Ag%28T%2BD%29&amp;p=</x:v>
      </x:c>
    </x:row>
    <x:row r="159">
      <x:c r="A159" s="155" t="n">
        <x:v>45420</x:v>
      </x:c>
      <x:c r="B159" s="141" t="str">
        <x:v>Au99.99</x:v>
      </x:c>
      <x:c r="C159" s="153" t="n">
        <x:v>543</x:v>
      </x:c>
      <x:c r="D159" s="153" t="n">
        <x:v>545.9</x:v>
      </x:c>
      <x:c r="E159" s="153" t="n">
        <x:v>542.5</x:v>
      </x:c>
      <x:c r="F159" s="153" t="n">
        <x:v>544.18</x:v>
      </x:c>
      <x:c r="G159" s="153" t="n">
        <x:v>-0.66</x:v>
      </x:c>
      <x:c r="H159" s="154" t="n">
        <x:v>-0.0012</x:v>
      </x:c>
      <x:c r="I159" s="158" t="n">
        <x:v>544.27</x:v>
      </x:c>
      <x:c r="J159" s="158" t="n">
        <x:v>7743.62</x:v>
      </x:c>
      <x:c r="K159" s="158" t="n">
        <x:v>4214694909.6</x:v>
      </x:c>
      <x:c r="L159" s="158"/>
      <x:c r="M159" s="141" t="str">
        <x:v>https://www.sge.com.cn/sjzx/quotation_daily_new?start_date=2024-05-01&amp;end_date=2024-05-31&amp;inst_ids=Au99.99&amp;p=</x:v>
      </x:c>
    </x:row>
    <x:row r="160">
      <x:c r="A160" s="155" t="n">
        <x:v>45421</x:v>
      </x:c>
      <x:c r="B160" s="141" t="str">
        <x:v>Ag(T+D)</x:v>
      </x:c>
      <x:c r="C160" s="153" t="n">
        <x:v>7085</x:v>
      </x:c>
      <x:c r="D160" s="153" t="n">
        <x:v>7183</x:v>
      </x:c>
      <x:c r="E160" s="153" t="n">
        <x:v>7072</x:v>
      </x:c>
      <x:c r="F160" s="153" t="n">
        <x:v>7148</x:v>
      </x:c>
      <x:c r="G160" s="153" t="n">
        <x:v>59</x:v>
      </x:c>
      <x:c r="H160" s="154" t="n">
        <x:v>0.0083</x:v>
      </x:c>
      <x:c r="I160" s="158" t="n">
        <x:v>7120</x:v>
      </x:c>
      <x:c r="J160" s="158" t="n">
        <x:v>556874</x:v>
      </x:c>
      <x:c r="K160" s="158" t="n">
        <x:v>3965254056</x:v>
      </x:c>
      <x:c r="L160" s="158" t="n">
        <x:v>4059054</x:v>
      </x:c>
      <x:c r="M160" s="141" t="str">
        <x:v>https://www.sge.com.cn/sjzx/quotation_daily_new?start_date=2024-05-01&amp;end_date=2024-05-31&amp;inst_ids=Ag%28T%2BD%29&amp;p=</x:v>
      </x:c>
    </x:row>
    <x:row r="161">
      <x:c r="A161" s="155" t="n">
        <x:v>45421</x:v>
      </x:c>
      <x:c r="B161" s="141" t="str">
        <x:v>Au99.99</x:v>
      </x:c>
      <x:c r="C161" s="153" t="n">
        <x:v>545.6</x:v>
      </x:c>
      <x:c r="D161" s="153" t="n">
        <x:v>545.6</x:v>
      </x:c>
      <x:c r="E161" s="153" t="n">
        <x:v>543</x:v>
      </x:c>
      <x:c r="F161" s="153" t="n">
        <x:v>543.43</x:v>
      </x:c>
      <x:c r="G161" s="153" t="n">
        <x:v>-0.75</x:v>
      </x:c>
      <x:c r="H161" s="154" t="n">
        <x:v>-0.0014000000000000002</x:v>
      </x:c>
      <x:c r="I161" s="158" t="n">
        <x:v>543.72</x:v>
      </x:c>
      <x:c r="J161" s="158" t="n">
        <x:v>5752.38</x:v>
      </x:c>
      <x:c r="K161" s="158" t="n">
        <x:v>3127734599.2</x:v>
      </x:c>
      <x:c r="L161" s="158"/>
      <x:c r="M161" s="141" t="str">
        <x:v>https://www.sge.com.cn/sjzx/quotation_daily_new?start_date=2024-05-01&amp;end_date=2024-05-31&amp;inst_ids=Au99.99&amp;p=</x:v>
      </x:c>
    </x:row>
    <x:row r="162">
      <x:c r="A162" s="155" t="n">
        <x:v>45422</x:v>
      </x:c>
      <x:c r="B162" s="141" t="str">
        <x:v>Ag(T+D)</x:v>
      </x:c>
      <x:c r="C162" s="153" t="n">
        <x:v>7162</x:v>
      </x:c>
      <x:c r="D162" s="153" t="n">
        <x:v>7400</x:v>
      </x:c>
      <x:c r="E162" s="153" t="n">
        <x:v>7144</x:v>
      </x:c>
      <x:c r="F162" s="153" t="n">
        <x:v>7397</x:v>
      </x:c>
      <x:c r="G162" s="153" t="n">
        <x:v>277</x:v>
      </x:c>
      <x:c r="H162" s="154" t="n">
        <x:v>0.038900000000000004</x:v>
      </x:c>
      <x:c r="I162" s="158" t="n">
        <x:v>7311</x:v>
      </x:c>
      <x:c r="J162" s="158" t="n">
        <x:v>827110</x:v>
      </x:c>
      <x:c r="K162" s="158" t="n">
        <x:v>6047038808</x:v>
      </x:c>
      <x:c r="L162" s="158" t="n">
        <x:v>4029440</x:v>
      </x:c>
      <x:c r="M162" s="141" t="str">
        <x:v>https://www.sge.com.cn/sjzx/quotation_daily_new?start_date=2024-05-01&amp;end_date=2024-05-31&amp;inst_ids=Ag%28T%2BD%29&amp;p=</x:v>
      </x:c>
    </x:row>
    <x:row r="163">
      <x:c r="A163" s="155" t="n">
        <x:v>45422</x:v>
      </x:c>
      <x:c r="B163" s="141" t="str">
        <x:v>Au99.99</x:v>
      </x:c>
      <x:c r="C163" s="153" t="n">
        <x:v>544</x:v>
      </x:c>
      <x:c r="D163" s="153" t="n">
        <x:v>556.4</x:v>
      </x:c>
      <x:c r="E163" s="153" t="n">
        <x:v>544</x:v>
      </x:c>
      <x:c r="F163" s="153" t="n">
        <x:v>556.34</x:v>
      </x:c>
      <x:c r="G163" s="153" t="n">
        <x:v>12.91</x:v>
      </x:c>
      <x:c r="H163" s="154" t="n">
        <x:v>0.023799999999999998</x:v>
      </x:c>
      <x:c r="I163" s="158" t="n">
        <x:v>553.3</x:v>
      </x:c>
      <x:c r="J163" s="158" t="n">
        <x:v>7754.06</x:v>
      </x:c>
      <x:c r="K163" s="158" t="n">
        <x:v>4290332061.4</x:v>
      </x:c>
      <x:c r="L163" s="158"/>
      <x:c r="M163" s="141" t="str">
        <x:v>https://www.sge.com.cn/sjzx/quotation_daily_new?start_date=2024-05-01&amp;end_date=2024-05-31&amp;inst_ids=Au99.99&amp;p=</x:v>
      </x:c>
    </x:row>
    <x:row r="164">
      <x:c r="A164" s="155" t="n">
        <x:v>45425</x:v>
      </x:c>
      <x:c r="B164" s="141" t="str">
        <x:v>Ag(T+D)</x:v>
      </x:c>
      <x:c r="C164" s="153" t="n">
        <x:v>7393</x:v>
      </x:c>
      <x:c r="D164" s="153" t="n">
        <x:v>7397</x:v>
      </x:c>
      <x:c r="E164" s="153" t="n">
        <x:v>7244</x:v>
      </x:c>
      <x:c r="F164" s="153" t="n">
        <x:v>7311</x:v>
      </x:c>
      <x:c r="G164" s="153" t="n">
        <x:v>0</x:v>
      </x:c>
      <x:c r="H164" s="154" t="n">
        <x:v>0</x:v>
      </x:c>
      <x:c r="I164" s="158" t="n">
        <x:v>7299</x:v>
      </x:c>
      <x:c r="J164" s="158" t="n">
        <x:v>620098</x:v>
      </x:c>
      <x:c r="K164" s="158" t="n">
        <x:v>4526591814</x:v>
      </x:c>
      <x:c r="L164" s="158" t="n">
        <x:v>4029176</x:v>
      </x:c>
      <x:c r="M164" s="141" t="str">
        <x:v>https://www.sge.com.cn/sjzx/quotation_daily_new?start_date=2024-05-01&amp;end_date=2024-05-31&amp;inst_ids=Ag%28T%2BD%29&amp;p=</x:v>
      </x:c>
    </x:row>
    <x:row r="165">
      <x:c r="A165" s="155" t="n">
        <x:v>45425</x:v>
      </x:c>
      <x:c r="B165" s="141" t="str">
        <x:v>Au99.99</x:v>
      </x:c>
      <x:c r="C165" s="153" t="n">
        <x:v>556.5</x:v>
      </x:c>
      <x:c r="D165" s="153" t="n">
        <x:v>558</x:v>
      </x:c>
      <x:c r="E165" s="153" t="n">
        <x:v>552.1</x:v>
      </x:c>
      <x:c r="F165" s="153" t="n">
        <x:v>553.01</x:v>
      </x:c>
      <x:c r="G165" s="153" t="n">
        <x:v>-3.33</x:v>
      </x:c>
      <x:c r="H165" s="154" t="n">
        <x:v>-0.006</x:v>
      </x:c>
      <x:c r="I165" s="158" t="n">
        <x:v>554.04</x:v>
      </x:c>
      <x:c r="J165" s="158" t="n">
        <x:v>9666.76</x:v>
      </x:c>
      <x:c r="K165" s="158" t="n">
        <x:v>5355780813.2</x:v>
      </x:c>
      <x:c r="L165" s="158"/>
      <x:c r="M165" s="141" t="str">
        <x:v>https://www.sge.com.cn/sjzx/quotation_daily_new?start_date=2024-05-01&amp;end_date=2024-05-31&amp;inst_ids=Au99.99&amp;p=</x:v>
      </x:c>
    </x:row>
    <x:row r="166">
      <x:c r="A166" s="155" t="n">
        <x:v>45426</x:v>
      </x:c>
      <x:c r="B166" s="141" t="str">
        <x:v>Ag(T+D)</x:v>
      </x:c>
      <x:c r="C166" s="153" t="n">
        <x:v>7326</x:v>
      </x:c>
      <x:c r="D166" s="153" t="n">
        <x:v>7369</x:v>
      </x:c>
      <x:c r="E166" s="153" t="n">
        <x:v>7268</x:v>
      </x:c>
      <x:c r="F166" s="153" t="n">
        <x:v>7323</x:v>
      </x:c>
      <x:c r="G166" s="153" t="n">
        <x:v>24</x:v>
      </x:c>
      <x:c r="H166" s="154" t="n">
        <x:v>0.0033</x:v>
      </x:c>
      <x:c r="I166" s="158" t="n">
        <x:v>7325</x:v>
      </x:c>
      <x:c r="J166" s="158" t="n">
        <x:v>578248</x:v>
      </x:c>
      <x:c r="K166" s="158" t="n">
        <x:v>4236234708</x:v>
      </x:c>
      <x:c r="L166" s="158" t="n">
        <x:v>4036510</x:v>
      </x:c>
      <x:c r="M166" s="141" t="str">
        <x:v>https://www.sge.com.cn/sjzx/quotation_daily_new?start_date=2024-05-01&amp;end_date=2024-05-31&amp;inst_ids=Ag%28T%2BD%29&amp;p=</x:v>
      </x:c>
    </x:row>
    <x:row r="167">
      <x:c r="A167" s="155" t="n">
        <x:v>45426</x:v>
      </x:c>
      <x:c r="B167" s="141" t="str">
        <x:v>Au99.99</x:v>
      </x:c>
      <x:c r="C167" s="153" t="n">
        <x:v>552</x:v>
      </x:c>
      <x:c r="D167" s="153" t="n">
        <x:v>553.6</x:v>
      </x:c>
      <x:c r="E167" s="153" t="n">
        <x:v>550.6</x:v>
      </x:c>
      <x:c r="F167" s="153" t="n">
        <x:v>550.66</x:v>
      </x:c>
      <x:c r="G167" s="153" t="n">
        <x:v>-2.35</x:v>
      </x:c>
      <x:c r="H167" s="154" t="n">
        <x:v>-0.0042</x:v>
      </x:c>
      <x:c r="I167" s="158" t="n">
        <x:v>552.14</x:v>
      </x:c>
      <x:c r="J167" s="158" t="n">
        <x:v>9671.78</x:v>
      </x:c>
      <x:c r="K167" s="158" t="n">
        <x:v>5340222870.4</x:v>
      </x:c>
      <x:c r="L167" s="158"/>
      <x:c r="M167" s="141" t="str">
        <x:v>https://www.sge.com.cn/sjzx/quotation_daily_new?start_date=2024-05-01&amp;end_date=2024-05-31&amp;inst_ids=Au99.99&amp;p=</x:v>
      </x:c>
    </x:row>
    <x:row r="168">
      <x:c r="A168" s="155" t="n">
        <x:v>45427</x:v>
      </x:c>
      <x:c r="B168" s="141" t="str">
        <x:v>Ag(T+D)</x:v>
      </x:c>
      <x:c r="C168" s="153" t="n">
        <x:v>7329</x:v>
      </x:c>
      <x:c r="D168" s="153" t="n">
        <x:v>7398</x:v>
      </x:c>
      <x:c r="E168" s="153" t="n">
        <x:v>7295</x:v>
      </x:c>
      <x:c r="F168" s="153" t="n">
        <x:v>7379</x:v>
      </x:c>
      <x:c r="G168" s="153" t="n">
        <x:v>54</x:v>
      </x:c>
      <x:c r="H168" s="154" t="n">
        <x:v>0.0074</x:v>
      </x:c>
      <x:c r="I168" s="158" t="n">
        <x:v>7355</x:v>
      </x:c>
      <x:c r="J168" s="158" t="n">
        <x:v>523544</x:v>
      </x:c>
      <x:c r="K168" s="158" t="n">
        <x:v>3850961612</x:v>
      </x:c>
      <x:c r="L168" s="158" t="n">
        <x:v>3974806</x:v>
      </x:c>
      <x:c r="M168" s="141" t="str">
        <x:v>https://www.sge.com.cn/sjzx/quotation_daily_new?start_date=2024-05-01&amp;end_date=2024-05-31&amp;inst_ids=Ag%28T%2BD%29&amp;p=</x:v>
      </x:c>
    </x:row>
    <x:row r="169">
      <x:c r="A169" s="155" t="n">
        <x:v>45427</x:v>
      </x:c>
      <x:c r="B169" s="141" t="str">
        <x:v>Au99.99</x:v>
      </x:c>
      <x:c r="C169" s="153" t="n">
        <x:v>552.8</x:v>
      </x:c>
      <x:c r="D169" s="153" t="n">
        <x:v>561.5</x:v>
      </x:c>
      <x:c r="E169" s="153" t="n">
        <x:v>552.3</x:v>
      </x:c>
      <x:c r="F169" s="153" t="n">
        <x:v>555.99</x:v>
      </x:c>
      <x:c r="G169" s="153" t="n">
        <x:v>5.33</x:v>
      </x:c>
      <x:c r="H169" s="154" t="n">
        <x:v>0.0097</x:v>
      </x:c>
      <x:c r="I169" s="158" t="n">
        <x:v>555.43</x:v>
      </x:c>
      <x:c r="J169" s="158" t="n">
        <x:v>6951.14</x:v>
      </x:c>
      <x:c r="K169" s="158" t="n">
        <x:v>3860925709.6</x:v>
      </x:c>
      <x:c r="L169" s="158"/>
      <x:c r="M169" s="141" t="str">
        <x:v>https://www.sge.com.cn/sjzx/quotation_daily_new?start_date=2024-05-01&amp;end_date=2024-05-31&amp;inst_ids=Au99.99&amp;p=</x:v>
      </x:c>
    </x:row>
    <x:row r="170">
      <x:c r="A170" s="155" t="n">
        <x:v>45428</x:v>
      </x:c>
      <x:c r="B170" s="141" t="str">
        <x:v>Ag(T+D)</x:v>
      </x:c>
      <x:c r="C170" s="153" t="n">
        <x:v>7386</x:v>
      </x:c>
      <x:c r="D170" s="153" t="n">
        <x:v>7645</x:v>
      </x:c>
      <x:c r="E170" s="153" t="n">
        <x:v>7360</x:v>
      </x:c>
      <x:c r="F170" s="153" t="n">
        <x:v>7570</x:v>
      </x:c>
      <x:c r="G170" s="153" t="n">
        <x:v>215</x:v>
      </x:c>
      <x:c r="H170" s="154" t="n">
        <x:v>0.0292</x:v>
      </x:c>
      <x:c r="I170" s="158" t="n">
        <x:v>7530</x:v>
      </x:c>
      <x:c r="J170" s="158" t="n">
        <x:v>1159042</x:v>
      </x:c>
      <x:c r="K170" s="158" t="n">
        <x:v>8728350532</x:v>
      </x:c>
      <x:c r="L170" s="158" t="n">
        <x:v>3904348</x:v>
      </x:c>
      <x:c r="M170" s="141" t="str">
        <x:v>https://www.sge.com.cn/sjzx/quotation_daily_new?start_date=2024-05-01&amp;end_date=2024-05-31&amp;inst_ids=Ag%28T%2BD%29&amp;p=</x:v>
      </x:c>
    </x:row>
    <x:row r="171">
      <x:c r="A171" s="155" t="n">
        <x:v>45428</x:v>
      </x:c>
      <x:c r="B171" s="141" t="str">
        <x:v>Au99.99</x:v>
      </x:c>
      <x:c r="C171" s="153" t="n">
        <x:v>555</x:v>
      </x:c>
      <x:c r="D171" s="153" t="n">
        <x:v>563.5</x:v>
      </x:c>
      <x:c r="E171" s="153" t="n">
        <x:v>554.5</x:v>
      </x:c>
      <x:c r="F171" s="153" t="n">
        <x:v>560.35</x:v>
      </x:c>
      <x:c r="G171" s="153" t="n">
        <x:v>4.36</x:v>
      </x:c>
      <x:c r="H171" s="154" t="n">
        <x:v>0.0078000000000000005</x:v>
      </x:c>
      <x:c r="I171" s="158" t="n">
        <x:v>561.17</x:v>
      </x:c>
      <x:c r="J171" s="158" t="n">
        <x:v>8788.08</x:v>
      </x:c>
      <x:c r="K171" s="158" t="n">
        <x:v>4931644911.8</x:v>
      </x:c>
      <x:c r="L171" s="158"/>
      <x:c r="M171" s="141" t="str">
        <x:v>https://www.sge.com.cn/sjzx/quotation_daily_new?start_date=2024-05-01&amp;end_date=2024-05-31&amp;inst_ids=Au99.99&amp;p=</x:v>
      </x:c>
    </x:row>
    <x:row r="172">
      <x:c r="A172" s="155" t="n">
        <x:v>45429</x:v>
      </x:c>
      <x:c r="B172" s="141" t="str">
        <x:v>Ag(T+D)</x:v>
      </x:c>
      <x:c r="C172" s="153" t="n">
        <x:v>7601</x:v>
      </x:c>
      <x:c r="D172" s="153" t="n">
        <x:v>7652</x:v>
      </x:c>
      <x:c r="E172" s="153" t="n">
        <x:v>7544</x:v>
      </x:c>
      <x:c r="F172" s="153" t="n">
        <x:v>7649</x:v>
      </x:c>
      <x:c r="G172" s="153" t="n">
        <x:v>119</x:v>
      </x:c>
      <x:c r="H172" s="154" t="n">
        <x:v>0.0158</x:v>
      </x:c>
      <x:c r="I172" s="158" t="n">
        <x:v>7596</x:v>
      </x:c>
      <x:c r="J172" s="158" t="n">
        <x:v>574468</x:v>
      </x:c>
      <x:c r="K172" s="158" t="n">
        <x:v>4364124952</x:v>
      </x:c>
      <x:c r="L172" s="158" t="n">
        <x:v>3995600</x:v>
      </x:c>
      <x:c r="M172" s="141" t="str">
        <x:v>https://www.sge.com.cn/sjzx/quotation_daily_new?start_date=2024-05-01&amp;end_date=2024-05-31&amp;inst_ids=Ag%28T%2BD%29&amp;p=</x:v>
      </x:c>
    </x:row>
    <x:row r="173">
      <x:c r="A173" s="155" t="n">
        <x:v>45429</x:v>
      </x:c>
      <x:c r="B173" s="141" t="str">
        <x:v>Au99.99</x:v>
      </x:c>
      <x:c r="C173" s="153" t="n">
        <x:v>559.5</x:v>
      </x:c>
      <x:c r="D173" s="153" t="n">
        <x:v>563</x:v>
      </x:c>
      <x:c r="E173" s="153" t="n">
        <x:v>558.5</x:v>
      </x:c>
      <x:c r="F173" s="153" t="n">
        <x:v>561.44</x:v>
      </x:c>
      <x:c r="G173" s="153" t="n">
        <x:v>1.09</x:v>
      </x:c>
      <x:c r="H173" s="154" t="n">
        <x:v>0.0019</x:v>
      </x:c>
      <x:c r="I173" s="158" t="n">
        <x:v>560.16</x:v>
      </x:c>
      <x:c r="J173" s="158" t="n">
        <x:v>6402.94</x:v>
      </x:c>
      <x:c r="K173" s="158" t="n">
        <x:v>3586693275.8</x:v>
      </x:c>
      <x:c r="L173" s="158"/>
      <x:c r="M173" s="141" t="str">
        <x:v>https://www.sge.com.cn/sjzx/quotation_daily_new?start_date=2024-05-01&amp;end_date=2024-05-31&amp;inst_ids=Au99.99&amp;p=</x:v>
      </x:c>
    </x:row>
    <x:row r="174">
      <x:c r="A174" s="155" t="n">
        <x:v>45432</x:v>
      </x:c>
      <x:c r="B174" s="141" t="str">
        <x:v>Ag(T+D)</x:v>
      </x:c>
      <x:c r="C174" s="153" t="n">
        <x:v>7650</x:v>
      </x:c>
      <x:c r="D174" s="153" t="n">
        <x:v>8315</x:v>
      </x:c>
      <x:c r="E174" s="153" t="n">
        <x:v>7635</x:v>
      </x:c>
      <x:c r="F174" s="153" t="n">
        <x:v>8228</x:v>
      </x:c>
      <x:c r="G174" s="153" t="n">
        <x:v>632</x:v>
      </x:c>
      <x:c r="H174" s="154" t="n">
        <x:v>0.0832</x:v>
      </x:c>
      <x:c r="I174" s="158" t="n">
        <x:v>8142</x:v>
      </x:c>
      <x:c r="J174" s="158" t="n">
        <x:v>1641910</x:v>
      </x:c>
      <x:c r="K174" s="158" t="n">
        <x:v>13369354374</x:v>
      </x:c>
      <x:c r="L174" s="158" t="n">
        <x:v>3984908</x:v>
      </x:c>
      <x:c r="M174" s="141" t="str">
        <x:v>https://www.sge.com.cn/sjzx/quotation_daily_new?start_date=2024-05-01&amp;end_date=2024-05-31&amp;inst_ids=Ag%28T%2BD%29&amp;p=</x:v>
      </x:c>
    </x:row>
    <x:row r="175">
      <x:c r="A175" s="155" t="n">
        <x:v>45432</x:v>
      </x:c>
      <x:c r="B175" s="141" t="str">
        <x:v>Au99.99</x:v>
      </x:c>
      <x:c r="C175" s="153" t="n">
        <x:v>562</x:v>
      </x:c>
      <x:c r="D175" s="153" t="n">
        <x:v>578</x:v>
      </x:c>
      <x:c r="E175" s="153" t="n">
        <x:v>562</x:v>
      </x:c>
      <x:c r="F175" s="153" t="n">
        <x:v>573.8</x:v>
      </x:c>
      <x:c r="G175" s="153" t="n">
        <x:v>12.36</x:v>
      </x:c>
      <x:c r="H175" s="154" t="n">
        <x:v>0.022000000000000002</x:v>
      </x:c>
      <x:c r="I175" s="158" t="n">
        <x:v>573.89</x:v>
      </x:c>
      <x:c r="J175" s="158" t="n">
        <x:v>12573.8</x:v>
      </x:c>
      <x:c r="K175" s="158" t="n">
        <x:v>7216096929.2</x:v>
      </x:c>
      <x:c r="L175" s="158"/>
      <x:c r="M175" s="141" t="str">
        <x:v>https://www.sge.com.cn/sjzx/quotation_daily_new?start_date=2024-05-01&amp;end_date=2024-05-31&amp;inst_ids=Au99.99&amp;p=</x:v>
      </x:c>
    </x:row>
    <x:row r="176">
      <x:c r="A176" s="155" t="n">
        <x:v>45433</x:v>
      </x:c>
      <x:c r="B176" s="141" t="str">
        <x:v>Ag(T+D)</x:v>
      </x:c>
      <x:c r="C176" s="153" t="n">
        <x:v>8190</x:v>
      </x:c>
      <x:c r="D176" s="153" t="n">
        <x:v>8697</x:v>
      </x:c>
      <x:c r="E176" s="153" t="n">
        <x:v>8078</x:v>
      </x:c>
      <x:c r="F176" s="153" t="n">
        <x:v>8260</x:v>
      </x:c>
      <x:c r="G176" s="153" t="n">
        <x:v>118</x:v>
      </x:c>
      <x:c r="H176" s="154" t="n">
        <x:v>0.014499999999999999</x:v>
      </x:c>
      <x:c r="I176" s="158" t="n">
        <x:v>8279</x:v>
      </x:c>
      <x:c r="J176" s="158" t="n">
        <x:v>1415848</x:v>
      </x:c>
      <x:c r="K176" s="158" t="n">
        <x:v>11722301738</x:v>
      </x:c>
      <x:c r="L176" s="158" t="n">
        <x:v>3660304</x:v>
      </x:c>
      <x:c r="M176" s="141" t="str">
        <x:v>https://www.sge.com.cn/sjzx/quotation_daily_new?start_date=2024-05-01&amp;end_date=2024-05-31&amp;inst_ids=Ag%28T%2BD%29&amp;p=</x:v>
      </x:c>
    </x:row>
    <x:row r="177">
      <x:c r="A177" s="155" t="n">
        <x:v>45433</x:v>
      </x:c>
      <x:c r="B177" s="141" t="str">
        <x:v>Au99.99</x:v>
      </x:c>
      <x:c r="C177" s="153" t="n">
        <x:v>572</x:v>
      </x:c>
      <x:c r="D177" s="153" t="n">
        <x:v>576</x:v>
      </x:c>
      <x:c r="E177" s="153" t="n">
        <x:v>566.3</x:v>
      </x:c>
      <x:c r="F177" s="153" t="n">
        <x:v>568.96</x:v>
      </x:c>
      <x:c r="G177" s="153" t="n">
        <x:v>-4.84</x:v>
      </x:c>
      <x:c r="H177" s="154" t="n">
        <x:v>-0.0084</x:v>
      </x:c>
      <x:c r="I177" s="158" t="n">
        <x:v>570.2</x:v>
      </x:c>
      <x:c r="J177" s="158" t="n">
        <x:v>6834.7</x:v>
      </x:c>
      <x:c r="K177" s="158" t="n">
        <x:v>3897162746.4</x:v>
      </x:c>
      <x:c r="L177" s="158"/>
      <x:c r="M177" s="141" t="str">
        <x:v>https://www.sge.com.cn/sjzx/quotation_daily_new?start_date=2024-05-01&amp;end_date=2024-05-31&amp;inst_ids=Au99.99&amp;p=</x:v>
      </x:c>
    </x:row>
    <x:row r="178">
      <x:c r="A178" s="155" t="n">
        <x:v>45434</x:v>
      </x:c>
      <x:c r="B178" s="141" t="str">
        <x:v>Ag(T+D)</x:v>
      </x:c>
      <x:c r="C178" s="153" t="n">
        <x:v>8272</x:v>
      </x:c>
      <x:c r="D178" s="153" t="n">
        <x:v>8487</x:v>
      </x:c>
      <x:c r="E178" s="153" t="n">
        <x:v>8230</x:v>
      </x:c>
      <x:c r="F178" s="153" t="n">
        <x:v>8313</x:v>
      </x:c>
      <x:c r="G178" s="153" t="n">
        <x:v>34</x:v>
      </x:c>
      <x:c r="H178" s="154" t="n">
        <x:v>0.0040999999999999995</x:v>
      </x:c>
      <x:c r="I178" s="158" t="n">
        <x:v>8345</x:v>
      </x:c>
      <x:c r="J178" s="158" t="n">
        <x:v>609004</x:v>
      </x:c>
      <x:c r="K178" s="158" t="n">
        <x:v>5082277654</x:v>
      </x:c>
      <x:c r="L178" s="158" t="n">
        <x:v>3698048</x:v>
      </x:c>
      <x:c r="M178" s="141" t="str">
        <x:v>https://www.sge.com.cn/sjzx/quotation_daily_new?start_date=2024-05-01&amp;end_date=2024-05-31&amp;inst_ids=Ag%28T%2BD%29&amp;p=</x:v>
      </x:c>
    </x:row>
    <x:row r="179">
      <x:c r="A179" s="155" t="n">
        <x:v>45434</x:v>
      </x:c>
      <x:c r="B179" s="141" t="str">
        <x:v>Au99.99</x:v>
      </x:c>
      <x:c r="C179" s="153" t="n">
        <x:v>570.5</x:v>
      </x:c>
      <x:c r="D179" s="153" t="n">
        <x:v>572.5</x:v>
      </x:c>
      <x:c r="E179" s="153" t="n">
        <x:v>568.1</x:v>
      </x:c>
      <x:c r="F179" s="153" t="n">
        <x:v>568.6</x:v>
      </x:c>
      <x:c r="G179" s="153" t="n">
        <x:v>-0.36</x:v>
      </x:c>
      <x:c r="H179" s="154" t="n">
        <x:v>-0.0006</x:v>
      </x:c>
      <x:c r="I179" s="158" t="n">
        <x:v>569.35</x:v>
      </x:c>
      <x:c r="J179" s="158" t="n">
        <x:v>7459.64</x:v>
      </x:c>
      <x:c r="K179" s="158" t="n">
        <x:v>4247155504</x:v>
      </x:c>
      <x:c r="L179" s="158"/>
      <x:c r="M179" s="141" t="str">
        <x:v>https://www.sge.com.cn/sjzx/quotation_daily_new?start_date=2024-05-01&amp;end_date=2024-05-31&amp;inst_ids=Au99.99&amp;p=</x:v>
      </x:c>
    </x:row>
    <x:row r="180">
      <x:c r="A180" s="155" t="n">
        <x:v>45435</x:v>
      </x:c>
      <x:c r="B180" s="141" t="str">
        <x:v>Ag(T+D)</x:v>
      </x:c>
      <x:c r="C180" s="153" t="n">
        <x:v>8245</x:v>
      </x:c>
      <x:c r="D180" s="153" t="n">
        <x:v>8313</x:v>
      </x:c>
      <x:c r="E180" s="153" t="n">
        <x:v>7852</x:v>
      </x:c>
      <x:c r="F180" s="153" t="n">
        <x:v>7945</x:v>
      </x:c>
      <x:c r="G180" s="153" t="n">
        <x:v>-400</x:v>
      </x:c>
      <x:c r="H180" s="154" t="n">
        <x:v>-0.0479</x:v>
      </x:c>
      <x:c r="I180" s="158" t="n">
        <x:v>8015</x:v>
      </x:c>
      <x:c r="J180" s="158" t="n">
        <x:v>670558</x:v>
      </x:c>
      <x:c r="K180" s="158" t="n">
        <x:v>5375039192</x:v>
      </x:c>
      <x:c r="L180" s="158" t="n">
        <x:v>3738298</x:v>
      </x:c>
      <x:c r="M180" s="141" t="str">
        <x:v>https://www.sge.com.cn/sjzx/quotation_daily_new?start_date=2024-05-01&amp;end_date=2024-05-31&amp;inst_ids=Ag%28T%2BD%29&amp;p=</x:v>
      </x:c>
    </x:row>
    <x:row r="181">
      <x:c r="A181" s="155" t="n">
        <x:v>45435</x:v>
      </x:c>
      <x:c r="B181" s="141" t="str">
        <x:v>Au99.99</x:v>
      </x:c>
      <x:c r="C181" s="153" t="n">
        <x:v>570</x:v>
      </x:c>
      <x:c r="D181" s="153" t="n">
        <x:v>570</x:v>
      </x:c>
      <x:c r="E181" s="153" t="n">
        <x:v>554</x:v>
      </x:c>
      <x:c r="F181" s="153" t="n">
        <x:v>556.72</x:v>
      </x:c>
      <x:c r="G181" s="153" t="n">
        <x:v>-11.88</x:v>
      </x:c>
      <x:c r="H181" s="154" t="n">
        <x:v>-0.0209</x:v>
      </x:c>
      <x:c r="I181" s="158" t="n">
        <x:v>557.02</x:v>
      </x:c>
      <x:c r="J181" s="158" t="n">
        <x:v>10204.94</x:v>
      </x:c>
      <x:c r="K181" s="158" t="n">
        <x:v>5684435692</x:v>
      </x:c>
      <x:c r="L181" s="158"/>
      <x:c r="M181" s="141" t="str">
        <x:v>https://www.sge.com.cn/sjzx/quotation_daily_new?start_date=2024-05-01&amp;end_date=2024-05-31&amp;inst_ids=Au99.99&amp;p=</x:v>
      </x:c>
    </x:row>
    <x:row r="182">
      <x:c r="A182" s="155" t="n">
        <x:v>45436</x:v>
      </x:c>
      <x:c r="B182" s="141" t="str">
        <x:v>Ag(T+D)</x:v>
      </x:c>
      <x:c r="C182" s="153" t="n">
        <x:v>7967</x:v>
      </x:c>
      <x:c r="D182" s="153" t="n">
        <x:v>8057</x:v>
      </x:c>
      <x:c r="E182" s="153" t="n">
        <x:v>7828</x:v>
      </x:c>
      <x:c r="F182" s="153" t="n">
        <x:v>7995</x:v>
      </x:c>
      <x:c r="G182" s="153" t="n">
        <x:v>-20</x:v>
      </x:c>
      <x:c r="H182" s="154" t="n">
        <x:v>-0.0025</x:v>
      </x:c>
      <x:c r="I182" s="158" t="n">
        <x:v>7957</x:v>
      </x:c>
      <x:c r="J182" s="158" t="n">
        <x:v>621170</x:v>
      </x:c>
      <x:c r="K182" s="158" t="n">
        <x:v>4942994862</x:v>
      </x:c>
      <x:c r="L182" s="158" t="n">
        <x:v>3771304</x:v>
      </x:c>
      <x:c r="M182" s="141" t="str">
        <x:v>https://www.sge.com.cn/sjzx/quotation_daily_new?start_date=2024-05-01&amp;end_date=2024-05-31&amp;inst_ids=Ag%28T%2BD%29&amp;p=</x:v>
      </x:c>
    </x:row>
    <x:row r="183">
      <x:c r="A183" s="155" t="n">
        <x:v>45436</x:v>
      </x:c>
      <x:c r="B183" s="141" t="str">
        <x:v>Au99.99</x:v>
      </x:c>
      <x:c r="C183" s="153" t="n">
        <x:v>556.54</x:v>
      </x:c>
      <x:c r="D183" s="153" t="n">
        <x:v>556.54</x:v>
      </x:c>
      <x:c r="E183" s="153" t="n">
        <x:v>547.52</x:v>
      </x:c>
      <x:c r="F183" s="153" t="n">
        <x:v>551.43</x:v>
      </x:c>
      <x:c r="G183" s="153" t="n">
        <x:v>-5.29</x:v>
      </x:c>
      <x:c r="H183" s="154" t="n">
        <x:v>-0.0095</x:v>
      </x:c>
      <x:c r="I183" s="158" t="n">
        <x:v>549.78</x:v>
      </x:c>
      <x:c r="J183" s="158" t="n">
        <x:v>11745.12</x:v>
      </x:c>
      <x:c r="K183" s="158" t="n">
        <x:v>6457244745.2</x:v>
      </x:c>
      <x:c r="L183" s="158"/>
      <x:c r="M183" s="141" t="str">
        <x:v>https://www.sge.com.cn/sjzx/quotation_daily_new?start_date=2024-05-01&amp;end_date=2024-05-31&amp;inst_ids=Au99.99&amp;p=</x:v>
      </x:c>
    </x:row>
    <x:row r="184">
      <x:c r="A184" s="155" t="n">
        <x:v>45439</x:v>
      </x:c>
      <x:c r="B184" s="141" t="str">
        <x:v>Ag(T+D)</x:v>
      </x:c>
      <x:c r="C184" s="153" t="n">
        <x:v>8001</x:v>
      </x:c>
      <x:c r="D184" s="153" t="n">
        <x:v>8136</x:v>
      </x:c>
      <x:c r="E184" s="153" t="n">
        <x:v>7915</x:v>
      </x:c>
      <x:c r="F184" s="153" t="n">
        <x:v>8077</x:v>
      </x:c>
      <x:c r="G184" s="153" t="n">
        <x:v>120</x:v>
      </x:c>
      <x:c r="H184" s="154" t="n">
        <x:v>0.0151</x:v>
      </x:c>
      <x:c r="I184" s="158" t="n">
        <x:v>8039</x:v>
      </x:c>
      <x:c r="J184" s="158" t="n">
        <x:v>413020</x:v>
      </x:c>
      <x:c r="K184" s="158" t="n">
        <x:v>3320318728</x:v>
      </x:c>
      <x:c r="L184" s="158" t="n">
        <x:v>3858144</x:v>
      </x:c>
      <x:c r="M184" s="141" t="str">
        <x:v>https://www.sge.com.cn/sjzx/quotation_daily_new?start_date=2024-05-01&amp;end_date=2024-05-31&amp;inst_ids=Ag%28T%2BD%29&amp;p=</x:v>
      </x:c>
    </x:row>
    <x:row r="185">
      <x:c r="A185" s="155" t="n">
        <x:v>45439</x:v>
      </x:c>
      <x:c r="B185" s="141" t="str">
        <x:v>Au99.99</x:v>
      </x:c>
      <x:c r="C185" s="153" t="n">
        <x:v>551</x:v>
      </x:c>
      <x:c r="D185" s="153" t="n">
        <x:v>554.98</x:v>
      </x:c>
      <x:c r="E185" s="153" t="n">
        <x:v>550.83</x:v>
      </x:c>
      <x:c r="F185" s="153" t="n">
        <x:v>551.6</x:v>
      </x:c>
      <x:c r="G185" s="153" t="n">
        <x:v>0.17</x:v>
      </x:c>
      <x:c r="H185" s="154" t="n">
        <x:v>0.0003</x:v>
      </x:c>
      <x:c r="I185" s="158" t="n">
        <x:v>552.7</x:v>
      </x:c>
      <x:c r="J185" s="158" t="n">
        <x:v>10694.58</x:v>
      </x:c>
      <x:c r="K185" s="158" t="n">
        <x:v>5910991530.4</x:v>
      </x:c>
      <x:c r="L185" s="158"/>
      <x:c r="M185" s="141" t="str">
        <x:v>https://www.sge.com.cn/sjzx/quotation_daily_new?start_date=2024-05-01&amp;end_date=2024-05-31&amp;inst_ids=Au99.99&amp;p=</x:v>
      </x:c>
    </x:row>
    <x:row r="186">
      <x:c r="A186" s="155" t="n">
        <x:v>45440</x:v>
      </x:c>
      <x:c r="B186" s="141" t="str">
        <x:v>Ag(T+D)</x:v>
      </x:c>
      <x:c r="C186" s="153" t="n">
        <x:v>8090</x:v>
      </x:c>
      <x:c r="D186" s="153" t="n">
        <x:v>8420</x:v>
      </x:c>
      <x:c r="E186" s="153" t="n">
        <x:v>8082</x:v>
      </x:c>
      <x:c r="F186" s="153" t="n">
        <x:v>8281</x:v>
      </x:c>
      <x:c r="G186" s="153" t="n">
        <x:v>242</x:v>
      </x:c>
      <x:c r="H186" s="154" t="n">
        <x:v>0.0301</x:v>
      </x:c>
      <x:c r="I186" s="158" t="n">
        <x:v>8295</x:v>
      </x:c>
      <x:c r="J186" s="158" t="n">
        <x:v>951440</x:v>
      </x:c>
      <x:c r="K186" s="158" t="n">
        <x:v>7892718304</x:v>
      </x:c>
      <x:c r="L186" s="158" t="n">
        <x:v>3787042</x:v>
      </x:c>
      <x:c r="M186" s="141" t="str">
        <x:v>https://www.sge.com.cn/sjzx/quotation_daily_new?start_date=2024-05-01&amp;end_date=2024-05-31&amp;inst_ids=Ag%28T%2BD%29&amp;p=</x:v>
      </x:c>
    </x:row>
    <x:row r="187">
      <x:c r="A187" s="155" t="n">
        <x:v>45440</x:v>
      </x:c>
      <x:c r="B187" s="141" t="str">
        <x:v>Au99.99</x:v>
      </x:c>
      <x:c r="C187" s="153" t="n">
        <x:v>553</x:v>
      </x:c>
      <x:c r="D187" s="153" t="n">
        <x:v>556.3</x:v>
      </x:c>
      <x:c r="E187" s="153" t="n">
        <x:v>552.5</x:v>
      </x:c>
      <x:c r="F187" s="153" t="n">
        <x:v>552.7</x:v>
      </x:c>
      <x:c r="G187" s="153" t="n">
        <x:v>1.1</x:v>
      </x:c>
      <x:c r="H187" s="154" t="n">
        <x:v>0.002</x:v>
      </x:c>
      <x:c r="I187" s="158" t="n">
        <x:v>554.85</x:v>
      </x:c>
      <x:c r="J187" s="158" t="n">
        <x:v>8898.5</x:v>
      </x:c>
      <x:c r="K187" s="158" t="n">
        <x:v>4937408182.8</x:v>
      </x:c>
      <x:c r="L187" s="158"/>
      <x:c r="M187" s="141" t="str">
        <x:v>https://www.sge.com.cn/sjzx/quotation_daily_new?start_date=2024-05-01&amp;end_date=2024-05-31&amp;inst_ids=Au99.99&amp;p=</x:v>
      </x:c>
    </x:row>
    <x:row r="188">
      <x:c r="A188" s="155" t="n">
        <x:v>45441</x:v>
      </x:c>
      <x:c r="B188" s="141" t="str">
        <x:v>Ag(T+D)</x:v>
      </x:c>
      <x:c r="C188" s="153" t="n">
        <x:v>8303</x:v>
      </x:c>
      <x:c r="D188" s="153" t="n">
        <x:v>8515</x:v>
      </x:c>
      <x:c r="E188" s="153" t="n">
        <x:v>8270</x:v>
      </x:c>
      <x:c r="F188" s="153" t="n">
        <x:v>8473</x:v>
      </x:c>
      <x:c r="G188" s="153" t="n">
        <x:v>178</x:v>
      </x:c>
      <x:c r="H188" s="154" t="n">
        <x:v>0.0215</x:v>
      </x:c>
      <x:c r="I188" s="158" t="n">
        <x:v>8414</x:v>
      </x:c>
      <x:c r="J188" s="158" t="n">
        <x:v>669256</x:v>
      </x:c>
      <x:c r="K188" s="158" t="n">
        <x:v>5631619820</x:v>
      </x:c>
      <x:c r="L188" s="158" t="n">
        <x:v>3800576</x:v>
      </x:c>
      <x:c r="M188" s="141" t="str">
        <x:v>https://www.sge.com.cn/sjzx/quotation_daily_new?start_date=2024-05-01&amp;end_date=2024-05-31&amp;inst_ids=Ag%28T%2BD%29&amp;p=</x:v>
      </x:c>
    </x:row>
    <x:row r="189">
      <x:c r="A189" s="155" t="n">
        <x:v>45441</x:v>
      </x:c>
      <x:c r="B189" s="141" t="str">
        <x:v>Au99.99</x:v>
      </x:c>
      <x:c r="C189" s="153" t="n">
        <x:v>556</x:v>
      </x:c>
      <x:c r="D189" s="153" t="n">
        <x:v>558</x:v>
      </x:c>
      <x:c r="E189" s="153" t="n">
        <x:v>554.9</x:v>
      </x:c>
      <x:c r="F189" s="153" t="n">
        <x:v>555.76</x:v>
      </x:c>
      <x:c r="G189" s="153" t="n">
        <x:v>3.06</x:v>
      </x:c>
      <x:c r="H189" s="154" t="n">
        <x:v>0.0055000000000000005</x:v>
      </x:c>
      <x:c r="I189" s="158" t="n">
        <x:v>556.24</x:v>
      </x:c>
      <x:c r="J189" s="158" t="n">
        <x:v>8848.48</x:v>
      </x:c>
      <x:c r="K189" s="158" t="n">
        <x:v>4921962521.2</x:v>
      </x:c>
      <x:c r="L189" s="158"/>
      <x:c r="M189" s="141" t="str">
        <x:v>https://www.sge.com.cn/sjzx/quotation_daily_new?start_date=2024-05-01&amp;end_date=2024-05-31&amp;inst_ids=Au99.99&amp;p=</x:v>
      </x:c>
    </x:row>
    <x:row r="190">
      <x:c r="A190" s="155" t="n">
        <x:v>45442</x:v>
      </x:c>
      <x:c r="B190" s="141" t="str">
        <x:v>Ag(T+D)</x:v>
      </x:c>
      <x:c r="C190" s="153" t="n">
        <x:v>8433</x:v>
      </x:c>
      <x:c r="D190" s="153" t="n">
        <x:v>8489</x:v>
      </x:c>
      <x:c r="E190" s="153" t="n">
        <x:v>8168</x:v>
      </x:c>
      <x:c r="F190" s="153" t="n">
        <x:v>8282</x:v>
      </x:c>
      <x:c r="G190" s="153" t="n">
        <x:v>-132</x:v>
      </x:c>
      <x:c r="H190" s="154" t="n">
        <x:v>-0.015700000000000002</x:v>
      </x:c>
      <x:c r="I190" s="158" t="n">
        <x:v>8300</x:v>
      </x:c>
      <x:c r="J190" s="158" t="n">
        <x:v>599484</x:v>
      </x:c>
      <x:c r="K190" s="158" t="n">
        <x:v>4976029254</x:v>
      </x:c>
      <x:c r="L190" s="158" t="n">
        <x:v>3720426</x:v>
      </x:c>
      <x:c r="M190" s="141" t="str">
        <x:v>https://www.sge.com.cn/sjzx/quotation_daily_new?start_date=2024-05-01&amp;end_date=2024-05-31&amp;inst_ids=Ag%28T%2BD%29&amp;p=</x:v>
      </x:c>
    </x:row>
    <x:row r="191">
      <x:c r="A191" s="155" t="n">
        <x:v>45442</x:v>
      </x:c>
      <x:c r="B191" s="141" t="str">
        <x:v>Au99.99</x:v>
      </x:c>
      <x:c r="C191" s="153" t="n">
        <x:v>555</x:v>
      </x:c>
      <x:c r="D191" s="153" t="n">
        <x:v>555</x:v>
      </x:c>
      <x:c r="E191" s="153" t="n">
        <x:v>548.5</x:v>
      </x:c>
      <x:c r="F191" s="153" t="n">
        <x:v>551.72</x:v>
      </x:c>
      <x:c r="G191" s="153" t="n">
        <x:v>-4.04</x:v>
      </x:c>
      <x:c r="H191" s="154" t="n">
        <x:v>-0.0073</x:v>
      </x:c>
      <x:c r="I191" s="158" t="n">
        <x:v>550.97</x:v>
      </x:c>
      <x:c r="J191" s="158" t="n">
        <x:v>8561.86</x:v>
      </x:c>
      <x:c r="K191" s="158" t="n">
        <x:v>4717360759.4</x:v>
      </x:c>
      <x:c r="L191" s="158"/>
      <x:c r="M191" s="141" t="str">
        <x:v>https://www.sge.com.cn/sjzx/quotation_daily_new?start_date=2024-05-01&amp;end_date=2024-05-31&amp;inst_ids=Au99.99&amp;p=</x:v>
      </x:c>
    </x:row>
    <x:row r="192">
      <x:c r="A192" s="155" t="n">
        <x:v>45443</x:v>
      </x:c>
      <x:c r="B192" s="141" t="str">
        <x:v>Ag(T+D)</x:v>
      </x:c>
      <x:c r="C192" s="153" t="n">
        <x:v>8225</x:v>
      </x:c>
      <x:c r="D192" s="153" t="n">
        <x:v>8358</x:v>
      </x:c>
      <x:c r="E192" s="153" t="n">
        <x:v>8095</x:v>
      </x:c>
      <x:c r="F192" s="153" t="n">
        <x:v>8212</x:v>
      </x:c>
      <x:c r="G192" s="153" t="n">
        <x:v>-88</x:v>
      </x:c>
      <x:c r="H192" s="154" t="n">
        <x:v>-0.0106</x:v>
      </x:c>
      <x:c r="I192" s="158" t="n">
        <x:v>8211</x:v>
      </x:c>
      <x:c r="J192" s="158" t="n">
        <x:v>562684</x:v>
      </x:c>
      <x:c r="K192" s="158" t="n">
        <x:v>4620745270</x:v>
      </x:c>
      <x:c r="L192" s="158" t="n">
        <x:v>3757120</x:v>
      </x:c>
      <x:c r="M192" s="141" t="str">
        <x:v>https://www.sge.com.cn/sjzx/quotation_daily_new?start_date=2024-05-01&amp;end_date=2024-05-31&amp;inst_ids=Ag%28T%2BD%29&amp;p=</x:v>
      </x:c>
    </x:row>
    <x:row r="193">
      <x:c r="A193" s="155" t="n">
        <x:v>45443</x:v>
      </x:c>
      <x:c r="B193" s="141" t="str">
        <x:v>Au99.99</x:v>
      </x:c>
      <x:c r="C193" s="153" t="n">
        <x:v>551.5</x:v>
      </x:c>
      <x:c r="D193" s="153" t="n">
        <x:v>558.3</x:v>
      </x:c>
      <x:c r="E193" s="153" t="n">
        <x:v>551.5</x:v>
      </x:c>
      <x:c r="F193" s="153" t="n">
        <x:v>553.6</x:v>
      </x:c>
      <x:c r="G193" s="153" t="n">
        <x:v>1.88</x:v>
      </x:c>
      <x:c r="H193" s="154" t="n">
        <x:v>0.0034000000000000002</x:v>
      </x:c>
      <x:c r="I193" s="158" t="n">
        <x:v>552.99</x:v>
      </x:c>
      <x:c r="J193" s="158" t="n">
        <x:v>7702.46</x:v>
      </x:c>
      <x:c r="K193" s="158" t="n">
        <x:v>4259430313</x:v>
      </x:c>
      <x:c r="L193" s="158"/>
      <x:c r="M193" s="141" t="str">
        <x:v>https://www.sge.com.cn/sjzx/quotation_daily_new?start_date=2024-05-01&amp;end_date=2024-05-31&amp;inst_ids=Au99.99&amp;p=</x:v>
      </x:c>
    </x:row>
    <x:row r="194">
      <x:c r="A194" s="155" t="n">
        <x:v>45446</x:v>
      </x:c>
      <x:c r="B194" s="141" t="str">
        <x:v>Ag(T+D)</x:v>
      </x:c>
      <x:c r="C194" s="153" t="n">
        <x:v>8247</x:v>
      </x:c>
      <x:c r="D194" s="153" t="n">
        <x:v>8366</x:v>
      </x:c>
      <x:c r="E194" s="153" t="n">
        <x:v>7811</x:v>
      </x:c>
      <x:c r="F194" s="153" t="n">
        <x:v>7951</x:v>
      </x:c>
      <x:c r="G194" s="153" t="n">
        <x:v>-260</x:v>
      </x:c>
      <x:c r="H194" s="154" t="n">
        <x:v>-0.0317</x:v>
      </x:c>
      <x:c r="I194" s="158" t="n">
        <x:v>8027</x:v>
      </x:c>
      <x:c r="J194" s="158" t="n">
        <x:v>591928</x:v>
      </x:c>
      <x:c r="K194" s="158" t="n">
        <x:v>4751709600</x:v>
      </x:c>
      <x:c r="L194" s="158" t="n">
        <x:v>3713030</x:v>
      </x:c>
      <x:c r="M194" s="141" t="str">
        <x:v>https://www.sge.com.cn/sjzx/quotation_daily_new?start_date=2024-06-01&amp;end_date=2024-06-30&amp;inst_ids=Ag%28T%2BD%29&amp;p=</x:v>
      </x:c>
    </x:row>
    <x:row r="195">
      <x:c r="A195" s="155" t="n">
        <x:v>45446</x:v>
      </x:c>
      <x:c r="B195" s="141" t="str">
        <x:v>Au99.99</x:v>
      </x:c>
      <x:c r="C195" s="153" t="n">
        <x:v>553.5</x:v>
      </x:c>
      <x:c r="D195" s="153" t="n">
        <x:v>556.5</x:v>
      </x:c>
      <x:c r="E195" s="153" t="n">
        <x:v>546.38</x:v>
      </x:c>
      <x:c r="F195" s="153" t="n">
        <x:v>549.19</x:v>
      </x:c>
      <x:c r="G195" s="153" t="n">
        <x:v>-4.41</x:v>
      </x:c>
      <x:c r="H195" s="154" t="n">
        <x:v>-0.008</x:v>
      </x:c>
      <x:c r="I195" s="158" t="n">
        <x:v>549.1</x:v>
      </x:c>
      <x:c r="J195" s="158" t="n">
        <x:v>10866.54</x:v>
      </x:c>
      <x:c r="K195" s="158" t="n">
        <x:v>5966853077.2</x:v>
      </x:c>
      <x:c r="L195" s="158"/>
      <x:c r="M195" s="141" t="str">
        <x:v>https://www.sge.com.cn/sjzx/quotation_daily_new?start_date=2024-06-01&amp;end_date=2024-06-30&amp;inst_ids=Au99.99&amp;p=</x:v>
      </x:c>
    </x:row>
    <x:row r="196">
      <x:c r="A196" s="155" t="n">
        <x:v>45447</x:v>
      </x:c>
      <x:c r="B196" s="141" t="str">
        <x:v>Ag(T+D)</x:v>
      </x:c>
      <x:c r="C196" s="153" t="n">
        <x:v>8000</x:v>
      </x:c>
      <x:c r="D196" s="153" t="n">
        <x:v>8098</x:v>
      </x:c>
      <x:c r="E196" s="153" t="n">
        <x:v>7921</x:v>
      </x:c>
      <x:c r="F196" s="153" t="n">
        <x:v>8045</x:v>
      </x:c>
      <x:c r="G196" s="153" t="n">
        <x:v>18</x:v>
      </x:c>
      <x:c r="H196" s="154" t="n">
        <x:v>0.0022</x:v>
      </x:c>
      <x:c r="I196" s="158" t="n">
        <x:v>8030</x:v>
      </x:c>
      <x:c r="J196" s="158" t="n">
        <x:v>534312</x:v>
      </x:c>
      <x:c r="K196" s="158" t="n">
        <x:v>4290795948</x:v>
      </x:c>
      <x:c r="L196" s="158" t="n">
        <x:v>3795426</x:v>
      </x:c>
      <x:c r="M196" s="141" t="str">
        <x:v>https://www.sge.com.cn/sjzx/quotation_daily_new?start_date=2024-06-01&amp;end_date=2024-06-30&amp;inst_ids=Ag%28T%2BD%29&amp;p=</x:v>
      </x:c>
    </x:row>
    <x:row r="197">
      <x:c r="A197" s="155" t="n">
        <x:v>45447</x:v>
      </x:c>
      <x:c r="B197" s="141" t="str">
        <x:v>Au99.99</x:v>
      </x:c>
      <x:c r="C197" s="153" t="n">
        <x:v>550</x:v>
      </x:c>
      <x:c r="D197" s="153" t="n">
        <x:v>554.8</x:v>
      </x:c>
      <x:c r="E197" s="153" t="n">
        <x:v>550</x:v>
      </x:c>
      <x:c r="F197" s="153" t="n">
        <x:v>553.49</x:v>
      </x:c>
      <x:c r="G197" s="153" t="n">
        <x:v>4.3</x:v>
      </x:c>
      <x:c r="H197" s="154" t="n">
        <x:v>0.0078000000000000005</x:v>
      </x:c>
      <x:c r="I197" s="158" t="n">
        <x:v>553.84</x:v>
      </x:c>
      <x:c r="J197" s="158" t="n">
        <x:v>9205.42</x:v>
      </x:c>
      <x:c r="K197" s="158" t="n">
        <x:v>5098370593.8</x:v>
      </x:c>
      <x:c r="L197" s="158"/>
      <x:c r="M197" s="141" t="str">
        <x:v>https://www.sge.com.cn/sjzx/quotation_daily_new?start_date=2024-06-01&amp;end_date=2024-06-30&amp;inst_ids=Au99.99&amp;p=</x:v>
      </x:c>
    </x:row>
    <x:row r="198">
      <x:c r="A198" s="155" t="n">
        <x:v>45448</x:v>
      </x:c>
      <x:c r="B198" s="141" t="str">
        <x:v>Ag(T+D)</x:v>
      </x:c>
      <x:c r="C198" s="153" t="n">
        <x:v>7870</x:v>
      </x:c>
      <x:c r="D198" s="153" t="n">
        <x:v>7903</x:v>
      </x:c>
      <x:c r="E198" s="153" t="n">
        <x:v>7715</x:v>
      </x:c>
      <x:c r="F198" s="153" t="n">
        <x:v>7742</x:v>
      </x:c>
      <x:c r="G198" s="153" t="n">
        <x:v>-288</x:v>
      </x:c>
      <x:c r="H198" s="154" t="n">
        <x:v>-0.0359</x:v>
      </x:c>
      <x:c r="I198" s="158" t="n">
        <x:v>7788</x:v>
      </x:c>
      <x:c r="J198" s="158" t="n">
        <x:v>809656</x:v>
      </x:c>
      <x:c r="K198" s="158" t="n">
        <x:v>6305914356</x:v>
      </x:c>
      <x:c r="L198" s="158" t="n">
        <x:v>3801560</x:v>
      </x:c>
      <x:c r="M198" s="141" t="str">
        <x:v>https://www.sge.com.cn/sjzx/quotation_daily_new?start_date=2024-06-01&amp;end_date=2024-06-30&amp;inst_ids=Ag%28T%2BD%29&amp;p=</x:v>
      </x:c>
    </x:row>
    <x:row r="199">
      <x:c r="A199" s="155" t="n">
        <x:v>45448</x:v>
      </x:c>
      <x:c r="B199" s="141" t="str">
        <x:v>Au99.99</x:v>
      </x:c>
      <x:c r="C199" s="153" t="n">
        <x:v>548.5</x:v>
      </x:c>
      <x:c r="D199" s="153" t="n">
        <x:v>553</x:v>
      </x:c>
      <x:c r="E199" s="153" t="n">
        <x:v>547.31</x:v>
      </x:c>
      <x:c r="F199" s="153" t="n">
        <x:v>550.25</x:v>
      </x:c>
      <x:c r="G199" s="153" t="n">
        <x:v>-3.24</x:v>
      </x:c>
      <x:c r="H199" s="154" t="n">
        <x:v>-0.0059</x:v>
      </x:c>
      <x:c r="I199" s="158" t="n">
        <x:v>550.89</x:v>
      </x:c>
      <x:c r="J199" s="158" t="n">
        <x:v>6831.02</x:v>
      </x:c>
      <x:c r="K199" s="158" t="n">
        <x:v>3763147977.6</x:v>
      </x:c>
      <x:c r="L199" s="158"/>
      <x:c r="M199" s="141" t="str">
        <x:v>https://www.sge.com.cn/sjzx/quotation_daily_new?start_date=2024-06-01&amp;end_date=2024-06-30&amp;inst_ids=Au99.99&amp;p=</x:v>
      </x:c>
    </x:row>
    <x:row r="200">
      <x:c r="A200" s="155" t="n">
        <x:v>45449</x:v>
      </x:c>
      <x:c r="B200" s="141" t="str">
        <x:v>Ag(T+D)</x:v>
      </x:c>
      <x:c r="C200" s="153" t="n">
        <x:v>7765</x:v>
      </x:c>
      <x:c r="D200" s="153" t="n">
        <x:v>8060</x:v>
      </x:c>
      <x:c r="E200" s="153" t="n">
        <x:v>7743</x:v>
      </x:c>
      <x:c r="F200" s="153" t="n">
        <x:v>8005</x:v>
      </x:c>
      <x:c r="G200" s="153" t="n">
        <x:v>217</x:v>
      </x:c>
      <x:c r="H200" s="154" t="n">
        <x:v>0.0279</x:v>
      </x:c>
      <x:c r="I200" s="158" t="n">
        <x:v>7956</x:v>
      </x:c>
      <x:c r="J200" s="158" t="n">
        <x:v>620688</x:v>
      </x:c>
      <x:c r="K200" s="158" t="n">
        <x:v>4938415470</x:v>
      </x:c>
      <x:c r="L200" s="158" t="n">
        <x:v>3900744</x:v>
      </x:c>
      <x:c r="M200" s="141" t="str">
        <x:v>https://www.sge.com.cn/sjzx/quotation_daily_new?start_date=2024-06-01&amp;end_date=2024-06-30&amp;inst_ids=Ag%28T%2BD%29&amp;p=</x:v>
      </x:c>
    </x:row>
    <x:row r="201">
      <x:c r="A201" s="155" t="n">
        <x:v>45449</x:v>
      </x:c>
      <x:c r="B201" s="141" t="str">
        <x:v>Au99.99</x:v>
      </x:c>
      <x:c r="C201" s="153" t="n">
        <x:v>550.8</x:v>
      </x:c>
      <x:c r="D201" s="153" t="n">
        <x:v>561</x:v>
      </x:c>
      <x:c r="E201" s="153" t="n">
        <x:v>550.8</x:v>
      </x:c>
      <x:c r="F201" s="153" t="n">
        <x:v>559.36</x:v>
      </x:c>
      <x:c r="G201" s="153" t="n">
        <x:v>9.11</x:v>
      </x:c>
      <x:c r="H201" s="154" t="n">
        <x:v>0.0166</x:v>
      </x:c>
      <x:c r="I201" s="158" t="n">
        <x:v>558.75</x:v>
      </x:c>
      <x:c r="J201" s="158" t="n">
        <x:v>9267.28</x:v>
      </x:c>
      <x:c r="K201" s="158" t="n">
        <x:v>5178151458</x:v>
      </x:c>
      <x:c r="L201" s="158"/>
      <x:c r="M201" s="141" t="str">
        <x:v>https://www.sge.com.cn/sjzx/quotation_daily_new?start_date=2024-06-01&amp;end_date=2024-06-30&amp;inst_ids=Au99.99&amp;p=</x:v>
      </x:c>
    </x:row>
    <x:row r="202">
      <x:c r="A202" s="155" t="n">
        <x:v>45450</x:v>
      </x:c>
      <x:c r="B202" s="141" t="str">
        <x:v>Ag(T+D)</x:v>
      </x:c>
      <x:c r="C202" s="153" t="n">
        <x:v>7991</x:v>
      </x:c>
      <x:c r="D202" s="153" t="n">
        <x:v>8292</x:v>
      </x:c>
      <x:c r="E202" s="153" t="n">
        <x:v>7938</x:v>
      </x:c>
      <x:c r="F202" s="153" t="n">
        <x:v>8195</x:v>
      </x:c>
      <x:c r="G202" s="153" t="n">
        <x:v>239</x:v>
      </x:c>
      <x:c r="H202" s="154" t="n">
        <x:v>0.03</x:v>
      </x:c>
      <x:c r="I202" s="158" t="n">
        <x:v>8151</x:v>
      </x:c>
      <x:c r="J202" s="158" t="n">
        <x:v>646082</x:v>
      </x:c>
      <x:c r="K202" s="158" t="n">
        <x:v>5266689720</x:v>
      </x:c>
      <x:c r="L202" s="158" t="n">
        <x:v>3918088</x:v>
      </x:c>
      <x:c r="M202" s="141" t="str">
        <x:v>https://www.sge.com.cn/sjzx/quotation_daily_new?start_date=2024-06-01&amp;end_date=2024-06-30&amp;inst_ids=Ag%28T%2BD%29&amp;p=</x:v>
      </x:c>
    </x:row>
    <x:row r="203">
      <x:c r="A203" s="155" t="n">
        <x:v>45450</x:v>
      </x:c>
      <x:c r="B203" s="141" t="str">
        <x:v>Au99.99</x:v>
      </x:c>
      <x:c r="C203" s="153" t="n">
        <x:v>556</x:v>
      </x:c>
      <x:c r="D203" s="153" t="n">
        <x:v>562</x:v>
      </x:c>
      <x:c r="E203" s="153" t="n">
        <x:v>556</x:v>
      </x:c>
      <x:c r="F203" s="153" t="n">
        <x:v>559.9</x:v>
      </x:c>
      <x:c r="G203" s="153" t="n">
        <x:v>0.54</x:v>
      </x:c>
      <x:c r="H203" s="154" t="n">
        <x:v>0.001</x:v>
      </x:c>
      <x:c r="I203" s="158" t="n">
        <x:v>559.82</x:v>
      </x:c>
      <x:c r="J203" s="158" t="n">
        <x:v>7573.66</x:v>
      </x:c>
      <x:c r="K203" s="158" t="n">
        <x:v>4239949275.8</x:v>
      </x:c>
      <x:c r="L203" s="158"/>
      <x:c r="M203" s="141" t="str">
        <x:v>https://www.sge.com.cn/sjzx/quotation_daily_new?start_date=2024-06-01&amp;end_date=2024-06-30&amp;inst_ids=Au99.99&amp;p=</x:v>
      </x:c>
    </x:row>
    <x:row r="204">
      <x:c r="A204" s="155" t="n">
        <x:v>45454</x:v>
      </x:c>
      <x:c r="B204" s="141" t="str">
        <x:v>Ag(T+D)</x:v>
      </x:c>
      <x:c r="C204" s="153" t="n">
        <x:v>7850</x:v>
      </x:c>
      <x:c r="D204" s="153" t="n">
        <x:v>7850</x:v>
      </x:c>
      <x:c r="E204" s="153" t="n">
        <x:v>7622</x:v>
      </x:c>
      <x:c r="F204" s="153" t="n">
        <x:v>7679</x:v>
      </x:c>
      <x:c r="G204" s="153" t="n">
        <x:v>-472</x:v>
      </x:c>
      <x:c r="H204" s="154" t="n">
        <x:v>-0.0579</x:v>
      </x:c>
      <x:c r="I204" s="158" t="n">
        <x:v>7689</x:v>
      </x:c>
      <x:c r="J204" s="158" t="n">
        <x:v>756742</x:v>
      </x:c>
      <x:c r="K204" s="158" t="n">
        <x:v>5818648852</x:v>
      </x:c>
      <x:c r="L204" s="158" t="n">
        <x:v>3904502</x:v>
      </x:c>
      <x:c r="M204" s="141" t="str">
        <x:v>https://www.sge.com.cn/sjzx/quotation_daily_new?start_date=2024-06-01&amp;end_date=2024-06-30&amp;inst_ids=Ag%28T%2BD%29&amp;p=</x:v>
      </x:c>
    </x:row>
    <x:row r="205">
      <x:c r="A205" s="155" t="n">
        <x:v>45454</x:v>
      </x:c>
      <x:c r="B205" s="141" t="str">
        <x:v>Au99.99</x:v>
      </x:c>
      <x:c r="C205" s="153" t="n">
        <x:v>545</x:v>
      </x:c>
      <x:c r="D205" s="153" t="n">
        <x:v>548</x:v>
      </x:c>
      <x:c r="E205" s="153" t="n">
        <x:v>541.88</x:v>
      </x:c>
      <x:c r="F205" s="153" t="n">
        <x:v>543.95</x:v>
      </x:c>
      <x:c r="G205" s="153" t="n">
        <x:v>-15.95</x:v>
      </x:c>
      <x:c r="H205" s="154" t="n">
        <x:v>-0.0285</x:v>
      </x:c>
      <x:c r="I205" s="158" t="n">
        <x:v>543.27</x:v>
      </x:c>
      <x:c r="J205" s="158" t="n">
        <x:v>10719.54</x:v>
      </x:c>
      <x:c r="K205" s="158" t="n">
        <x:v>5823696726</x:v>
      </x:c>
      <x:c r="L205" s="158"/>
      <x:c r="M205" s="141" t="str">
        <x:v>https://www.sge.com.cn/sjzx/quotation_daily_new?start_date=2024-06-01&amp;end_date=2024-06-30&amp;inst_ids=Au99.99&amp;p=</x:v>
      </x:c>
    </x:row>
    <x:row r="206">
      <x:c r="A206" s="155" t="n">
        <x:v>45455</x:v>
      </x:c>
      <x:c r="B206" s="141" t="str">
        <x:v>Ag(T+D)</x:v>
      </x:c>
      <x:c r="C206" s="153" t="n">
        <x:v>7688</x:v>
      </x:c>
      <x:c r="D206" s="153" t="n">
        <x:v>7766</x:v>
      </x:c>
      <x:c r="E206" s="153" t="n">
        <x:v>7653</x:v>
      </x:c>
      <x:c r="F206" s="153" t="n">
        <x:v>7755</x:v>
      </x:c>
      <x:c r="G206" s="153" t="n">
        <x:v>66</x:v>
      </x:c>
      <x:c r="H206" s="154" t="n">
        <x:v>0.0086</x:v>
      </x:c>
      <x:c r="I206" s="158" t="n">
        <x:v>7732</x:v>
      </x:c>
      <x:c r="J206" s="158" t="n">
        <x:v>516666</x:v>
      </x:c>
      <x:c r="K206" s="158" t="n">
        <x:v>3995349402</x:v>
      </x:c>
      <x:c r="L206" s="158" t="n">
        <x:v>3970726</x:v>
      </x:c>
      <x:c r="M206" s="141" t="str">
        <x:v>https://www.sge.com.cn/sjzx/quotation_daily_new?start_date=2024-06-01&amp;end_date=2024-06-30&amp;inst_ids=Ag%28T%2BD%29&amp;p=</x:v>
      </x:c>
    </x:row>
    <x:row r="207">
      <x:c r="A207" s="155" t="n">
        <x:v>45455</x:v>
      </x:c>
      <x:c r="B207" s="141" t="str">
        <x:v>Au99.99</x:v>
      </x:c>
      <x:c r="C207" s="153" t="n">
        <x:v>544</x:v>
      </x:c>
      <x:c r="D207" s="153" t="n">
        <x:v>546.5</x:v>
      </x:c>
      <x:c r="E207" s="153" t="n">
        <x:v>544</x:v>
      </x:c>
      <x:c r="F207" s="153" t="n">
        <x:v>545.97</x:v>
      </x:c>
      <x:c r="G207" s="153" t="n">
        <x:v>2.02</x:v>
      </x:c>
      <x:c r="H207" s="154" t="n">
        <x:v>0.0037</x:v>
      </x:c>
      <x:c r="I207" s="158" t="n">
        <x:v>545.65</x:v>
      </x:c>
      <x:c r="J207" s="158" t="n">
        <x:v>10242.14</x:v>
      </x:c>
      <x:c r="K207" s="158" t="n">
        <x:v>5588654335</x:v>
      </x:c>
      <x:c r="L207" s="158"/>
      <x:c r="M207" s="141" t="str">
        <x:v>https://www.sge.com.cn/sjzx/quotation_daily_new?start_date=2024-06-01&amp;end_date=2024-06-30&amp;inst_ids=Au99.99&amp;p=</x:v>
      </x:c>
    </x:row>
    <x:row r="208">
      <x:c r="A208" s="155" t="n">
        <x:v>45456</x:v>
      </x:c>
      <x:c r="B208" s="141" t="str">
        <x:v>Ag(T+D)</x:v>
      </x:c>
      <x:c r="C208" s="153" t="n">
        <x:v>7751</x:v>
      </x:c>
      <x:c r="D208" s="153" t="n">
        <x:v>7950</x:v>
      </x:c>
      <x:c r="E208" s="153" t="n">
        <x:v>7556</x:v>
      </x:c>
      <x:c r="F208" s="153" t="n">
        <x:v>7717</x:v>
      </x:c>
      <x:c r="G208" s="153" t="n">
        <x:v>-15</x:v>
      </x:c>
      <x:c r="H208" s="154" t="n">
        <x:v>-0.0019</x:v>
      </x:c>
      <x:c r="I208" s="158" t="n">
        <x:v>7703</x:v>
      </x:c>
      <x:c r="J208" s="158" t="n">
        <x:v>765012</x:v>
      </x:c>
      <x:c r="K208" s="158" t="n">
        <x:v>5893228090</x:v>
      </x:c>
      <x:c r="L208" s="158" t="n">
        <x:v>4003652</x:v>
      </x:c>
      <x:c r="M208" s="141" t="str">
        <x:v>https://www.sge.com.cn/sjzx/quotation_daily_new?start_date=2024-06-01&amp;end_date=2024-06-30&amp;inst_ids=Ag%28T%2BD%29&amp;p=</x:v>
      </x:c>
    </x:row>
    <x:row r="209">
      <x:c r="A209" s="155" t="n">
        <x:v>45456</x:v>
      </x:c>
      <x:c r="B209" s="141" t="str">
        <x:v>Au99.99</x:v>
      </x:c>
      <x:c r="C209" s="153" t="n">
        <x:v>550.5</x:v>
      </x:c>
      <x:c r="D209" s="153" t="n">
        <x:v>550.5</x:v>
      </x:c>
      <x:c r="E209" s="153" t="n">
        <x:v>544</x:v>
      </x:c>
      <x:c r="F209" s="153" t="n">
        <x:v>546.26</x:v>
      </x:c>
      <x:c r="G209" s="153" t="n">
        <x:v>0.29</x:v>
      </x:c>
      <x:c r="H209" s="154" t="n">
        <x:v>0.0005</x:v>
      </x:c>
      <x:c r="I209" s="158" t="n">
        <x:v>545.35</x:v>
      </x:c>
      <x:c r="J209" s="158" t="n">
        <x:v>11030.22</x:v>
      </x:c>
      <x:c r="K209" s="158" t="n">
        <x:v>6015385586.2</x:v>
      </x:c>
      <x:c r="L209" s="158"/>
      <x:c r="M209" s="141" t="str">
        <x:v>https://www.sge.com.cn/sjzx/quotation_daily_new?start_date=2024-06-01&amp;end_date=2024-06-30&amp;inst_ids=Au99.99&amp;p=</x:v>
      </x:c>
    </x:row>
    <x:row r="210">
      <x:c r="A210" s="155" t="n">
        <x:v>45457</x:v>
      </x:c>
      <x:c r="B210" s="141" t="str">
        <x:v>Ag(T+D)</x:v>
      </x:c>
      <x:c r="C210" s="153" t="n">
        <x:v>7668</x:v>
      </x:c>
      <x:c r="D210" s="153" t="n">
        <x:v>7741</x:v>
      </x:c>
      <x:c r="E210" s="153" t="n">
        <x:v>7536</x:v>
      </x:c>
      <x:c r="F210" s="153" t="n">
        <x:v>7648</x:v>
      </x:c>
      <x:c r="G210" s="153" t="n">
        <x:v>-55</x:v>
      </x:c>
      <x:c r="H210" s="154" t="n">
        <x:v>-0.0070999999999999995</x:v>
      </x:c>
      <x:c r="I210" s="158" t="n">
        <x:v>7644</x:v>
      </x:c>
      <x:c r="J210" s="158" t="n">
        <x:v>524904</x:v>
      </x:c>
      <x:c r="K210" s="158" t="n">
        <x:v>4012490828</x:v>
      </x:c>
      <x:c r="L210" s="158" t="n">
        <x:v>3944748</x:v>
      </x:c>
      <x:c r="M210" s="141" t="str">
        <x:v>https://www.sge.com.cn/sjzx/quotation_daily_new?start_date=2024-06-01&amp;end_date=2024-06-30&amp;inst_ids=Ag%28T%2BD%29&amp;p=</x:v>
      </x:c>
    </x:row>
    <x:row r="211">
      <x:c r="A211" s="155" t="n">
        <x:v>45457</x:v>
      </x:c>
      <x:c r="B211" s="141" t="str">
        <x:v>Au99.99</x:v>
      </x:c>
      <x:c r="C211" s="153" t="n">
        <x:v>544.5</x:v>
      </x:c>
      <x:c r="D211" s="153" t="n">
        <x:v>547</x:v>
      </x:c>
      <x:c r="E211" s="153" t="n">
        <x:v>542</x:v>
      </x:c>
      <x:c r="F211" s="153" t="n">
        <x:v>546.24</x:v>
      </x:c>
      <x:c r="G211" s="153" t="n">
        <x:v>-0.02</x:v>
      </x:c>
      <x:c r="H211" s="154" t="n">
        <x:v>0</x:v>
      </x:c>
      <x:c r="I211" s="158" t="n">
        <x:v>545.09</x:v>
      </x:c>
      <x:c r="J211" s="158" t="n">
        <x:v>6988.52</x:v>
      </x:c>
      <x:c r="K211" s="158" t="n">
        <x:v>3809382324</x:v>
      </x:c>
      <x:c r="L211" s="158"/>
      <x:c r="M211" s="141" t="str">
        <x:v>https://www.sge.com.cn/sjzx/quotation_daily_new?start_date=2024-06-01&amp;end_date=2024-06-30&amp;inst_ids=Au99.99&amp;p=</x:v>
      </x:c>
    </x:row>
    <x:row r="212">
      <x:c r="A212" s="155" t="n">
        <x:v>45460</x:v>
      </x:c>
      <x:c r="B212" s="141" t="str">
        <x:v>Ag(T+D)</x:v>
      </x:c>
      <x:c r="C212" s="153" t="n">
        <x:v>7700</x:v>
      </x:c>
      <x:c r="D212" s="153" t="n">
        <x:v>7767</x:v>
      </x:c>
      <x:c r="E212" s="153" t="n">
        <x:v>7630</x:v>
      </x:c>
      <x:c r="F212" s="153" t="n">
        <x:v>7653</x:v>
      </x:c>
      <x:c r="G212" s="153" t="n">
        <x:v>9</x:v>
      </x:c>
      <x:c r="H212" s="154" t="n">
        <x:v>0.0012</x:v>
      </x:c>
      <x:c r="I212" s="158" t="n">
        <x:v>7686</x:v>
      </x:c>
      <x:c r="J212" s="158" t="n">
        <x:v>540986</x:v>
      </x:c>
      <x:c r="K212" s="158" t="n">
        <x:v>4158281092</x:v>
      </x:c>
      <x:c r="L212" s="158" t="n">
        <x:v>3949788</x:v>
      </x:c>
      <x:c r="M212" s="141" t="str">
        <x:v>https://www.sge.com.cn/sjzx/quotation_daily_new?start_date=2024-06-01&amp;end_date=2024-06-30&amp;inst_ids=Ag%28T%2BD%29&amp;p=</x:v>
      </x:c>
    </x:row>
    <x:row r="213">
      <x:c r="A213" s="155" t="n">
        <x:v>45460</x:v>
      </x:c>
      <x:c r="B213" s="141" t="str">
        <x:v>Au99.99</x:v>
      </x:c>
      <x:c r="C213" s="153" t="n">
        <x:v>550</x:v>
      </x:c>
      <x:c r="D213" s="153" t="n">
        <x:v>552</x:v>
      </x:c>
      <x:c r="E213" s="153" t="n">
        <x:v>546.2</x:v>
      </x:c>
      <x:c r="F213" s="153" t="n">
        <x:v>547.33</x:v>
      </x:c>
      <x:c r="G213" s="153" t="n">
        <x:v>1.09</x:v>
      </x:c>
      <x:c r="H213" s="154" t="n">
        <x:v>0.002</x:v>
      </x:c>
      <x:c r="I213" s="158" t="n">
        <x:v>547.94</x:v>
      </x:c>
      <x:c r="J213" s="158" t="n">
        <x:v>8005.28</x:v>
      </x:c>
      <x:c r="K213" s="158" t="n">
        <x:v>4386428688.2</x:v>
      </x:c>
      <x:c r="L213" s="158"/>
      <x:c r="M213" s="141" t="str">
        <x:v>https://www.sge.com.cn/sjzx/quotation_daily_new?start_date=2024-06-01&amp;end_date=2024-06-30&amp;inst_ids=Au99.99&amp;p=</x:v>
      </x:c>
    </x:row>
    <x:row r="214">
      <x:c r="A214" s="155" t="n">
        <x:v>45461</x:v>
      </x:c>
      <x:c r="B214" s="141" t="str">
        <x:v>Ag(T+D)</x:v>
      </x:c>
      <x:c r="C214" s="153" t="n">
        <x:v>7668</x:v>
      </x:c>
      <x:c r="D214" s="153" t="n">
        <x:v>7790</x:v>
      </x:c>
      <x:c r="E214" s="153" t="n">
        <x:v>7653</x:v>
      </x:c>
      <x:c r="F214" s="153" t="n">
        <x:v>7712</x:v>
      </x:c>
      <x:c r="G214" s="153" t="n">
        <x:v>26</x:v>
      </x:c>
      <x:c r="H214" s="154" t="n">
        <x:v>0.0034000000000000002</x:v>
      </x:c>
      <x:c r="I214" s="158" t="n">
        <x:v>7738</x:v>
      </x:c>
      <x:c r="J214" s="158" t="n">
        <x:v>513744</x:v>
      </x:c>
      <x:c r="K214" s="158" t="n">
        <x:v>3975767168</x:v>
      </x:c>
      <x:c r="L214" s="158" t="n">
        <x:v>3765868</x:v>
      </x:c>
      <x:c r="M214" s="141" t="str">
        <x:v>https://www.sge.com.cn/sjzx/quotation_daily_new?start_date=2024-06-01&amp;end_date=2024-06-30&amp;inst_ids=Ag%28T%2BD%29&amp;p=</x:v>
      </x:c>
    </x:row>
    <x:row r="215">
      <x:c r="A215" s="155" t="n">
        <x:v>45461</x:v>
      </x:c>
      <x:c r="B215" s="141" t="str">
        <x:v>Au99.99</x:v>
      </x:c>
      <x:c r="C215" s="153" t="n">
        <x:v>546</x:v>
      </x:c>
      <x:c r="D215" s="153" t="n">
        <x:v>548.88</x:v>
      </x:c>
      <x:c r="E215" s="153" t="n">
        <x:v>546</x:v>
      </x:c>
      <x:c r="F215" s="153" t="n">
        <x:v>547.64</x:v>
      </x:c>
      <x:c r="G215" s="153" t="n">
        <x:v>0.31</x:v>
      </x:c>
      <x:c r="H215" s="154" t="n">
        <x:v>0.0006</x:v>
      </x:c>
      <x:c r="I215" s="158" t="n">
        <x:v>548.15</x:v>
      </x:c>
      <x:c r="J215" s="158" t="n">
        <x:v>5985.38</x:v>
      </x:c>
      <x:c r="K215" s="158" t="n">
        <x:v>3280919093.6</x:v>
      </x:c>
      <x:c r="L215" s="158"/>
      <x:c r="M215" s="141" t="str">
        <x:v>https://www.sge.com.cn/sjzx/quotation_daily_new?start_date=2024-06-01&amp;end_date=2024-06-30&amp;inst_ids=Au99.99&amp;p=</x:v>
      </x:c>
    </x:row>
    <x:row r="216">
      <x:c r="A216" s="155" t="n">
        <x:v>45462</x:v>
      </x:c>
      <x:c r="B216" s="141" t="str">
        <x:v>Ag(T+D)</x:v>
      </x:c>
      <x:c r="C216" s="153" t="n">
        <x:v>7695</x:v>
      </x:c>
      <x:c r="D216" s="153" t="n">
        <x:v>7780</x:v>
      </x:c>
      <x:c r="E216" s="153" t="n">
        <x:v>7631</x:v>
      </x:c>
      <x:c r="F216" s="153" t="n">
        <x:v>7745</x:v>
      </x:c>
      <x:c r="G216" s="153" t="n">
        <x:v>7</x:v>
      </x:c>
      <x:c r="H216" s="154" t="n">
        <x:v>0.0009</x:v>
      </x:c>
      <x:c r="I216" s="158" t="n">
        <x:v>7731</x:v>
      </x:c>
      <x:c r="J216" s="158" t="n">
        <x:v>590588</x:v>
      </x:c>
      <x:c r="K216" s="158" t="n">
        <x:v>4566158208</x:v>
      </x:c>
      <x:c r="L216" s="158" t="n">
        <x:v>3707000</x:v>
      </x:c>
      <x:c r="M216" s="141" t="str">
        <x:v>https://www.sge.com.cn/sjzx/quotation_daily_new?start_date=2024-06-01&amp;end_date=2024-06-30&amp;inst_ids=Ag%28T%2BD%29&amp;p=</x:v>
      </x:c>
    </x:row>
    <x:row r="217">
      <x:c r="A217" s="155" t="n">
        <x:v>45462</x:v>
      </x:c>
      <x:c r="B217" s="141" t="str">
        <x:v>Au99.99</x:v>
      </x:c>
      <x:c r="C217" s="153" t="n">
        <x:v>547.2</x:v>
      </x:c>
      <x:c r="D217" s="153" t="n">
        <x:v>554</x:v>
      </x:c>
      <x:c r="E217" s="153" t="n">
        <x:v>546</x:v>
      </x:c>
      <x:c r="F217" s="153" t="n">
        <x:v>550.06</x:v>
      </x:c>
      <x:c r="G217" s="153" t="n">
        <x:v>2.42</x:v>
      </x:c>
      <x:c r="H217" s="154" t="n">
        <x:v>0.0044</x:v>
      </x:c>
      <x:c r="I217" s="158" t="n">
        <x:v>549.59</x:v>
      </x:c>
      <x:c r="J217" s="158" t="n">
        <x:v>8695.96</x:v>
      </x:c>
      <x:c r="K217" s="158" t="n">
        <x:v>4779256109.2</x:v>
      </x:c>
      <x:c r="L217" s="158"/>
      <x:c r="M217" s="141" t="str">
        <x:v>https://www.sge.com.cn/sjzx/quotation_daily_new?start_date=2024-06-01&amp;end_date=2024-06-30&amp;inst_ids=Au99.99&amp;p=</x:v>
      </x:c>
    </x:row>
    <x:row r="218">
      <x:c r="A218" s="155" t="n">
        <x:v>45463</x:v>
      </x:c>
      <x:c r="B218" s="141" t="str">
        <x:v>Ag(T+D)</x:v>
      </x:c>
      <x:c r="C218" s="153" t="n">
        <x:v>7743</x:v>
      </x:c>
      <x:c r="D218" s="153" t="n">
        <x:v>8020</x:v>
      </x:c>
      <x:c r="E218" s="153" t="n">
        <x:v>7735</x:v>
      </x:c>
      <x:c r="F218" s="153" t="n">
        <x:v>8001</x:v>
      </x:c>
      <x:c r="G218" s="153" t="n">
        <x:v>270</x:v>
      </x:c>
      <x:c r="H218" s="154" t="n">
        <x:v>0.0349</x:v>
      </x:c>
      <x:c r="I218" s="158" t="n">
        <x:v>7908</x:v>
      </x:c>
      <x:c r="J218" s="158" t="n">
        <x:v>745818</x:v>
      </x:c>
      <x:c r="K218" s="158" t="n">
        <x:v>5898496862</x:v>
      </x:c>
      <x:c r="L218" s="158" t="n">
        <x:v>3837928</x:v>
      </x:c>
      <x:c r="M218" s="141" t="str">
        <x:v>https://www.sge.com.cn/sjzx/quotation_daily_new?start_date=2024-06-01&amp;end_date=2024-06-30&amp;inst_ids=Ag%28T%2BD%29&amp;p=</x:v>
      </x:c>
    </x:row>
    <x:row r="219">
      <x:c r="A219" s="155" t="n">
        <x:v>45463</x:v>
      </x:c>
      <x:c r="B219" s="141" t="str">
        <x:v>Au99.99</x:v>
      </x:c>
      <x:c r="C219" s="153" t="n">
        <x:v>550</x:v>
      </x:c>
      <x:c r="D219" s="153" t="n">
        <x:v>554.58</x:v>
      </x:c>
      <x:c r="E219" s="153" t="n">
        <x:v>549</x:v>
      </x:c>
      <x:c r="F219" s="153" t="n">
        <x:v>554.35</x:v>
      </x:c>
      <x:c r="G219" s="153" t="n">
        <x:v>4.29</x:v>
      </x:c>
      <x:c r="H219" s="154" t="n">
        <x:v>0.0078000000000000005</x:v>
      </x:c>
      <x:c r="I219" s="158" t="n">
        <x:v>552.8</x:v>
      </x:c>
      <x:c r="J219" s="158" t="n">
        <x:v>7662.62</x:v>
      </x:c>
      <x:c r="K219" s="158" t="n">
        <x:v>4235904614.8</x:v>
      </x:c>
      <x:c r="L219" s="158"/>
      <x:c r="M219" s="141" t="str">
        <x:v>https://www.sge.com.cn/sjzx/quotation_daily_new?start_date=2024-06-01&amp;end_date=2024-06-30&amp;inst_ids=Au99.99&amp;p=</x:v>
      </x:c>
    </x:row>
    <x:row r="220">
      <x:c r="A220" s="155" t="n">
        <x:v>45464</x:v>
      </x:c>
      <x:c r="B220" s="141" t="str">
        <x:v>Ag(T+D)</x:v>
      </x:c>
      <x:c r="C220" s="153" t="n">
        <x:v>7990</x:v>
      </x:c>
      <x:c r="D220" s="153" t="n">
        <x:v>8141</x:v>
      </x:c>
      <x:c r="E220" s="153" t="n">
        <x:v>7935</x:v>
      </x:c>
      <x:c r="F220" s="153" t="n">
        <x:v>7980</x:v>
      </x:c>
      <x:c r="G220" s="153" t="n">
        <x:v>72</x:v>
      </x:c>
      <x:c r="H220" s="154" t="n">
        <x:v>0.0091</x:v>
      </x:c>
      <x:c r="I220" s="158" t="n">
        <x:v>8036</x:v>
      </x:c>
      <x:c r="J220" s="158" t="n">
        <x:v>733930</x:v>
      </x:c>
      <x:c r="K220" s="158" t="n">
        <x:v>5898476664</x:v>
      </x:c>
      <x:c r="L220" s="158" t="n">
        <x:v>3809084</x:v>
      </x:c>
      <x:c r="M220" s="141" t="str">
        <x:v>https://www.sge.com.cn/sjzx/quotation_daily_new?start_date=2024-06-01&amp;end_date=2024-06-30&amp;inst_ids=Ag%28T%2BD%29&amp;p=</x:v>
      </x:c>
    </x:row>
    <x:row r="221">
      <x:c r="A221" s="155" t="n">
        <x:v>45464</x:v>
      </x:c>
      <x:c r="B221" s="141" t="str">
        <x:v>Au99.99</x:v>
      </x:c>
      <x:c r="C221" s="153" t="n">
        <x:v>552</x:v>
      </x:c>
      <x:c r="D221" s="153" t="n">
        <x:v>558.8</x:v>
      </x:c>
      <x:c r="E221" s="153" t="n">
        <x:v>552</x:v>
      </x:c>
      <x:c r="F221" s="153" t="n">
        <x:v>556.25</x:v>
      </x:c>
      <x:c r="G221" s="153" t="n">
        <x:v>1.9</x:v>
      </x:c>
      <x:c r="H221" s="154" t="n">
        <x:v>0.0034000000000000002</x:v>
      </x:c>
      <x:c r="I221" s="158" t="n">
        <x:v>557.58</x:v>
      </x:c>
      <x:c r="J221" s="158" t="n">
        <x:v>7637.26</x:v>
      </x:c>
      <x:c r="K221" s="158" t="n">
        <x:v>4258393439.6</x:v>
      </x:c>
      <x:c r="L221" s="158"/>
      <x:c r="M221" s="141" t="str">
        <x:v>https://www.sge.com.cn/sjzx/quotation_daily_new?start_date=2024-06-01&amp;end_date=2024-06-30&amp;inst_ids=Au99.99&amp;p=</x:v>
      </x:c>
    </x:row>
    <x:row r="222">
      <x:c r="A222" s="155" t="n">
        <x:v>45467</x:v>
      </x:c>
      <x:c r="B222" s="141" t="str">
        <x:v>Ag(T+D)</x:v>
      </x:c>
      <x:c r="C222" s="153" t="n">
        <x:v>8031</x:v>
      </x:c>
      <x:c r="D222" s="153" t="n">
        <x:v>8039</x:v>
      </x:c>
      <x:c r="E222" s="153" t="n">
        <x:v>7754</x:v>
      </x:c>
      <x:c r="F222" s="153" t="n">
        <x:v>7817</x:v>
      </x:c>
      <x:c r="G222" s="153" t="n">
        <x:v>-219</x:v>
      </x:c>
      <x:c r="H222" s="154" t="n">
        <x:v>-0.0273</x:v>
      </x:c>
      <x:c r="I222" s="158" t="n">
        <x:v>7835</x:v>
      </x:c>
      <x:c r="J222" s="158" t="n">
        <x:v>546538</x:v>
      </x:c>
      <x:c r="K222" s="158" t="n">
        <x:v>4282435184</x:v>
      </x:c>
      <x:c r="L222" s="158" t="n">
        <x:v>3706414</x:v>
      </x:c>
      <x:c r="M222" s="141" t="str">
        <x:v>https://www.sge.com.cn/sjzx/quotation_daily_new?start_date=2024-06-01&amp;end_date=2024-06-30&amp;inst_ids=Ag%28T%2BD%29&amp;p=</x:v>
      </x:c>
    </x:row>
    <x:row r="223">
      <x:c r="A223" s="155" t="n">
        <x:v>45467</x:v>
      </x:c>
      <x:c r="B223" s="141" t="str">
        <x:v>Au99.99</x:v>
      </x:c>
      <x:c r="C223" s="153" t="n">
        <x:v>558</x:v>
      </x:c>
      <x:c r="D223" s="153" t="n">
        <x:v>559</x:v>
      </x:c>
      <x:c r="E223" s="153" t="n">
        <x:v>548</x:v>
      </x:c>
      <x:c r="F223" s="153" t="n">
        <x:v>549.98</x:v>
      </x:c>
      <x:c r="G223" s="153" t="n">
        <x:v>-6.27</x:v>
      </x:c>
      <x:c r="H223" s="154" t="n">
        <x:v>-0.0113</x:v>
      </x:c>
      <x:c r="I223" s="158" t="n">
        <x:v>549.06</x:v>
      </x:c>
      <x:c r="J223" s="158" t="n">
        <x:v>9385.98</x:v>
      </x:c>
      <x:c r="K223" s="158" t="n">
        <x:v>5153528987.2</x:v>
      </x:c>
      <x:c r="L223" s="158"/>
      <x:c r="M223" s="141" t="str">
        <x:v>https://www.sge.com.cn/sjzx/quotation_daily_new?start_date=2024-06-01&amp;end_date=2024-06-30&amp;inst_ids=Au99.99&amp;p=</x:v>
      </x:c>
    </x:row>
    <x:row r="224">
      <x:c r="A224" s="155" t="n">
        <x:v>45468</x:v>
      </x:c>
      <x:c r="B224" s="141" t="str">
        <x:v>Ag(T+D)</x:v>
      </x:c>
      <x:c r="C224" s="153" t="n">
        <x:v>7819</x:v>
      </x:c>
      <x:c r="D224" s="153" t="n">
        <x:v>7849</x:v>
      </x:c>
      <x:c r="E224" s="153" t="n">
        <x:v>7737</x:v>
      </x:c>
      <x:c r="F224" s="153" t="n">
        <x:v>7811</x:v>
      </x:c>
      <x:c r="G224" s="153" t="n">
        <x:v>-24</x:v>
      </x:c>
      <x:c r="H224" s="154" t="n">
        <x:v>-0.0031</x:v>
      </x:c>
      <x:c r="I224" s="158" t="n">
        <x:v>7784</x:v>
      </x:c>
      <x:c r="J224" s="158" t="n">
        <x:v>628098</x:v>
      </x:c>
      <x:c r="K224" s="158" t="n">
        <x:v>4889597602</x:v>
      </x:c>
      <x:c r="L224" s="158" t="n">
        <x:v>3637814</x:v>
      </x:c>
      <x:c r="M224" s="141" t="str">
        <x:v>https://www.sge.com.cn/sjzx/quotation_daily_new?start_date=2024-06-01&amp;end_date=2024-06-30&amp;inst_ids=Ag%28T%2BD%29&amp;p=</x:v>
      </x:c>
    </x:row>
    <x:row r="225">
      <x:c r="A225" s="155" t="n">
        <x:v>45468</x:v>
      </x:c>
      <x:c r="B225" s="141" t="str">
        <x:v>Au99.99</x:v>
      </x:c>
      <x:c r="C225" s="153" t="n">
        <x:v>549</x:v>
      </x:c>
      <x:c r="D225" s="153" t="n">
        <x:v>550.5</x:v>
      </x:c>
      <x:c r="E225" s="153" t="n">
        <x:v>548.5</x:v>
      </x:c>
      <x:c r="F225" s="153" t="n">
        <x:v>549.75</x:v>
      </x:c>
      <x:c r="G225" s="153" t="n">
        <x:v>-0.23</x:v>
      </x:c>
      <x:c r="H225" s="154" t="n">
        <x:v>-0.0004</x:v>
      </x:c>
      <x:c r="I225" s="158" t="n">
        <x:v>549.27</x:v>
      </x:c>
      <x:c r="J225" s="158" t="n">
        <x:v>8178.48</x:v>
      </x:c>
      <x:c r="K225" s="158" t="n">
        <x:v>4492240025.4</x:v>
      </x:c>
      <x:c r="L225" s="158"/>
      <x:c r="M225" s="141" t="str">
        <x:v>https://www.sge.com.cn/sjzx/quotation_daily_new?start_date=2024-06-01&amp;end_date=2024-06-30&amp;inst_ids=Au99.99&amp;p=</x:v>
      </x:c>
    </x:row>
    <x:row r="226">
      <x:c r="A226" s="155" t="n">
        <x:v>45469</x:v>
      </x:c>
      <x:c r="B226" s="141" t="str">
        <x:v>Ag(T+D)</x:v>
      </x:c>
      <x:c r="C226" s="153" t="n">
        <x:v>7800</x:v>
      </x:c>
      <x:c r="D226" s="153" t="n">
        <x:v>7822</x:v>
      </x:c>
      <x:c r="E226" s="153" t="n">
        <x:v>7580</x:v>
      </x:c>
      <x:c r="F226" s="153" t="n">
        <x:v>7640</x:v>
      </x:c>
      <x:c r="G226" s="153" t="n">
        <x:v>-144</x:v>
      </x:c>
      <x:c r="H226" s="154" t="n">
        <x:v>-0.018500000000000003</x:v>
      </x:c>
      <x:c r="I226" s="158" t="n">
        <x:v>7652</x:v>
      </x:c>
      <x:c r="J226" s="158" t="n">
        <x:v>798622</x:v>
      </x:c>
      <x:c r="K226" s="158" t="n">
        <x:v>6111720804</x:v>
      </x:c>
      <x:c r="L226" s="158" t="n">
        <x:v>3698214</x:v>
      </x:c>
      <x:c r="M226" s="141" t="str">
        <x:v>https://www.sge.com.cn/sjzx/quotation_daily_new?start_date=2024-06-01&amp;end_date=2024-06-30&amp;inst_ids=Ag%28T%2BD%29&amp;p=</x:v>
      </x:c>
    </x:row>
    <x:row r="227">
      <x:c r="A227" s="155" t="n">
        <x:v>45469</x:v>
      </x:c>
      <x:c r="B227" s="141" t="str">
        <x:v>Au99.99</x:v>
      </x:c>
      <x:c r="C227" s="153" t="n">
        <x:v>550.1</x:v>
      </x:c>
      <x:c r="D227" s="153" t="n">
        <x:v>551</x:v>
      </x:c>
      <x:c r="E227" s="153" t="n">
        <x:v>544.74</x:v>
      </x:c>
      <x:c r="F227" s="153" t="n">
        <x:v>546.18</x:v>
      </x:c>
      <x:c r="G227" s="153" t="n">
        <x:v>-3.57</x:v>
      </x:c>
      <x:c r="H227" s="154" t="n">
        <x:v>-0.006500000000000001</x:v>
      </x:c>
      <x:c r="I227" s="158" t="n">
        <x:v>546.37</x:v>
      </x:c>
      <x:c r="J227" s="158" t="n">
        <x:v>9190.5</x:v>
      </x:c>
      <x:c r="K227" s="158" t="n">
        <x:v>5021500700.4</x:v>
      </x:c>
      <x:c r="L227" s="158"/>
      <x:c r="M227" s="141" t="str">
        <x:v>https://www.sge.com.cn/sjzx/quotation_daily_new?start_date=2024-06-01&amp;end_date=2024-06-30&amp;inst_ids=Au99.99&amp;p=</x:v>
      </x:c>
    </x:row>
    <x:row r="228">
      <x:c r="A228" s="155" t="n">
        <x:v>45470</x:v>
      </x:c>
      <x:c r="B228" s="141" t="str">
        <x:v>Ag(T+D)</x:v>
      </x:c>
      <x:c r="C228" s="153" t="n">
        <x:v>7647</x:v>
      </x:c>
      <x:c r="D228" s="153" t="n">
        <x:v>7670</x:v>
      </x:c>
      <x:c r="E228" s="153" t="n">
        <x:v>7557</x:v>
      </x:c>
      <x:c r="F228" s="153" t="n">
        <x:v>7612</x:v>
      </x:c>
      <x:c r="G228" s="153" t="n">
        <x:v>-40</x:v>
      </x:c>
      <x:c r="H228" s="154" t="n">
        <x:v>-0.0052</x:v>
      </x:c>
      <x:c r="I228" s="158" t="n">
        <x:v>7607</x:v>
      </x:c>
      <x:c r="J228" s="158" t="n">
        <x:v>312802</x:v>
      </x:c>
      <x:c r="K228" s="158" t="n">
        <x:v>2379649554</x:v>
      </x:c>
      <x:c r="L228" s="158" t="n">
        <x:v>3699528</x:v>
      </x:c>
      <x:c r="M228" s="141" t="str">
        <x:v>https://www.sge.com.cn/sjzx/quotation_daily_new?start_date=2024-06-01&amp;end_date=2024-06-30&amp;inst_ids=Ag%28T%2BD%29&amp;p=</x:v>
      </x:c>
    </x:row>
    <x:row r="229">
      <x:c r="A229" s="155" t="n">
        <x:v>45470</x:v>
      </x:c>
      <x:c r="B229" s="141" t="str">
        <x:v>Au99.99</x:v>
      </x:c>
      <x:c r="C229" s="153" t="n">
        <x:v>546.9</x:v>
      </x:c>
      <x:c r="D229" s="153" t="n">
        <x:v>546.9</x:v>
      </x:c>
      <x:c r="E229" s="153" t="n">
        <x:v>542.3</x:v>
      </x:c>
      <x:c r="F229" s="153" t="n">
        <x:v>543.88</x:v>
      </x:c>
      <x:c r="G229" s="153" t="n">
        <x:v>-2.3</x:v>
      </x:c>
      <x:c r="H229" s="154" t="n">
        <x:v>-0.0042</x:v>
      </x:c>
      <x:c r="I229" s="158" t="n">
        <x:v>542.98</x:v>
      </x:c>
      <x:c r="J229" s="158" t="n">
        <x:v>11213.84</x:v>
      </x:c>
      <x:c r="K229" s="158" t="n">
        <x:v>6088902512</x:v>
      </x:c>
      <x:c r="L229" s="158"/>
      <x:c r="M229" s="141" t="str">
        <x:v>https://www.sge.com.cn/sjzx/quotation_daily_new?start_date=2024-06-01&amp;end_date=2024-06-30&amp;inst_ids=Au99.99&amp;p=</x:v>
      </x:c>
    </x:row>
    <x:row r="230">
      <x:c r="A230" s="155" t="n">
        <x:v>45471</x:v>
      </x:c>
      <x:c r="B230" s="141" t="str">
        <x:v>Ag(T+D)</x:v>
      </x:c>
      <x:c r="C230" s="153" t="n">
        <x:v>7650</x:v>
      </x:c>
      <x:c r="D230" s="153" t="n">
        <x:v>7760</x:v>
      </x:c>
      <x:c r="E230" s="153" t="n">
        <x:v>7615</x:v>
      </x:c>
      <x:c r="F230" s="153" t="n">
        <x:v>7731</x:v>
      </x:c>
      <x:c r="G230" s="153" t="n">
        <x:v>124</x:v>
      </x:c>
      <x:c r="H230" s="154" t="n">
        <x:v>0.0163</x:v>
      </x:c>
      <x:c r="I230" s="158" t="n">
        <x:v>7688</x:v>
      </x:c>
      <x:c r="J230" s="158" t="n">
        <x:v>769668</x:v>
      </x:c>
      <x:c r="K230" s="158" t="n">
        <x:v>5917533238</x:v>
      </x:c>
      <x:c r="L230" s="158" t="n">
        <x:v>3894040</x:v>
      </x:c>
      <x:c r="M230" s="141" t="str">
        <x:v>https://www.sge.com.cn/sjzx/quotation_daily_new?start_date=2024-06-01&amp;end_date=2024-06-30&amp;inst_ids=Ag%28T%2BD%29&amp;p=</x:v>
      </x:c>
    </x:row>
    <x:row r="231">
      <x:c r="A231" s="155" t="n">
        <x:v>45471</x:v>
      </x:c>
      <x:c r="B231" s="141" t="str">
        <x:v>Au99.99</x:v>
      </x:c>
      <x:c r="C231" s="153" t="n">
        <x:v>547.5</x:v>
      </x:c>
      <x:c r="D231" s="153" t="n">
        <x:v>550.1</x:v>
      </x:c>
      <x:c r="E231" s="153" t="n">
        <x:v>547.31</x:v>
      </x:c>
      <x:c r="F231" s="153" t="n">
        <x:v>549.88</x:v>
      </x:c>
      <x:c r="G231" s="153" t="n">
        <x:v>6</x:v>
      </x:c>
      <x:c r="H231" s="154" t="n">
        <x:v>0.011000000000000001</x:v>
      </x:c>
      <x:c r="I231" s="158" t="n">
        <x:v>548.62</x:v>
      </x:c>
      <x:c r="J231" s="158" t="n">
        <x:v>6558.34</x:v>
      </x:c>
      <x:c r="K231" s="158" t="n">
        <x:v>3598094060.4</x:v>
      </x:c>
      <x:c r="L231" s="158"/>
      <x:c r="M231" s="141" t="str">
        <x:v>https://www.sge.com.cn/sjzx/quotation_daily_new?start_date=2024-06-01&amp;end_date=2024-06-30&amp;inst_ids=Au99.99&amp;p=</x:v>
      </x:c>
    </x:row>
    <x:row r="232">
      <x:c r="A232" s="155" t="n">
        <x:v>45477</x:v>
      </x:c>
      <x:c r="B232" s="141" t="str">
        <x:v>Ag(T+D)</x:v>
      </x:c>
      <x:c r="C232" s="153" t="n">
        <x:v>7995</x:v>
      </x:c>
      <x:c r="D232" s="153" t="n">
        <x:v>8086</x:v>
      </x:c>
      <x:c r="E232" s="153" t="n">
        <x:v>7950</x:v>
      </x:c>
      <x:c r="F232" s="153" t="n">
        <x:v>7990</x:v>
      </x:c>
      <x:c r="G232" s="153" t="n">
        <x:v>137</x:v>
      </x:c>
      <x:c r="H232" s="154" t="n">
        <x:v>0.0174</x:v>
      </x:c>
      <x:c r="I232" s="158" t="n">
        <x:v>8016</x:v>
      </x:c>
      <x:c r="J232" s="158" t="n">
        <x:v>887686</x:v>
      </x:c>
      <x:c r="K232" s="158" t="n">
        <x:v>7116265382</x:v>
      </x:c>
      <x:c r="L232" s="158" t="n">
        <x:v>4131144</x:v>
      </x:c>
      <x:c r="M232" s="141" t="str">
        <x:v>https://www.sge.com.cn/sjzx/quotation_daily_new?start_date=2024-07-01&amp;end_date=2024-07-31&amp;inst_ids=Ag%28T%2BD%29&amp;p=</x:v>
      </x:c>
    </x:row>
    <x:row r="233">
      <x:c r="A233" s="155" t="n">
        <x:v>45477</x:v>
      </x:c>
      <x:c r="B233" s="141" t="str">
        <x:v>Au99.99</x:v>
      </x:c>
      <x:c r="C233" s="153" t="n">
        <x:v>554.5</x:v>
      </x:c>
      <x:c r="D233" s="153" t="n">
        <x:v>558</x:v>
      </x:c>
      <x:c r="E233" s="153" t="n">
        <x:v>554.5</x:v>
      </x:c>
      <x:c r="F233" s="153" t="n">
        <x:v>556.45</x:v>
      </x:c>
      <x:c r="G233" s="153" t="n">
        <x:v>2.29</x:v>
      </x:c>
      <x:c r="H233" s="154" t="n">
        <x:v>0.0040999999999999995</x:v>
      </x:c>
      <x:c r="I233" s="158" t="n">
        <x:v>556.86</x:v>
      </x:c>
      <x:c r="J233" s="158" t="n">
        <x:v>6484</x:v>
      </x:c>
      <x:c r="K233" s="158" t="n">
        <x:v>3610716984</x:v>
      </x:c>
      <x:c r="L233" s="158"/>
      <x:c r="M233" s="141" t="str">
        <x:v>https://www.sge.com.cn/sjzx/quotation_daily_new?start_date=2024-07-01&amp;end_date=2024-07-31&amp;inst_ids=Au99.99&amp;p=</x:v>
      </x:c>
    </x:row>
    <x:row r="234">
      <x:c r="A234" s="155" t="n">
        <x:v>45478</x:v>
      </x:c>
      <x:c r="B234" s="141" t="str">
        <x:v>Ag(T+D)</x:v>
      </x:c>
      <x:c r="C234" s="153" t="n">
        <x:v>7998</x:v>
      </x:c>
      <x:c r="D234" s="153" t="n">
        <x:v>8088</x:v>
      </x:c>
      <x:c r="E234" s="153" t="n">
        <x:v>7973</x:v>
      </x:c>
      <x:c r="F234" s="153" t="n">
        <x:v>8038</x:v>
      </x:c>
      <x:c r="G234" s="153" t="n">
        <x:v>22</x:v>
      </x:c>
      <x:c r="H234" s="154" t="n">
        <x:v>0.0027</x:v>
      </x:c>
      <x:c r="I234" s="158" t="n">
        <x:v>8045</x:v>
      </x:c>
      <x:c r="J234" s="158" t="n">
        <x:v>473086</x:v>
      </x:c>
      <x:c r="K234" s="158" t="n">
        <x:v>3805998504</x:v>
      </x:c>
      <x:c r="L234" s="158" t="n">
        <x:v>4198356</x:v>
      </x:c>
      <x:c r="M234" s="141" t="str">
        <x:v>https://www.sge.com.cn/sjzx/quotation_daily_new?start_date=2024-07-01&amp;end_date=2024-07-31&amp;inst_ids=Ag%28T%2BD%29&amp;p=</x:v>
      </x:c>
    </x:row>
    <x:row r="235">
      <x:c r="A235" s="155" t="n">
        <x:v>45478</x:v>
      </x:c>
      <x:c r="B235" s="141" t="str">
        <x:v>Au99.99</x:v>
      </x:c>
      <x:c r="C235" s="153" t="n">
        <x:v>557.5</x:v>
      </x:c>
      <x:c r="D235" s="153" t="n">
        <x:v>558.09</x:v>
      </x:c>
      <x:c r="E235" s="153" t="n">
        <x:v>555.6</x:v>
      </x:c>
      <x:c r="F235" s="153" t="n">
        <x:v>557.96</x:v>
      </x:c>
      <x:c r="G235" s="153" t="n">
        <x:v>1.51</x:v>
      </x:c>
      <x:c r="H235" s="154" t="n">
        <x:v>0.0027</x:v>
      </x:c>
      <x:c r="I235" s="158" t="n">
        <x:v>557.27</x:v>
      </x:c>
      <x:c r="J235" s="158" t="n">
        <x:v>8835.26</x:v>
      </x:c>
      <x:c r="K235" s="158" t="n">
        <x:v>4923661746.4</x:v>
      </x:c>
      <x:c r="L235" s="158"/>
      <x:c r="M235" s="141" t="str">
        <x:v>https://www.sge.com.cn/sjzx/quotation_daily_new?start_date=2024-07-01&amp;end_date=2024-07-31&amp;inst_ids=Au99.99&amp;p=</x:v>
      </x:c>
    </x:row>
    <x:row r="236">
      <x:c r="A236" s="155" t="n">
        <x:v>45481</x:v>
      </x:c>
      <x:c r="B236" s="141" t="str">
        <x:v>Ag(T+D)</x:v>
      </x:c>
      <x:c r="C236" s="153" t="n">
        <x:v>8049</x:v>
      </x:c>
      <x:c r="D236" s="153" t="n">
        <x:v>8280</x:v>
      </x:c>
      <x:c r="E236" s="153" t="n">
        <x:v>7981</x:v>
      </x:c>
      <x:c r="F236" s="153" t="n">
        <x:v>8126</x:v>
      </x:c>
      <x:c r="G236" s="153" t="n">
        <x:v>81</x:v>
      </x:c>
      <x:c r="H236" s="154" t="n">
        <x:v>0.0101</x:v>
      </x:c>
      <x:c r="I236" s="158" t="n">
        <x:v>8148</x:v>
      </x:c>
      <x:c r="J236" s="158" t="n">
        <x:v>985882</x:v>
      </x:c>
      <x:c r="K236" s="158" t="n">
        <x:v>8032985508</x:v>
      </x:c>
      <x:c r="L236" s="158" t="n">
        <x:v>4339316</x:v>
      </x:c>
      <x:c r="M236" s="141" t="str">
        <x:v>https://www.sge.com.cn/sjzx/quotation_daily_new?start_date=2024-07-01&amp;end_date=2024-07-31&amp;inst_ids=Ag%28T%2BD%29&amp;p=</x:v>
      </x:c>
    </x:row>
    <x:row r="237">
      <x:c r="A237" s="155" t="n">
        <x:v>45481</x:v>
      </x:c>
      <x:c r="B237" s="141" t="str">
        <x:v>Au99.99</x:v>
      </x:c>
      <x:c r="C237" s="153" t="n">
        <x:v>556.01</x:v>
      </x:c>
      <x:c r="D237" s="153" t="n">
        <x:v>563.5</x:v>
      </x:c>
      <x:c r="E237" s="153" t="n">
        <x:v>556.01</x:v>
      </x:c>
      <x:c r="F237" s="153" t="n">
        <x:v>559.22</x:v>
      </x:c>
      <x:c r="G237" s="153" t="n">
        <x:v>1.26</x:v>
      </x:c>
      <x:c r="H237" s="154" t="n">
        <x:v>0.0023</x:v>
      </x:c>
      <x:c r="I237" s="158" t="n">
        <x:v>561.19</x:v>
      </x:c>
      <x:c r="J237" s="158" t="n">
        <x:v>10110.92</x:v>
      </x:c>
      <x:c r="K237" s="158" t="n">
        <x:v>5674191615.2</x:v>
      </x:c>
      <x:c r="L237" s="158"/>
      <x:c r="M237" s="141" t="str">
        <x:v>https://www.sge.com.cn/sjzx/quotation_daily_new?start_date=2024-07-01&amp;end_date=2024-07-31&amp;inst_ids=Au99.99&amp;p=</x:v>
      </x:c>
    </x:row>
    <x:row r="238">
      <x:c r="A238" s="155" t="n">
        <x:v>45482</x:v>
      </x:c>
      <x:c r="B238" s="141" t="str">
        <x:v>Ag(T+D)</x:v>
      </x:c>
      <x:c r="C238" s="153" t="n">
        <x:v>8139</x:v>
      </x:c>
      <x:c r="D238" s="153" t="n">
        <x:v>8175</x:v>
      </x:c>
      <x:c r="E238" s="153" t="n">
        <x:v>8005</x:v>
      </x:c>
      <x:c r="F238" s="153" t="n">
        <x:v>8134</x:v>
      </x:c>
      <x:c r="G238" s="153" t="n">
        <x:v>-14</x:v>
      </x:c>
      <x:c r="H238" s="154" t="n">
        <x:v>-0.0017000000000000001</x:v>
      </x:c>
      <x:c r="I238" s="158" t="n">
        <x:v>8112</x:v>
      </x:c>
      <x:c r="J238" s="158" t="n">
        <x:v>606344</x:v>
      </x:c>
      <x:c r="K238" s="158" t="n">
        <x:v>4919212966</x:v>
      </x:c>
      <x:c r="L238" s="158" t="n">
        <x:v>4498706</x:v>
      </x:c>
      <x:c r="M238" s="141" t="str">
        <x:v>https://www.sge.com.cn/sjzx/quotation_daily_new?start_date=2024-07-01&amp;end_date=2024-07-31&amp;inst_ids=Ag%28T%2BD%29&amp;p=</x:v>
      </x:c>
    </x:row>
    <x:row r="239">
      <x:c r="A239" s="155" t="n">
        <x:v>45482</x:v>
      </x:c>
      <x:c r="B239" s="141" t="str">
        <x:v>Au99.99</x:v>
      </x:c>
      <x:c r="C239" s="153" t="n">
        <x:v>559</x:v>
      </x:c>
      <x:c r="D239" s="153" t="n">
        <x:v>559.8</x:v>
      </x:c>
      <x:c r="E239" s="153" t="n">
        <x:v>555.42</x:v>
      </x:c>
      <x:c r="F239" s="153" t="n">
        <x:v>555.9</x:v>
      </x:c>
      <x:c r="G239" s="153" t="n">
        <x:v>-3.32</x:v>
      </x:c>
      <x:c r="H239" s="154" t="n">
        <x:v>-0.0059</x:v>
      </x:c>
      <x:c r="I239" s="158" t="n">
        <x:v>557.09</x:v>
      </x:c>
      <x:c r="J239" s="158" t="n">
        <x:v>6855.24</x:v>
      </x:c>
      <x:c r="K239" s="158" t="n">
        <x:v>3819014252.2</x:v>
      </x:c>
      <x:c r="L239" s="158"/>
      <x:c r="M239" s="141" t="str">
        <x:v>https://www.sge.com.cn/sjzx/quotation_daily_new?start_date=2024-07-01&amp;end_date=2024-07-31&amp;inst_ids=Au99.99&amp;p=</x:v>
      </x:c>
    </x:row>
    <x:row r="240">
      <x:c r="A240" s="155" t="n">
        <x:v>45483</x:v>
      </x:c>
      <x:c r="B240" s="141" t="str">
        <x:v>Ag(T+D)</x:v>
      </x:c>
      <x:c r="C240" s="153" t="n">
        <x:v>8145</x:v>
      </x:c>
      <x:c r="D240" s="153" t="n">
        <x:v>8164</x:v>
      </x:c>
      <x:c r="E240" s="153" t="n">
        <x:v>8023</x:v>
      </x:c>
      <x:c r="F240" s="153" t="n">
        <x:v>8117</x:v>
      </x:c>
      <x:c r="G240" s="153" t="n">
        <x:v>5</x:v>
      </x:c>
      <x:c r="H240" s="154" t="n">
        <x:v>0.0006</x:v>
      </x:c>
      <x:c r="I240" s="158" t="n">
        <x:v>8106</x:v>
      </x:c>
      <x:c r="J240" s="158" t="n">
        <x:v>423076</x:v>
      </x:c>
      <x:c r="K240" s="158" t="n">
        <x:v>3429614636</x:v>
      </x:c>
      <x:c r="L240" s="158" t="n">
        <x:v>4467864</x:v>
      </x:c>
      <x:c r="M240" s="141" t="str">
        <x:v>https://www.sge.com.cn/sjzx/quotation_daily_new?start_date=2024-07-01&amp;end_date=2024-07-31&amp;inst_ids=Ag%28T%2BD%29&amp;p=</x:v>
      </x:c>
    </x:row>
    <x:row r="241">
      <x:c r="A241" s="155" t="n">
        <x:v>45483</x:v>
      </x:c>
      <x:c r="B241" s="141" t="str">
        <x:v>Au99.99</x:v>
      </x:c>
      <x:c r="C241" s="153" t="n">
        <x:v>556</x:v>
      </x:c>
      <x:c r="D241" s="153" t="n">
        <x:v>560.88</x:v>
      </x:c>
      <x:c r="E241" s="153" t="n">
        <x:v>554.3</x:v>
      </x:c>
      <x:c r="F241" s="153" t="n">
        <x:v>560.85</x:v>
      </x:c>
      <x:c r="G241" s="153" t="n">
        <x:v>4.95</x:v>
      </x:c>
      <x:c r="H241" s="154" t="n">
        <x:v>0.0089</x:v>
      </x:c>
      <x:c r="I241" s="158" t="n">
        <x:v>558.47</x:v>
      </x:c>
      <x:c r="J241" s="158" t="n">
        <x:v>9300.34</x:v>
      </x:c>
      <x:c r="K241" s="158" t="n">
        <x:v>5193993758</x:v>
      </x:c>
      <x:c r="L241" s="158"/>
      <x:c r="M241" s="141" t="str">
        <x:v>https://www.sge.com.cn/sjzx/quotation_daily_new?start_date=2024-07-01&amp;end_date=2024-07-31&amp;inst_ids=Au99.99&amp;p=</x:v>
      </x:c>
    </x:row>
    <x:row r="242">
      <x:c r="A242" s="155" t="n">
        <x:v>45484</x:v>
      </x:c>
      <x:c r="B242" s="141" t="str">
        <x:v>Ag(T+D)</x:v>
      </x:c>
      <x:c r="C242" s="153" t="n">
        <x:v>8136</x:v>
      </x:c>
      <x:c r="D242" s="153" t="n">
        <x:v>8188</x:v>
      </x:c>
      <x:c r="E242" s="153" t="n">
        <x:v>8058</x:v>
      </x:c>
      <x:c r="F242" s="153" t="n">
        <x:v>8136</x:v>
      </x:c>
      <x:c r="G242" s="153" t="n">
        <x:v>30</x:v>
      </x:c>
      <x:c r="H242" s="154" t="n">
        <x:v>0.0037</x:v>
      </x:c>
      <x:c r="I242" s="158" t="n">
        <x:v>8139</x:v>
      </x:c>
      <x:c r="J242" s="158" t="n">
        <x:v>636240</x:v>
      </x:c>
      <x:c r="K242" s="158" t="n">
        <x:v>5178534150</x:v>
      </x:c>
      <x:c r="L242" s="158" t="n">
        <x:v>4614304</x:v>
      </x:c>
      <x:c r="M242" s="141" t="str">
        <x:v>https://www.sge.com.cn/sjzx/quotation_daily_new?start_date=2024-07-01&amp;end_date=2024-07-31&amp;inst_ids=Ag%28T%2BD%29&amp;p=</x:v>
      </x:c>
    </x:row>
    <x:row r="243">
      <x:c r="A243" s="155" t="n">
        <x:v>45484</x:v>
      </x:c>
      <x:c r="B243" s="141" t="str">
        <x:v>Au99.99</x:v>
      </x:c>
      <x:c r="C243" s="153" t="n">
        <x:v>561.55</x:v>
      </x:c>
      <x:c r="D243" s="153" t="n">
        <x:v>561.9</x:v>
      </x:c>
      <x:c r="E243" s="153" t="n">
        <x:v>559.15</x:v>
      </x:c>
      <x:c r="F243" s="153" t="n">
        <x:v>561.78</x:v>
      </x:c>
      <x:c r="G243" s="153" t="n">
        <x:v>0.93</x:v>
      </x:c>
      <x:c r="H243" s="154" t="n">
        <x:v>0.0017000000000000001</x:v>
      </x:c>
      <x:c r="I243" s="158" t="n">
        <x:v>560.77</x:v>
      </x:c>
      <x:c r="J243" s="158" t="n">
        <x:v>7411.16</x:v>
      </x:c>
      <x:c r="K243" s="158" t="n">
        <x:v>4156022428.6</x:v>
      </x:c>
      <x:c r="L243" s="158"/>
      <x:c r="M243" s="141" t="str">
        <x:v>https://www.sge.com.cn/sjzx/quotation_daily_new?start_date=2024-07-01&amp;end_date=2024-07-31&amp;inst_ids=Au99.99&amp;p=</x:v>
      </x:c>
    </x:row>
    <x:row r="244">
      <x:c r="A244" s="155" t="n">
        <x:v>45485</x:v>
      </x:c>
      <x:c r="B244" s="141" t="str">
        <x:v>Ag(T+D)</x:v>
      </x:c>
      <x:c r="C244" s="153" t="n">
        <x:v>8132</x:v>
      </x:c>
      <x:c r="D244" s="153" t="n">
        <x:v>8303</x:v>
      </x:c>
      <x:c r="E244" s="153" t="n">
        <x:v>8042</x:v>
      </x:c>
      <x:c r="F244" s="153" t="n">
        <x:v>8042</x:v>
      </x:c>
      <x:c r="G244" s="153" t="n">
        <x:v>-97</x:v>
      </x:c>
      <x:c r="H244" s="154" t="n">
        <x:v>-0.011899999999999999</x:v>
      </x:c>
      <x:c r="I244" s="158" t="n">
        <x:v>8181</x:v>
      </x:c>
      <x:c r="J244" s="158" t="n">
        <x:v>865310</x:v>
      </x:c>
      <x:c r="K244" s="158" t="n">
        <x:v>7079145102</x:v>
      </x:c>
      <x:c r="L244" s="158" t="n">
        <x:v>4652104</x:v>
      </x:c>
      <x:c r="M244" s="141" t="str">
        <x:v>https://www.sge.com.cn/sjzx/quotation_daily_new?start_date=2024-07-01&amp;end_date=2024-07-31&amp;inst_ids=Ag%28T%2BD%29&amp;p=</x:v>
      </x:c>
    </x:row>
    <x:row r="245">
      <x:c r="A245" s="155" t="n">
        <x:v>45485</x:v>
      </x:c>
      <x:c r="B245" s="141" t="str">
        <x:v>Au99.99</x:v>
      </x:c>
      <x:c r="C245" s="153" t="n">
        <x:v>558.8</x:v>
      </x:c>
      <x:c r="D245" s="153" t="n">
        <x:v>567.49</x:v>
      </x:c>
      <x:c r="E245" s="153" t="n">
        <x:v>558.8</x:v>
      </x:c>
      <x:c r="F245" s="153" t="n">
        <x:v>563.26</x:v>
      </x:c>
      <x:c r="G245" s="153" t="n">
        <x:v>1.48</x:v>
      </x:c>
      <x:c r="H245" s="154" t="n">
        <x:v>0.0026</x:v>
      </x:c>
      <x:c r="I245" s="158" t="n">
        <x:v>565.55</x:v>
      </x:c>
      <x:c r="J245" s="158" t="n">
        <x:v>8791.1</x:v>
      </x:c>
      <x:c r="K245" s="158" t="n">
        <x:v>4971830759</x:v>
      </x:c>
      <x:c r="L245" s="158"/>
      <x:c r="M245" s="141" t="str">
        <x:v>https://www.sge.com.cn/sjzx/quotation_daily_new?start_date=2024-07-01&amp;end_date=2024-07-31&amp;inst_ids=Au99.99&amp;p=</x:v>
      </x:c>
    </x:row>
    <x:row r="246">
      <x:c r="A246" s="155" t="n">
        <x:v>45488</x:v>
      </x:c>
      <x:c r="B246" s="141" t="str">
        <x:v>Ag(T+D)</x:v>
      </x:c>
      <x:c r="C246" s="153" t="n">
        <x:v>8046</x:v>
      </x:c>
      <x:c r="D246" s="153" t="n">
        <x:v>8138</x:v>
      </x:c>
      <x:c r="E246" s="153" t="n">
        <x:v>7990</x:v>
      </x:c>
      <x:c r="F246" s="153" t="n">
        <x:v>8054</x:v>
      </x:c>
      <x:c r="G246" s="153" t="n">
        <x:v>-127</x:v>
      </x:c>
      <x:c r="H246" s="154" t="n">
        <x:v>-0.0155</x:v>
      </x:c>
      <x:c r="I246" s="158" t="n">
        <x:v>8085</x:v>
      </x:c>
      <x:c r="J246" s="158" t="n">
        <x:v>724190</x:v>
      </x:c>
      <x:c r="K246" s="158" t="n">
        <x:v>5855615844</x:v>
      </x:c>
      <x:c r="L246" s="158" t="n">
        <x:v>4689356</x:v>
      </x:c>
      <x:c r="M246" s="141" t="str">
        <x:v>https://www.sge.com.cn/sjzx/quotation_daily_new?start_date=2024-07-01&amp;end_date=2024-07-31&amp;inst_ids=Ag%28T%2BD%29&amp;p=</x:v>
      </x:c>
    </x:row>
    <x:row r="247">
      <x:c r="A247" s="155" t="n">
        <x:v>45488</x:v>
      </x:c>
      <x:c r="B247" s="141" t="str">
        <x:v>Au99.99</x:v>
      </x:c>
      <x:c r="C247" s="153" t="n">
        <x:v>564</x:v>
      </x:c>
      <x:c r="D247" s="153" t="n">
        <x:v>566.4</x:v>
      </x:c>
      <x:c r="E247" s="153" t="n">
        <x:v>563.45</x:v>
      </x:c>
      <x:c r="F247" s="153" t="n">
        <x:v>563.66</x:v>
      </x:c>
      <x:c r="G247" s="153" t="n">
        <x:v>0.4</x:v>
      </x:c>
      <x:c r="H247" s="154" t="n">
        <x:v>0.0007000000000000001</x:v>
      </x:c>
      <x:c r="I247" s="158" t="n">
        <x:v>565.31</x:v>
      </x:c>
      <x:c r="J247" s="158" t="n">
        <x:v>9841.94</x:v>
      </x:c>
      <x:c r="K247" s="158" t="n">
        <x:v>5563827608.8</x:v>
      </x:c>
      <x:c r="L247" s="158"/>
      <x:c r="M247" s="141" t="str">
        <x:v>https://www.sge.com.cn/sjzx/quotation_daily_new?start_date=2024-07-01&amp;end_date=2024-07-31&amp;inst_ids=Au99.99&amp;p=</x:v>
      </x:c>
    </x:row>
    <x:row r="248">
      <x:c r="A248" s="155" t="n">
        <x:v>45489</x:v>
      </x:c>
      <x:c r="B248" s="141" t="str">
        <x:v>Ag(T+D)</x:v>
      </x:c>
      <x:c r="C248" s="153" t="n">
        <x:v>8077</x:v>
      </x:c>
      <x:c r="D248" s="153" t="n">
        <x:v>8125</x:v>
      </x:c>
      <x:c r="E248" s="153" t="n">
        <x:v>8020</x:v>
      </x:c>
      <x:c r="F248" s="153" t="n">
        <x:v>8102</x:v>
      </x:c>
      <x:c r="G248" s="153" t="n">
        <x:v>17</x:v>
      </x:c>
      <x:c r="H248" s="154" t="n">
        <x:v>0.0021</x:v>
      </x:c>
      <x:c r="I248" s="158" t="n">
        <x:v>8081</x:v>
      </x:c>
      <x:c r="J248" s="158" t="n">
        <x:v>359664</x:v>
      </x:c>
      <x:c r="K248" s="158" t="n">
        <x:v>2906753384</x:v>
      </x:c>
      <x:c r="L248" s="158" t="n">
        <x:v>4776140</x:v>
      </x:c>
      <x:c r="M248" s="141" t="str">
        <x:v>https://www.sge.com.cn/sjzx/quotation_daily_new?start_date=2024-07-01&amp;end_date=2024-07-31&amp;inst_ids=Ag%28T%2BD%29&amp;p=</x:v>
      </x:c>
    </x:row>
    <x:row r="249">
      <x:c r="A249" s="155" t="n">
        <x:v>45489</x:v>
      </x:c>
      <x:c r="B249" s="141" t="str">
        <x:v>Au99.99</x:v>
      </x:c>
      <x:c r="C249" s="153" t="n">
        <x:v>567</x:v>
      </x:c>
      <x:c r="D249" s="153" t="n">
        <x:v>571.3</x:v>
      </x:c>
      <x:c r="E249" s="153" t="n">
        <x:v>566.49</x:v>
      </x:c>
      <x:c r="F249" s="153" t="n">
        <x:v>570.82</x:v>
      </x:c>
      <x:c r="G249" s="153" t="n">
        <x:v>7.16</x:v>
      </x:c>
      <x:c r="H249" s="154" t="n">
        <x:v>0.0127</x:v>
      </x:c>
      <x:c r="I249" s="158" t="n">
        <x:v>569.77</x:v>
      </x:c>
      <x:c r="J249" s="158" t="n">
        <x:v>9169.84</x:v>
      </x:c>
      <x:c r="K249" s="158" t="n">
        <x:v>5224736072.2</x:v>
      </x:c>
      <x:c r="L249" s="158"/>
      <x:c r="M249" s="141" t="str">
        <x:v>https://www.sge.com.cn/sjzx/quotation_daily_new?start_date=2024-07-01&amp;end_date=2024-07-31&amp;inst_ids=Au99.99&amp;p=</x:v>
      </x:c>
    </x:row>
    <x:row r="250">
      <x:c r="A250" s="155" t="n">
        <x:v>45490</x:v>
      </x:c>
      <x:c r="B250" s="141" t="str">
        <x:v>Ag(T+D)</x:v>
      </x:c>
      <x:c r="C250" s="153" t="n">
        <x:v>8102</x:v>
      </x:c>
      <x:c r="D250" s="153" t="n">
        <x:v>8220</x:v>
      </x:c>
      <x:c r="E250" s="153" t="n">
        <x:v>8038</x:v>
      </x:c>
      <x:c r="F250" s="153" t="n">
        <x:v>8064</x:v>
      </x:c>
      <x:c r="G250" s="153" t="n">
        <x:v>-17</x:v>
      </x:c>
      <x:c r="H250" s="154" t="n">
        <x:v>-0.0021</x:v>
      </x:c>
      <x:c r="I250" s="158" t="n">
        <x:v>8116</x:v>
      </x:c>
      <x:c r="J250" s="158" t="n">
        <x:v>909550</x:v>
      </x:c>
      <x:c r="K250" s="158" t="n">
        <x:v>7382516602</x:v>
      </x:c>
      <x:c r="L250" s="158" t="n">
        <x:v>4838102</x:v>
      </x:c>
      <x:c r="M250" s="141" t="str">
        <x:v>https://www.sge.com.cn/sjzx/quotation_daily_new?start_date=2024-07-01&amp;end_date=2024-07-31&amp;inst_ids=Ag%28T%2BD%29&amp;p=</x:v>
      </x:c>
    </x:row>
    <x:row r="251">
      <x:c r="A251" s="155" t="n">
        <x:v>45490</x:v>
      </x:c>
      <x:c r="B251" s="141" t="str">
        <x:v>Au99.99</x:v>
      </x:c>
      <x:c r="C251" s="153" t="n">
        <x:v>571</x:v>
      </x:c>
      <x:c r="D251" s="153" t="n">
        <x:v>581.5</x:v>
      </x:c>
      <x:c r="E251" s="153" t="n">
        <x:v>569.31</x:v>
      </x:c>
      <x:c r="F251" s="153" t="n">
        <x:v>577.37</x:v>
      </x:c>
      <x:c r="G251" s="153" t="n">
        <x:v>6.55</x:v>
      </x:c>
      <x:c r="H251" s="154" t="n">
        <x:v>0.0115</x:v>
      </x:c>
      <x:c r="I251" s="158" t="n">
        <x:v>578.47</x:v>
      </x:c>
      <x:c r="J251" s="158" t="n">
        <x:v>8784.02</x:v>
      </x:c>
      <x:c r="K251" s="158" t="n">
        <x:v>5081322515.2</x:v>
      </x:c>
      <x:c r="L251" s="158"/>
      <x:c r="M251" s="141" t="str">
        <x:v>https://www.sge.com.cn/sjzx/quotation_daily_new?start_date=2024-07-01&amp;end_date=2024-07-31&amp;inst_ids=Au99.99&amp;p=</x:v>
      </x:c>
    </x:row>
    <x:row r="252">
      <x:c r="A252" s="155" t="n">
        <x:v>45491</x:v>
      </x:c>
      <x:c r="B252" s="141" t="str">
        <x:v>Ag(T+D)</x:v>
      </x:c>
      <x:c r="C252" s="153" t="n">
        <x:v>8096</x:v>
      </x:c>
      <x:c r="D252" s="153" t="n">
        <x:v>8115</x:v>
      </x:c>
      <x:c r="E252" s="153" t="n">
        <x:v>7870</x:v>
      </x:c>
      <x:c r="F252" s="153" t="n">
        <x:v>7969</x:v>
      </x:c>
      <x:c r="G252" s="153" t="n">
        <x:v>-147</x:v>
      </x:c>
      <x:c r="H252" s="154" t="n">
        <x:v>-0.0181</x:v>
      </x:c>
      <x:c r="I252" s="158" t="n">
        <x:v>7960</x:v>
      </x:c>
      <x:c r="J252" s="158" t="n">
        <x:v>545856</x:v>
      </x:c>
      <x:c r="K252" s="158" t="n">
        <x:v>4345389364</x:v>
      </x:c>
      <x:c r="L252" s="158" t="n">
        <x:v>4815600</x:v>
      </x:c>
      <x:c r="M252" s="141" t="str">
        <x:v>https://www.sge.com.cn/sjzx/quotation_daily_new?start_date=2024-07-01&amp;end_date=2024-07-31&amp;inst_ids=Ag%28T%2BD%29&amp;p=</x:v>
      </x:c>
    </x:row>
    <x:row r="253">
      <x:c r="A253" s="155" t="n">
        <x:v>45491</x:v>
      </x:c>
      <x:c r="B253" s="141" t="str">
        <x:v>Au99.99</x:v>
      </x:c>
      <x:c r="C253" s="153" t="n">
        <x:v>576</x:v>
      </x:c>
      <x:c r="D253" s="153" t="n">
        <x:v>579.22</x:v>
      </x:c>
      <x:c r="E253" s="153" t="n">
        <x:v>572.8</x:v>
      </x:c>
      <x:c r="F253" s="153" t="n">
        <x:v>577.56</x:v>
      </x:c>
      <x:c r="G253" s="153" t="n">
        <x:v>0.19</x:v>
      </x:c>
      <x:c r="H253" s="154" t="n">
        <x:v>0.0003</x:v>
      </x:c>
      <x:c r="I253" s="158" t="n">
        <x:v>575.95</x:v>
      </x:c>
      <x:c r="J253" s="158" t="n">
        <x:v>6397.34</x:v>
      </x:c>
      <x:c r="K253" s="158" t="n">
        <x:v>3684562716</x:v>
      </x:c>
      <x:c r="L253" s="158"/>
      <x:c r="M253" s="141" t="str">
        <x:v>https://www.sge.com.cn/sjzx/quotation_daily_new?start_date=2024-07-01&amp;end_date=2024-07-31&amp;inst_ids=Au99.99&amp;p=</x:v>
      </x:c>
    </x:row>
    <x:row r="254">
      <x:c r="A254" s="155" t="n">
        <x:v>45492</x:v>
      </x:c>
      <x:c r="B254" s="141" t="str">
        <x:v>Ag(T+D)</x:v>
      </x:c>
      <x:c r="C254" s="153" t="n">
        <x:v>7947</x:v>
      </x:c>
      <x:c r="D254" s="153" t="n">
        <x:v>7958</x:v>
      </x:c>
      <x:c r="E254" s="153" t="n">
        <x:v>7640</x:v>
      </x:c>
      <x:c r="F254" s="153" t="n">
        <x:v>7647</x:v>
      </x:c>
      <x:c r="G254" s="153" t="n">
        <x:v>-313</x:v>
      </x:c>
      <x:c r="H254" s="154" t="n">
        <x:v>-0.0393</x:v>
      </x:c>
      <x:c r="I254" s="158" t="n">
        <x:v>7756</x:v>
      </x:c>
      <x:c r="J254" s="158" t="n">
        <x:v>897954</x:v>
      </x:c>
      <x:c r="K254" s="158" t="n">
        <x:v>6965120440</x:v>
      </x:c>
      <x:c r="L254" s="158" t="n">
        <x:v>4793474</x:v>
      </x:c>
      <x:c r="M254" s="141" t="str">
        <x:v>https://www.sge.com.cn/sjzx/quotation_daily_new?start_date=2024-07-01&amp;end_date=2024-07-31&amp;inst_ids=Ag%28T%2BD%29&amp;p=</x:v>
      </x:c>
    </x:row>
    <x:row r="255">
      <x:c r="A255" s="155" t="n">
        <x:v>45492</x:v>
      </x:c>
      <x:c r="B255" s="141" t="str">
        <x:v>Au99.99</x:v>
      </x:c>
      <x:c r="C255" s="153" t="n">
        <x:v>575.01</x:v>
      </x:c>
      <x:c r="D255" s="153" t="n">
        <x:v>575.6</x:v>
      </x:c>
      <x:c r="E255" s="153" t="n">
        <x:v>560.2</x:v>
      </x:c>
      <x:c r="F255" s="153" t="n">
        <x:v>561.9</x:v>
      </x:c>
      <x:c r="G255" s="153" t="n">
        <x:v>-15.66</x:v>
      </x:c>
      <x:c r="H255" s="154" t="n">
        <x:v>-0.0271</x:v>
      </x:c>
      <x:c r="I255" s="158" t="n">
        <x:v>564.99</x:v>
      </x:c>
      <x:c r="J255" s="158" t="n">
        <x:v>9589.4</x:v>
      </x:c>
      <x:c r="K255" s="158" t="n">
        <x:v>5418004586</x:v>
      </x:c>
      <x:c r="L255" s="158"/>
      <x:c r="M255" s="141" t="str">
        <x:v>https://www.sge.com.cn/sjzx/quotation_daily_new?start_date=2024-07-01&amp;end_date=2024-07-31&amp;inst_ids=Au99.99&amp;p=</x:v>
      </x:c>
    </x:row>
    <x:row r="256">
      <x:c r="A256" s="155" t="n">
        <x:v>45495</x:v>
      </x:c>
      <x:c r="B256" s="141" t="str">
        <x:v>Ag(T+D)</x:v>
      </x:c>
      <x:c r="C256" s="153" t="n">
        <x:v>7620</x:v>
      </x:c>
      <x:c r="D256" s="153" t="n">
        <x:v>7700</x:v>
      </x:c>
      <x:c r="E256" s="153" t="n">
        <x:v>7560</x:v>
      </x:c>
      <x:c r="F256" s="153" t="n">
        <x:v>7605</x:v>
      </x:c>
      <x:c r="G256" s="153" t="n">
        <x:v>-151</x:v>
      </x:c>
      <x:c r="H256" s="154" t="n">
        <x:v>-0.0195</x:v>
      </x:c>
      <x:c r="I256" s="158" t="n">
        <x:v>7626</x:v>
      </x:c>
      <x:c r="J256" s="158" t="n">
        <x:v>494494</x:v>
      </x:c>
      <x:c r="K256" s="158" t="n">
        <x:v>3771026928</x:v>
      </x:c>
      <x:c r="L256" s="158" t="n">
        <x:v>4779200</x:v>
      </x:c>
      <x:c r="M256" s="141" t="str">
        <x:v>https://www.sge.com.cn/sjzx/quotation_daily_new?start_date=2024-07-01&amp;end_date=2024-07-31&amp;inst_ids=Ag%28T%2BD%29&amp;p=</x:v>
      </x:c>
    </x:row>
    <x:row r="257">
      <x:c r="A257" s="155" t="n">
        <x:v>45495</x:v>
      </x:c>
      <x:c r="B257" s="141" t="str">
        <x:v>Au99.99</x:v>
      </x:c>
      <x:c r="C257" s="153" t="n">
        <x:v>560</x:v>
      </x:c>
      <x:c r="D257" s="153" t="n">
        <x:v>563.7</x:v>
      </x:c>
      <x:c r="E257" s="153" t="n">
        <x:v>556.5</x:v>
      </x:c>
      <x:c r="F257" s="153" t="n">
        <x:v>563.32</x:v>
      </x:c>
      <x:c r="G257" s="153" t="n">
        <x:v>1.42</x:v>
      </x:c>
      <x:c r="H257" s="154" t="n">
        <x:v>0.0025</x:v>
      </x:c>
      <x:c r="I257" s="158" t="n">
        <x:v>562.71</x:v>
      </x:c>
      <x:c r="J257" s="158" t="n">
        <x:v>9682.88</x:v>
      </x:c>
      <x:c r="K257" s="158" t="n">
        <x:v>5448744433.2</x:v>
      </x:c>
      <x:c r="L257" s="158"/>
      <x:c r="M257" s="141" t="str">
        <x:v>https://www.sge.com.cn/sjzx/quotation_daily_new?start_date=2024-07-01&amp;end_date=2024-07-31&amp;inst_ids=Au99.99&amp;p=</x:v>
      </x:c>
    </x:row>
    <x:row r="258">
      <x:c r="A258" s="155" t="n">
        <x:v>45496</x:v>
      </x:c>
      <x:c r="B258" s="141" t="str">
        <x:v>Ag(T+D)</x:v>
      </x:c>
      <x:c r="C258" s="153" t="n">
        <x:v>7583</x:v>
      </x:c>
      <x:c r="D258" s="153" t="n">
        <x:v>7686</x:v>
      </x:c>
      <x:c r="E258" s="153" t="n">
        <x:v>7521</x:v>
      </x:c>
      <x:c r="F258" s="153" t="n">
        <x:v>7543</x:v>
      </x:c>
      <x:c r="G258" s="153" t="n">
        <x:v>-83</x:v>
      </x:c>
      <x:c r="H258" s="154" t="n">
        <x:v>-0.0109</x:v>
      </x:c>
      <x:c r="I258" s="158" t="n">
        <x:v>7583</x:v>
      </x:c>
      <x:c r="J258" s="158" t="n">
        <x:v>515146</x:v>
      </x:c>
      <x:c r="K258" s="158" t="n">
        <x:v>3906589498</x:v>
      </x:c>
      <x:c r="L258" s="158" t="n">
        <x:v>4782904</x:v>
      </x:c>
      <x:c r="M258" s="141" t="str">
        <x:v>https://www.sge.com.cn/sjzx/quotation_daily_new?start_date=2024-07-01&amp;end_date=2024-07-31&amp;inst_ids=Ag%28T%2BD%29&amp;p=</x:v>
      </x:c>
    </x:row>
    <x:row r="259">
      <x:c r="A259" s="155" t="n">
        <x:v>45496</x:v>
      </x:c>
      <x:c r="B259" s="141" t="str">
        <x:v>Au99.99</x:v>
      </x:c>
      <x:c r="C259" s="153" t="n">
        <x:v>562</x:v>
      </x:c>
      <x:c r="D259" s="153" t="n">
        <x:v>563.79</x:v>
      </x:c>
      <x:c r="E259" s="153" t="n">
        <x:v>558.56</x:v>
      </x:c>
      <x:c r="F259" s="153" t="n">
        <x:v>560</x:v>
      </x:c>
      <x:c r="G259" s="153" t="n">
        <x:v>-3.32</x:v>
      </x:c>
      <x:c r="H259" s="154" t="n">
        <x:v>-0.0059</x:v>
      </x:c>
      <x:c r="I259" s="158" t="n">
        <x:v>560.5</x:v>
      </x:c>
      <x:c r="J259" s="158" t="n">
        <x:v>7180</x:v>
      </x:c>
      <x:c r="K259" s="158" t="n">
        <x:v>4024442614.2</x:v>
      </x:c>
      <x:c r="L259" s="158"/>
      <x:c r="M259" s="141" t="str">
        <x:v>https://www.sge.com.cn/sjzx/quotation_daily_new?start_date=2024-07-01&amp;end_date=2024-07-31&amp;inst_ids=Au99.99&amp;p=</x:v>
      </x:c>
    </x:row>
    <x:row r="260">
      <x:c r="A260" s="155" t="n">
        <x:v>45497</x:v>
      </x:c>
      <x:c r="B260" s="141" t="str">
        <x:v>Ag(T+D)</x:v>
      </x:c>
      <x:c r="C260" s="153" t="n">
        <x:v>7594</x:v>
      </x:c>
      <x:c r="D260" s="153" t="n">
        <x:v>7681</x:v>
      </x:c>
      <x:c r="E260" s="153" t="n">
        <x:v>7571</x:v>
      </x:c>
      <x:c r="F260" s="153" t="n">
        <x:v>7673</x:v>
      </x:c>
      <x:c r="G260" s="153" t="n">
        <x:v>90</x:v>
      </x:c>
      <x:c r="H260" s="154" t="n">
        <x:v>0.011899999999999999</x:v>
      </x:c>
      <x:c r="I260" s="158" t="n">
        <x:v>7641</x:v>
      </x:c>
      <x:c r="J260" s="158" t="n">
        <x:v>413092</x:v>
      </x:c>
      <x:c r="K260" s="158" t="n">
        <x:v>3156556930</x:v>
      </x:c>
      <x:c r="L260" s="158" t="n">
        <x:v>4825264</x:v>
      </x:c>
      <x:c r="M260" s="141" t="str">
        <x:v>https://www.sge.com.cn/sjzx/quotation_daily_new?start_date=2024-07-01&amp;end_date=2024-07-31&amp;inst_ids=Ag%28T%2BD%29&amp;p=</x:v>
      </x:c>
    </x:row>
    <x:row r="261">
      <x:c r="A261" s="155" t="n">
        <x:v>45497</x:v>
      </x:c>
      <x:c r="B261" s="141" t="str">
        <x:v>Au99.99</x:v>
      </x:c>
      <x:c r="C261" s="153" t="n">
        <x:v>562.9</x:v>
      </x:c>
      <x:c r="D261" s="153" t="n">
        <x:v>566.48</x:v>
      </x:c>
      <x:c r="E261" s="153" t="n">
        <x:v>562.86</x:v>
      </x:c>
      <x:c r="F261" s="153" t="n">
        <x:v>566.35</x:v>
      </x:c>
      <x:c r="G261" s="153" t="n">
        <x:v>6.35</x:v>
      </x:c>
      <x:c r="H261" s="154" t="n">
        <x:v>0.0113</x:v>
      </x:c>
      <x:c r="I261" s="158" t="n">
        <x:v>565.43</x:v>
      </x:c>
      <x:c r="J261" s="158" t="n">
        <x:v>7482.32</x:v>
      </x:c>
      <x:c r="K261" s="158" t="n">
        <x:v>4230797214.8</x:v>
      </x:c>
      <x:c r="L261" s="158"/>
      <x:c r="M261" s="141" t="str">
        <x:v>https://www.sge.com.cn/sjzx/quotation_daily_new?start_date=2024-07-01&amp;end_date=2024-07-31&amp;inst_ids=Au99.99&amp;p=</x:v>
      </x:c>
    </x:row>
    <x:row r="262">
      <x:c r="A262" s="155" t="n">
        <x:v>45498</x:v>
      </x:c>
      <x:c r="B262" s="141" t="str">
        <x:v>Ag(T+D)</x:v>
      </x:c>
      <x:c r="C262" s="153" t="n">
        <x:v>7681</x:v>
      </x:c>
      <x:c r="D262" s="153" t="n">
        <x:v>7697</x:v>
      </x:c>
      <x:c r="E262" s="153" t="n">
        <x:v>7182</x:v>
      </x:c>
      <x:c r="F262" s="153" t="n">
        <x:v>7208</x:v>
      </x:c>
      <x:c r="G262" s="153" t="n">
        <x:v>-433</x:v>
      </x:c>
      <x:c r="H262" s="154" t="n">
        <x:v>-0.0567</x:v>
      </x:c>
      <x:c r="I262" s="158" t="n">
        <x:v>7352</x:v>
      </x:c>
      <x:c r="J262" s="158" t="n">
        <x:v>903632</x:v>
      </x:c>
      <x:c r="K262" s="158" t="n">
        <x:v>6643879432</x:v>
      </x:c>
      <x:c r="L262" s="158" t="n">
        <x:v>4814556</x:v>
      </x:c>
      <x:c r="M262" s="141" t="str">
        <x:v>https://www.sge.com.cn/sjzx/quotation_daily_new?start_date=2024-07-01&amp;end_date=2024-07-31&amp;inst_ids=Ag%28T%2BD%29&amp;p=</x:v>
      </x:c>
    </x:row>
    <x:row r="263">
      <x:c r="A263" s="155" t="n">
        <x:v>45498</x:v>
      </x:c>
      <x:c r="B263" s="141" t="str">
        <x:v>Au99.99</x:v>
      </x:c>
      <x:c r="C263" s="153" t="n">
        <x:v>566.2</x:v>
      </x:c>
      <x:c r="D263" s="153" t="n">
        <x:v>568.2</x:v>
      </x:c>
      <x:c r="E263" s="153" t="n">
        <x:v>550.9</x:v>
      </x:c>
      <x:c r="F263" s="153" t="n">
        <x:v>552.4</x:v>
      </x:c>
      <x:c r="G263" s="153" t="n">
        <x:v>-13.95</x:v>
      </x:c>
      <x:c r="H263" s="154" t="n">
        <x:v>-0.0246</x:v>
      </x:c>
      <x:c r="I263" s="158" t="n">
        <x:v>554.34</x:v>
      </x:c>
      <x:c r="J263" s="158" t="n">
        <x:v>10759.96</x:v>
      </x:c>
      <x:c r="K263" s="158" t="n">
        <x:v>5964753898.8</x:v>
      </x:c>
      <x:c r="L263" s="158"/>
      <x:c r="M263" s="141" t="str">
        <x:v>https://www.sge.com.cn/sjzx/quotation_daily_new?start_date=2024-07-01&amp;end_date=2024-07-31&amp;inst_ids=Au99.99&amp;p=</x:v>
      </x:c>
    </x:row>
    <x:row r="264">
      <x:c r="A264" s="155" t="n">
        <x:v>45499</x:v>
      </x:c>
      <x:c r="B264" s="141" t="str">
        <x:v>Ag(T+D)</x:v>
      </x:c>
      <x:c r="C264" s="153" t="n">
        <x:v>7123</x:v>
      </x:c>
      <x:c r="D264" s="153" t="n">
        <x:v>7289</x:v>
      </x:c>
      <x:c r="E264" s="153" t="n">
        <x:v>7108</x:v>
      </x:c>
      <x:c r="F264" s="153" t="n">
        <x:v>7232</x:v>
      </x:c>
      <x:c r="G264" s="153" t="n">
        <x:v>-120</x:v>
      </x:c>
      <x:c r="H264" s="154" t="n">
        <x:v>-0.0163</x:v>
      </x:c>
      <x:c r="I264" s="158" t="n">
        <x:v>7218</x:v>
      </x:c>
      <x:c r="J264" s="158" t="n">
        <x:v>521932</x:v>
      </x:c>
      <x:c r="K264" s="158" t="n">
        <x:v>3767646092</x:v>
      </x:c>
      <x:c r="L264" s="158" t="n">
        <x:v>4844812</x:v>
      </x:c>
      <x:c r="M264" s="141" t="str">
        <x:v>https://www.sge.com.cn/sjzx/quotation_daily_new?start_date=2024-07-01&amp;end_date=2024-07-31&amp;inst_ids=Ag%28T%2BD%29&amp;p=</x:v>
      </x:c>
    </x:row>
    <x:row r="265">
      <x:c r="A265" s="155" t="n">
        <x:v>45499</x:v>
      </x:c>
      <x:c r="B265" s="141" t="str">
        <x:v>Au99.99</x:v>
      </x:c>
      <x:c r="C265" s="153" t="n">
        <x:v>549.01</x:v>
      </x:c>
      <x:c r="D265" s="153" t="n">
        <x:v>557.88</x:v>
      </x:c>
      <x:c r="E265" s="153" t="n">
        <x:v>548</x:v>
      </x:c>
      <x:c r="F265" s="153" t="n">
        <x:v>555.5</x:v>
      </x:c>
      <x:c r="G265" s="153" t="n">
        <x:v>3.1</x:v>
      </x:c>
      <x:c r="H265" s="154" t="n">
        <x:v>0.005600000000000001</x:v>
      </x:c>
      <x:c r="I265" s="158" t="n">
        <x:v>554.29</x:v>
      </x:c>
      <x:c r="J265" s="158" t="n">
        <x:v>12545.88</x:v>
      </x:c>
      <x:c r="K265" s="158" t="n">
        <x:v>6954129170.2</x:v>
      </x:c>
      <x:c r="L265" s="158"/>
      <x:c r="M265" s="141" t="str">
        <x:v>https://www.sge.com.cn/sjzx/quotation_daily_new?start_date=2024-07-01&amp;end_date=2024-07-31&amp;inst_ids=Au99.99&amp;p=</x:v>
      </x:c>
    </x:row>
    <x:row r="266">
      <x:c r="A266" s="155" t="n">
        <x:v>45502</x:v>
      </x:c>
      <x:c r="B266" s="141" t="str">
        <x:v>Ag(T+D)</x:v>
      </x:c>
      <x:c r="C266" s="153" t="n">
        <x:v>7234</x:v>
      </x:c>
      <x:c r="D266" s="153" t="n">
        <x:v>7315</x:v>
      </x:c>
      <x:c r="E266" s="153" t="n">
        <x:v>7192</x:v>
      </x:c>
      <x:c r="F266" s="153" t="n">
        <x:v>7282</x:v>
      </x:c>
      <x:c r="G266" s="153" t="n">
        <x:v>64</x:v>
      </x:c>
      <x:c r="H266" s="154" t="n">
        <x:v>0.0089</x:v>
      </x:c>
      <x:c r="I266" s="158" t="n">
        <x:v>7269</x:v>
      </x:c>
      <x:c r="J266" s="158" t="n">
        <x:v>347130</x:v>
      </x:c>
      <x:c r="K266" s="158" t="n">
        <x:v>2523544798</x:v>
      </x:c>
      <x:c r="L266" s="158" t="n">
        <x:v>4846670</x:v>
      </x:c>
      <x:c r="M266" s="141" t="str">
        <x:v>https://www.sge.com.cn/sjzx/quotation_daily_new?start_date=2024-07-01&amp;end_date=2024-07-31&amp;inst_ids=Ag%28T%2BD%29&amp;p=</x:v>
      </x:c>
    </x:row>
    <x:row r="267">
      <x:c r="A267" s="155" t="n">
        <x:v>45502</x:v>
      </x:c>
      <x:c r="B267" s="141" t="str">
        <x:v>Au99.99</x:v>
      </x:c>
      <x:c r="C267" s="153" t="n">
        <x:v>555.5</x:v>
      </x:c>
      <x:c r="D267" s="153" t="n">
        <x:v>560.99</x:v>
      </x:c>
      <x:c r="E267" s="153" t="n">
        <x:v>555.5</x:v>
      </x:c>
      <x:c r="F267" s="153" t="n">
        <x:v>558.79</x:v>
      </x:c>
      <x:c r="G267" s="153" t="n">
        <x:v>3.29</x:v>
      </x:c>
      <x:c r="H267" s="154" t="n">
        <x:v>0.0059</x:v>
      </x:c>
      <x:c r="I267" s="158" t="n">
        <x:v>558.75</x:v>
      </x:c>
      <x:c r="J267" s="158" t="n">
        <x:v>9926.74</x:v>
      </x:c>
      <x:c r="K267" s="158" t="n">
        <x:v>5546587508</x:v>
      </x:c>
      <x:c r="L267" s="158"/>
      <x:c r="M267" s="141" t="str">
        <x:v>https://www.sge.com.cn/sjzx/quotation_daily_new?start_date=2024-07-01&amp;end_date=2024-07-31&amp;inst_ids=Au99.99&amp;p=</x:v>
      </x:c>
    </x:row>
    <x:row r="268">
      <x:c r="A268" s="155" t="n">
        <x:v>45503</x:v>
      </x:c>
      <x:c r="B268" s="141" t="str">
        <x:v>Ag(T+D)</x:v>
      </x:c>
      <x:c r="C268" s="153" t="n">
        <x:v>7289</x:v>
      </x:c>
      <x:c r="D268" s="153" t="n">
        <x:v>7296</x:v>
      </x:c>
      <x:c r="E268" s="153" t="n">
        <x:v>7100</x:v>
      </x:c>
      <x:c r="F268" s="153" t="n">
        <x:v>7249</x:v>
      </x:c>
      <x:c r="G268" s="153" t="n">
        <x:v>-20</x:v>
      </x:c>
      <x:c r="H268" s="154" t="n">
        <x:v>-0.0028000000000000004</x:v>
      </x:c>
      <x:c r="I268" s="158" t="n">
        <x:v>7214</x:v>
      </x:c>
      <x:c r="J268" s="158" t="n">
        <x:v>381680</x:v>
      </x:c>
      <x:c r="K268" s="158" t="n">
        <x:v>2753819844</x:v>
      </x:c>
      <x:c r="L268" s="158" t="n">
        <x:v>4846526</x:v>
      </x:c>
      <x:c r="M268" s="141" t="str">
        <x:v>https://www.sge.com.cn/sjzx/quotation_daily_new?start_date=2024-07-01&amp;end_date=2024-07-31&amp;inst_ids=Ag%28T%2BD%29&amp;p=</x:v>
      </x:c>
    </x:row>
    <x:row r="269">
      <x:c r="A269" s="155" t="n">
        <x:v>45503</x:v>
      </x:c>
      <x:c r="B269" s="141" t="str">
        <x:v>Au99.99</x:v>
      </x:c>
      <x:c r="C269" s="153" t="n">
        <x:v>558</x:v>
      </x:c>
      <x:c r="D269" s="153" t="n">
        <x:v>559.5</x:v>
      </x:c>
      <x:c r="E269" s="153" t="n">
        <x:v>553.5</x:v>
      </x:c>
      <x:c r="F269" s="153" t="n">
        <x:v>558.68</x:v>
      </x:c>
      <x:c r="G269" s="153" t="n">
        <x:v>-0.11</x:v>
      </x:c>
      <x:c r="H269" s="154" t="n">
        <x:v>-0.0002</x:v>
      </x:c>
      <x:c r="I269" s="158" t="n">
        <x:v>557.87</x:v>
      </x:c>
      <x:c r="J269" s="158" t="n">
        <x:v>7260.04</x:v>
      </x:c>
      <x:c r="K269" s="158" t="n">
        <x:v>4050223735.4</x:v>
      </x:c>
      <x:c r="L269" s="158"/>
      <x:c r="M269" s="141" t="str">
        <x:v>https://www.sge.com.cn/sjzx/quotation_daily_new?start_date=2024-07-01&amp;end_date=2024-07-31&amp;inst_ids=Au99.99&amp;p=</x:v>
      </x:c>
    </x:row>
    <x:row r="270">
      <x:c r="A270" s="155" t="n">
        <x:v>45504</x:v>
      </x:c>
      <x:c r="B270" s="141" t="str">
        <x:v>Ag(T+D)</x:v>
      </x:c>
      <x:c r="C270" s="153" t="n">
        <x:v>7230</x:v>
      </x:c>
      <x:c r="D270" s="153" t="n">
        <x:v>7454</x:v>
      </x:c>
      <x:c r="E270" s="153" t="n">
        <x:v>7203</x:v>
      </x:c>
      <x:c r="F270" s="153" t="n">
        <x:v>7414</x:v>
      </x:c>
      <x:c r="G270" s="153" t="n">
        <x:v>200</x:v>
      </x:c>
      <x:c r="H270" s="154" t="n">
        <x:v>0.0277</x:v>
      </x:c>
      <x:c r="I270" s="158" t="n">
        <x:v>7350</x:v>
      </x:c>
      <x:c r="J270" s="158" t="n">
        <x:v>537328</x:v>
      </x:c>
      <x:c r="K270" s="158" t="n">
        <x:v>3949474802</x:v>
      </x:c>
      <x:c r="L270" s="158" t="n">
        <x:v>4918590</x:v>
      </x:c>
      <x:c r="M270" s="141" t="str">
        <x:v>https://www.sge.com.cn/sjzx/quotation_daily_new?start_date=2024-07-01&amp;end_date=2024-07-31&amp;inst_ids=Ag%28T%2BD%29&amp;p=</x:v>
      </x:c>
    </x:row>
    <x:row r="271">
      <x:c r="A271" s="155" t="n">
        <x:v>45504</x:v>
      </x:c>
      <x:c r="B271" s="141" t="str">
        <x:v>Au99.99</x:v>
      </x:c>
      <x:c r="C271" s="153" t="n">
        <x:v>558</x:v>
      </x:c>
      <x:c r="D271" s="153" t="n">
        <x:v>565.5</x:v>
      </x:c>
      <x:c r="E271" s="153" t="n">
        <x:v>556.8</x:v>
      </x:c>
      <x:c r="F271" s="153" t="n">
        <x:v>563.26</x:v>
      </x:c>
      <x:c r="G271" s="153" t="n">
        <x:v>4.58</x:v>
      </x:c>
      <x:c r="H271" s="154" t="n">
        <x:v>0.008199999999999999</x:v>
      </x:c>
      <x:c r="I271" s="158" t="n">
        <x:v>563.21</x:v>
      </x:c>
      <x:c r="J271" s="158" t="n">
        <x:v>7289.76</x:v>
      </x:c>
      <x:c r="K271" s="158" t="n">
        <x:v>4105672497.2</x:v>
      </x:c>
      <x:c r="L271" s="158"/>
      <x:c r="M271" s="141" t="str">
        <x:v>https://www.sge.com.cn/sjzx/quotation_daily_new?start_date=2024-07-01&amp;end_date=2024-07-31&amp;inst_ids=Au99.99&amp;p=</x:v>
      </x:c>
    </x:row>
    <x:row r="272">
      <x:c r="A272" s="155" t="n">
        <x:v>45509</x:v>
      </x:c>
      <x:c r="B272" s="141" t="str">
        <x:v>Ag(T+D)</x:v>
      </x:c>
      <x:c r="C272" s="153" t="n">
        <x:v>7440</x:v>
      </x:c>
      <x:c r="D272" s="153" t="n">
        <x:v>7490</x:v>
      </x:c>
      <x:c r="E272" s="153" t="n">
        <x:v>7147</x:v>
      </x:c>
      <x:c r="F272" s="153" t="n">
        <x:v>7225</x:v>
      </x:c>
      <x:c r="G272" s="153" t="n">
        <x:v>-158</x:v>
      </x:c>
      <x:c r="H272" s="154" t="n">
        <x:v>-0.021400000000000002</x:v>
      </x:c>
      <x:c r="I272" s="158" t="n">
        <x:v>7267</x:v>
      </x:c>
      <x:c r="J272" s="158" t="n">
        <x:v>752996</x:v>
      </x:c>
      <x:c r="K272" s="158" t="n">
        <x:v>5472736954</x:v>
      </x:c>
      <x:c r="L272" s="158" t="n">
        <x:v>4927838</x:v>
      </x:c>
      <x:c r="M272" s="141" t="str">
        <x:v>https://www.sge.com.cn/sjzx/quotation_daily_new?start_date=2024-08-01&amp;end_date=2024-08-31&amp;inst_ids=Ag%28T%2BD%29&amp;p=</x:v>
      </x:c>
    </x:row>
    <x:row r="273">
      <x:c r="A273" s="155" t="n">
        <x:v>45509</x:v>
      </x:c>
      <x:c r="B273" s="141" t="str">
        <x:v>Au99.99</x:v>
      </x:c>
      <x:c r="C273" s="153" t="n">
        <x:v>570</x:v>
      </x:c>
      <x:c r="D273" s="153" t="n">
        <x:v>570</x:v>
      </x:c>
      <x:c r="E273" s="153" t="n">
        <x:v>554</x:v>
      </x:c>
      <x:c r="F273" s="153" t="n">
        <x:v>560.7</x:v>
      </x:c>
      <x:c r="G273" s="153" t="n">
        <x:v>-10.47</x:v>
      </x:c>
      <x:c r="H273" s="154" t="n">
        <x:v>-0.0183</x:v>
      </x:c>
      <x:c r="I273" s="158" t="n">
        <x:v>559.27</x:v>
      </x:c>
      <x:c r="J273" s="158" t="n">
        <x:v>11212.7</x:v>
      </x:c>
      <x:c r="K273" s="158" t="n">
        <x:v>6270961015.8</x:v>
      </x:c>
      <x:c r="L273" s="158"/>
      <x:c r="M273" s="141" t="str">
        <x:v>https://www.sge.com.cn/sjzx/quotation_daily_new?start_date=2024-08-01&amp;end_date=2024-08-31&amp;inst_ids=Au99.99&amp;p=</x:v>
      </x:c>
    </x:row>
    <x:row r="274">
      <x:c r="A274" s="155" t="n">
        <x:v>45510</x:v>
      </x:c>
      <x:c r="B274" s="141" t="str">
        <x:v>Ag(T+D)</x:v>
      </x:c>
      <x:c r="C274" s="153" t="n">
        <x:v>6858</x:v>
      </x:c>
      <x:c r="D274" s="153" t="n">
        <x:v>7065</x:v>
      </x:c>
      <x:c r="E274" s="153" t="n">
        <x:v>6797</x:v>
      </x:c>
      <x:c r="F274" s="153" t="n">
        <x:v>6899</x:v>
      </x:c>
      <x:c r="G274" s="153" t="n">
        <x:v>-368</x:v>
      </x:c>
      <x:c r="H274" s="154" t="n">
        <x:v>-0.0506</x:v>
      </x:c>
      <x:c r="I274" s="158" t="n">
        <x:v>6917</x:v>
      </x:c>
      <x:c r="J274" s="158" t="n">
        <x:v>960240</x:v>
      </x:c>
      <x:c r="K274" s="158" t="n">
        <x:v>6642268614</x:v>
      </x:c>
      <x:c r="L274" s="158" t="n">
        <x:v>4865228</x:v>
      </x:c>
      <x:c r="M274" s="141" t="str">
        <x:v>https://www.sge.com.cn/sjzx/quotation_daily_new?start_date=2024-08-01&amp;end_date=2024-08-31&amp;inst_ids=Ag%28T%2BD%29&amp;p=</x:v>
      </x:c>
    </x:row>
    <x:row r="275">
      <x:c r="A275" s="155" t="n">
        <x:v>45510</x:v>
      </x:c>
      <x:c r="B275" s="141" t="str">
        <x:v>Au99.99</x:v>
      </x:c>
      <x:c r="C275" s="153" t="n">
        <x:v>550</x:v>
      </x:c>
      <x:c r="D275" s="153" t="n">
        <x:v>559.4</x:v>
      </x:c>
      <x:c r="E275" s="153" t="n">
        <x:v>544</x:v>
      </x:c>
      <x:c r="F275" s="153" t="n">
        <x:v>554.28</x:v>
      </x:c>
      <x:c r="G275" s="153" t="n">
        <x:v>-6.42</x:v>
      </x:c>
      <x:c r="H275" s="154" t="n">
        <x:v>-0.011399999999999999</x:v>
      </x:c>
      <x:c r="I275" s="158" t="n">
        <x:v>554.14</x:v>
      </x:c>
      <x:c r="J275" s="158" t="n">
        <x:v>12622.9</x:v>
      </x:c>
      <x:c r="K275" s="158" t="n">
        <x:v>6994858196.6</x:v>
      </x:c>
      <x:c r="L275" s="158"/>
      <x:c r="M275" s="141" t="str">
        <x:v>https://www.sge.com.cn/sjzx/quotation_daily_new?start_date=2024-08-01&amp;end_date=2024-08-31&amp;inst_ids=Au99.99&amp;p=</x:v>
      </x:c>
    </x:row>
    <x:row r="276">
      <x:c r="A276" s="155" t="n">
        <x:v>45511</x:v>
      </x:c>
      <x:c r="B276" s="141" t="str">
        <x:v>Ag(T+D)</x:v>
      </x:c>
      <x:c r="C276" s="153" t="n">
        <x:v>6909</x:v>
      </x:c>
      <x:c r="D276" s="153" t="n">
        <x:v>6973</x:v>
      </x:c>
      <x:c r="E276" s="153" t="n">
        <x:v>6845</x:v>
      </x:c>
      <x:c r="F276" s="153" t="n">
        <x:v>6907</x:v>
      </x:c>
      <x:c r="G276" s="153" t="n">
        <x:v>-10</x:v>
      </x:c>
      <x:c r="H276" s="154" t="n">
        <x:v>-0.0014000000000000002</x:v>
      </x:c>
      <x:c r="I276" s="158" t="n">
        <x:v>6922</x:v>
      </x:c>
      <x:c r="J276" s="158" t="n">
        <x:v>1195698</x:v>
      </x:c>
      <x:c r="K276" s="158" t="n">
        <x:v>8277391612</x:v>
      </x:c>
      <x:c r="L276" s="158" t="n">
        <x:v>4654984</x:v>
      </x:c>
      <x:c r="M276" s="141" t="str">
        <x:v>https://www.sge.com.cn/sjzx/quotation_daily_new?start_date=2024-08-01&amp;end_date=2024-08-31&amp;inst_ids=Ag%28T%2BD%29&amp;p=</x:v>
      </x:c>
    </x:row>
    <x:row r="277">
      <x:c r="A277" s="155" t="n">
        <x:v>45511</x:v>
      </x:c>
      <x:c r="B277" s="141" t="str">
        <x:v>Au99.99</x:v>
      </x:c>
      <x:c r="C277" s="153" t="n">
        <x:v>555.2</x:v>
      </x:c>
      <x:c r="D277" s="153" t="n">
        <x:v>558.9</x:v>
      </x:c>
      <x:c r="E277" s="153" t="n">
        <x:v>550.07</x:v>
      </x:c>
      <x:c r="F277" s="153" t="n">
        <x:v>554.7</x:v>
      </x:c>
      <x:c r="G277" s="153" t="n">
        <x:v>0.42</x:v>
      </x:c>
      <x:c r="H277" s="154" t="n">
        <x:v>0.0008</x:v>
      </x:c>
      <x:c r="I277" s="158" t="n">
        <x:v>553.33</x:v>
      </x:c>
      <x:c r="J277" s="158" t="n">
        <x:v>13570.36</x:v>
      </x:c>
      <x:c r="K277" s="158" t="n">
        <x:v>7508974236.4</x:v>
      </x:c>
      <x:c r="L277" s="158"/>
      <x:c r="M277" s="141" t="str">
        <x:v>https://www.sge.com.cn/sjzx/quotation_daily_new?start_date=2024-08-01&amp;end_date=2024-08-31&amp;inst_ids=Au99.99&amp;p=</x:v>
      </x:c>
    </x:row>
    <x:row r="278">
      <x:c r="A278" s="155" t="n">
        <x:v>45512</x:v>
      </x:c>
      <x:c r="B278" s="141" t="str">
        <x:v>Ag(T+D)</x:v>
      </x:c>
      <x:c r="C278" s="153" t="n">
        <x:v>6951</x:v>
      </x:c>
      <x:c r="D278" s="153" t="n">
        <x:v>6966</x:v>
      </x:c>
      <x:c r="E278" s="153" t="n">
        <x:v>6854</x:v>
      </x:c>
      <x:c r="F278" s="153" t="n">
        <x:v>6896</x:v>
      </x:c>
      <x:c r="G278" s="153" t="n">
        <x:v>-26</x:v>
      </x:c>
      <x:c r="H278" s="154" t="n">
        <x:v>-0.0038</x:v>
      </x:c>
      <x:c r="I278" s="158" t="n">
        <x:v>6914</x:v>
      </x:c>
      <x:c r="J278" s="158" t="n">
        <x:v>1102888</x:v>
      </x:c>
      <x:c r="K278" s="158" t="n">
        <x:v>7626013448</x:v>
      </x:c>
      <x:c r="L278" s="158" t="n">
        <x:v>4429166</x:v>
      </x:c>
      <x:c r="M278" s="141" t="str">
        <x:v>https://www.sge.com.cn/sjzx/quotation_daily_new?start_date=2024-08-01&amp;end_date=2024-08-31&amp;inst_ids=Ag%28T%2BD%29&amp;p=</x:v>
      </x:c>
    </x:row>
    <x:row r="279">
      <x:c r="A279" s="155" t="n">
        <x:v>45512</x:v>
      </x:c>
      <x:c r="B279" s="141" t="str">
        <x:v>Au99.99</x:v>
      </x:c>
      <x:c r="C279" s="153" t="n">
        <x:v>556.5</x:v>
      </x:c>
      <x:c r="D279" s="153" t="n">
        <x:v>556.7</x:v>
      </x:c>
      <x:c r="E279" s="153" t="n">
        <x:v>552</x:v>
      </x:c>
      <x:c r="F279" s="153" t="n">
        <x:v>555.16</x:v>
      </x:c>
      <x:c r="G279" s="153" t="n">
        <x:v>0.46</x:v>
      </x:c>
      <x:c r="H279" s="154" t="n">
        <x:v>0.0008</x:v>
      </x:c>
      <x:c r="I279" s="158" t="n">
        <x:v>553.64</x:v>
      </x:c>
      <x:c r="J279" s="158" t="n">
        <x:v>13759.66</x:v>
      </x:c>
      <x:c r="K279" s="158" t="n">
        <x:v>7618000777.6</x:v>
      </x:c>
      <x:c r="L279" s="158"/>
      <x:c r="M279" s="141" t="str">
        <x:v>https://www.sge.com.cn/sjzx/quotation_daily_new?start_date=2024-08-01&amp;end_date=2024-08-31&amp;inst_ids=Au99.99&amp;p=</x:v>
      </x:c>
    </x:row>
    <x:row r="280">
      <x:c r="A280" s="155" t="n">
        <x:v>45513</x:v>
      </x:c>
      <x:c r="B280" s="141" t="str">
        <x:v>Ag(T+D)</x:v>
      </x:c>
      <x:c r="C280" s="153" t="n">
        <x:v>6935</x:v>
      </x:c>
      <x:c r="D280" s="153" t="n">
        <x:v>7133</x:v>
      </x:c>
      <x:c r="E280" s="153" t="n">
        <x:v>6920</x:v>
      </x:c>
      <x:c r="F280" s="153" t="n">
        <x:v>7088</x:v>
      </x:c>
      <x:c r="G280" s="153" t="n">
        <x:v>174</x:v>
      </x:c>
      <x:c r="H280" s="154" t="n">
        <x:v>0.0252</x:v>
      </x:c>
      <x:c r="I280" s="158" t="n">
        <x:v>7047</x:v>
      </x:c>
      <x:c r="J280" s="158" t="n">
        <x:v>536926</x:v>
      </x:c>
      <x:c r="K280" s="158" t="n">
        <x:v>3783949982</x:v>
      </x:c>
      <x:c r="L280" s="158" t="n">
        <x:v>4316746</x:v>
      </x:c>
      <x:c r="M280" s="141" t="str">
        <x:v>https://www.sge.com.cn/sjzx/quotation_daily_new?start_date=2024-08-01&amp;end_date=2024-08-31&amp;inst_ids=Ag%28T%2BD%29&amp;p=</x:v>
      </x:c>
    </x:row>
    <x:row r="281">
      <x:c r="A281" s="155" t="n">
        <x:v>45513</x:v>
      </x:c>
      <x:c r="B281" s="141" t="str">
        <x:v>Au99.99</x:v>
      </x:c>
      <x:c r="C281" s="153" t="n">
        <x:v>558</x:v>
      </x:c>
      <x:c r="D281" s="153" t="n">
        <x:v>562</x:v>
      </x:c>
      <x:c r="E281" s="153" t="n">
        <x:v>557.2</x:v>
      </x:c>
      <x:c r="F281" s="153" t="n">
        <x:v>560.94</x:v>
      </x:c>
      <x:c r="G281" s="153" t="n">
        <x:v>5.78</x:v>
      </x:c>
      <x:c r="H281" s="154" t="n">
        <x:v>0.0104</x:v>
      </x:c>
      <x:c r="I281" s="158" t="n">
        <x:v>559.95</x:v>
      </x:c>
      <x:c r="J281" s="158" t="n">
        <x:v>11270.42</x:v>
      </x:c>
      <x:c r="K281" s="158" t="n">
        <x:v>6310940034</x:v>
      </x:c>
      <x:c r="L281" s="158"/>
      <x:c r="M281" s="141" t="str">
        <x:v>https://www.sge.com.cn/sjzx/quotation_daily_new?start_date=2024-08-01&amp;end_date=2024-08-31&amp;inst_ids=Au99.99&amp;p=</x:v>
      </x:c>
    </x:row>
    <x:row r="282">
      <x:c r="A282" s="155" t="n">
        <x:v>45516</x:v>
      </x:c>
      <x:c r="B282" s="141" t="str">
        <x:v>Ag(T+D)</x:v>
      </x:c>
      <x:c r="C282" s="153" t="n">
        <x:v>7060</x:v>
      </x:c>
      <x:c r="D282" s="153" t="n">
        <x:v>7170</x:v>
      </x:c>
      <x:c r="E282" s="153" t="n">
        <x:v>6990</x:v>
      </x:c>
      <x:c r="F282" s="153" t="n">
        <x:v>7166</x:v>
      </x:c>
      <x:c r="G282" s="153" t="n">
        <x:v>119</x:v>
      </x:c>
      <x:c r="H282" s="154" t="n">
        <x:v>0.0169</x:v>
      </x:c>
      <x:c r="I282" s="158" t="n">
        <x:v>7068</x:v>
      </x:c>
      <x:c r="J282" s="158" t="n">
        <x:v>446710</x:v>
      </x:c>
      <x:c r="K282" s="158" t="n">
        <x:v>3157522248</x:v>
      </x:c>
      <x:c r="L282" s="158" t="n">
        <x:v>4313752</x:v>
      </x:c>
      <x:c r="M282" s="141" t="str">
        <x:v>https://www.sge.com.cn/sjzx/quotation_daily_new?start_date=2024-08-01&amp;end_date=2024-08-31&amp;inst_ids=Ag%28T%2BD%29&amp;p=</x:v>
      </x:c>
    </x:row>
    <x:row r="283">
      <x:c r="A283" s="155" t="n">
        <x:v>45516</x:v>
      </x:c>
      <x:c r="B283" s="141" t="str">
        <x:v>Au99.99</x:v>
      </x:c>
      <x:c r="C283" s="153" t="n">
        <x:v>560.5</x:v>
      </x:c>
      <x:c r="D283" s="153" t="n">
        <x:v>564.49</x:v>
      </x:c>
      <x:c r="E283" s="153" t="n">
        <x:v>560.05</x:v>
      </x:c>
      <x:c r="F283" s="153" t="n">
        <x:v>564.1</x:v>
      </x:c>
      <x:c r="G283" s="153" t="n">
        <x:v>3.16</x:v>
      </x:c>
      <x:c r="H283" s="154" t="n">
        <x:v>0.005600000000000001</x:v>
      </x:c>
      <x:c r="I283" s="158" t="n">
        <x:v>562.28</x:v>
      </x:c>
      <x:c r="J283" s="158" t="n">
        <x:v>8153.94</x:v>
      </x:c>
      <x:c r="K283" s="158" t="n">
        <x:v>4584815055.6</x:v>
      </x:c>
      <x:c r="L283" s="158"/>
      <x:c r="M283" s="141" t="str">
        <x:v>https://www.sge.com.cn/sjzx/quotation_daily_new?start_date=2024-08-01&amp;end_date=2024-08-31&amp;inst_ids=Au99.99&amp;p=</x:v>
      </x:c>
    </x:row>
    <x:row r="284">
      <x:c r="A284" s="155" t="n">
        <x:v>45517</x:v>
      </x:c>
      <x:c r="B284" s="141" t="str">
        <x:v>Ag(T+D)</x:v>
      </x:c>
      <x:c r="C284" s="153" t="n">
        <x:v>7184</x:v>
      </x:c>
      <x:c r="D284" s="153" t="n">
        <x:v>7207</x:v>
      </x:c>
      <x:c r="E284" s="153" t="n">
        <x:v>7104</x:v>
      </x:c>
      <x:c r="F284" s="153" t="n">
        <x:v>7124</x:v>
      </x:c>
      <x:c r="G284" s="153" t="n">
        <x:v>56</x:v>
      </x:c>
      <x:c r="H284" s="154" t="n">
        <x:v>0.0079</x:v>
      </x:c>
      <x:c r="I284" s="158" t="n">
        <x:v>7142</x:v>
      </x:c>
      <x:c r="J284" s="158" t="n">
        <x:v>332358</x:v>
      </x:c>
      <x:c r="K284" s="158" t="n">
        <x:v>2373884716</x:v>
      </x:c>
      <x:c r="L284" s="158" t="n">
        <x:v>4255746</x:v>
      </x:c>
      <x:c r="M284" s="141" t="str">
        <x:v>https://www.sge.com.cn/sjzx/quotation_daily_new?start_date=2024-08-01&amp;end_date=2024-08-31&amp;inst_ids=Ag%28T%2BD%29&amp;p=</x:v>
      </x:c>
    </x:row>
    <x:row r="285">
      <x:c r="A285" s="155" t="n">
        <x:v>45517</x:v>
      </x:c>
      <x:c r="B285" s="141" t="str">
        <x:v>Au99.99</x:v>
      </x:c>
      <x:c r="C285" s="153" t="n">
        <x:v>564.4</x:v>
      </x:c>
      <x:c r="D285" s="153" t="n">
        <x:v>570.98</x:v>
      </x:c>
      <x:c r="E285" s="153" t="n">
        <x:v>564.4</x:v>
      </x:c>
      <x:c r="F285" s="153" t="n">
        <x:v>567.84</x:v>
      </x:c>
      <x:c r="G285" s="153" t="n">
        <x:v>3.74</x:v>
      </x:c>
      <x:c r="H285" s="154" t="n">
        <x:v>0.0066</x:v>
      </x:c>
      <x:c r="I285" s="158" t="n">
        <x:v>568.44</x:v>
      </x:c>
      <x:c r="J285" s="158" t="n">
        <x:v>6291.06</x:v>
      </x:c>
      <x:c r="K285" s="158" t="n">
        <x:v>3576107244.2</x:v>
      </x:c>
      <x:c r="L285" s="158"/>
      <x:c r="M285" s="141" t="str">
        <x:v>https://www.sge.com.cn/sjzx/quotation_daily_new?start_date=2024-08-01&amp;end_date=2024-08-31&amp;inst_ids=Au99.99&amp;p=</x:v>
      </x:c>
    </x:row>
    <x:row r="286">
      <x:c r="A286" s="155" t="n">
        <x:v>45518</x:v>
      </x:c>
      <x:c r="B286" s="141" t="str">
        <x:v>Ag(T+D)</x:v>
      </x:c>
      <x:c r="C286" s="153" t="n">
        <x:v>7137</x:v>
      </x:c>
      <x:c r="D286" s="153" t="n">
        <x:v>7172</x:v>
      </x:c>
      <x:c r="E286" s="153" t="n">
        <x:v>7034</x:v>
      </x:c>
      <x:c r="F286" s="153" t="n">
        <x:v>7147</x:v>
      </x:c>
      <x:c r="G286" s="153" t="n">
        <x:v>5</x:v>
      </x:c>
      <x:c r="H286" s="154" t="n">
        <x:v>0.0007000000000000001</x:v>
      </x:c>
      <x:c r="I286" s="158" t="n">
        <x:v>7106</x:v>
      </x:c>
      <x:c r="J286" s="158" t="n">
        <x:v>371490</x:v>
      </x:c>
      <x:c r="K286" s="158" t="n">
        <x:v>2639908064</x:v>
      </x:c>
      <x:c r="L286" s="158" t="n">
        <x:v>4228034</x:v>
      </x:c>
      <x:c r="M286" s="141" t="str">
        <x:v>https://www.sge.com.cn/sjzx/quotation_daily_new?start_date=2024-08-01&amp;end_date=2024-08-31&amp;inst_ids=Ag%28T%2BD%29&amp;p=</x:v>
      </x:c>
    </x:row>
    <x:row r="287">
      <x:c r="A287" s="155" t="n">
        <x:v>45518</x:v>
      </x:c>
      <x:c r="B287" s="141" t="str">
        <x:v>Au99.99</x:v>
      </x:c>
      <x:c r="C287" s="153" t="n">
        <x:v>568</x:v>
      </x:c>
      <x:c r="D287" s="153" t="n">
        <x:v>568.15</x:v>
      </x:c>
      <x:c r="E287" s="153" t="n">
        <x:v>563.5</x:v>
      </x:c>
      <x:c r="F287" s="153" t="n">
        <x:v>566.71</x:v>
      </x:c>
      <x:c r="G287" s="153" t="n">
        <x:v>-1.13</x:v>
      </x:c>
      <x:c r="H287" s="154" t="n">
        <x:v>-0.002</x:v>
      </x:c>
      <x:c r="I287" s="158" t="n">
        <x:v>565.89</x:v>
      </x:c>
      <x:c r="J287" s="158" t="n">
        <x:v>6521.64</x:v>
      </x:c>
      <x:c r="K287" s="158" t="n">
        <x:v>3690568869.6</x:v>
      </x:c>
      <x:c r="L287" s="158"/>
      <x:c r="M287" s="141" t="str">
        <x:v>https://www.sge.com.cn/sjzx/quotation_daily_new?start_date=2024-08-01&amp;end_date=2024-08-31&amp;inst_ids=Au99.99&amp;p=</x:v>
      </x:c>
    </x:row>
    <x:row r="288">
      <x:c r="A288" s="155" t="n">
        <x:v>45519</x:v>
      </x:c>
      <x:c r="B288" s="141" t="str">
        <x:v>Ag(T+D)</x:v>
      </x:c>
      <x:c r="C288" s="153" t="n">
        <x:v>7141</x:v>
      </x:c>
      <x:c r="D288" s="153" t="n">
        <x:v>7158</x:v>
      </x:c>
      <x:c r="E288" s="153" t="n">
        <x:v>6944</x:v>
      </x:c>
      <x:c r="F288" s="153" t="n">
        <x:v>7157</x:v>
      </x:c>
      <x:c r="G288" s="153" t="n">
        <x:v>51</x:v>
      </x:c>
      <x:c r="H288" s="154" t="n">
        <x:v>0.0072</x:v>
      </x:c>
      <x:c r="I288" s="158" t="n">
        <x:v>7081</x:v>
      </x:c>
      <x:c r="J288" s="158" t="n">
        <x:v>548920</x:v>
      </x:c>
      <x:c r="K288" s="158" t="n">
        <x:v>3887068902</x:v>
      </x:c>
      <x:c r="L288" s="158" t="n">
        <x:v>4226772</x:v>
      </x:c>
      <x:c r="M288" s="141" t="str">
        <x:v>https://www.sge.com.cn/sjzx/quotation_daily_new?start_date=2024-08-01&amp;end_date=2024-08-31&amp;inst_ids=Ag%28T%2BD%29&amp;p=</x:v>
      </x:c>
    </x:row>
    <x:row r="289">
      <x:c r="A289" s="155" t="n">
        <x:v>45519</x:v>
      </x:c>
      <x:c r="B289" s="141" t="str">
        <x:v>Au99.99</x:v>
      </x:c>
      <x:c r="C289" s="153" t="n">
        <x:v>567.5</x:v>
      </x:c>
      <x:c r="D289" s="153" t="n">
        <x:v>567.5</x:v>
      </x:c>
      <x:c r="E289" s="153" t="n">
        <x:v>561</x:v>
      </x:c>
      <x:c r="F289" s="153" t="n">
        <x:v>565.66</x:v>
      </x:c>
      <x:c r="G289" s="153" t="n">
        <x:v>-1.05</x:v>
      </x:c>
      <x:c r="H289" s="154" t="n">
        <x:v>-0.0019</x:v>
      </x:c>
      <x:c r="I289" s="158" t="n">
        <x:v>564.88</x:v>
      </x:c>
      <x:c r="J289" s="158" t="n">
        <x:v>7610.84</x:v>
      </x:c>
      <x:c r="K289" s="158" t="n">
        <x:v>4299243075</x:v>
      </x:c>
      <x:c r="L289" s="158"/>
      <x:c r="M289" s="141" t="str">
        <x:v>https://www.sge.com.cn/sjzx/quotation_daily_new?start_date=2024-08-01&amp;end_date=2024-08-31&amp;inst_ids=Au99.99&amp;p=</x:v>
      </x:c>
    </x:row>
    <x:row r="290">
      <x:c r="A290" s="155" t="n">
        <x:v>45520</x:v>
      </x:c>
      <x:c r="B290" s="141" t="str">
        <x:v>Ag(T+D)</x:v>
      </x:c>
      <x:c r="C290" s="153" t="n">
        <x:v>7215</x:v>
      </x:c>
      <x:c r="D290" s="153" t="n">
        <x:v>7306</x:v>
      </x:c>
      <x:c r="E290" s="153" t="n">
        <x:v>7115</x:v>
      </x:c>
      <x:c r="F290" s="153" t="n">
        <x:v>7221</x:v>
      </x:c>
      <x:c r="G290" s="153" t="n">
        <x:v>140</x:v>
      </x:c>
      <x:c r="H290" s="154" t="n">
        <x:v>0.019799999999999998</x:v>
      </x:c>
      <x:c r="I290" s="158" t="n">
        <x:v>7236</x:v>
      </x:c>
      <x:c r="J290" s="158" t="n">
        <x:v>528904</x:v>
      </x:c>
      <x:c r="K290" s="158" t="n">
        <x:v>3827162416</x:v>
      </x:c>
      <x:c r="L290" s="158" t="n">
        <x:v>4296550</x:v>
      </x:c>
      <x:c r="M290" s="141" t="str">
        <x:v>https://www.sge.com.cn/sjzx/quotation_daily_new?start_date=2024-08-01&amp;end_date=2024-08-31&amp;inst_ids=Ag%28T%2BD%29&amp;p=</x:v>
      </x:c>
    </x:row>
    <x:row r="291">
      <x:c r="A291" s="155" t="n">
        <x:v>45520</x:v>
      </x:c>
      <x:c r="B291" s="141" t="str">
        <x:v>Au99.99</x:v>
      </x:c>
      <x:c r="C291" s="153" t="n">
        <x:v>566</x:v>
      </x:c>
      <x:c r="D291" s="153" t="n">
        <x:v>567.9</x:v>
      </x:c>
      <x:c r="E291" s="153" t="n">
        <x:v>562</x:v>
      </x:c>
      <x:c r="F291" s="153" t="n">
        <x:v>566.14</x:v>
      </x:c>
      <x:c r="G291" s="153" t="n">
        <x:v>0.48</x:v>
      </x:c>
      <x:c r="H291" s="154" t="n">
        <x:v>0.0008</x:v>
      </x:c>
      <x:c r="I291" s="158" t="n">
        <x:v>566.55</x:v>
      </x:c>
      <x:c r="J291" s="158" t="n">
        <x:v>7256.8</x:v>
      </x:c>
      <x:c r="K291" s="158" t="n">
        <x:v>4111386166.6</x:v>
      </x:c>
      <x:c r="L291" s="158"/>
      <x:c r="M291" s="141" t="str">
        <x:v>https://www.sge.com.cn/sjzx/quotation_daily_new?start_date=2024-08-01&amp;end_date=2024-08-31&amp;inst_ids=Au99.99&amp;p=</x:v>
      </x:c>
    </x:row>
    <x:row r="292">
      <x:c r="A292" s="155" t="n">
        <x:v>45523</x:v>
      </x:c>
      <x:c r="B292" s="141" t="str">
        <x:v>Ag(T+D)</x:v>
      </x:c>
      <x:c r="C292" s="153" t="n">
        <x:v>7231</x:v>
      </x:c>
      <x:c r="D292" s="153" t="n">
        <x:v>7435</x:v>
      </x:c>
      <x:c r="E292" s="153" t="n">
        <x:v>7217</x:v>
      </x:c>
      <x:c r="F292" s="153" t="n">
        <x:v>7414</x:v>
      </x:c>
      <x:c r="G292" s="153" t="n">
        <x:v>178</x:v>
      </x:c>
      <x:c r="H292" s="154" t="n">
        <x:v>0.0246</x:v>
      </x:c>
      <x:c r="I292" s="158" t="n">
        <x:v>7353</x:v>
      </x:c>
      <x:c r="J292" s="158" t="n">
        <x:v>347256</x:v>
      </x:c>
      <x:c r="K292" s="158" t="n">
        <x:v>2553397366</x:v>
      </x:c>
      <x:c r="L292" s="158" t="n">
        <x:v>4351750</x:v>
      </x:c>
      <x:c r="M292" s="141" t="str">
        <x:v>https://www.sge.com.cn/sjzx/quotation_daily_new?start_date=2024-08-01&amp;end_date=2024-08-31&amp;inst_ids=Ag%28T%2BD%29&amp;p=</x:v>
      </x:c>
    </x:row>
    <x:row r="293">
      <x:c r="A293" s="155" t="n">
        <x:v>45523</x:v>
      </x:c>
      <x:c r="B293" s="141" t="str">
        <x:v>Au99.99</x:v>
      </x:c>
      <x:c r="C293" s="153" t="n">
        <x:v>561.02</x:v>
      </x:c>
      <x:c r="D293" s="153" t="n">
        <x:v>574.01</x:v>
      </x:c>
      <x:c r="E293" s="153" t="n">
        <x:v>561.02</x:v>
      </x:c>
      <x:c r="F293" s="153" t="n">
        <x:v>572.26</x:v>
      </x:c>
      <x:c r="G293" s="153" t="n">
        <x:v>6.12</x:v>
      </x:c>
      <x:c r="H293" s="154" t="n">
        <x:v>0.0108</x:v>
      </x:c>
      <x:c r="I293" s="158" t="n">
        <x:v>571.86</x:v>
      </x:c>
      <x:c r="J293" s="158" t="n">
        <x:v>7753.74</x:v>
      </x:c>
      <x:c r="K293" s="158" t="n">
        <x:v>4434119745.8</x:v>
      </x:c>
      <x:c r="L293" s="158"/>
      <x:c r="M293" s="141" t="str">
        <x:v>https://www.sge.com.cn/sjzx/quotation_daily_new?start_date=2024-08-01&amp;end_date=2024-08-31&amp;inst_ids=Au99.99&amp;p=</x:v>
      </x:c>
    </x:row>
    <x:row r="294">
      <x:c r="A294" s="155" t="n">
        <x:v>45524</x:v>
      </x:c>
      <x:c r="B294" s="141" t="str">
        <x:v>Ag(T+D)</x:v>
      </x:c>
      <x:c r="C294" s="153" t="n">
        <x:v>7400</x:v>
      </x:c>
      <x:c r="D294" s="153" t="n">
        <x:v>7519</x:v>
      </x:c>
      <x:c r="E294" s="153" t="n">
        <x:v>7370</x:v>
      </x:c>
      <x:c r="F294" s="153" t="n">
        <x:v>7511</x:v>
      </x:c>
      <x:c r="G294" s="153" t="n">
        <x:v>158</x:v>
      </x:c>
      <x:c r="H294" s="154" t="n">
        <x:v>0.0215</x:v>
      </x:c>
      <x:c r="I294" s="158" t="n">
        <x:v>7460</x:v>
      </x:c>
      <x:c r="J294" s="158" t="n">
        <x:v>361004</x:v>
      </x:c>
      <x:c r="K294" s="158" t="n">
        <x:v>2693347428</x:v>
      </x:c>
      <x:c r="L294" s="158" t="n">
        <x:v>4383778</x:v>
      </x:c>
      <x:c r="M294" s="141" t="str">
        <x:v>https://www.sge.com.cn/sjzx/quotation_daily_new?start_date=2024-08-01&amp;end_date=2024-08-31&amp;inst_ids=Ag%28T%2BD%29&amp;p=</x:v>
      </x:c>
    </x:row>
    <x:row r="295">
      <x:c r="A295" s="155" t="n">
        <x:v>45524</x:v>
      </x:c>
      <x:c r="B295" s="141" t="str">
        <x:v>Au99.99</x:v>
      </x:c>
      <x:c r="C295" s="153" t="n">
        <x:v>570.5</x:v>
      </x:c>
      <x:c r="D295" s="153" t="n">
        <x:v>573.9</x:v>
      </x:c>
      <x:c r="E295" s="153" t="n">
        <x:v>569.6</x:v>
      </x:c>
      <x:c r="F295" s="153" t="n">
        <x:v>572.75</x:v>
      </x:c>
      <x:c r="G295" s="153" t="n">
        <x:v>0.49</x:v>
      </x:c>
      <x:c r="H295" s="154" t="n">
        <x:v>0.0009</x:v>
      </x:c>
      <x:c r="I295" s="158" t="n">
        <x:v>571.9</x:v>
      </x:c>
      <x:c r="J295" s="158" t="n">
        <x:v>8861.4</x:v>
      </x:c>
      <x:c r="K295" s="158" t="n">
        <x:v>5067849552.4</x:v>
      </x:c>
      <x:c r="L295" s="158"/>
      <x:c r="M295" s="141" t="str">
        <x:v>https://www.sge.com.cn/sjzx/quotation_daily_new?start_date=2024-08-01&amp;end_date=2024-08-31&amp;inst_ids=Au99.99&amp;p=</x:v>
      </x:c>
    </x:row>
    <x:row r="296">
      <x:c r="A296" s="155" t="n">
        <x:v>45525</x:v>
      </x:c>
      <x:c r="B296" s="141" t="str">
        <x:v>Ag(T+D)</x:v>
      </x:c>
      <x:c r="C296" s="153" t="n">
        <x:v>7578</x:v>
      </x:c>
      <x:c r="D296" s="153" t="n">
        <x:v>7600</x:v>
      </x:c>
      <x:c r="E296" s="153" t="n">
        <x:v>7456</x:v>
      </x:c>
      <x:c r="F296" s="153" t="n">
        <x:v>7511</x:v>
      </x:c>
      <x:c r="G296" s="153" t="n">
        <x:v>51</x:v>
      </x:c>
      <x:c r="H296" s="154" t="n">
        <x:v>0.0068000000000000005</x:v>
      </x:c>
      <x:c r="I296" s="158" t="n">
        <x:v>7522</x:v>
      </x:c>
      <x:c r="J296" s="158" t="n">
        <x:v>500904</x:v>
      </x:c>
      <x:c r="K296" s="158" t="n">
        <x:v>3767805840</x:v>
      </x:c>
      <x:c r="L296" s="158" t="n">
        <x:v>4416336</x:v>
      </x:c>
      <x:c r="M296" s="141" t="str">
        <x:v>https://www.sge.com.cn/sjzx/quotation_daily_new?start_date=2024-08-01&amp;end_date=2024-08-31&amp;inst_ids=Ag%28T%2BD%29&amp;p=</x:v>
      </x:c>
    </x:row>
    <x:row r="297">
      <x:c r="A297" s="155" t="n">
        <x:v>45525</x:v>
      </x:c>
      <x:c r="B297" s="141" t="str">
        <x:v>Au99.99</x:v>
      </x:c>
      <x:c r="C297" s="153" t="n">
        <x:v>576</x:v>
      </x:c>
      <x:c r="D297" s="153" t="n">
        <x:v>576</x:v>
      </x:c>
      <x:c r="E297" s="153" t="n">
        <x:v>570.5</x:v>
      </x:c>
      <x:c r="F297" s="153" t="n">
        <x:v>574.5</x:v>
      </x:c>
      <x:c r="G297" s="153" t="n">
        <x:v>1.75</x:v>
      </x:c>
      <x:c r="H297" s="154" t="n">
        <x:v>0.0031</x:v>
      </x:c>
      <x:c r="I297" s="158" t="n">
        <x:v>574.54</x:v>
      </x:c>
      <x:c r="J297" s="158" t="n">
        <x:v>4829.76</x:v>
      </x:c>
      <x:c r="K297" s="158" t="n">
        <x:v>2774925563.8</x:v>
      </x:c>
      <x:c r="L297" s="158"/>
      <x:c r="M297" s="141" t="str">
        <x:v>https://www.sge.com.cn/sjzx/quotation_daily_new?start_date=2024-08-01&amp;end_date=2024-08-31&amp;inst_ids=Au99.99&amp;p=</x:v>
      </x:c>
    </x:row>
    <x:row r="298">
      <x:c r="A298" s="155" t="n">
        <x:v>45526</x:v>
      </x:c>
      <x:c r="B298" s="141" t="str">
        <x:v>Ag(T+D)</x:v>
      </x:c>
      <x:c r="C298" s="153" t="n">
        <x:v>7526</x:v>
      </x:c>
      <x:c r="D298" s="153" t="n">
        <x:v>7550</x:v>
      </x:c>
      <x:c r="E298" s="153" t="n">
        <x:v>7437</x:v>
      </x:c>
      <x:c r="F298" s="153" t="n">
        <x:v>7477</x:v>
      </x:c>
      <x:c r="G298" s="153" t="n">
        <x:v>-45</x:v>
      </x:c>
      <x:c r="H298" s="154" t="n">
        <x:v>-0.006</x:v>
      </x:c>
      <x:c r="I298" s="158" t="n">
        <x:v>7499</x:v>
      </x:c>
      <x:c r="J298" s="158" t="n">
        <x:v>472800</x:v>
      </x:c>
      <x:c r="K298" s="158" t="n">
        <x:v>3545684562</x:v>
      </x:c>
      <x:c r="L298" s="158" t="n">
        <x:v>4309628</x:v>
      </x:c>
      <x:c r="M298" s="141" t="str">
        <x:v>https://www.sge.com.cn/sjzx/quotation_daily_new?start_date=2024-08-01&amp;end_date=2024-08-31&amp;inst_ids=Ag%28T%2BD%29&amp;p=</x:v>
      </x:c>
    </x:row>
    <x:row r="299">
      <x:c r="A299" s="155" t="n">
        <x:v>45526</x:v>
      </x:c>
      <x:c r="B299" s="141" t="str">
        <x:v>Au99.99</x:v>
      </x:c>
      <x:c r="C299" s="153" t="n">
        <x:v>574</x:v>
      </x:c>
      <x:c r="D299" s="153" t="n">
        <x:v>574.95</x:v>
      </x:c>
      <x:c r="E299" s="153" t="n">
        <x:v>571.5</x:v>
      </x:c>
      <x:c r="F299" s="153" t="n">
        <x:v>572.89</x:v>
      </x:c>
      <x:c r="G299" s="153" t="n">
        <x:v>-1.61</x:v>
      </x:c>
      <x:c r="H299" s="154" t="n">
        <x:v>-0.0028000000000000004</x:v>
      </x:c>
      <x:c r="I299" s="158" t="n">
        <x:v>572.89</x:v>
      </x:c>
      <x:c r="J299" s="158" t="n">
        <x:v>7068</x:v>
      </x:c>
      <x:c r="K299" s="158" t="n">
        <x:v>4049190259</x:v>
      </x:c>
      <x:c r="L299" s="158"/>
      <x:c r="M299" s="141" t="str">
        <x:v>https://www.sge.com.cn/sjzx/quotation_daily_new?start_date=2024-08-01&amp;end_date=2024-08-31&amp;inst_ids=Au99.99&amp;p=</x:v>
      </x:c>
    </x:row>
    <x:row r="300">
      <x:c r="A300" s="155" t="n">
        <x:v>45527</x:v>
      </x:c>
      <x:c r="B300" s="141" t="str">
        <x:v>Ag(T+D)</x:v>
      </x:c>
      <x:c r="C300" s="153" t="n">
        <x:v>7494</x:v>
      </x:c>
      <x:c r="D300" s="153" t="n">
        <x:v>7528</x:v>
      </x:c>
      <x:c r="E300" s="153" t="n">
        <x:v>7352</x:v>
      </x:c>
      <x:c r="F300" s="153" t="n">
        <x:v>7450</x:v>
      </x:c>
      <x:c r="G300" s="153" t="n">
        <x:v>-49</x:v>
      </x:c>
      <x:c r="H300" s="154" t="n">
        <x:v>-0.006500000000000001</x:v>
      </x:c>
      <x:c r="I300" s="158" t="n">
        <x:v>7430</x:v>
      </x:c>
      <x:c r="J300" s="158" t="n">
        <x:v>436390</x:v>
      </x:c>
      <x:c r="K300" s="158" t="n">
        <x:v>3242594028</x:v>
      </x:c>
      <x:c r="L300" s="158" t="n">
        <x:v>4345842</x:v>
      </x:c>
      <x:c r="M300" s="141" t="str">
        <x:v>https://www.sge.com.cn/sjzx/quotation_daily_new?start_date=2024-08-01&amp;end_date=2024-08-31&amp;inst_ids=Ag%28T%2BD%29&amp;p=</x:v>
      </x:c>
    </x:row>
    <x:row r="301">
      <x:c r="A301" s="155" t="n">
        <x:v>45527</x:v>
      </x:c>
      <x:c r="B301" s="141" t="str">
        <x:v>Au99.99</x:v>
      </x:c>
      <x:c r="C301" s="153" t="n">
        <x:v>573</x:v>
      </x:c>
      <x:c r="D301" s="153" t="n">
        <x:v>573</x:v>
      </x:c>
      <x:c r="E301" s="153" t="n">
        <x:v>567</x:v>
      </x:c>
      <x:c r="F301" s="153" t="n">
        <x:v>571.58</x:v>
      </x:c>
      <x:c r="G301" s="153" t="n">
        <x:v>-1.31</x:v>
      </x:c>
      <x:c r="H301" s="154" t="n">
        <x:v>-0.0023</x:v>
      </x:c>
      <x:c r="I301" s="158" t="n">
        <x:v>571.14</x:v>
      </x:c>
      <x:c r="J301" s="158" t="n">
        <x:v>6796.44</x:v>
      </x:c>
      <x:c r="K301" s="158" t="n">
        <x:v>3881769452</x:v>
      </x:c>
      <x:c r="L301" s="158"/>
      <x:c r="M301" s="141" t="str">
        <x:v>https://www.sge.com.cn/sjzx/quotation_daily_new?start_date=2024-08-01&amp;end_date=2024-08-31&amp;inst_ids=Au99.99&amp;p=</x:v>
      </x:c>
    </x:row>
    <x:row r="302">
      <x:c r="A302" s="155" t="n">
        <x:v>45530</x:v>
      </x:c>
      <x:c r="B302" s="141" t="str">
        <x:v>Ag(T+D)</x:v>
      </x:c>
      <x:c r="C302" s="153" t="n">
        <x:v>7487</x:v>
      </x:c>
      <x:c r="D302" s="153" t="n">
        <x:v>7629</x:v>
      </x:c>
      <x:c r="E302" s="153" t="n">
        <x:v>7416</x:v>
      </x:c>
      <x:c r="F302" s="153" t="n">
        <x:v>7621</x:v>
      </x:c>
      <x:c r="G302" s="153" t="n">
        <x:v>191</x:v>
      </x:c>
      <x:c r="H302" s="154" t="n">
        <x:v>0.025699999999999997</x:v>
      </x:c>
      <x:c r="I302" s="158" t="n">
        <x:v>7550</x:v>
      </x:c>
      <x:c r="J302" s="158" t="n">
        <x:v>677602</x:v>
      </x:c>
      <x:c r="K302" s="158" t="n">
        <x:v>5116474384</x:v>
      </x:c>
      <x:c r="L302" s="158" t="n">
        <x:v>4358798</x:v>
      </x:c>
      <x:c r="M302" s="141" t="str">
        <x:v>https://www.sge.com.cn/sjzx/quotation_daily_new?start_date=2024-08-01&amp;end_date=2024-08-31&amp;inst_ids=Ag%28T%2BD%29&amp;p=</x:v>
      </x:c>
    </x:row>
    <x:row r="303">
      <x:c r="A303" s="155" t="n">
        <x:v>45530</x:v>
      </x:c>
      <x:c r="B303" s="141" t="str">
        <x:v>Au99.99</x:v>
      </x:c>
      <x:c r="C303" s="153" t="n">
        <x:v>572.5</x:v>
      </x:c>
      <x:c r="D303" s="153" t="n">
        <x:v>575</x:v>
      </x:c>
      <x:c r="E303" s="153" t="n">
        <x:v>571.05</x:v>
      </x:c>
      <x:c r="F303" s="153" t="n">
        <x:v>574.89</x:v>
      </x:c>
      <x:c r="G303" s="153" t="n">
        <x:v>3.31</x:v>
      </x:c>
      <x:c r="H303" s="154" t="n">
        <x:v>0.0058</x:v>
      </x:c>
      <x:c r="I303" s="158" t="n">
        <x:v>573.67</x:v>
      </x:c>
      <x:c r="J303" s="158" t="n">
        <x:v>7891.16</x:v>
      </x:c>
      <x:c r="K303" s="158" t="n">
        <x:v>4526965224</x:v>
      </x:c>
      <x:c r="L303" s="158"/>
      <x:c r="M303" s="141" t="str">
        <x:v>https://www.sge.com.cn/sjzx/quotation_daily_new?start_date=2024-08-01&amp;end_date=2024-08-31&amp;inst_ids=Au99.99&amp;p=</x:v>
      </x:c>
    </x:row>
    <x:row r="304">
      <x:c r="A304" s="155" t="n">
        <x:v>45531</x:v>
      </x:c>
      <x:c r="B304" s="141" t="str">
        <x:v>Ag(T+D)</x:v>
      </x:c>
      <x:c r="C304" s="153" t="n">
        <x:v>7634</x:v>
      </x:c>
      <x:c r="D304" s="153" t="n">
        <x:v>7650</x:v>
      </x:c>
      <x:c r="E304" s="153" t="n">
        <x:v>7558</x:v>
      </x:c>
      <x:c r="F304" s="153" t="n">
        <x:v>7596</x:v>
      </x:c>
      <x:c r="G304" s="153" t="n">
        <x:v>46</x:v>
      </x:c>
      <x:c r="H304" s="154" t="n">
        <x:v>0.0060999999999999995</x:v>
      </x:c>
      <x:c r="I304" s="158" t="n">
        <x:v>7598</x:v>
      </x:c>
      <x:c r="J304" s="158" t="n">
        <x:v>328922</x:v>
      </x:c>
      <x:c r="K304" s="158" t="n">
        <x:v>2499204562</x:v>
      </x:c>
      <x:c r="L304" s="158" t="n">
        <x:v>4324428</x:v>
      </x:c>
      <x:c r="M304" s="141" t="str">
        <x:v>https://www.sge.com.cn/sjzx/quotation_daily_new?start_date=2024-08-01&amp;end_date=2024-08-31&amp;inst_ids=Ag%28T%2BD%29&amp;p=</x:v>
      </x:c>
    </x:row>
    <x:row r="305">
      <x:c r="A305" s="155" t="n">
        <x:v>45531</x:v>
      </x:c>
      <x:c r="B305" s="141" t="str">
        <x:v>Au99.99</x:v>
      </x:c>
      <x:c r="C305" s="153" t="n">
        <x:v>576</x:v>
      </x:c>
      <x:c r="D305" s="153" t="n">
        <x:v>576</x:v>
      </x:c>
      <x:c r="E305" s="153" t="n">
        <x:v>572.5</x:v>
      </x:c>
      <x:c r="F305" s="153" t="n">
        <x:v>573.99</x:v>
      </x:c>
      <x:c r="G305" s="153" t="n">
        <x:v>-0.9</x:v>
      </x:c>
      <x:c r="H305" s="154" t="n">
        <x:v>-0.0016</x:v>
      </x:c>
      <x:c r="I305" s="158" t="n">
        <x:v>573.78</x:v>
      </x:c>
      <x:c r="J305" s="158" t="n">
        <x:v>8474.6</x:v>
      </x:c>
      <x:c r="K305" s="158" t="n">
        <x:v>4862636625.6</x:v>
      </x:c>
      <x:c r="L305" s="158"/>
      <x:c r="M305" s="141" t="str">
        <x:v>https://www.sge.com.cn/sjzx/quotation_daily_new?start_date=2024-08-01&amp;end_date=2024-08-31&amp;inst_ids=Au99.99&amp;p=</x:v>
      </x:c>
    </x:row>
    <x:row r="306">
      <x:c r="A306" s="155" t="n">
        <x:v>45532</x:v>
      </x:c>
      <x:c r="B306" s="141" t="str">
        <x:v>Ag(T+D)</x:v>
      </x:c>
      <x:c r="C306" s="153" t="n">
        <x:v>7609</x:v>
      </x:c>
      <x:c r="D306" s="153" t="n">
        <x:v>7628</x:v>
      </x:c>
      <x:c r="E306" s="153" t="n">
        <x:v>7460</x:v>
      </x:c>
      <x:c r="F306" s="153" t="n">
        <x:v>7494</x:v>
      </x:c>
      <x:c r="G306" s="153" t="n">
        <x:v>-104</x:v>
      </x:c>
      <x:c r="H306" s="154" t="n">
        <x:v>-0.0137</x:v>
      </x:c>
      <x:c r="I306" s="158" t="n">
        <x:v>7539</x:v>
      </x:c>
      <x:c r="J306" s="158" t="n">
        <x:v>377690</x:v>
      </x:c>
      <x:c r="K306" s="158" t="n">
        <x:v>2847536620</x:v>
      </x:c>
      <x:c r="L306" s="158" t="n">
        <x:v>4286578</x:v>
      </x:c>
      <x:c r="M306" s="141" t="str">
        <x:v>https://www.sge.com.cn/sjzx/quotation_daily_new?start_date=2024-08-01&amp;end_date=2024-08-31&amp;inst_ids=Ag%28T%2BD%29&amp;p=</x:v>
      </x:c>
    </x:row>
    <x:row r="307">
      <x:c r="A307" s="155" t="n">
        <x:v>45532</x:v>
      </x:c>
      <x:c r="B307" s="141" t="str">
        <x:v>Au99.99</x:v>
      </x:c>
      <x:c r="C307" s="153" t="n">
        <x:v>573.5</x:v>
      </x:c>
      <x:c r="D307" s="153" t="n">
        <x:v>576</x:v>
      </x:c>
      <x:c r="E307" s="153" t="n">
        <x:v>573</x:v>
      </x:c>
      <x:c r="F307" s="153" t="n">
        <x:v>573.33</x:v>
      </x:c>
      <x:c r="G307" s="153" t="n">
        <x:v>-0.66</x:v>
      </x:c>
      <x:c r="H307" s="154" t="n">
        <x:v>-0.0011</x:v>
      </x:c>
      <x:c r="I307" s="158" t="n">
        <x:v>574.62</x:v>
      </x:c>
      <x:c r="J307" s="158" t="n">
        <x:v>7819.96</x:v>
      </x:c>
      <x:c r="K307" s="158" t="n">
        <x:v>4493528957.4</x:v>
      </x:c>
      <x:c r="L307" s="158"/>
      <x:c r="M307" s="141" t="str">
        <x:v>https://www.sge.com.cn/sjzx/quotation_daily_new?start_date=2024-08-01&amp;end_date=2024-08-31&amp;inst_ids=Au99.99&amp;p=</x:v>
      </x:c>
    </x:row>
    <x:row r="308">
      <x:c r="A308" s="155" t="n">
        <x:v>45533</x:v>
      </x:c>
      <x:c r="B308" s="141" t="str">
        <x:v>Ag(T+D)</x:v>
      </x:c>
      <x:c r="C308" s="153" t="n">
        <x:v>7468</x:v>
      </x:c>
      <x:c r="D308" s="153" t="n">
        <x:v>7517</x:v>
      </x:c>
      <x:c r="E308" s="153" t="n">
        <x:v>7398</x:v>
      </x:c>
      <x:c r="F308" s="153" t="n">
        <x:v>7491</x:v>
      </x:c>
      <x:c r="G308" s="153" t="n">
        <x:v>-48</x:v>
      </x:c>
      <x:c r="H308" s="154" t="n">
        <x:v>-0.0064</x:v>
      </x:c>
      <x:c r="I308" s="158" t="n">
        <x:v>7476</x:v>
      </x:c>
      <x:c r="J308" s="158" t="n">
        <x:v>508636</x:v>
      </x:c>
      <x:c r="K308" s="158" t="n">
        <x:v>3802756510</x:v>
      </x:c>
      <x:c r="L308" s="158" t="n">
        <x:v>4252062</x:v>
      </x:c>
      <x:c r="M308" s="141" t="str">
        <x:v>https://www.sge.com.cn/sjzx/quotation_daily_new?start_date=2024-08-01&amp;end_date=2024-08-31&amp;inst_ids=Ag%28T%2BD%29&amp;p=</x:v>
      </x:c>
    </x:row>
    <x:row r="309">
      <x:c r="A309" s="155" t="n">
        <x:v>45533</x:v>
      </x:c>
      <x:c r="B309" s="141" t="str">
        <x:v>Au99.99</x:v>
      </x:c>
      <x:c r="C309" s="153" t="n">
        <x:v>572.5</x:v>
      </x:c>
      <x:c r="D309" s="153" t="n">
        <x:v>575.7</x:v>
      </x:c>
      <x:c r="E309" s="153" t="n">
        <x:v>571.5</x:v>
      </x:c>
      <x:c r="F309" s="153" t="n">
        <x:v>574.9</x:v>
      </x:c>
      <x:c r="G309" s="153" t="n">
        <x:v>1.57</x:v>
      </x:c>
      <x:c r="H309" s="154" t="n">
        <x:v>0.0027</x:v>
      </x:c>
      <x:c r="I309" s="158" t="n">
        <x:v>575.05</x:v>
      </x:c>
      <x:c r="J309" s="158" t="n">
        <x:v>6528.58</x:v>
      </x:c>
      <x:c r="K309" s="158" t="n">
        <x:v>3754272034.8</x:v>
      </x:c>
      <x:c r="L309" s="158"/>
      <x:c r="M309" s="141" t="str">
        <x:v>https://www.sge.com.cn/sjzx/quotation_daily_new?start_date=2024-08-01&amp;end_date=2024-08-31&amp;inst_ids=Au99.99&amp;p=</x:v>
      </x:c>
    </x:row>
    <x:row r="310">
      <x:c r="A310" s="155" t="n">
        <x:v>45534</x:v>
      </x:c>
      <x:c r="B310" s="141" t="str">
        <x:v>Ag(T+D)</x:v>
      </x:c>
      <x:c r="C310" s="153" t="n">
        <x:v>7474</x:v>
      </x:c>
      <x:c r="D310" s="153" t="n">
        <x:v>7507</x:v>
      </x:c>
      <x:c r="E310" s="153" t="n">
        <x:v>7411</x:v>
      </x:c>
      <x:c r="F310" s="153" t="n">
        <x:v>7453</x:v>
      </x:c>
      <x:c r="G310" s="153" t="n">
        <x:v>-23</x:v>
      </x:c>
      <x:c r="H310" s="154" t="n">
        <x:v>-0.0031</x:v>
      </x:c>
      <x:c r="I310" s="158" t="n">
        <x:v>7457</x:v>
      </x:c>
      <x:c r="J310" s="158" t="n">
        <x:v>444084</x:v>
      </x:c>
      <x:c r="K310" s="158" t="n">
        <x:v>3311966150</x:v>
      </x:c>
      <x:c r="L310" s="158" t="n">
        <x:v>4219492</x:v>
      </x:c>
      <x:c r="M310" s="141" t="str">
        <x:v>https://www.sge.com.cn/sjzx/quotation_daily_new?start_date=2024-08-01&amp;end_date=2024-08-31&amp;inst_ids=Ag%28T%2BD%29&amp;p=</x:v>
      </x:c>
    </x:row>
    <x:row r="311">
      <x:c r="A311" s="155" t="n">
        <x:v>45534</x:v>
      </x:c>
      <x:c r="B311" s="141" t="str">
        <x:v>Au99.99</x:v>
      </x:c>
      <x:c r="C311" s="153" t="n">
        <x:v>574</x:v>
      </x:c>
      <x:c r="D311" s="153" t="n">
        <x:v>575.97</x:v>
      </x:c>
      <x:c r="E311" s="153" t="n">
        <x:v>571.8</x:v>
      </x:c>
      <x:c r="F311" s="153" t="n">
        <x:v>573.44</x:v>
      </x:c>
      <x:c r="G311" s="153" t="n">
        <x:v>-1.46</x:v>
      </x:c>
      <x:c r="H311" s="154" t="n">
        <x:v>-0.0025</x:v>
      </x:c>
      <x:c r="I311" s="158" t="n">
        <x:v>573.23</x:v>
      </x:c>
      <x:c r="J311" s="158" t="n">
        <x:v>7022.1</x:v>
      </x:c>
      <x:c r="K311" s="158" t="n">
        <x:v>4025279738</x:v>
      </x:c>
      <x:c r="L311" s="158"/>
      <x:c r="M311" s="141" t="str">
        <x:v>https://www.sge.com.cn/sjzx/quotation_daily_new?start_date=2024-08-01&amp;end_date=2024-08-31&amp;inst_ids=Au99.99&amp;p=</x:v>
      </x:c>
    </x:row>
    <x:row r="312">
      <x:c r="A312" s="155" t="n">
        <x:v>45537</x:v>
      </x:c>
      <x:c r="B312" s="141" t="str">
        <x:v>Ag(T+D)</x:v>
      </x:c>
      <x:c r="C312" s="153" t="n">
        <x:v>7450</x:v>
      </x:c>
      <x:c r="D312" s="153" t="n">
        <x:v>7478</x:v>
      </x:c>
      <x:c r="E312" s="153" t="n">
        <x:v>7173</x:v>
      </x:c>
      <x:c r="F312" s="153" t="n">
        <x:v>7192</x:v>
      </x:c>
      <x:c r="G312" s="153" t="n">
        <x:v>-265</x:v>
      </x:c>
      <x:c r="H312" s="154" t="n">
        <x:v>-0.0355</x:v>
      </x:c>
      <x:c r="I312" s="158" t="n">
        <x:v>7255</x:v>
      </x:c>
      <x:c r="J312" s="158" t="n">
        <x:v>654430</x:v>
      </x:c>
      <x:c r="K312" s="158" t="n">
        <x:v>4747997922</x:v>
      </x:c>
      <x:c r="L312" s="158" t="n">
        <x:v>4364050</x:v>
      </x:c>
      <x:c r="M312" s="141" t="str">
        <x:v>https://www.sge.com.cn/sjzx/quotation_daily_new?start_date=2024-09-01&amp;end_date=2024-09-30&amp;inst_ids=Ag%28T%2BD%29&amp;p=</x:v>
      </x:c>
    </x:row>
    <x:row r="313">
      <x:c r="A313" s="155" t="n">
        <x:v>45537</x:v>
      </x:c>
      <x:c r="B313" s="141" t="str">
        <x:v>Au99.99</x:v>
      </x:c>
      <x:c r="C313" s="153" t="n">
        <x:v>573</x:v>
      </x:c>
      <x:c r="D313" s="153" t="n">
        <x:v>573.99</x:v>
      </x:c>
      <x:c r="E313" s="153" t="n">
        <x:v>568.6</x:v>
      </x:c>
      <x:c r="F313" s="153" t="n">
        <x:v>570.7</x:v>
      </x:c>
      <x:c r="G313" s="153" t="n">
        <x:v>-2.74</x:v>
      </x:c>
      <x:c r="H313" s="154" t="n">
        <x:v>-0.0048</x:v>
      </x:c>
      <x:c r="I313" s="158" t="n">
        <x:v>570.07</x:v>
      </x:c>
      <x:c r="J313" s="158" t="n">
        <x:v>8958.52</x:v>
      </x:c>
      <x:c r="K313" s="158" t="n">
        <x:v>5107043518.8</x:v>
      </x:c>
      <x:c r="L313" s="158"/>
      <x:c r="M313" s="141" t="str">
        <x:v>https://www.sge.com.cn/sjzx/quotation_daily_new?start_date=2024-09-01&amp;end_date=2024-09-30&amp;inst_ids=Au99.99&amp;p=</x:v>
      </x:c>
    </x:row>
    <x:row r="314">
      <x:c r="A314" s="155" t="n">
        <x:v>45538</x:v>
      </x:c>
      <x:c r="B314" s="141" t="str">
        <x:v>Ag(T+D)</x:v>
      </x:c>
      <x:c r="C314" s="153" t="n">
        <x:v>7211</x:v>
      </x:c>
      <x:c r="D314" s="153" t="n">
        <x:v>7248</x:v>
      </x:c>
      <x:c r="E314" s="153" t="n">
        <x:v>7143</x:v>
      </x:c>
      <x:c r="F314" s="153" t="n">
        <x:v>7196</x:v>
      </x:c>
      <x:c r="G314" s="153" t="n">
        <x:v>-59</x:v>
      </x:c>
      <x:c r="H314" s="154" t="n">
        <x:v>-0.008100000000000001</x:v>
      </x:c>
      <x:c r="I314" s="158" t="n">
        <x:v>7198</x:v>
      </x:c>
      <x:c r="J314" s="158" t="n">
        <x:v>461550</x:v>
      </x:c>
      <x:c r="K314" s="158" t="n">
        <x:v>3322245568</x:v>
      </x:c>
      <x:c r="L314" s="158" t="n">
        <x:v>4254422</x:v>
      </x:c>
      <x:c r="M314" s="141" t="str">
        <x:v>https://www.sge.com.cn/sjzx/quotation_daily_new?start_date=2024-09-01&amp;end_date=2024-09-30&amp;inst_ids=Ag%28T%2BD%29&amp;p=</x:v>
      </x:c>
    </x:row>
    <x:row r="315">
      <x:c r="A315" s="155" t="n">
        <x:v>45538</x:v>
      </x:c>
      <x:c r="B315" s="141" t="str">
        <x:v>Au99.99</x:v>
      </x:c>
      <x:c r="C315" s="153" t="n">
        <x:v>571</x:v>
      </x:c>
      <x:c r="D315" s="153" t="n">
        <x:v>572</x:v>
      </x:c>
      <x:c r="E315" s="153" t="n">
        <x:v>569.5</x:v>
      </x:c>
      <x:c r="F315" s="153" t="n">
        <x:v>571.48</x:v>
      </x:c>
      <x:c r="G315" s="153" t="n">
        <x:v>0.78</x:v>
      </x:c>
      <x:c r="H315" s="154" t="n">
        <x:v>0.0014000000000000002</x:v>
      </x:c>
      <x:c r="I315" s="158" t="n">
        <x:v>570.79</x:v>
      </x:c>
      <x:c r="J315" s="158" t="n">
        <x:v>8237.46</x:v>
      </x:c>
      <x:c r="K315" s="158" t="n">
        <x:v>4701879322.4</x:v>
      </x:c>
      <x:c r="L315" s="158"/>
      <x:c r="M315" s="141" t="str">
        <x:v>https://www.sge.com.cn/sjzx/quotation_daily_new?start_date=2024-09-01&amp;end_date=2024-09-30&amp;inst_ids=Au99.99&amp;p=</x:v>
      </x:c>
    </x:row>
    <x:row r="316">
      <x:c r="A316" s="155" t="n">
        <x:v>45539</x:v>
      </x:c>
      <x:c r="B316" s="141" t="str">
        <x:v>Ag(T+D)</x:v>
      </x:c>
      <x:c r="C316" s="153" t="n">
        <x:v>7155</x:v>
      </x:c>
      <x:c r="D316" s="153" t="n">
        <x:v>7195</x:v>
      </x:c>
      <x:c r="E316" s="153" t="n">
        <x:v>7025</x:v>
      </x:c>
      <x:c r="F316" s="153" t="n">
        <x:v>7026</x:v>
      </x:c>
      <x:c r="G316" s="153" t="n">
        <x:v>-172</x:v>
      </x:c>
      <x:c r="H316" s="154" t="n">
        <x:v>-0.0239</x:v>
      </x:c>
      <x:c r="I316" s="158" t="n">
        <x:v>7075</x:v>
      </x:c>
      <x:c r="J316" s="158" t="n">
        <x:v>422268</x:v>
      </x:c>
      <x:c r="K316" s="158" t="n">
        <x:v>2987658472</x:v>
      </x:c>
      <x:c r="L316" s="158" t="n">
        <x:v>4235056</x:v>
      </x:c>
      <x:c r="M316" s="141" t="str">
        <x:v>https://www.sge.com.cn/sjzx/quotation_daily_new?start_date=2024-09-01&amp;end_date=2024-09-30&amp;inst_ids=Ag%28T%2BD%29&amp;p=</x:v>
      </x:c>
    </x:row>
    <x:row r="317">
      <x:c r="A317" s="155" t="n">
        <x:v>45539</x:v>
      </x:c>
      <x:c r="B317" s="141" t="str">
        <x:v>Au99.99</x:v>
      </x:c>
      <x:c r="C317" s="153" t="n">
        <x:v>569.65</x:v>
      </x:c>
      <x:c r="D317" s="153" t="n">
        <x:v>570.5</x:v>
      </x:c>
      <x:c r="E317" s="153" t="n">
        <x:v>566.6</x:v>
      </x:c>
      <x:c r="F317" s="153" t="n">
        <x:v>567.53</x:v>
      </x:c>
      <x:c r="G317" s="153" t="n">
        <x:v>-3.95</x:v>
      </x:c>
      <x:c r="H317" s="154" t="n">
        <x:v>-0.0069</x:v>
      </x:c>
      <x:c r="I317" s="158" t="n">
        <x:v>569.23</x:v>
      </x:c>
      <x:c r="J317" s="158" t="n">
        <x:v>9709.54</x:v>
      </x:c>
      <x:c r="K317" s="158" t="n">
        <x:v>5526995205.8</x:v>
      </x:c>
      <x:c r="L317" s="158"/>
      <x:c r="M317" s="141" t="str">
        <x:v>https://www.sge.com.cn/sjzx/quotation_daily_new?start_date=2024-09-01&amp;end_date=2024-09-30&amp;inst_ids=Au99.99&amp;p=</x:v>
      </x:c>
    </x:row>
    <x:row r="318">
      <x:c r="A318" s="155" t="n">
        <x:v>45540</x:v>
      </x:c>
      <x:c r="B318" s="141" t="str">
        <x:v>Ag(T+D)</x:v>
      </x:c>
      <x:c r="C318" s="153" t="n">
        <x:v>7060</x:v>
      </x:c>
      <x:c r="D318" s="153" t="n">
        <x:v>7135</x:v>
      </x:c>
      <x:c r="E318" s="153" t="n">
        <x:v>7043</x:v>
      </x:c>
      <x:c r="F318" s="153" t="n">
        <x:v>7063</x:v>
      </x:c>
      <x:c r="G318" s="153" t="n">
        <x:v>-12</x:v>
      </x:c>
      <x:c r="H318" s="154" t="n">
        <x:v>-0.0017000000000000001</x:v>
      </x:c>
      <x:c r="I318" s="158" t="n">
        <x:v>7082</x:v>
      </x:c>
      <x:c r="J318" s="158" t="n">
        <x:v>339428</x:v>
      </x:c>
      <x:c r="K318" s="158" t="n">
        <x:v>2404133344</x:v>
      </x:c>
      <x:c r="L318" s="158" t="n">
        <x:v>4234698</x:v>
      </x:c>
      <x:c r="M318" s="141" t="str">
        <x:v>https://www.sge.com.cn/sjzx/quotation_daily_new?start_date=2024-09-01&amp;end_date=2024-09-30&amp;inst_ids=Ag%28T%2BD%29&amp;p=</x:v>
      </x:c>
    </x:row>
    <x:row r="319">
      <x:c r="A319" s="155" t="n">
        <x:v>45540</x:v>
      </x:c>
      <x:c r="B319" s="141" t="str">
        <x:v>Au99.99</x:v>
      </x:c>
      <x:c r="C319" s="153" t="n">
        <x:v>569.8</x:v>
      </x:c>
      <x:c r="D319" s="153" t="n">
        <x:v>571.8</x:v>
      </x:c>
      <x:c r="E319" s="153" t="n">
        <x:v>568.61</x:v>
      </x:c>
      <x:c r="F319" s="153" t="n">
        <x:v>571.79</x:v>
      </x:c>
      <x:c r="G319" s="153" t="n">
        <x:v>4.26</x:v>
      </x:c>
      <x:c r="H319" s="154" t="n">
        <x:v>0.0075</x:v>
      </x:c>
      <x:c r="I319" s="158" t="n">
        <x:v>569.89</x:v>
      </x:c>
      <x:c r="J319" s="158" t="n">
        <x:v>8919.44</x:v>
      </x:c>
      <x:c r="K319" s="158" t="n">
        <x:v>5083131577.2</x:v>
      </x:c>
      <x:c r="L319" s="158"/>
      <x:c r="M319" s="141" t="str">
        <x:v>https://www.sge.com.cn/sjzx/quotation_daily_new?start_date=2024-09-01&amp;end_date=2024-09-30&amp;inst_ids=Au99.99&amp;p=</x:v>
      </x:c>
    </x:row>
    <x:row r="320">
      <x:c r="A320" s="155" t="n">
        <x:v>45541</x:v>
      </x:c>
      <x:c r="B320" s="141" t="str">
        <x:v>Ag(T+D)</x:v>
      </x:c>
      <x:c r="C320" s="153" t="n">
        <x:v>7126</x:v>
      </x:c>
      <x:c r="D320" s="153" t="n">
        <x:v>7232</x:v>
      </x:c>
      <x:c r="E320" s="153" t="n">
        <x:v>7110</x:v>
      </x:c>
      <x:c r="F320" s="153" t="n">
        <x:v>7185</x:v>
      </x:c>
      <x:c r="G320" s="153" t="n">
        <x:v>103</x:v>
      </x:c>
      <x:c r="H320" s="154" t="n">
        <x:v>0.014499999999999999</x:v>
      </x:c>
      <x:c r="I320" s="158" t="n">
        <x:v>7168</x:v>
      </x:c>
      <x:c r="J320" s="158" t="n">
        <x:v>697084</x:v>
      </x:c>
      <x:c r="K320" s="158" t="n">
        <x:v>4997309184</x:v>
      </x:c>
      <x:c r="L320" s="158" t="n">
        <x:v>4092552</x:v>
      </x:c>
      <x:c r="M320" s="141" t="str">
        <x:v>https://www.sge.com.cn/sjzx/quotation_daily_new?start_date=2024-09-01&amp;end_date=2024-09-30&amp;inst_ids=Ag%28T%2BD%29&amp;p=</x:v>
      </x:c>
    </x:row>
    <x:row r="321">
      <x:c r="A321" s="155" t="n">
        <x:v>45541</x:v>
      </x:c>
      <x:c r="B321" s="141" t="str">
        <x:v>Au99.99</x:v>
      </x:c>
      <x:c r="C321" s="153" t="n">
        <x:v>572.5</x:v>
      </x:c>
      <x:c r="D321" s="153" t="n">
        <x:v>573.2</x:v>
      </x:c>
      <x:c r="E321" s="153" t="n">
        <x:v>571</x:v>
      </x:c>
      <x:c r="F321" s="153" t="n">
        <x:v>572.84</x:v>
      </x:c>
      <x:c r="G321" s="153" t="n">
        <x:v>1.05</x:v>
      </x:c>
      <x:c r="H321" s="154" t="n">
        <x:v>0.0018</x:v>
      </x:c>
      <x:c r="I321" s="158" t="n">
        <x:v>572.47</x:v>
      </x:c>
      <x:c r="J321" s="158" t="n">
        <x:v>11240.96</x:v>
      </x:c>
      <x:c r="K321" s="158" t="n">
        <x:v>6435138641</x:v>
      </x:c>
      <x:c r="L321" s="158"/>
      <x:c r="M321" s="141" t="str">
        <x:v>https://www.sge.com.cn/sjzx/quotation_daily_new?start_date=2024-09-01&amp;end_date=2024-09-30&amp;inst_ids=Au99.99&amp;p=</x:v>
      </x:c>
    </x:row>
    <x:row r="322">
      <x:c r="A322" s="155" t="n">
        <x:v>45544</x:v>
      </x:c>
      <x:c r="B322" s="141" t="str">
        <x:v>Ag(T+D)</x:v>
      </x:c>
      <x:c r="C322" s="153" t="n">
        <x:v>7170</x:v>
      </x:c>
      <x:c r="D322" s="153" t="n">
        <x:v>7236</x:v>
      </x:c>
      <x:c r="E322" s="153" t="n">
        <x:v>6850</x:v>
      </x:c>
      <x:c r="F322" s="153" t="n">
        <x:v>6964</x:v>
      </x:c>
      <x:c r="G322" s="153" t="n">
        <x:v>-204</x:v>
      </x:c>
      <x:c r="H322" s="154" t="n">
        <x:v>-0.0285</x:v>
      </x:c>
      <x:c r="I322" s="158" t="n">
        <x:v>6988</x:v>
      </x:c>
      <x:c r="J322" s="158" t="n">
        <x:v>746826</x:v>
      </x:c>
      <x:c r="K322" s="158" t="n">
        <x:v>5218958696</x:v>
      </x:c>
      <x:c r="L322" s="158" t="n">
        <x:v>4147910</x:v>
      </x:c>
      <x:c r="M322" s="141" t="str">
        <x:v>https://www.sge.com.cn/sjzx/quotation_daily_new?start_date=2024-09-01&amp;end_date=2024-09-30&amp;inst_ids=Ag%28T%2BD%29&amp;p=</x:v>
      </x:c>
    </x:row>
    <x:row r="323">
      <x:c r="A323" s="155" t="n">
        <x:v>45544</x:v>
      </x:c>
      <x:c r="B323" s="141" t="str">
        <x:v>Au99.99</x:v>
      </x:c>
      <x:c r="C323" s="153" t="n">
        <x:v>571.7</x:v>
      </x:c>
      <x:c r="D323" s="153" t="n">
        <x:v>573</x:v>
      </x:c>
      <x:c r="E323" s="153" t="n">
        <x:v>566.5</x:v>
      </x:c>
      <x:c r="F323" s="153" t="n">
        <x:v>570.26</x:v>
      </x:c>
      <x:c r="G323" s="153" t="n">
        <x:v>-2.58</x:v>
      </x:c>
      <x:c r="H323" s="154" t="n">
        <x:v>-0.0045000000000000005</x:v>
      </x:c>
      <x:c r="I323" s="158" t="n">
        <x:v>569.59</x:v>
      </x:c>
      <x:c r="J323" s="158" t="n">
        <x:v>11717.56</x:v>
      </x:c>
      <x:c r="K323" s="158" t="n">
        <x:v>6674285297.4</x:v>
      </x:c>
      <x:c r="L323" s="158"/>
      <x:c r="M323" s="141" t="str">
        <x:v>https://www.sge.com.cn/sjzx/quotation_daily_new?start_date=2024-09-01&amp;end_date=2024-09-30&amp;inst_ids=Au99.99&amp;p=</x:v>
      </x:c>
    </x:row>
    <x:row r="324">
      <x:c r="A324" s="155" t="n">
        <x:v>45545</x:v>
      </x:c>
      <x:c r="B324" s="141" t="str">
        <x:v>Ag(T+D)</x:v>
      </x:c>
      <x:c r="C324" s="153" t="n">
        <x:v>6963</x:v>
      </x:c>
      <x:c r="D324" s="153" t="n">
        <x:v>7022</x:v>
      </x:c>
      <x:c r="E324" s="153" t="n">
        <x:v>6915</x:v>
      </x:c>
      <x:c r="F324" s="153" t="n">
        <x:v>7016</x:v>
      </x:c>
      <x:c r="G324" s="153" t="n">
        <x:v>28</x:v>
      </x:c>
      <x:c r="H324" s="154" t="n">
        <x:v>0.004</x:v>
      </x:c>
      <x:c r="I324" s="158" t="n">
        <x:v>6986</x:v>
      </x:c>
      <x:c r="J324" s="158" t="n">
        <x:v>443252</x:v>
      </x:c>
      <x:c r="K324" s="158" t="n">
        <x:v>3096636512</x:v>
      </x:c>
      <x:c r="L324" s="158" t="n">
        <x:v>4148402</x:v>
      </x:c>
      <x:c r="M324" s="141" t="str">
        <x:v>https://www.sge.com.cn/sjzx/quotation_daily_new?start_date=2024-09-01&amp;end_date=2024-09-30&amp;inst_ids=Ag%28T%2BD%29&amp;p=</x:v>
      </x:c>
    </x:row>
    <x:row r="325">
      <x:c r="A325" s="155" t="n">
        <x:v>45545</x:v>
      </x:c>
      <x:c r="B325" s="141" t="str">
        <x:v>Au99.99</x:v>
      </x:c>
      <x:c r="C325" s="153" t="n">
        <x:v>570.3</x:v>
      </x:c>
      <x:c r="D325" s="153" t="n">
        <x:v>572.8</x:v>
      </x:c>
      <x:c r="E325" s="153" t="n">
        <x:v>570</x:v>
      </x:c>
      <x:c r="F325" s="153" t="n">
        <x:v>572.72</x:v>
      </x:c>
      <x:c r="G325" s="153" t="n">
        <x:v>2.46</x:v>
      </x:c>
      <x:c r="H325" s="154" t="n">
        <x:v>0.0043</x:v>
      </x:c>
      <x:c r="I325" s="158" t="n">
        <x:v>572.23</x:v>
      </x:c>
      <x:c r="J325" s="158" t="n">
        <x:v>7171.82</x:v>
      </x:c>
      <x:c r="K325" s="158" t="n">
        <x:v>4103999570.4</x:v>
      </x:c>
      <x:c r="L325" s="158"/>
      <x:c r="M325" s="141" t="str">
        <x:v>https://www.sge.com.cn/sjzx/quotation_daily_new?start_date=2024-09-01&amp;end_date=2024-09-30&amp;inst_ids=Au99.99&amp;p=</x:v>
      </x:c>
    </x:row>
    <x:row r="326">
      <x:c r="A326" s="155" t="n">
        <x:v>45546</x:v>
      </x:c>
      <x:c r="B326" s="141" t="str">
        <x:v>Ag(T+D)</x:v>
      </x:c>
      <x:c r="C326" s="153" t="n">
        <x:v>7012</x:v>
      </x:c>
      <x:c r="D326" s="153" t="n">
        <x:v>7150</x:v>
      </x:c>
      <x:c r="E326" s="153" t="n">
        <x:v>6910</x:v>
      </x:c>
      <x:c r="F326" s="153" t="n">
        <x:v>7146</x:v>
      </x:c>
      <x:c r="G326" s="153" t="n">
        <x:v>160</x:v>
      </x:c>
      <x:c r="H326" s="154" t="n">
        <x:v>0.0229</x:v>
      </x:c>
      <x:c r="I326" s="158" t="n">
        <x:v>7033</x:v>
      </x:c>
      <x:c r="J326" s="158" t="n">
        <x:v>592230</x:v>
      </x:c>
      <x:c r="K326" s="158" t="n">
        <x:v>4165208612</x:v>
      </x:c>
      <x:c r="L326" s="158" t="n">
        <x:v>4198072</x:v>
      </x:c>
      <x:c r="M326" s="141" t="str">
        <x:v>https://www.sge.com.cn/sjzx/quotation_daily_new?start_date=2024-09-01&amp;end_date=2024-09-30&amp;inst_ids=Ag%28T%2BD%29&amp;p=</x:v>
      </x:c>
    </x:row>
    <x:row r="327">
      <x:c r="A327" s="155" t="n">
        <x:v>45546</x:v>
      </x:c>
      <x:c r="B327" s="141" t="str">
        <x:v>Au99.99</x:v>
      </x:c>
      <x:c r="C327" s="153" t="n">
        <x:v>574</x:v>
      </x:c>
      <x:c r="D327" s="153" t="n">
        <x:v>575.78</x:v>
      </x:c>
      <x:c r="E327" s="153" t="n">
        <x:v>571.95</x:v>
      </x:c>
      <x:c r="F327" s="153" t="n">
        <x:v>575.74</x:v>
      </x:c>
      <x:c r="G327" s="153" t="n">
        <x:v>3.02</x:v>
      </x:c>
      <x:c r="H327" s="154" t="n">
        <x:v>0.0053</x:v>
      </x:c>
      <x:c r="I327" s="158" t="n">
        <x:v>574.66</x:v>
      </x:c>
      <x:c r="J327" s="158" t="n">
        <x:v>7383.82</x:v>
      </x:c>
      <x:c r="K327" s="158" t="n">
        <x:v>4243200400</x:v>
      </x:c>
      <x:c r="L327" s="158"/>
      <x:c r="M327" s="141" t="str">
        <x:v>https://www.sge.com.cn/sjzx/quotation_daily_new?start_date=2024-09-01&amp;end_date=2024-09-30&amp;inst_ids=Au99.99&amp;p=</x:v>
      </x:c>
    </x:row>
    <x:row r="328">
      <x:c r="A328" s="155" t="n">
        <x:v>45547</x:v>
      </x:c>
      <x:c r="B328" s="141" t="str">
        <x:v>Ag(T+D)</x:v>
      </x:c>
      <x:c r="C328" s="153" t="n">
        <x:v>7150</x:v>
      </x:c>
      <x:c r="D328" s="153" t="n">
        <x:v>7150</x:v>
      </x:c>
      <x:c r="E328" s="153" t="n">
        <x:v>6981</x:v>
      </x:c>
      <x:c r="F328" s="153" t="n">
        <x:v>7134</x:v>
      </x:c>
      <x:c r="G328" s="153" t="n">
        <x:v>101</x:v>
      </x:c>
      <x:c r="H328" s="154" t="n">
        <x:v>0.0144</x:v>
      </x:c>
      <x:c r="I328" s="158" t="n">
        <x:v>7066</x:v>
      </x:c>
      <x:c r="J328" s="158" t="n">
        <x:v>650042</x:v>
      </x:c>
      <x:c r="K328" s="158" t="n">
        <x:v>4593781880</x:v>
      </x:c>
      <x:c r="L328" s="158" t="n">
        <x:v>4359824</x:v>
      </x:c>
      <x:c r="M328" s="141" t="str">
        <x:v>https://www.sge.com.cn/sjzx/quotation_daily_new?start_date=2024-09-01&amp;end_date=2024-09-30&amp;inst_ids=Ag%28T%2BD%29&amp;p=</x:v>
      </x:c>
    </x:row>
    <x:row r="329">
      <x:c r="A329" s="155" t="n">
        <x:v>45547</x:v>
      </x:c>
      <x:c r="B329" s="141" t="str">
        <x:v>Au99.99</x:v>
      </x:c>
      <x:c r="C329" s="153" t="n">
        <x:v>575.5</x:v>
      </x:c>
      <x:c r="D329" s="153" t="n">
        <x:v>575.5</x:v>
      </x:c>
      <x:c r="E329" s="153" t="n">
        <x:v>571.8</x:v>
      </x:c>
      <x:c r="F329" s="153" t="n">
        <x:v>575</x:v>
      </x:c>
      <x:c r="G329" s="153" t="n">
        <x:v>-0.74</x:v>
      </x:c>
      <x:c r="H329" s="154" t="n">
        <x:v>-0.0013</x:v>
      </x:c>
      <x:c r="I329" s="158" t="n">
        <x:v>574.22</x:v>
      </x:c>
      <x:c r="J329" s="158" t="n">
        <x:v>8876.46</x:v>
      </x:c>
      <x:c r="K329" s="158" t="n">
        <x:v>5097097703.4</x:v>
      </x:c>
      <x:c r="L329" s="158"/>
      <x:c r="M329" s="141" t="str">
        <x:v>https://www.sge.com.cn/sjzx/quotation_daily_new?start_date=2024-09-01&amp;end_date=2024-09-30&amp;inst_ids=Au99.99&amp;p=</x:v>
      </x:c>
    </x:row>
    <x:row r="330">
      <x:c r="A330" s="155" t="n">
        <x:v>45548</x:v>
      </x:c>
      <x:c r="B330" s="141" t="str">
        <x:v>Ag(T+D)</x:v>
      </x:c>
      <x:c r="C330" s="153" t="n">
        <x:v>7134</x:v>
      </x:c>
      <x:c r="D330" s="153" t="n">
        <x:v>7395</x:v>
      </x:c>
      <x:c r="E330" s="153" t="n">
        <x:v>7121</x:v>
      </x:c>
      <x:c r="F330" s="153" t="n">
        <x:v>7394</x:v>
      </x:c>
      <x:c r="G330" s="153" t="n">
        <x:v>328</x:v>
      </x:c>
      <x:c r="H330" s="154" t="n">
        <x:v>0.0464</x:v>
      </x:c>
      <x:c r="I330" s="158" t="n">
        <x:v>7320</x:v>
      </x:c>
      <x:c r="J330" s="158" t="n">
        <x:v>743408</x:v>
      </x:c>
      <x:c r="K330" s="158" t="n">
        <x:v>5442216956</x:v>
      </x:c>
      <x:c r="L330" s="158" t="n">
        <x:v>4512942</x:v>
      </x:c>
      <x:c r="M330" s="141" t="str">
        <x:v>https://www.sge.com.cn/sjzx/quotation_daily_new?start_date=2024-09-01&amp;end_date=2024-09-30&amp;inst_ids=Ag%28T%2BD%29&amp;p=</x:v>
      </x:c>
    </x:row>
    <x:row r="331">
      <x:c r="A331" s="155" t="n">
        <x:v>45548</x:v>
      </x:c>
      <x:c r="B331" s="141" t="str">
        <x:v>Au99.99</x:v>
      </x:c>
      <x:c r="C331" s="153" t="n">
        <x:v>575</x:v>
      </x:c>
      <x:c r="D331" s="153" t="n">
        <x:v>583.8</x:v>
      </x:c>
      <x:c r="E331" s="153" t="n">
        <x:v>575</x:v>
      </x:c>
      <x:c r="F331" s="153" t="n">
        <x:v>582.54</x:v>
      </x:c>
      <x:c r="G331" s="153" t="n">
        <x:v>7.54</x:v>
      </x:c>
      <x:c r="H331" s="154" t="n">
        <x:v>0.0131</x:v>
      </x:c>
      <x:c r="I331" s="158" t="n">
        <x:v>582.72</x:v>
      </x:c>
      <x:c r="J331" s="158" t="n">
        <x:v>9556.6</x:v>
      </x:c>
      <x:c r="K331" s="158" t="n">
        <x:v>5568899555</x:v>
      </x:c>
      <x:c r="L331" s="158"/>
      <x:c r="M331" s="141" t="str">
        <x:v>https://www.sge.com.cn/sjzx/quotation_daily_new?start_date=2024-09-01&amp;end_date=2024-09-30&amp;inst_ids=Au99.99&amp;p=</x:v>
      </x:c>
    </x:row>
    <x:row r="332">
      <x:c r="A332" s="155" t="n">
        <x:v>45553</x:v>
      </x:c>
      <x:c r="B332" s="141" t="str">
        <x:v>Ag(T+D)</x:v>
      </x:c>
      <x:c r="C332" s="153" t="n">
        <x:v>7500</x:v>
      </x:c>
      <x:c r="D332" s="153" t="n">
        <x:v>7500</x:v>
      </x:c>
      <x:c r="E332" s="153" t="n">
        <x:v>7365</x:v>
      </x:c>
      <x:c r="F332" s="153" t="n">
        <x:v>7414</x:v>
      </x:c>
      <x:c r="G332" s="153" t="n">
        <x:v>94</x:v>
      </x:c>
      <x:c r="H332" s="154" t="n">
        <x:v>0.0128</x:v>
      </x:c>
      <x:c r="I332" s="158" t="n">
        <x:v>7405</x:v>
      </x:c>
      <x:c r="J332" s="158" t="n">
        <x:v>448188</x:v>
      </x:c>
      <x:c r="K332" s="158" t="n">
        <x:v>3319222354</x:v>
      </x:c>
      <x:c r="L332" s="158" t="n">
        <x:v>4645804</x:v>
      </x:c>
      <x:c r="M332" s="141" t="str">
        <x:v>https://www.sge.com.cn/sjzx/quotation_daily_new?start_date=2024-09-01&amp;end_date=2024-09-30&amp;inst_ids=Ag%28T%2BD%29&amp;p=</x:v>
      </x:c>
    </x:row>
    <x:row r="333">
      <x:c r="A333" s="155" t="n">
        <x:v>45553</x:v>
      </x:c>
      <x:c r="B333" s="141" t="str">
        <x:v>Au99.99</x:v>
      </x:c>
      <x:c r="C333" s="153" t="n">
        <x:v>584.99</x:v>
      </x:c>
      <x:c r="D333" s="153" t="n">
        <x:v>585</x:v>
      </x:c>
      <x:c r="E333" s="153" t="n">
        <x:v>581.85</x:v>
      </x:c>
      <x:c r="F333" s="153" t="n">
        <x:v>581.98</x:v>
      </x:c>
      <x:c r="G333" s="153" t="n">
        <x:v>-0.56</x:v>
      </x:c>
      <x:c r="H333" s="154" t="n">
        <x:v>-0.001</x:v>
      </x:c>
      <x:c r="I333" s="158" t="n">
        <x:v>582.95</x:v>
      </x:c>
      <x:c r="J333" s="158" t="n">
        <x:v>10007.52</x:v>
      </x:c>
      <x:c r="K333" s="158" t="n">
        <x:v>5833886873.2</x:v>
      </x:c>
      <x:c r="L333" s="158"/>
      <x:c r="M333" s="141" t="str">
        <x:v>https://www.sge.com.cn/sjzx/quotation_daily_new?start_date=2024-09-01&amp;end_date=2024-09-30&amp;inst_ids=Au99.99&amp;p=</x:v>
      </x:c>
    </x:row>
    <x:row r="334">
      <x:c r="A334" s="155" t="n">
        <x:v>45554</x:v>
      </x:c>
      <x:c r="B334" s="141" t="str">
        <x:v>Ag(T+D)</x:v>
      </x:c>
      <x:c r="C334" s="153" t="n">
        <x:v>7416</x:v>
      </x:c>
      <x:c r="D334" s="153" t="n">
        <x:v>7499</x:v>
      </x:c>
      <x:c r="E334" s="153" t="n">
        <x:v>7222</x:v>
      </x:c>
      <x:c r="F334" s="153" t="n">
        <x:v>7460</x:v>
      </x:c>
      <x:c r="G334" s="153" t="n">
        <x:v>55</x:v>
      </x:c>
      <x:c r="H334" s="154" t="n">
        <x:v>0.0074</x:v>
      </x:c>
      <x:c r="I334" s="158" t="n">
        <x:v>7347</x:v>
      </x:c>
      <x:c r="J334" s="158" t="n">
        <x:v>737894</x:v>
      </x:c>
      <x:c r="K334" s="158" t="n">
        <x:v>5421352578</x:v>
      </x:c>
      <x:c r="L334" s="158" t="n">
        <x:v>4718774</x:v>
      </x:c>
      <x:c r="M334" s="141" t="str">
        <x:v>https://www.sge.com.cn/sjzx/quotation_daily_new?start_date=2024-09-01&amp;end_date=2024-09-30&amp;inst_ids=Ag%28T%2BD%29&amp;p=</x:v>
      </x:c>
    </x:row>
    <x:row r="335">
      <x:c r="A335" s="155" t="n">
        <x:v>45554</x:v>
      </x:c>
      <x:c r="B335" s="141" t="str">
        <x:v>Au99.99</x:v>
      </x:c>
      <x:c r="C335" s="153" t="n">
        <x:v>583.5</x:v>
      </x:c>
      <x:c r="D335" s="153" t="n">
        <x:v>585</x:v>
      </x:c>
      <x:c r="E335" s="153" t="n">
        <x:v>579.2</x:v>
      </x:c>
      <x:c r="F335" s="153" t="n">
        <x:v>583.05</x:v>
      </x:c>
      <x:c r="G335" s="153" t="n">
        <x:v>1.07</x:v>
      </x:c>
      <x:c r="H335" s="154" t="n">
        <x:v>0.0018</x:v>
      </x:c>
      <x:c r="I335" s="158" t="n">
        <x:v>581.5</x:v>
      </x:c>
      <x:c r="J335" s="158" t="n">
        <x:v>9518.12</x:v>
      </x:c>
      <x:c r="K335" s="158" t="n">
        <x:v>5534859866.6</x:v>
      </x:c>
      <x:c r="L335" s="158"/>
      <x:c r="M335" s="141" t="str">
        <x:v>https://www.sge.com.cn/sjzx/quotation_daily_new?start_date=2024-09-01&amp;end_date=2024-09-30&amp;inst_ids=Au99.99&amp;p=</x:v>
      </x:c>
    </x:row>
    <x:row r="336">
      <x:c r="A336" s="155" t="n">
        <x:v>45555</x:v>
      </x:c>
      <x:c r="B336" s="141" t="str">
        <x:v>Ag(T+D)</x:v>
      </x:c>
      <x:c r="C336" s="153" t="n">
        <x:v>7478</x:v>
      </x:c>
      <x:c r="D336" s="153" t="n">
        <x:v>7529</x:v>
      </x:c>
      <x:c r="E336" s="153" t="n">
        <x:v>7397</x:v>
      </x:c>
      <x:c r="F336" s="153" t="n">
        <x:v>7505</x:v>
      </x:c>
      <x:c r="G336" s="153" t="n">
        <x:v>158</x:v>
      </x:c>
      <x:c r="H336" s="154" t="n">
        <x:v>0.0215</x:v>
      </x:c>
      <x:c r="I336" s="158" t="n">
        <x:v>7467</x:v>
      </x:c>
      <x:c r="J336" s="158" t="n">
        <x:v>378990</x:v>
      </x:c>
      <x:c r="K336" s="158" t="n">
        <x:v>2830093166</x:v>
      </x:c>
      <x:c r="L336" s="158" t="n">
        <x:v>4713866</x:v>
      </x:c>
      <x:c r="M336" s="141" t="str">
        <x:v>https://www.sge.com.cn/sjzx/quotation_daily_new?start_date=2024-09-01&amp;end_date=2024-09-30&amp;inst_ids=Ag%28T%2BD%29&amp;p=</x:v>
      </x:c>
    </x:row>
    <x:row r="337">
      <x:c r="A337" s="155" t="n">
        <x:v>45555</x:v>
      </x:c>
      <x:c r="B337" s="141" t="str">
        <x:v>Au99.99</x:v>
      </x:c>
      <x:c r="C337" s="153" t="n">
        <x:v>585</x:v>
      </x:c>
      <x:c r="D337" s="153" t="n">
        <x:v>588.32</x:v>
      </x:c>
      <x:c r="E337" s="153" t="n">
        <x:v>582</x:v>
      </x:c>
      <x:c r="F337" s="153" t="n">
        <x:v>588.3</x:v>
      </x:c>
      <x:c r="G337" s="153" t="n">
        <x:v>5.25</x:v>
      </x:c>
      <x:c r="H337" s="154" t="n">
        <x:v>0.009000000000000001</x:v>
      </x:c>
      <x:c r="I337" s="158" t="n">
        <x:v>585.57</x:v>
      </x:c>
      <x:c r="J337" s="158" t="n">
        <x:v>9621.6</x:v>
      </x:c>
      <x:c r="K337" s="158" t="n">
        <x:v>5634123974.8</x:v>
      </x:c>
      <x:c r="L337" s="158"/>
      <x:c r="M337" s="141" t="str">
        <x:v>https://www.sge.com.cn/sjzx/quotation_daily_new?start_date=2024-09-01&amp;end_date=2024-09-30&amp;inst_ids=Au99.99&amp;p=</x:v>
      </x:c>
    </x:row>
    <x:row r="338">
      <x:c r="A338" s="155" t="n">
        <x:v>45558</x:v>
      </x:c>
      <x:c r="B338" s="141" t="str">
        <x:v>Ag(T+D)</x:v>
      </x:c>
      <x:c r="C338" s="153" t="n">
        <x:v>7535</x:v>
      </x:c>
      <x:c r="D338" s="153" t="n">
        <x:v>7558</x:v>
      </x:c>
      <x:c r="E338" s="153" t="n">
        <x:v>7397</x:v>
      </x:c>
      <x:c r="F338" s="153" t="n">
        <x:v>7414</x:v>
      </x:c>
      <x:c r="G338" s="153" t="n">
        <x:v>-53</x:v>
      </x:c>
      <x:c r="H338" s="154" t="n">
        <x:v>-0.0070999999999999995</x:v>
      </x:c>
      <x:c r="I338" s="158" t="n">
        <x:v>7471</x:v>
      </x:c>
      <x:c r="J338" s="158" t="n">
        <x:v>511626</x:v>
      </x:c>
      <x:c r="K338" s="158" t="n">
        <x:v>3822782850</x:v>
      </x:c>
      <x:c r="L338" s="158" t="n">
        <x:v>4531920</x:v>
      </x:c>
      <x:c r="M338" s="141" t="str">
        <x:v>https://www.sge.com.cn/sjzx/quotation_daily_new?start_date=2024-09-01&amp;end_date=2024-09-30&amp;inst_ids=Ag%28T%2BD%29&amp;p=</x:v>
      </x:c>
    </x:row>
    <x:row r="339">
      <x:c r="A339" s="155" t="n">
        <x:v>45558</x:v>
      </x:c>
      <x:c r="B339" s="141" t="str">
        <x:v>Au99.99</x:v>
      </x:c>
      <x:c r="C339" s="153" t="n">
        <x:v>590</x:v>
      </x:c>
      <x:c r="D339" s="153" t="n">
        <x:v>593.96</x:v>
      </x:c>
      <x:c r="E339" s="153" t="n">
        <x:v>588</x:v>
      </x:c>
      <x:c r="F339" s="153" t="n">
        <x:v>592.2</x:v>
      </x:c>
      <x:c r="G339" s="153" t="n">
        <x:v>3.9</x:v>
      </x:c>
      <x:c r="H339" s="154" t="n">
        <x:v>0.0066</x:v>
      </x:c>
      <x:c r="I339" s="158" t="n">
        <x:v>592.27</x:v>
      </x:c>
      <x:c r="J339" s="158" t="n">
        <x:v>13481.22</x:v>
      </x:c>
      <x:c r="K339" s="158" t="n">
        <x:v>7984629824.8</x:v>
      </x:c>
      <x:c r="L339" s="158"/>
      <x:c r="M339" s="141" t="str">
        <x:v>https://www.sge.com.cn/sjzx/quotation_daily_new?start_date=2024-09-01&amp;end_date=2024-09-30&amp;inst_ids=Au99.99&amp;p=</x:v>
      </x:c>
    </x:row>
    <x:row r="340">
      <x:c r="A340" s="155" t="n">
        <x:v>45559</x:v>
      </x:c>
      <x:c r="B340" s="141" t="str">
        <x:v>Ag(T+D)</x:v>
      </x:c>
      <x:c r="C340" s="153" t="n">
        <x:v>7434</x:v>
      </x:c>
      <x:c r="D340" s="153" t="n">
        <x:v>7595</x:v>
      </x:c>
      <x:c r="E340" s="153" t="n">
        <x:v>7389</x:v>
      </x:c>
      <x:c r="F340" s="153" t="n">
        <x:v>7501</x:v>
      </x:c>
      <x:c r="G340" s="153" t="n">
        <x:v>30</x:v>
      </x:c>
      <x:c r="H340" s="154" t="n">
        <x:v>0.004</x:v>
      </x:c>
      <x:c r="I340" s="158" t="n">
        <x:v>7506</x:v>
      </x:c>
      <x:c r="J340" s="158" t="n">
        <x:v>521158</x:v>
      </x:c>
      <x:c r="K340" s="158" t="n">
        <x:v>3912110446</x:v>
      </x:c>
      <x:c r="L340" s="158" t="n">
        <x:v>4415544</x:v>
      </x:c>
      <x:c r="M340" s="141" t="str">
        <x:v>https://www.sge.com.cn/sjzx/quotation_daily_new?start_date=2024-09-01&amp;end_date=2024-09-30&amp;inst_ids=Ag%28T%2BD%29&amp;p=</x:v>
      </x:c>
    </x:row>
    <x:row r="341">
      <x:c r="A341" s="155" t="n">
        <x:v>45559</x:v>
      </x:c>
      <x:c r="B341" s="141" t="str">
        <x:v>Au99.99</x:v>
      </x:c>
      <x:c r="C341" s="153" t="n">
        <x:v>592.5</x:v>
      </x:c>
      <x:c r="D341" s="153" t="n">
        <x:v>595</x:v>
      </x:c>
      <x:c r="E341" s="153" t="n">
        <x:v>590.6</x:v>
      </x:c>
      <x:c r="F341" s="153" t="n">
        <x:v>592</x:v>
      </x:c>
      <x:c r="G341" s="153" t="n">
        <x:v>-0.2</x:v>
      </x:c>
      <x:c r="H341" s="154" t="n">
        <x:v>-0.0003</x:v>
      </x:c>
      <x:c r="I341" s="158" t="n">
        <x:v>593.33</x:v>
      </x:c>
      <x:c r="J341" s="158" t="n">
        <x:v>12293.26</x:v>
      </x:c>
      <x:c r="K341" s="158" t="n">
        <x:v>7293966867.4</x:v>
      </x:c>
      <x:c r="L341" s="158"/>
      <x:c r="M341" s="141" t="str">
        <x:v>https://www.sge.com.cn/sjzx/quotation_daily_new?start_date=2024-09-01&amp;end_date=2024-09-30&amp;inst_ids=Au99.99&amp;p=</x:v>
      </x:c>
    </x:row>
    <x:row r="342">
      <x:c r="A342" s="155" t="n">
        <x:v>45560</x:v>
      </x:c>
      <x:c r="B342" s="141" t="str">
        <x:v>Ag(T+D)</x:v>
      </x:c>
      <x:c r="C342" s="153" t="n">
        <x:v>7510</x:v>
      </x:c>
      <x:c r="D342" s="153" t="n">
        <x:v>7889</x:v>
      </x:c>
      <x:c r="E342" s="153" t="n">
        <x:v>7504</x:v>
      </x:c>
      <x:c r="F342" s="153" t="n">
        <x:v>7752</x:v>
      </x:c>
      <x:c r="G342" s="153" t="n">
        <x:v>246</x:v>
      </x:c>
      <x:c r="H342" s="154" t="n">
        <x:v>0.032799999999999996</x:v>
      </x:c>
      <x:c r="I342" s="158" t="n">
        <x:v>7766</x:v>
      </x:c>
      <x:c r="J342" s="158" t="n">
        <x:v>574150</x:v>
      </x:c>
      <x:c r="K342" s="158" t="n">
        <x:v>4458962748</x:v>
      </x:c>
      <x:c r="L342" s="158" t="n">
        <x:v>4516876</x:v>
      </x:c>
      <x:c r="M342" s="141" t="str">
        <x:v>https://www.sge.com.cn/sjzx/quotation_daily_new?start_date=2024-09-01&amp;end_date=2024-09-30&amp;inst_ids=Ag%28T%2BD%29&amp;p=</x:v>
      </x:c>
    </x:row>
    <x:row r="343">
      <x:c r="A343" s="155" t="n">
        <x:v>45560</x:v>
      </x:c>
      <x:c r="B343" s="141" t="str">
        <x:v>Au99.99</x:v>
      </x:c>
      <x:c r="C343" s="153" t="n">
        <x:v>591</x:v>
      </x:c>
      <x:c r="D343" s="153" t="n">
        <x:v>599.28</x:v>
      </x:c>
      <x:c r="E343" s="153" t="n">
        <x:v>587.35</x:v>
      </x:c>
      <x:c r="F343" s="153" t="n">
        <x:v>595.66</x:v>
      </x:c>
      <x:c r="G343" s="153" t="n">
        <x:v>3.66</x:v>
      </x:c>
      <x:c r="H343" s="154" t="n">
        <x:v>0.0062</x:v>
      </x:c>
      <x:c r="I343" s="158" t="n">
        <x:v>596.89</x:v>
      </x:c>
      <x:c r="J343" s="158" t="n">
        <x:v>12710.08</x:v>
      </x:c>
      <x:c r="K343" s="158" t="n">
        <x:v>7586523838.4</x:v>
      </x:c>
      <x:c r="L343" s="158"/>
      <x:c r="M343" s="141" t="str">
        <x:v>https://www.sge.com.cn/sjzx/quotation_daily_new?start_date=2024-09-01&amp;end_date=2024-09-30&amp;inst_ids=Au99.99&amp;p=</x:v>
      </x:c>
    </x:row>
    <x:row r="344">
      <x:c r="A344" s="155" t="n">
        <x:v>45561</x:v>
      </x:c>
      <x:c r="B344" s="141" t="str">
        <x:v>Ag(T+D)</x:v>
      </x:c>
      <x:c r="C344" s="153" t="n">
        <x:v>7770</x:v>
      </x:c>
      <x:c r="D344" s="153" t="n">
        <x:v>7860</x:v>
      </x:c>
      <x:c r="E344" s="153" t="n">
        <x:v>7733</x:v>
      </x:c>
      <x:c r="F344" s="153" t="n">
        <x:v>7812</x:v>
      </x:c>
      <x:c r="G344" s="153" t="n">
        <x:v>46</x:v>
      </x:c>
      <x:c r="H344" s="154" t="n">
        <x:v>0.0059</x:v>
      </x:c>
      <x:c r="I344" s="158" t="n">
        <x:v>7797</x:v>
      </x:c>
      <x:c r="J344" s="158" t="n">
        <x:v>489800</x:v>
      </x:c>
      <x:c r="K344" s="158" t="n">
        <x:v>3819300232</x:v>
      </x:c>
      <x:c r="L344" s="158" t="n">
        <x:v>4587828</x:v>
      </x:c>
      <x:c r="M344" s="141" t="str">
        <x:v>https://www.sge.com.cn/sjzx/quotation_daily_new?start_date=2024-09-01&amp;end_date=2024-09-30&amp;inst_ids=Ag%28T%2BD%29&amp;p=</x:v>
      </x:c>
    </x:row>
    <x:row r="345">
      <x:c r="A345" s="155" t="n">
        <x:v>45561</x:v>
      </x:c>
      <x:c r="B345" s="141" t="str">
        <x:v>Au99.99</x:v>
      </x:c>
      <x:c r="C345" s="153" t="n">
        <x:v>597.5</x:v>
      </x:c>
      <x:c r="D345" s="153" t="n">
        <x:v>600</x:v>
      </x:c>
      <x:c r="E345" s="153" t="n">
        <x:v>596.8</x:v>
      </x:c>
      <x:c r="F345" s="153" t="n">
        <x:v>597.15</x:v>
      </x:c>
      <x:c r="G345" s="153" t="n">
        <x:v>1.49</x:v>
      </x:c>
      <x:c r="H345" s="154" t="n">
        <x:v>0.0025</x:v>
      </x:c>
      <x:c r="I345" s="158" t="n">
        <x:v>597.59</x:v>
      </x:c>
      <x:c r="J345" s="158" t="n">
        <x:v>10485.16</x:v>
      </x:c>
      <x:c r="K345" s="158" t="n">
        <x:v>6265891592</x:v>
      </x:c>
      <x:c r="L345" s="158"/>
      <x:c r="M345" s="141" t="str">
        <x:v>https://www.sge.com.cn/sjzx/quotation_daily_new?start_date=2024-09-01&amp;end_date=2024-09-30&amp;inst_ids=Au99.99&amp;p=</x:v>
      </x:c>
    </x:row>
    <x:row r="346">
      <x:c r="A346" s="155" t="n">
        <x:v>45562</x:v>
      </x:c>
      <x:c r="B346" s="141" t="str">
        <x:v>Ag(T+D)</x:v>
      </x:c>
      <x:c r="C346" s="153" t="n">
        <x:v>7901</x:v>
      </x:c>
      <x:c r="D346" s="153" t="n">
        <x:v>7929</x:v>
      </x:c>
      <x:c r="E346" s="153" t="n">
        <x:v>7761</x:v>
      </x:c>
      <x:c r="F346" s="153" t="n">
        <x:v>7808</x:v>
      </x:c>
      <x:c r="G346" s="153" t="n">
        <x:v>11</x:v>
      </x:c>
      <x:c r="H346" s="154" t="n">
        <x:v>0.0014000000000000002</x:v>
      </x:c>
      <x:c r="I346" s="158" t="n">
        <x:v>7831</x:v>
      </x:c>
      <x:c r="J346" s="158" t="n">
        <x:v>741936</x:v>
      </x:c>
      <x:c r="K346" s="158" t="n">
        <x:v>5810201936</x:v>
      </x:c>
      <x:c r="L346" s="158" t="n">
        <x:v>4365422</x:v>
      </x:c>
      <x:c r="M346" s="141" t="str">
        <x:v>https://www.sge.com.cn/sjzx/quotation_daily_new?start_date=2024-09-01&amp;end_date=2024-09-30&amp;inst_ids=Ag%28T%2BD%29&amp;p=</x:v>
      </x:c>
    </x:row>
    <x:row r="347">
      <x:c r="A347" s="155" t="n">
        <x:v>45562</x:v>
      </x:c>
      <x:c r="B347" s="141" t="str">
        <x:v>Au99.99</x:v>
      </x:c>
      <x:c r="C347" s="153" t="n">
        <x:v>600</x:v>
      </x:c>
      <x:c r="D347" s="153" t="n">
        <x:v>600.56</x:v>
      </x:c>
      <x:c r="E347" s="153" t="n">
        <x:v>596</x:v>
      </x:c>
      <x:c r="F347" s="153" t="n">
        <x:v>597.16</x:v>
      </x:c>
      <x:c r="G347" s="153" t="n">
        <x:v>0.01</x:v>
      </x:c>
      <x:c r="H347" s="154" t="n">
        <x:v>0</x:v>
      </x:c>
      <x:c r="I347" s="158" t="n">
        <x:v>598.49</x:v>
      </x:c>
      <x:c r="J347" s="158" t="n">
        <x:v>13161.14</x:v>
      </x:c>
      <x:c r="K347" s="158" t="n">
        <x:v>7876850225</x:v>
      </x:c>
      <x:c r="L347" s="158"/>
      <x:c r="M347" s="141" t="str">
        <x:v>https://www.sge.com.cn/sjzx/quotation_daily_new?start_date=2024-09-01&amp;end_date=2024-09-30&amp;inst_ids=Au99.99&amp;p=</x:v>
      </x:c>
    </x:row>
    <x:row r="348">
      <x:c r="A348" s="155" t="n">
        <x:v>45565</x:v>
      </x:c>
      <x:c r="B348" s="141" t="str">
        <x:v>Ag(T+D)</x:v>
      </x:c>
      <x:c r="C348" s="153" t="n">
        <x:v>7850</x:v>
      </x:c>
      <x:c r="D348" s="153" t="n">
        <x:v>7905</x:v>
      </x:c>
      <x:c r="E348" s="153" t="n">
        <x:v>7665</x:v>
      </x:c>
      <x:c r="F348" s="153" t="n">
        <x:v>7765</x:v>
      </x:c>
      <x:c r="G348" s="153" t="n">
        <x:v>-66</x:v>
      </x:c>
      <x:c r="H348" s="154" t="n">
        <x:v>-0.0084</x:v>
      </x:c>
      <x:c r="I348" s="158" t="n">
        <x:v>7798</x:v>
      </x:c>
      <x:c r="J348" s="158" t="n">
        <x:v>502760</x:v>
      </x:c>
      <x:c r="K348" s="158" t="n">
        <x:v>3920904230</x:v>
      </x:c>
      <x:c r="L348" s="158" t="n">
        <x:v>4363338</x:v>
      </x:c>
      <x:c r="M348" s="141" t="str">
        <x:v>https://www.sge.com.cn/sjzx/quotation_daily_new?start_date=2024-09-01&amp;end_date=2024-09-30&amp;inst_ids=Ag%28T%2BD%29&amp;p=</x:v>
      </x:c>
    </x:row>
    <x:row r="349">
      <x:c r="A349" s="155" t="n">
        <x:v>45565</x:v>
      </x:c>
      <x:c r="B349" s="141" t="str">
        <x:v>Au99.99</x:v>
      </x:c>
      <x:c r="C349" s="153" t="n">
        <x:v>598.7</x:v>
      </x:c>
      <x:c r="D349" s="153" t="n">
        <x:v>598.8</x:v>
      </x:c>
      <x:c r="E349" s="153" t="n">
        <x:v>593</x:v>
      </x:c>
      <x:c r="F349" s="153" t="n">
        <x:v>595.25</x:v>
      </x:c>
      <x:c r="G349" s="153" t="n">
        <x:v>-1.91</x:v>
      </x:c>
      <x:c r="H349" s="154" t="n">
        <x:v>-0.0032</x:v>
      </x:c>
      <x:c r="I349" s="158" t="n">
        <x:v>594.4</x:v>
      </x:c>
      <x:c r="J349" s="158" t="n">
        <x:v>11882.02</x:v>
      </x:c>
      <x:c r="K349" s="158" t="n">
        <x:v>7062728714</x:v>
      </x:c>
      <x:c r="L349" s="158"/>
      <x:c r="M349" s="141" t="str">
        <x:v>https://www.sge.com.cn/sjzx/quotation_daily_new?start_date=2024-09-01&amp;end_date=2024-09-30&amp;inst_ids=Au99.99&amp;p=</x:v>
      </x:c>
    </x:row>
    <x:row r="350">
      <x:c r="A350" s="155" t="n">
        <x:v>45573</x:v>
      </x:c>
      <x:c r="B350" s="141" t="str">
        <x:v>Ag(T+D)</x:v>
      </x:c>
      <x:c r="C350" s="153" t="n">
        <x:v>7772</x:v>
      </x:c>
      <x:c r="D350" s="153" t="n">
        <x:v>7868</x:v>
      </x:c>
      <x:c r="E350" s="153" t="n">
        <x:v>7642</x:v>
      </x:c>
      <x:c r="F350" s="153" t="n">
        <x:v>7650</x:v>
      </x:c>
      <x:c r="G350" s="153" t="n">
        <x:v>-148</x:v>
      </x:c>
      <x:c r="H350" s="154" t="n">
        <x:v>-0.019</x:v>
      </x:c>
      <x:c r="I350" s="158" t="n">
        <x:v>7751</x:v>
      </x:c>
      <x:c r="J350" s="158" t="n">
        <x:v>430428</x:v>
      </x:c>
      <x:c r="K350" s="158" t="n">
        <x:v>3336361152</x:v>
      </x:c>
      <x:c r="L350" s="158" t="n">
        <x:v>4399354</x:v>
      </x:c>
      <x:c r="M350" s="141" t="str">
        <x:v>https://www.sge.com.cn/sjzx/quotation_daily_new?start_date=2024-10-01&amp;end_date=2024-10-31&amp;inst_ids=Ag%28T%2BD%29&amp;p=</x:v>
      </x:c>
    </x:row>
    <x:row r="351">
      <x:c r="A351" s="155" t="n">
        <x:v>45573</x:v>
      </x:c>
      <x:c r="B351" s="141" t="str">
        <x:v>Au99.99</x:v>
      </x:c>
      <x:c r="C351" s="153" t="n">
        <x:v>592.01</x:v>
      </x:c>
      <x:c r="D351" s="153" t="n">
        <x:v>601</x:v>
      </x:c>
      <x:c r="E351" s="153" t="n">
        <x:v>592.01</x:v>
      </x:c>
      <x:c r="F351" s="153" t="n">
        <x:v>593.4</x:v>
      </x:c>
      <x:c r="G351" s="153" t="n">
        <x:v>-1.85</x:v>
      </x:c>
      <x:c r="H351" s="154" t="n">
        <x:v>-0.0031</x:v>
      </x:c>
      <x:c r="I351" s="158" t="n">
        <x:v>595.66</x:v>
      </x:c>
      <x:c r="J351" s="158" t="n">
        <x:v>11453.48</x:v>
      </x:c>
      <x:c r="K351" s="158" t="n">
        <x:v>6822449454.2</x:v>
      </x:c>
      <x:c r="L351" s="158"/>
      <x:c r="M351" s="141" t="str">
        <x:v>https://www.sge.com.cn/sjzx/quotation_daily_new?start_date=2024-10-01&amp;end_date=2024-10-31&amp;inst_ids=Au99.99&amp;p=</x:v>
      </x:c>
    </x:row>
    <x:row r="352">
      <x:c r="A352" s="155" t="n">
        <x:v>45574</x:v>
      </x:c>
      <x:c r="B352" s="141" t="str">
        <x:v>Ag(T+D)</x:v>
      </x:c>
      <x:c r="C352" s="153" t="n">
        <x:v>7700</x:v>
      </x:c>
      <x:c r="D352" s="153" t="n">
        <x:v>7720</x:v>
      </x:c>
      <x:c r="E352" s="153" t="n">
        <x:v>7428</x:v>
      </x:c>
      <x:c r="F352" s="153" t="n">
        <x:v>7491</x:v>
      </x:c>
      <x:c r="G352" s="153" t="n">
        <x:v>-260</x:v>
      </x:c>
      <x:c r="H352" s="154" t="n">
        <x:v>-0.0335</x:v>
      </x:c>
      <x:c r="I352" s="158" t="n">
        <x:v>7533</x:v>
      </x:c>
      <x:c r="J352" s="158" t="n">
        <x:v>465292</x:v>
      </x:c>
      <x:c r="K352" s="158" t="n">
        <x:v>3505401512</x:v>
      </x:c>
      <x:c r="L352" s="158" t="n">
        <x:v>4382418</x:v>
      </x:c>
      <x:c r="M352" s="141" t="str">
        <x:v>https://www.sge.com.cn/sjzx/quotation_daily_new?start_date=2024-10-01&amp;end_date=2024-10-31&amp;inst_ids=Ag%28T%2BD%29&amp;p=</x:v>
      </x:c>
    </x:row>
    <x:row r="353">
      <x:c r="A353" s="155" t="n">
        <x:v>45574</x:v>
      </x:c>
      <x:c r="B353" s="141" t="str">
        <x:v>Au99.99</x:v>
      </x:c>
      <x:c r="C353" s="153" t="n">
        <x:v>595</x:v>
      </x:c>
      <x:c r="D353" s="153" t="n">
        <x:v>596.5</x:v>
      </x:c>
      <x:c r="E353" s="153" t="n">
        <x:v>586.5</x:v>
      </x:c>
      <x:c r="F353" s="153" t="n">
        <x:v>588.6</x:v>
      </x:c>
      <x:c r="G353" s="153" t="n">
        <x:v>-4.8</x:v>
      </x:c>
      <x:c r="H353" s="154" t="n">
        <x:v>-0.008100000000000001</x:v>
      </x:c>
      <x:c r="I353" s="158" t="n">
        <x:v>588.61</x:v>
      </x:c>
      <x:c r="J353" s="158" t="n">
        <x:v>11779.04</x:v>
      </x:c>
      <x:c r="K353" s="158" t="n">
        <x:v>6933281681.2</x:v>
      </x:c>
      <x:c r="L353" s="158"/>
      <x:c r="M353" s="141" t="str">
        <x:v>https://www.sge.com.cn/sjzx/quotation_daily_new?start_date=2024-10-01&amp;end_date=2024-10-31&amp;inst_ids=Au99.99&amp;p=</x:v>
      </x:c>
    </x:row>
    <x:row r="354">
      <x:c r="A354" s="155" t="n">
        <x:v>45575</x:v>
      </x:c>
      <x:c r="B354" s="141" t="str">
        <x:v>Ag(T+D)</x:v>
      </x:c>
      <x:c r="C354" s="153" t="n">
        <x:v>7499</x:v>
      </x:c>
      <x:c r="D354" s="153" t="n">
        <x:v>7558</x:v>
      </x:c>
      <x:c r="E354" s="153" t="n">
        <x:v>7406</x:v>
      </x:c>
      <x:c r="F354" s="153" t="n">
        <x:v>7499</x:v>
      </x:c>
      <x:c r="G354" s="153" t="n">
        <x:v>-34</x:v>
      </x:c>
      <x:c r="H354" s="154" t="n">
        <x:v>-0.0045000000000000005</x:v>
      </x:c>
      <x:c r="I354" s="158" t="n">
        <x:v>7503</x:v>
      </x:c>
      <x:c r="J354" s="158" t="n">
        <x:v>568742</x:v>
      </x:c>
      <x:c r="K354" s="158" t="n">
        <x:v>4267577672</x:v>
      </x:c>
      <x:c r="L354" s="158" t="n">
        <x:v>4263024</x:v>
      </x:c>
      <x:c r="M354" s="141" t="str">
        <x:v>https://www.sge.com.cn/sjzx/quotation_daily_new?start_date=2024-10-01&amp;end_date=2024-10-31&amp;inst_ids=Ag%28T%2BD%29&amp;p=</x:v>
      </x:c>
    </x:row>
    <x:row r="355">
      <x:c r="A355" s="155" t="n">
        <x:v>45575</x:v>
      </x:c>
      <x:c r="B355" s="141" t="str">
        <x:v>Au99.99</x:v>
      </x:c>
      <x:c r="C355" s="153" t="n">
        <x:v>589</x:v>
      </x:c>
      <x:c r="D355" s="153" t="n">
        <x:v>595</x:v>
      </x:c>
      <x:c r="E355" s="153" t="n">
        <x:v>586.6</x:v>
      </x:c>
      <x:c r="F355" s="153" t="n">
        <x:v>590.89</x:v>
      </x:c>
      <x:c r="G355" s="153" t="n">
        <x:v>2.29</x:v>
      </x:c>
      <x:c r="H355" s="154" t="n">
        <x:v>0.0039000000000000003</x:v>
      </x:c>
      <x:c r="I355" s="158" t="n">
        <x:v>588.19</x:v>
      </x:c>
      <x:c r="J355" s="158" t="n">
        <x:v>9283.32</x:v>
      </x:c>
      <x:c r="K355" s="158" t="n">
        <x:v>5460417779.6</x:v>
      </x:c>
      <x:c r="L355" s="158"/>
      <x:c r="M355" s="141" t="str">
        <x:v>https://www.sge.com.cn/sjzx/quotation_daily_new?start_date=2024-10-01&amp;end_date=2024-10-31&amp;inst_ids=Au99.99&amp;p=</x:v>
      </x:c>
    </x:row>
    <x:row r="356">
      <x:c r="A356" s="155" t="n">
        <x:v>45576</x:v>
      </x:c>
      <x:c r="B356" s="141" t="str">
        <x:v>Ag(T+D)</x:v>
      </x:c>
      <x:c r="C356" s="153" t="n">
        <x:v>7510</x:v>
      </x:c>
      <x:c r="D356" s="153" t="n">
        <x:v>7711</x:v>
      </x:c>
      <x:c r="E356" s="153" t="n">
        <x:v>7510</x:v>
      </x:c>
      <x:c r="F356" s="153" t="n">
        <x:v>7648</x:v>
      </x:c>
      <x:c r="G356" s="153" t="n">
        <x:v>145</x:v>
      </x:c>
      <x:c r="H356" s="154" t="n">
        <x:v>0.019299999999999998</x:v>
      </x:c>
      <x:c r="I356" s="158" t="n">
        <x:v>7641</x:v>
      </x:c>
      <x:c r="J356" s="158" t="n">
        <x:v>564072</x:v>
      </x:c>
      <x:c r="K356" s="158" t="n">
        <x:v>4310168122</x:v>
      </x:c>
      <x:c r="L356" s="158" t="n">
        <x:v>4370334</x:v>
      </x:c>
      <x:c r="M356" s="141" t="str">
        <x:v>https://www.sge.com.cn/sjzx/quotation_daily_new?start_date=2024-10-01&amp;end_date=2024-10-31&amp;inst_ids=Ag%28T%2BD%29&amp;p=</x:v>
      </x:c>
    </x:row>
    <x:row r="357">
      <x:c r="A357" s="155" t="n">
        <x:v>45576</x:v>
      </x:c>
      <x:c r="B357" s="141" t="str">
        <x:v>Au99.99</x:v>
      </x:c>
      <x:c r="C357" s="153" t="n">
        <x:v>590.18</x:v>
      </x:c>
      <x:c r="D357" s="153" t="n">
        <x:v>597.5</x:v>
      </x:c>
      <x:c r="E357" s="153" t="n">
        <x:v>590</x:v>
      </x:c>
      <x:c r="F357" s="153" t="n">
        <x:v>597.3</x:v>
      </x:c>
      <x:c r="G357" s="153" t="n">
        <x:v>6.41</x:v>
      </x:c>
      <x:c r="H357" s="154" t="n">
        <x:v>0.0108</x:v>
      </x:c>
      <x:c r="I357" s="158" t="n">
        <x:v>595.97</x:v>
      </x:c>
      <x:c r="J357" s="158" t="n">
        <x:v>9382.56</x:v>
      </x:c>
      <x:c r="K357" s="158" t="n">
        <x:v>5591747864.6</x:v>
      </x:c>
      <x:c r="L357" s="158"/>
      <x:c r="M357" s="141" t="str">
        <x:v>https://www.sge.com.cn/sjzx/quotation_daily_new?start_date=2024-10-01&amp;end_date=2024-10-31&amp;inst_ids=Au99.99&amp;p=</x:v>
      </x:c>
    </x:row>
    <x:row r="358">
      <x:c r="A358" s="155" t="n">
        <x:v>45579</x:v>
      </x:c>
      <x:c r="B358" s="141" t="str">
        <x:v>Ag(T+D)</x:v>
      </x:c>
      <x:c r="C358" s="153" t="n">
        <x:v>7669</x:v>
      </x:c>
      <x:c r="D358" s="153" t="n">
        <x:v>7799</x:v>
      </x:c>
      <x:c r="E358" s="153" t="n">
        <x:v>7621</x:v>
      </x:c>
      <x:c r="F358" s="153" t="n">
        <x:v>7759</x:v>
      </x:c>
      <x:c r="G358" s="153" t="n">
        <x:v>118</x:v>
      </x:c>
      <x:c r="H358" s="154" t="n">
        <x:v>0.0154</x:v>
      </x:c>
      <x:c r="I358" s="158" t="n">
        <x:v>7709</x:v>
      </x:c>
      <x:c r="J358" s="158" t="n">
        <x:v>513802</x:v>
      </x:c>
      <x:c r="K358" s="158" t="n">
        <x:v>3961050012</x:v>
      </x:c>
      <x:c r="L358" s="158" t="n">
        <x:v>4304332</x:v>
      </x:c>
      <x:c r="M358" s="141" t="str">
        <x:v>https://www.sge.com.cn/sjzx/quotation_daily_new?start_date=2024-10-01&amp;end_date=2024-10-31&amp;inst_ids=Ag%28T%2BD%29&amp;p=</x:v>
      </x:c>
    </x:row>
    <x:row r="359">
      <x:c r="A359" s="155" t="n">
        <x:v>45579</x:v>
      </x:c>
      <x:c r="B359" s="141" t="str">
        <x:v>Au99.99</x:v>
      </x:c>
      <x:c r="C359" s="153" t="n">
        <x:v>596.5</x:v>
      </x:c>
      <x:c r="D359" s="153" t="n">
        <x:v>602.8</x:v>
      </x:c>
      <x:c r="E359" s="153" t="n">
        <x:v>596.5</x:v>
      </x:c>
      <x:c r="F359" s="153" t="n">
        <x:v>600.82</x:v>
      </x:c>
      <x:c r="G359" s="153" t="n">
        <x:v>3.52</x:v>
      </x:c>
      <x:c r="H359" s="154" t="n">
        <x:v>0.0059</x:v>
      </x:c>
      <x:c r="I359" s="158" t="n">
        <x:v>599.44</x:v>
      </x:c>
      <x:c r="J359" s="158" t="n">
        <x:v>7940.22</x:v>
      </x:c>
      <x:c r="K359" s="158" t="n">
        <x:v>4759722969.8</x:v>
      </x:c>
      <x:c r="L359" s="158"/>
      <x:c r="M359" s="141" t="str">
        <x:v>https://www.sge.com.cn/sjzx/quotation_daily_new?start_date=2024-10-01&amp;end_date=2024-10-31&amp;inst_ids=Au99.99&amp;p=</x:v>
      </x:c>
    </x:row>
    <x:row r="360">
      <x:c r="A360" s="155" t="n">
        <x:v>45580</x:v>
      </x:c>
      <x:c r="B360" s="141" t="str">
        <x:v>Ag(T+D)</x:v>
      </x:c>
      <x:c r="C360" s="153" t="n">
        <x:v>7706</x:v>
      </x:c>
      <x:c r="D360" s="153" t="n">
        <x:v>7754</x:v>
      </x:c>
      <x:c r="E360" s="153" t="n">
        <x:v>7604</x:v>
      </x:c>
      <x:c r="F360" s="153" t="n">
        <x:v>7692</x:v>
      </x:c>
      <x:c r="G360" s="153" t="n">
        <x:v>-17</x:v>
      </x:c>
      <x:c r="H360" s="154" t="n">
        <x:v>-0.0022</x:v>
      </x:c>
      <x:c r="I360" s="158" t="n">
        <x:v>7694</x:v>
      </x:c>
      <x:c r="J360" s="158" t="n">
        <x:v>558072</x:v>
      </x:c>
      <x:c r="K360" s="158" t="n">
        <x:v>4294122502</x:v>
      </x:c>
      <x:c r="L360" s="158" t="n">
        <x:v>4159696</x:v>
      </x:c>
      <x:c r="M360" s="141" t="str">
        <x:v>https://www.sge.com.cn/sjzx/quotation_daily_new?start_date=2024-10-01&amp;end_date=2024-10-31&amp;inst_ids=Ag%28T%2BD%29&amp;p=</x:v>
      </x:c>
    </x:row>
    <x:row r="361">
      <x:c r="A361" s="155" t="n">
        <x:v>45580</x:v>
      </x:c>
      <x:c r="B361" s="141" t="str">
        <x:v>Au99.99</x:v>
      </x:c>
      <x:c r="C361" s="153" t="n">
        <x:v>600</x:v>
      </x:c>
      <x:c r="D361" s="153" t="n">
        <x:v>603.45</x:v>
      </x:c>
      <x:c r="E361" s="153" t="n">
        <x:v>598</x:v>
      </x:c>
      <x:c r="F361" s="153" t="n">
        <x:v>603.26</x:v>
      </x:c>
      <x:c r="G361" s="153" t="n">
        <x:v>2.44</x:v>
      </x:c>
      <x:c r="H361" s="154" t="n">
        <x:v>0.0040999999999999995</x:v>
      </x:c>
      <x:c r="I361" s="158" t="n">
        <x:v>601.15</x:v>
      </x:c>
      <x:c r="J361" s="158" t="n">
        <x:v>8730.3</x:v>
      </x:c>
      <x:c r="K361" s="158" t="n">
        <x:v>5248285208.8</x:v>
      </x:c>
      <x:c r="L361" s="158"/>
      <x:c r="M361" s="141" t="str">
        <x:v>https://www.sge.com.cn/sjzx/quotation_daily_new?start_date=2024-10-01&amp;end_date=2024-10-31&amp;inst_ids=Au99.99&amp;p=</x:v>
      </x:c>
    </x:row>
    <x:row r="362">
      <x:c r="A362" s="155" t="n">
        <x:v>45581</x:v>
      </x:c>
      <x:c r="B362" s="141" t="str">
        <x:v>Ag(T+D)</x:v>
      </x:c>
      <x:c r="C362" s="153" t="n">
        <x:v>7690</x:v>
      </x:c>
      <x:c r="D362" s="153" t="n">
        <x:v>7880</x:v>
      </x:c>
      <x:c r="E362" s="153" t="n">
        <x:v>7641</x:v>
      </x:c>
      <x:c r="F362" s="153" t="n">
        <x:v>7866</x:v>
      </x:c>
      <x:c r="G362" s="153" t="n">
        <x:v>172</x:v>
      </x:c>
      <x:c r="H362" s="154" t="n">
        <x:v>0.022400000000000003</x:v>
      </x:c>
      <x:c r="I362" s="158" t="n">
        <x:v>7808</x:v>
      </x:c>
      <x:c r="J362" s="158" t="n">
        <x:v>665594</x:v>
      </x:c>
      <x:c r="K362" s="158" t="n">
        <x:v>5197542622</x:v>
      </x:c>
      <x:c r="L362" s="158" t="n">
        <x:v>4187838</x:v>
      </x:c>
      <x:c r="M362" s="141" t="str">
        <x:v>https://www.sge.com.cn/sjzx/quotation_daily_new?start_date=2024-10-01&amp;end_date=2024-10-31&amp;inst_ids=Ag%28T%2BD%29&amp;p=</x:v>
      </x:c>
    </x:row>
    <x:row r="363">
      <x:c r="A363" s="155" t="n">
        <x:v>45581</x:v>
      </x:c>
      <x:c r="B363" s="141" t="str">
        <x:v>Au99.99</x:v>
      </x:c>
      <x:c r="C363" s="153" t="n">
        <x:v>602</x:v>
      </x:c>
      <x:c r="D363" s="153" t="n">
        <x:v>610.59</x:v>
      </x:c>
      <x:c r="E363" s="153" t="n">
        <x:v>602</x:v>
      </x:c>
      <x:c r="F363" s="153" t="n">
        <x:v>609.96</x:v>
      </x:c>
      <x:c r="G363" s="153" t="n">
        <x:v>6.7</x:v>
      </x:c>
      <x:c r="H363" s="154" t="n">
        <x:v>0.0111</x:v>
      </x:c>
      <x:c r="I363" s="158" t="n">
        <x:v>607.98</x:v>
      </x:c>
      <x:c r="J363" s="158" t="n">
        <x:v>8941.72</x:v>
      </x:c>
      <x:c r="K363" s="158" t="n">
        <x:v>5436448030.2</x:v>
      </x:c>
      <x:c r="L363" s="158"/>
      <x:c r="M363" s="141" t="str">
        <x:v>https://www.sge.com.cn/sjzx/quotation_daily_new?start_date=2024-10-01&amp;end_date=2024-10-31&amp;inst_ids=Au99.99&amp;p=</x:v>
      </x:c>
    </x:row>
    <x:row r="364">
      <x:c r="A364" s="155" t="n">
        <x:v>45582</x:v>
      </x:c>
      <x:c r="B364" s="141" t="str">
        <x:v>Ag(T+D)</x:v>
      </x:c>
      <x:c r="C364" s="153" t="n">
        <x:v>7890</x:v>
      </x:c>
      <x:c r="D364" s="153" t="n">
        <x:v>7986</x:v>
      </x:c>
      <x:c r="E364" s="153" t="n">
        <x:v>7753</x:v>
      </x:c>
      <x:c r="F364" s="153" t="n">
        <x:v>7817</x:v>
      </x:c>
      <x:c r="G364" s="153" t="n">
        <x:v>9</x:v>
      </x:c>
      <x:c r="H364" s="154" t="n">
        <x:v>0.0012</x:v>
      </x:c>
      <x:c r="I364" s="158" t="n">
        <x:v>7858</x:v>
      </x:c>
      <x:c r="J364" s="158" t="n">
        <x:v>550512</x:v>
      </x:c>
      <x:c r="K364" s="158" t="n">
        <x:v>4326001810</x:v>
      </x:c>
      <x:c r="L364" s="158" t="n">
        <x:v>4217410</x:v>
      </x:c>
      <x:c r="M364" s="141" t="str">
        <x:v>https://www.sge.com.cn/sjzx/quotation_daily_new?start_date=2024-10-01&amp;end_date=2024-10-31&amp;inst_ids=Ag%28T%2BD%29&amp;p=</x:v>
      </x:c>
    </x:row>
    <x:row r="365">
      <x:c r="A365" s="155" t="n">
        <x:v>45582</x:v>
      </x:c>
      <x:c r="B365" s="141" t="str">
        <x:v>Au99.99</x:v>
      </x:c>
      <x:c r="C365" s="153" t="n">
        <x:v>610</x:v>
      </x:c>
      <x:c r="D365" s="153" t="n">
        <x:v>613.5</x:v>
      </x:c>
      <x:c r="E365" s="153" t="n">
        <x:v>609</x:v>
      </x:c>
      <x:c r="F365" s="153" t="n">
        <x:v>612.66</x:v>
      </x:c>
      <x:c r="G365" s="153" t="n">
        <x:v>2.7</x:v>
      </x:c>
      <x:c r="H365" s="154" t="n">
        <x:v>0.0044</x:v>
      </x:c>
      <x:c r="I365" s="158" t="n">
        <x:v>612.27</x:v>
      </x:c>
      <x:c r="J365" s="158" t="n">
        <x:v>8465.16</x:v>
      </x:c>
      <x:c r="K365" s="158" t="n">
        <x:v>5183035293.2</x:v>
      </x:c>
      <x:c r="L365" s="158"/>
      <x:c r="M365" s="141" t="str">
        <x:v>https://www.sge.com.cn/sjzx/quotation_daily_new?start_date=2024-10-01&amp;end_date=2024-10-31&amp;inst_ids=Au99.99&amp;p=</x:v>
      </x:c>
    </x:row>
    <x:row r="366">
      <x:c r="A366" s="155" t="n">
        <x:v>45583</x:v>
      </x:c>
      <x:c r="B366" s="141" t="str">
        <x:v>Ag(T+D)</x:v>
      </x:c>
      <x:c r="C366" s="153" t="n">
        <x:v>7840</x:v>
      </x:c>
      <x:c r="D366" s="153" t="n">
        <x:v>7970</x:v>
      </x:c>
      <x:c r="E366" s="153" t="n">
        <x:v>7737</x:v>
      </x:c>
      <x:c r="F366" s="153" t="n">
        <x:v>7874</x:v>
      </x:c>
      <x:c r="G366" s="153" t="n">
        <x:v>16</x:v>
      </x:c>
      <x:c r="H366" s="154" t="n">
        <x:v>0.002</x:v>
      </x:c>
      <x:c r="I366" s="158" t="n">
        <x:v>7877</x:v>
      </x:c>
      <x:c r="J366" s="158" t="n">
        <x:v>486534</x:v>
      </x:c>
      <x:c r="K366" s="158" t="n">
        <x:v>3832605192</x:v>
      </x:c>
      <x:c r="L366" s="158" t="n">
        <x:v>4238352</x:v>
      </x:c>
      <x:c r="M366" s="141" t="str">
        <x:v>https://www.sge.com.cn/sjzx/quotation_daily_new?start_date=2024-10-01&amp;end_date=2024-10-31&amp;inst_ids=Ag%28T%2BD%29&amp;p=</x:v>
      </x:c>
    </x:row>
    <x:row r="367">
      <x:c r="A367" s="155" t="n">
        <x:v>45583</x:v>
      </x:c>
      <x:c r="B367" s="141" t="str">
        <x:v>Au99.99</x:v>
      </x:c>
      <x:c r="C367" s="153" t="n">
        <x:v>612.3</x:v>
      </x:c>
      <x:c r="D367" s="153" t="n">
        <x:v>621.39</x:v>
      </x:c>
      <x:c r="E367" s="153" t="n">
        <x:v>612</x:v>
      </x:c>
      <x:c r="F367" s="153" t="n">
        <x:v>616.83</x:v>
      </x:c>
      <x:c r="G367" s="153" t="n">
        <x:v>4.17</x:v>
      </x:c>
      <x:c r="H367" s="154" t="n">
        <x:v>0.0068000000000000005</x:v>
      </x:c>
      <x:c r="I367" s="158" t="n">
        <x:v>618.72</x:v>
      </x:c>
      <x:c r="J367" s="158" t="n">
        <x:v>12773.8</x:v>
      </x:c>
      <x:c r="K367" s="158" t="n">
        <x:v>7903530320.4</x:v>
      </x:c>
      <x:c r="L367" s="158"/>
      <x:c r="M367" s="141" t="str">
        <x:v>https://www.sge.com.cn/sjzx/quotation_daily_new?start_date=2024-10-01&amp;end_date=2024-10-31&amp;inst_ids=Au99.99&amp;p=</x:v>
      </x:c>
    </x:row>
    <x:row r="368">
      <x:c r="A368" s="155" t="n">
        <x:v>45586</x:v>
      </x:c>
      <x:c r="B368" s="141" t="str">
        <x:v>Ag(T+D)</x:v>
      </x:c>
      <x:c r="C368" s="153" t="n">
        <x:v>7890</x:v>
      </x:c>
      <x:c r="D368" s="153" t="n">
        <x:v>8349</x:v>
      </x:c>
      <x:c r="E368" s="153" t="n">
        <x:v>7883</x:v>
      </x:c>
      <x:c r="F368" s="153" t="n">
        <x:v>8289</x:v>
      </x:c>
      <x:c r="G368" s="153" t="n">
        <x:v>412</x:v>
      </x:c>
      <x:c r="H368" s="154" t="n">
        <x:v>0.052300000000000006</x:v>
      </x:c>
      <x:c r="I368" s="158" t="n">
        <x:v>8189</x:v>
      </x:c>
      <x:c r="J368" s="158" t="n">
        <x:v>655836</x:v>
      </x:c>
      <x:c r="K368" s="158" t="n">
        <x:v>5370683998</x:v>
      </x:c>
      <x:c r="L368" s="158" t="n">
        <x:v>4322564</x:v>
      </x:c>
      <x:c r="M368" s="141" t="str">
        <x:v>https://www.sge.com.cn/sjzx/quotation_daily_new?start_date=2024-10-01&amp;end_date=2024-10-31&amp;inst_ids=Ag%28T%2BD%29&amp;p=</x:v>
      </x:c>
    </x:row>
    <x:row r="369">
      <x:c r="A369" s="155" t="n">
        <x:v>45586</x:v>
      </x:c>
      <x:c r="B369" s="141" t="str">
        <x:v>Au99.99</x:v>
      </x:c>
      <x:c r="C369" s="153" t="n">
        <x:v>618</x:v>
      </x:c>
      <x:c r="D369" s="153" t="n">
        <x:v>624.7</x:v>
      </x:c>
      <x:c r="E369" s="153" t="n">
        <x:v>610</x:v>
      </x:c>
      <x:c r="F369" s="153" t="n">
        <x:v>624.06</x:v>
      </x:c>
      <x:c r="G369" s="153" t="n">
        <x:v>7.23</x:v>
      </x:c>
      <x:c r="H369" s="154" t="n">
        <x:v>0.011699999999999999</x:v>
      </x:c>
      <x:c r="I369" s="158" t="n">
        <x:v>622.95</x:v>
      </x:c>
      <x:c r="J369" s="158" t="n">
        <x:v>13692.42</x:v>
      </x:c>
      <x:c r="K369" s="158" t="n">
        <x:v>8529790708.2</x:v>
      </x:c>
      <x:c r="L369" s="158"/>
      <x:c r="M369" s="141" t="str">
        <x:v>https://www.sge.com.cn/sjzx/quotation_daily_new?start_date=2024-10-01&amp;end_date=2024-10-31&amp;inst_ids=Au99.99&amp;p=</x:v>
      </x:c>
    </x:row>
    <x:row r="370">
      <x:c r="A370" s="155" t="n">
        <x:v>45587</x:v>
      </x:c>
      <x:c r="B370" s="141" t="str">
        <x:v>Ag(T+D)</x:v>
      </x:c>
      <x:c r="C370" s="153" t="n">
        <x:v>8309</x:v>
      </x:c>
      <x:c r="D370" s="153" t="n">
        <x:v>8386</x:v>
      </x:c>
      <x:c r="E370" s="153" t="n">
        <x:v>8160</x:v>
      </x:c>
      <x:c r="F370" s="153" t="n">
        <x:v>8304</x:v>
      </x:c>
      <x:c r="G370" s="153" t="n">
        <x:v>115</x:v>
      </x:c>
      <x:c r="H370" s="154" t="n">
        <x:v>0.013999999999999999</x:v>
      </x:c>
      <x:c r="I370" s="158" t="n">
        <x:v>8284</x:v>
      </x:c>
      <x:c r="J370" s="158" t="n">
        <x:v>387342</x:v>
      </x:c>
      <x:c r="K370" s="158" t="n">
        <x:v>3209045746</x:v>
      </x:c>
      <x:c r="L370" s="158" t="n">
        <x:v>4335174</x:v>
      </x:c>
      <x:c r="M370" s="141" t="str">
        <x:v>https://www.sge.com.cn/sjzx/quotation_daily_new?start_date=2024-10-01&amp;end_date=2024-10-31&amp;inst_ids=Ag%28T%2BD%29&amp;p=</x:v>
      </x:c>
    </x:row>
    <x:row r="371">
      <x:c r="A371" s="155" t="n">
        <x:v>45587</x:v>
      </x:c>
      <x:c r="B371" s="141" t="str">
        <x:v>Au99.99</x:v>
      </x:c>
      <x:c r="C371" s="153" t="n">
        <x:v>625.99</x:v>
      </x:c>
      <x:c r="D371" s="153" t="n">
        <x:v>627</x:v>
      </x:c>
      <x:c r="E371" s="153" t="n">
        <x:v>620</x:v>
      </x:c>
      <x:c r="F371" s="153" t="n">
        <x:v>625</x:v>
      </x:c>
      <x:c r="G371" s="153" t="n">
        <x:v>0.94</x:v>
      </x:c>
      <x:c r="H371" s="154" t="n">
        <x:v>0.0015</x:v>
      </x:c>
      <x:c r="I371" s="158" t="n">
        <x:v>624.62</x:v>
      </x:c>
      <x:c r="J371" s="158" t="n">
        <x:v>11178.38</x:v>
      </x:c>
      <x:c r="K371" s="158" t="n">
        <x:v>6982302763.6</x:v>
      </x:c>
      <x:c r="L371" s="158"/>
      <x:c r="M371" s="141" t="str">
        <x:v>https://www.sge.com.cn/sjzx/quotation_daily_new?start_date=2024-10-01&amp;end_date=2024-10-31&amp;inst_ids=Au99.99&amp;p=</x:v>
      </x:c>
    </x:row>
    <x:row r="372">
      <x:c r="A372" s="155" t="n">
        <x:v>45588</x:v>
      </x:c>
      <x:c r="B372" s="141" t="str">
        <x:v>Ag(T+D)</x:v>
      </x:c>
      <x:c r="C372" s="153" t="n">
        <x:v>8340</x:v>
      </x:c>
      <x:c r="D372" s="153" t="n">
        <x:v>8415</x:v>
      </x:c>
      <x:c r="E372" s="153" t="n">
        <x:v>8287</x:v>
      </x:c>
      <x:c r="F372" s="153" t="n">
        <x:v>8332</x:v>
      </x:c>
      <x:c r="G372" s="153" t="n">
        <x:v>48</x:v>
      </x:c>
      <x:c r="H372" s="154" t="n">
        <x:v>0.0058</x:v>
      </x:c>
      <x:c r="I372" s="158" t="n">
        <x:v>8343</x:v>
      </x:c>
      <x:c r="J372" s="158" t="n">
        <x:v>513664</x:v>
      </x:c>
      <x:c r="K372" s="158" t="n">
        <x:v>4285905768</x:v>
      </x:c>
      <x:c r="L372" s="158" t="n">
        <x:v>4341196</x:v>
      </x:c>
      <x:c r="M372" s="141" t="str">
        <x:v>https://www.sge.com.cn/sjzx/quotation_daily_new?start_date=2024-10-01&amp;end_date=2024-10-31&amp;inst_ids=Ag%28T%2BD%29&amp;p=</x:v>
      </x:c>
    </x:row>
    <x:row r="373">
      <x:c r="A373" s="155" t="n">
        <x:v>45588</x:v>
      </x:c>
      <x:c r="B373" s="141" t="str">
        <x:v>Au99.99</x:v>
      </x:c>
      <x:c r="C373" s="153" t="n">
        <x:v>625</x:v>
      </x:c>
      <x:c r="D373" s="153" t="n">
        <x:v>628.85</x:v>
      </x:c>
      <x:c r="E373" s="153" t="n">
        <x:v>625</x:v>
      </x:c>
      <x:c r="F373" s="153" t="n">
        <x:v>628.68</x:v>
      </x:c>
      <x:c r="G373" s="153" t="n">
        <x:v>3.68</x:v>
      </x:c>
      <x:c r="H373" s="154" t="n">
        <x:v>0.0059</x:v>
      </x:c>
      <x:c r="I373" s="158" t="n">
        <x:v>627.15</x:v>
      </x:c>
      <x:c r="J373" s="158" t="n">
        <x:v>13868.82</x:v>
      </x:c>
      <x:c r="K373" s="158" t="n">
        <x:v>8697954428.8</x:v>
      </x:c>
      <x:c r="L373" s="158"/>
      <x:c r="M373" s="141" t="str">
        <x:v>https://www.sge.com.cn/sjzx/quotation_daily_new?start_date=2024-10-01&amp;end_date=2024-10-31&amp;inst_ids=Au99.99&amp;p=</x:v>
      </x:c>
    </x:row>
    <x:row r="374">
      <x:c r="A374" s="155" t="n">
        <x:v>45589</x:v>
      </x:c>
      <x:c r="B374" s="141" t="str">
        <x:v>Ag(T+D)</x:v>
      </x:c>
      <x:c r="C374" s="153" t="n">
        <x:v>8320</x:v>
      </x:c>
      <x:c r="D374" s="153" t="n">
        <x:v>8325</x:v>
      </x:c>
      <x:c r="E374" s="153" t="n">
        <x:v>8071</x:v>
      </x:c>
      <x:c r="F374" s="153" t="n">
        <x:v>8232</x:v>
      </x:c>
      <x:c r="G374" s="153" t="n">
        <x:v>-111</x:v>
      </x:c>
      <x:c r="H374" s="154" t="n">
        <x:v>-0.013300000000000001</x:v>
      </x:c>
      <x:c r="I374" s="158" t="n">
        <x:v>8162</x:v>
      </x:c>
      <x:c r="J374" s="158" t="n">
        <x:v>758808</x:v>
      </x:c>
      <x:c r="K374" s="158" t="n">
        <x:v>6194067944</x:v>
      </x:c>
      <x:c r="L374" s="158" t="n">
        <x:v>4281048</x:v>
      </x:c>
      <x:c r="M374" s="141" t="str">
        <x:v>https://www.sge.com.cn/sjzx/quotation_daily_new?start_date=2024-10-01&amp;end_date=2024-10-31&amp;inst_ids=Ag%28T%2BD%29&amp;p=</x:v>
      </x:c>
    </x:row>
    <x:row r="375">
      <x:c r="A375" s="155" t="n">
        <x:v>45589</x:v>
      </x:c>
      <x:c r="B375" s="141" t="str">
        <x:v>Au99.99</x:v>
      </x:c>
      <x:c r="C375" s="153" t="n">
        <x:v>628.68</x:v>
      </x:c>
      <x:c r="D375" s="153" t="n">
        <x:v>628.68</x:v>
      </x:c>
      <x:c r="E375" s="153" t="n">
        <x:v>617</x:v>
      </x:c>
      <x:c r="F375" s="153" t="n">
        <x:v>623.03</x:v>
      </x:c>
      <x:c r="G375" s="153" t="n">
        <x:v>-5.65</x:v>
      </x:c>
      <x:c r="H375" s="154" t="n">
        <x:v>-0.009000000000000001</x:v>
      </x:c>
      <x:c r="I375" s="158" t="n">
        <x:v>621.45</x:v>
      </x:c>
      <x:c r="J375" s="158" t="n">
        <x:v>14568.82</x:v>
      </x:c>
      <x:c r="K375" s="158" t="n">
        <x:v>9053824864.4</x:v>
      </x:c>
      <x:c r="L375" s="158"/>
      <x:c r="M375" s="141" t="str">
        <x:v>https://www.sge.com.cn/sjzx/quotation_daily_new?start_date=2024-10-01&amp;end_date=2024-10-31&amp;inst_ids=Au99.99&amp;p=</x:v>
      </x:c>
    </x:row>
    <x:row r="376">
      <x:c r="A376" s="155" t="n">
        <x:v>45590</x:v>
      </x:c>
      <x:c r="B376" s="141" t="str">
        <x:v>Ag(T+D)</x:v>
      </x:c>
      <x:c r="C376" s="153" t="n">
        <x:v>8212</x:v>
      </x:c>
      <x:c r="D376" s="153" t="n">
        <x:v>8248</x:v>
      </x:c>
      <x:c r="E376" s="153" t="n">
        <x:v>8062</x:v>
      </x:c>
      <x:c r="F376" s="153" t="n">
        <x:v>8119</x:v>
      </x:c>
      <x:c r="G376" s="153" t="n">
        <x:v>-43</x:v>
      </x:c>
      <x:c r="H376" s="154" t="n">
        <x:v>-0.0053</x:v>
      </x:c>
      <x:c r="I376" s="158" t="n">
        <x:v>8123</x:v>
      </x:c>
      <x:c r="J376" s="158" t="n">
        <x:v>477806</x:v>
      </x:c>
      <x:c r="K376" s="158" t="n">
        <x:v>3881555838</x:v>
      </x:c>
      <x:c r="L376" s="158" t="n">
        <x:v>4312420</x:v>
      </x:c>
      <x:c r="M376" s="141" t="str">
        <x:v>https://www.sge.com.cn/sjzx/quotation_daily_new?start_date=2024-10-01&amp;end_date=2024-10-31&amp;inst_ids=Ag%28T%2BD%29&amp;p=</x:v>
      </x:c>
    </x:row>
    <x:row r="377">
      <x:c r="A377" s="155" t="n">
        <x:v>45590</x:v>
      </x:c>
      <x:c r="B377" s="141" t="str">
        <x:v>Au99.99</x:v>
      </x:c>
      <x:c r="C377" s="153" t="n">
        <x:v>623.5</x:v>
      </x:c>
      <x:c r="D377" s="153" t="n">
        <x:v>624.5</x:v>
      </x:c>
      <x:c r="E377" s="153" t="n">
        <x:v>620</x:v>
      </x:c>
      <x:c r="F377" s="153" t="n">
        <x:v>621.5</x:v>
      </x:c>
      <x:c r="G377" s="153" t="n">
        <x:v>-1.53</x:v>
      </x:c>
      <x:c r="H377" s="154" t="n">
        <x:v>-0.0025</x:v>
      </x:c>
      <x:c r="I377" s="158" t="n">
        <x:v>622.44</x:v>
      </x:c>
      <x:c r="J377" s="158" t="n">
        <x:v>14748.9</x:v>
      </x:c>
      <x:c r="K377" s="158" t="n">
        <x:v>9180402479</x:v>
      </x:c>
      <x:c r="L377" s="158"/>
      <x:c r="M377" s="141" t="str">
        <x:v>https://www.sge.com.cn/sjzx/quotation_daily_new?start_date=2024-10-01&amp;end_date=2024-10-31&amp;inst_ids=Au99.99&amp;p=</x:v>
      </x:c>
    </x:row>
    <x:row r="378">
      <x:c r="A378" s="155" t="n">
        <x:v>45593</x:v>
      </x:c>
      <x:c r="B378" s="141" t="str">
        <x:v>Ag(T+D)</x:v>
      </x:c>
      <x:c r="C378" s="153" t="n">
        <x:v>8072</x:v>
      </x:c>
      <x:c r="D378" s="153" t="n">
        <x:v>8218</x:v>
      </x:c>
      <x:c r="E378" s="153" t="n">
        <x:v>8066</x:v>
      </x:c>
      <x:c r="F378" s="153" t="n">
        <x:v>8192</x:v>
      </x:c>
      <x:c r="G378" s="153" t="n">
        <x:v>69</x:v>
      </x:c>
      <x:c r="H378" s="154" t="n">
        <x:v>0.0085</x:v>
      </x:c>
      <x:c r="I378" s="158" t="n">
        <x:v>8140</x:v>
      </x:c>
      <x:c r="J378" s="158" t="n">
        <x:v>468432</x:v>
      </x:c>
      <x:c r="K378" s="158" t="n">
        <x:v>3813411726</x:v>
      </x:c>
      <x:c r="L378" s="158" t="n">
        <x:v>4388270</x:v>
      </x:c>
      <x:c r="M378" s="141" t="str">
        <x:v>https://www.sge.com.cn/sjzx/quotation_daily_new?start_date=2024-10-01&amp;end_date=2024-10-31&amp;inst_ids=Ag%28T%2BD%29&amp;p=</x:v>
      </x:c>
    </x:row>
    <x:row r="379">
      <x:c r="A379" s="155" t="n">
        <x:v>45593</x:v>
      </x:c>
      <x:c r="B379" s="141" t="str">
        <x:v>Au99.99</x:v>
      </x:c>
      <x:c r="C379" s="153" t="n">
        <x:v>621</x:v>
      </x:c>
      <x:c r="D379" s="153" t="n">
        <x:v>626.24</x:v>
      </x:c>
      <x:c r="E379" s="153" t="n">
        <x:v>621</x:v>
      </x:c>
      <x:c r="F379" s="153" t="n">
        <x:v>624.65</x:v>
      </x:c>
      <x:c r="G379" s="153" t="n">
        <x:v>3.15</x:v>
      </x:c>
      <x:c r="H379" s="154" t="n">
        <x:v>0.0051</x:v>
      </x:c>
      <x:c r="I379" s="158" t="n">
        <x:v>624.52</x:v>
      </x:c>
      <x:c r="J379" s="158" t="n">
        <x:v>14392.94</x:v>
      </x:c>
      <x:c r="K379" s="158" t="n">
        <x:v>8988791448.2</x:v>
      </x:c>
      <x:c r="L379" s="158"/>
      <x:c r="M379" s="141" t="str">
        <x:v>https://www.sge.com.cn/sjzx/quotation_daily_new?start_date=2024-10-01&amp;end_date=2024-10-31&amp;inst_ids=Au99.99&amp;p=</x:v>
      </x:c>
    </x:row>
    <x:row r="380">
      <x:c r="A380" s="155" t="n">
        <x:v>45594</x:v>
      </x:c>
      <x:c r="B380" s="141" t="str">
        <x:v>Ag(T+D)</x:v>
      </x:c>
      <x:c r="C380" s="153" t="n">
        <x:v>8159</x:v>
      </x:c>
      <x:c r="D380" s="153" t="n">
        <x:v>8305</x:v>
      </x:c>
      <x:c r="E380" s="153" t="n">
        <x:v>8149</x:v>
      </x:c>
      <x:c r="F380" s="153" t="n">
        <x:v>8268</x:v>
      </x:c>
      <x:c r="G380" s="153" t="n">
        <x:v>128</x:v>
      </x:c>
      <x:c r="H380" s="154" t="n">
        <x:v>0.015700000000000002</x:v>
      </x:c>
      <x:c r="I380" s="158" t="n">
        <x:v>8241</x:v>
      </x:c>
      <x:c r="J380" s="158" t="n">
        <x:v>437406</x:v>
      </x:c>
      <x:c r="K380" s="158" t="n">
        <x:v>3604961218</x:v>
      </x:c>
      <x:c r="L380" s="158" t="n">
        <x:v>4452678</x:v>
      </x:c>
      <x:c r="M380" s="141" t="str">
        <x:v>https://www.sge.com.cn/sjzx/quotation_daily_new?start_date=2024-10-01&amp;end_date=2024-10-31&amp;inst_ids=Ag%28T%2BD%29&amp;p=</x:v>
      </x:c>
    </x:row>
    <x:row r="381">
      <x:c r="A381" s="155" t="n">
        <x:v>45594</x:v>
      </x:c>
      <x:c r="B381" s="141" t="str">
        <x:v>Au99.99</x:v>
      </x:c>
      <x:c r="C381" s="153" t="n">
        <x:v>624.5</x:v>
      </x:c>
      <x:c r="D381" s="153" t="n">
        <x:v>630</x:v>
      </x:c>
      <x:c r="E381" s="153" t="n">
        <x:v>623.5</x:v>
      </x:c>
      <x:c r="F381" s="153" t="n">
        <x:v>629.5</x:v>
      </x:c>
      <x:c r="G381" s="153" t="n">
        <x:v>4.85</x:v>
      </x:c>
      <x:c r="H381" s="154" t="n">
        <x:v>0.0078000000000000005</x:v>
      </x:c>
      <x:c r="I381" s="158" t="n">
        <x:v>628.94</x:v>
      </x:c>
      <x:c r="J381" s="158" t="n">
        <x:v>12083.14</x:v>
      </x:c>
      <x:c r="K381" s="158" t="n">
        <x:v>7599684138</x:v>
      </x:c>
      <x:c r="L381" s="158"/>
      <x:c r="M381" s="141" t="str">
        <x:v>https://www.sge.com.cn/sjzx/quotation_daily_new?start_date=2024-10-01&amp;end_date=2024-10-31&amp;inst_ids=Au99.99&amp;p=</x:v>
      </x:c>
    </x:row>
    <x:row r="382">
      <x:c r="A382" s="155" t="n">
        <x:v>45595</x:v>
      </x:c>
      <x:c r="B382" s="141" t="str">
        <x:v>Ag(T+D)</x:v>
      </x:c>
      <x:c r="C382" s="153" t="n">
        <x:v>8293</x:v>
      </x:c>
      <x:c r="D382" s="153" t="n">
        <x:v>8348</x:v>
      </x:c>
      <x:c r="E382" s="153" t="n">
        <x:v>8235</x:v>
      </x:c>
      <x:c r="F382" s="153" t="n">
        <x:v>8302</x:v>
      </x:c>
      <x:c r="G382" s="153" t="n">
        <x:v>61</x:v>
      </x:c>
      <x:c r="H382" s="154" t="n">
        <x:v>0.0074</x:v>
      </x:c>
      <x:c r="I382" s="158" t="n">
        <x:v>8298</x:v>
      </x:c>
      <x:c r="J382" s="158" t="n">
        <x:v>422128</x:v>
      </x:c>
      <x:c r="K382" s="158" t="n">
        <x:v>3503156088</x:v>
      </x:c>
      <x:c r="L382" s="158" t="n">
        <x:v>4498278</x:v>
      </x:c>
      <x:c r="M382" s="141" t="str">
        <x:v>https://www.sge.com.cn/sjzx/quotation_daily_new?start_date=2024-10-01&amp;end_date=2024-10-31&amp;inst_ids=Ag%28T%2BD%29&amp;p=</x:v>
      </x:c>
    </x:row>
    <x:row r="383">
      <x:c r="A383" s="155" t="n">
        <x:v>45595</x:v>
      </x:c>
      <x:c r="B383" s="141" t="str">
        <x:v>Au99.99</x:v>
      </x:c>
      <x:c r="C383" s="153" t="n">
        <x:v>629</x:v>
      </x:c>
      <x:c r="D383" s="153" t="n">
        <x:v>637.49</x:v>
      </x:c>
      <x:c r="E383" s="153" t="n">
        <x:v>628.61</x:v>
      </x:c>
      <x:c r="F383" s="153" t="n">
        <x:v>636.75</x:v>
      </x:c>
      <x:c r="G383" s="153" t="n">
        <x:v>7.25</x:v>
      </x:c>
      <x:c r="H383" s="154" t="n">
        <x:v>0.0115</x:v>
      </x:c>
      <x:c r="I383" s="158" t="n">
        <x:v>635.86</x:v>
      </x:c>
      <x:c r="J383" s="158" t="n">
        <x:v>10672.54</x:v>
      </x:c>
      <x:c r="K383" s="158" t="n">
        <x:v>6786331472</x:v>
      </x:c>
      <x:c r="L383" s="158"/>
      <x:c r="M383" s="141" t="str">
        <x:v>https://www.sge.com.cn/sjzx/quotation_daily_new?start_date=2024-10-01&amp;end_date=2024-10-31&amp;inst_ids=Au99.99&amp;p=</x:v>
      </x:c>
    </x:row>
    <x:row r="384">
      <x:c r="A384" s="155" t="n">
        <x:v>45596</x:v>
      </x:c>
      <x:c r="B384" s="141" t="str">
        <x:v>Ag(T+D)</x:v>
      </x:c>
      <x:c r="C384" s="153" t="n">
        <x:v>8250</x:v>
      </x:c>
      <x:c r="D384" s="153" t="n">
        <x:v>8280</x:v>
      </x:c>
      <x:c r="E384" s="153" t="n">
        <x:v>8099</x:v>
      </x:c>
      <x:c r="F384" s="153" t="n">
        <x:v>8127</x:v>
      </x:c>
      <x:c r="G384" s="153" t="n">
        <x:v>-171</x:v>
      </x:c>
      <x:c r="H384" s="154" t="n">
        <x:v>-0.0206</x:v>
      </x:c>
      <x:c r="I384" s="158" t="n">
        <x:v>8163</x:v>
      </x:c>
      <x:c r="J384" s="158" t="n">
        <x:v>404574</x:v>
      </x:c>
      <x:c r="K384" s="158" t="n">
        <x:v>3302689918</x:v>
      </x:c>
      <x:c r="L384" s="158" t="n">
        <x:v>4513290</x:v>
      </x:c>
      <x:c r="M384" s="141" t="str">
        <x:v>https://www.sge.com.cn/sjzx/quotation_daily_new?start_date=2024-10-01&amp;end_date=2024-10-31&amp;inst_ids=Ag%28T%2BD%29&amp;p=</x:v>
      </x:c>
    </x:row>
    <x:row r="385">
      <x:c r="A385" s="155" t="n">
        <x:v>45596</x:v>
      </x:c>
      <x:c r="B385" s="141" t="str">
        <x:v>Au99.99</x:v>
      </x:c>
      <x:c r="C385" s="153" t="n">
        <x:v>635.01</x:v>
      </x:c>
      <x:c r="D385" s="153" t="n">
        <x:v>655</x:v>
      </x:c>
      <x:c r="E385" s="153" t="n">
        <x:v>633.51</x:v>
      </x:c>
      <x:c r="F385" s="153" t="n">
        <x:v>634</x:v>
      </x:c>
      <x:c r="G385" s="153" t="n">
        <x:v>-2.75</x:v>
      </x:c>
      <x:c r="H385" s="154" t="n">
        <x:v>-0.0043</x:v>
      </x:c>
      <x:c r="I385" s="158" t="n">
        <x:v>635.47</x:v>
      </x:c>
      <x:c r="J385" s="158" t="n">
        <x:v>9663.06</x:v>
      </x:c>
      <x:c r="K385" s="158" t="n">
        <x:v>6140645043</x:v>
      </x:c>
      <x:c r="L385" s="158"/>
      <x:c r="M385" s="141" t="str">
        <x:v>https://www.sge.com.cn/sjzx/quotation_daily_new?start_date=2024-10-01&amp;end_date=2024-10-31&amp;inst_ids=Au99.99&amp;p=</x:v>
      </x:c>
    </x:row>
    <x:row r="386">
      <x:c r="A386" s="155" t="n">
        <x:v>45600</x:v>
      </x:c>
      <x:c r="B386" s="141" t="str">
        <x:v>Ag(T+D)</x:v>
      </x:c>
      <x:c r="C386" s="153" t="n">
        <x:v>7962</x:v>
      </x:c>
      <x:c r="D386" s="153" t="n">
        <x:v>8050</x:v>
      </x:c>
      <x:c r="E386" s="153" t="n">
        <x:v>7888</x:v>
      </x:c>
      <x:c r="F386" s="153" t="n">
        <x:v>7958</x:v>
      </x:c>
      <x:c r="G386" s="153" t="n">
        <x:v>-20</x:v>
      </x:c>
      <x:c r="H386" s="154" t="n">
        <x:v>-0.0025</x:v>
      </x:c>
      <x:c r="I386" s="158" t="n">
        <x:v>7955</x:v>
      </x:c>
      <x:c r="J386" s="158" t="n">
        <x:v>449246</x:v>
      </x:c>
      <x:c r="K386" s="158" t="n">
        <x:v>3574098296</x:v>
      </x:c>
      <x:c r="L386" s="158" t="n">
        <x:v>4510182</x:v>
      </x:c>
      <x:c r="M386" s="141" t="str">
        <x:v>https://www.sge.com.cn/sjzx/quotation_daily_new?start_date=2024-11-01&amp;end_date=2024-11-30&amp;inst_ids=Ag%28T%2BD%29&amp;p=</x:v>
      </x:c>
    </x:row>
    <x:row r="387">
      <x:c r="A387" s="155" t="n">
        <x:v>45600</x:v>
      </x:c>
      <x:c r="B387" s="141" t="str">
        <x:v>Au99.99</x:v>
      </x:c>
      <x:c r="C387" s="153" t="n">
        <x:v>628</x:v>
      </x:c>
      <x:c r="D387" s="153" t="n">
        <x:v>630</x:v>
      </x:c>
      <x:c r="E387" s="153" t="n">
        <x:v>621.55</x:v>
      </x:c>
      <x:c r="F387" s="153" t="n">
        <x:v>623.48</x:v>
      </x:c>
      <x:c r="G387" s="153" t="n">
        <x:v>-4.19</x:v>
      </x:c>
      <x:c r="H387" s="154" t="n">
        <x:v>-0.0067</x:v>
      </x:c>
      <x:c r="I387" s="158" t="n">
        <x:v>623.77</x:v>
      </x:c>
      <x:c r="J387" s="158" t="n">
        <x:v>13076.06</x:v>
      </x:c>
      <x:c r="K387" s="158" t="n">
        <x:v>8156546723.2</x:v>
      </x:c>
      <x:c r="L387" s="158"/>
      <x:c r="M387" s="141" t="str">
        <x:v>https://www.sge.com.cn/sjzx/quotation_daily_new?start_date=2024-11-01&amp;end_date=2024-11-30&amp;inst_ids=Au99.99&amp;p=</x:v>
      </x:c>
    </x:row>
    <x:row r="388">
      <x:c r="A388" s="155" t="n">
        <x:v>45601</x:v>
      </x:c>
      <x:c r="B388" s="141" t="str">
        <x:v>Ag(T+D)</x:v>
      </x:c>
      <x:c r="C388" s="153" t="n">
        <x:v>7971</x:v>
      </x:c>
      <x:c r="D388" s="153" t="n">
        <x:v>8000</x:v>
      </x:c>
      <x:c r="E388" s="153" t="n">
        <x:v>7906</x:v>
      </x:c>
      <x:c r="F388" s="153" t="n">
        <x:v>7974</x:v>
      </x:c>
      <x:c r="G388" s="153" t="n">
        <x:v>19</x:v>
      </x:c>
      <x:c r="H388" s="154" t="n">
        <x:v>0.0024</x:v>
      </x:c>
      <x:c r="I388" s="158" t="n">
        <x:v>7951</x:v>
      </x:c>
      <x:c r="J388" s="158" t="n">
        <x:v>308274</x:v>
      </x:c>
      <x:c r="K388" s="158" t="n">
        <x:v>2451366760</x:v>
      </x:c>
      <x:c r="L388" s="158" t="n">
        <x:v>4538772</x:v>
      </x:c>
      <x:c r="M388" s="141" t="str">
        <x:v>https://www.sge.com.cn/sjzx/quotation_daily_new?start_date=2024-11-01&amp;end_date=2024-11-30&amp;inst_ids=Ag%28T%2BD%29&amp;p=</x:v>
      </x:c>
    </x:row>
    <x:row r="389">
      <x:c r="A389" s="155" t="n">
        <x:v>45601</x:v>
      </x:c>
      <x:c r="B389" s="141" t="str">
        <x:v>Au99.99</x:v>
      </x:c>
      <x:c r="C389" s="153" t="n">
        <x:v>623.48</x:v>
      </x:c>
      <x:c r="D389" s="153" t="n">
        <x:v>625</x:v>
      </x:c>
      <x:c r="E389" s="153" t="n">
        <x:v>620</x:v>
      </x:c>
      <x:c r="F389" s="153" t="n">
        <x:v>623.78</x:v>
      </x:c>
      <x:c r="G389" s="153" t="n">
        <x:v>0.3</x:v>
      </x:c>
      <x:c r="H389" s="154" t="n">
        <x:v>0.0005</x:v>
      </x:c>
      <x:c r="I389" s="158" t="n">
        <x:v>622.11</x:v>
      </x:c>
      <x:c r="J389" s="158" t="n">
        <x:v>10685</x:v>
      </x:c>
      <x:c r="K389" s="158" t="n">
        <x:v>6647304333.4</x:v>
      </x:c>
      <x:c r="L389" s="158"/>
      <x:c r="M389" s="141" t="str">
        <x:v>https://www.sge.com.cn/sjzx/quotation_daily_new?start_date=2024-11-01&amp;end_date=2024-11-30&amp;inst_ids=Au99.99&amp;p=</x:v>
      </x:c>
    </x:row>
    <x:row r="390">
      <x:c r="A390" s="155" t="n">
        <x:v>45602</x:v>
      </x:c>
      <x:c r="B390" s="141" t="str">
        <x:v>Ag(T+D)</x:v>
      </x:c>
      <x:c r="C390" s="153" t="n">
        <x:v>7990</x:v>
      </x:c>
      <x:c r="D390" s="153" t="n">
        <x:v>8057</x:v>
      </x:c>
      <x:c r="E390" s="153" t="n">
        <x:v>7722</x:v>
      </x:c>
      <x:c r="F390" s="153" t="n">
        <x:v>7856</x:v>
      </x:c>
      <x:c r="G390" s="153" t="n">
        <x:v>-95</x:v>
      </x:c>
      <x:c r="H390" s="154" t="n">
        <x:v>-0.011899999999999999</x:v>
      </x:c>
      <x:c r="I390" s="158" t="n">
        <x:v>7941</x:v>
      </x:c>
      <x:c r="J390" s="158" t="n">
        <x:v>541440</x:v>
      </x:c>
      <x:c r="K390" s="158" t="n">
        <x:v>4299583462</x:v>
      </x:c>
      <x:c r="L390" s="158" t="n">
        <x:v>4558970</x:v>
      </x:c>
      <x:c r="M390" s="141" t="str">
        <x:v>https://www.sge.com.cn/sjzx/quotation_daily_new?start_date=2024-11-01&amp;end_date=2024-11-30&amp;inst_ids=Ag%28T%2BD%29&amp;p=</x:v>
      </x:c>
    </x:row>
    <x:row r="391">
      <x:c r="A391" s="155" t="n">
        <x:v>45602</x:v>
      </x:c>
      <x:c r="B391" s="141" t="str">
        <x:v>Au99.99</x:v>
      </x:c>
      <x:c r="C391" s="153" t="n">
        <x:v>623.5</x:v>
      </x:c>
      <x:c r="D391" s="153" t="n">
        <x:v>629.78</x:v>
      </x:c>
      <x:c r="E391" s="153" t="n">
        <x:v>621</x:v>
      </x:c>
      <x:c r="F391" s="153" t="n">
        <x:v>624.69</x:v>
      </x:c>
      <x:c r="G391" s="153" t="n">
        <x:v>0.91</x:v>
      </x:c>
      <x:c r="H391" s="154" t="n">
        <x:v>0.0015</x:v>
      </x:c>
      <x:c r="I391" s="158" t="n">
        <x:v>626.5</x:v>
      </x:c>
      <x:c r="J391" s="158" t="n">
        <x:v>8799.34</x:v>
      </x:c>
      <x:c r="K391" s="158" t="n">
        <x:v>5512863065.4</x:v>
      </x:c>
      <x:c r="L391" s="158"/>
      <x:c r="M391" s="141" t="str">
        <x:v>https://www.sge.com.cn/sjzx/quotation_daily_new?start_date=2024-11-01&amp;end_date=2024-11-30&amp;inst_ids=Au99.99&amp;p=</x:v>
      </x:c>
    </x:row>
    <x:row r="392">
      <x:c r="A392" s="155" t="n">
        <x:v>45603</x:v>
      </x:c>
      <x:c r="B392" s="141" t="str">
        <x:v>Ag(T+D)</x:v>
      </x:c>
      <x:c r="C392" s="153" t="n">
        <x:v>7815</x:v>
      </x:c>
      <x:c r="D392" s="153" t="n">
        <x:v>7821</x:v>
      </x:c>
      <x:c r="E392" s="153" t="n">
        <x:v>7610</x:v>
      </x:c>
      <x:c r="F392" s="153" t="n">
        <x:v>7685</x:v>
      </x:c>
      <x:c r="G392" s="153" t="n">
        <x:v>-256</x:v>
      </x:c>
      <x:c r="H392" s="154" t="n">
        <x:v>-0.0322</x:v>
      </x:c>
      <x:c r="I392" s="158" t="n">
        <x:v>7683</x:v>
      </x:c>
      <x:c r="J392" s="158" t="n">
        <x:v>534382</x:v>
      </x:c>
      <x:c r="K392" s="158" t="n">
        <x:v>4106134340</x:v>
      </x:c>
      <x:c r="L392" s="158" t="n">
        <x:v>4653320</x:v>
      </x:c>
      <x:c r="M392" s="141" t="str">
        <x:v>https://www.sge.com.cn/sjzx/quotation_daily_new?start_date=2024-11-01&amp;end_date=2024-11-30&amp;inst_ids=Ag%28T%2BD%29&amp;p=</x:v>
      </x:c>
    </x:row>
    <x:row r="393">
      <x:c r="A393" s="155" t="n">
        <x:v>45603</x:v>
      </x:c>
      <x:c r="B393" s="141" t="str">
        <x:v>Au99.99</x:v>
      </x:c>
      <x:c r="C393" s="153" t="n">
        <x:v>622.7</x:v>
      </x:c>
      <x:c r="D393" s="153" t="n">
        <x:v>622.7</x:v>
      </x:c>
      <x:c r="E393" s="153" t="n">
        <x:v>608</x:v>
      </x:c>
      <x:c r="F393" s="153" t="n">
        <x:v>610.01</x:v>
      </x:c>
      <x:c r="G393" s="153" t="n">
        <x:v>-14.68</x:v>
      </x:c>
      <x:c r="H393" s="154" t="n">
        <x:v>-0.0235</x:v>
      </x:c>
      <x:c r="I393" s="158" t="n">
        <x:v>610.65</x:v>
      </x:c>
      <x:c r="J393" s="158" t="n">
        <x:v>10035.04</x:v>
      </x:c>
      <x:c r="K393" s="158" t="n">
        <x:v>6127971558</x:v>
      </x:c>
      <x:c r="L393" s="158"/>
      <x:c r="M393" s="141" t="str">
        <x:v>https://www.sge.com.cn/sjzx/quotation_daily_new?start_date=2024-11-01&amp;end_date=2024-11-30&amp;inst_ids=Au99.99&amp;p=</x:v>
      </x:c>
    </x:row>
    <x:row r="394">
      <x:c r="A394" s="155" t="n">
        <x:v>45604</x:v>
      </x:c>
      <x:c r="B394" s="141" t="str">
        <x:v>Ag(T+D)</x:v>
      </x:c>
      <x:c r="C394" s="153" t="n">
        <x:v>7680</x:v>
      </x:c>
      <x:c r="D394" s="153" t="n">
        <x:v>7833</x:v>
      </x:c>
      <x:c r="E394" s="153" t="n">
        <x:v>7670</x:v>
      </x:c>
      <x:c r="F394" s="153" t="n">
        <x:v>7732</x:v>
      </x:c>
      <x:c r="G394" s="153" t="n">
        <x:v>49</x:v>
      </x:c>
      <x:c r="H394" s="154" t="n">
        <x:v>0.0064</x:v>
      </x:c>
      <x:c r="I394" s="158" t="n">
        <x:v>7777</x:v>
      </x:c>
      <x:c r="J394" s="158" t="n">
        <x:v>414860</x:v>
      </x:c>
      <x:c r="K394" s="158" t="n">
        <x:v>3226539826</x:v>
      </x:c>
      <x:c r="L394" s="158" t="n">
        <x:v>4604628</x:v>
      </x:c>
      <x:c r="M394" s="141" t="str">
        <x:v>https://www.sge.com.cn/sjzx/quotation_daily_new?start_date=2024-11-01&amp;end_date=2024-11-30&amp;inst_ids=Ag%28T%2BD%29&amp;p=</x:v>
      </x:c>
    </x:row>
    <x:row r="395">
      <x:c r="A395" s="155" t="n">
        <x:v>45604</x:v>
      </x:c>
      <x:c r="B395" s="141" t="str">
        <x:v>Au99.99</x:v>
      </x:c>
      <x:c r="C395" s="153" t="n">
        <x:v>610</x:v>
      </x:c>
      <x:c r="D395" s="153" t="n">
        <x:v>617.38</x:v>
      </x:c>
      <x:c r="E395" s="153" t="n">
        <x:v>610</x:v>
      </x:c>
      <x:c r="F395" s="153" t="n">
        <x:v>612.85</x:v>
      </x:c>
      <x:c r="G395" s="153" t="n">
        <x:v>2.84</x:v>
      </x:c>
      <x:c r="H395" s="154" t="n">
        <x:v>0.004699999999999999</x:v>
      </x:c>
      <x:c r="I395" s="158" t="n">
        <x:v>615.05</x:v>
      </x:c>
      <x:c r="J395" s="158" t="n">
        <x:v>12188</x:v>
      </x:c>
      <x:c r="K395" s="158" t="n">
        <x:v>7496289366</x:v>
      </x:c>
      <x:c r="L395" s="158"/>
      <x:c r="M395" s="141" t="str">
        <x:v>https://www.sge.com.cn/sjzx/quotation_daily_new?start_date=2024-11-01&amp;end_date=2024-11-30&amp;inst_ids=Au99.99&amp;p=</x:v>
      </x:c>
    </x:row>
    <x:row r="396">
      <x:c r="A396" s="155" t="n">
        <x:v>45607</x:v>
      </x:c>
      <x:c r="B396" s="141" t="str">
        <x:v>Ag(T+D)</x:v>
      </x:c>
      <x:c r="C396" s="153" t="n">
        <x:v>7749</x:v>
      </x:c>
      <x:c r="D396" s="153" t="n">
        <x:v>7868</x:v>
      </x:c>
      <x:c r="E396" s="153" t="n">
        <x:v>7730</x:v>
      </x:c>
      <x:c r="F396" s="153" t="n">
        <x:v>7769</x:v>
      </x:c>
      <x:c r="G396" s="153" t="n">
        <x:v>-8</x:v>
      </x:c>
      <x:c r="H396" s="154" t="n">
        <x:v>-0.001</x:v>
      </x:c>
      <x:c r="I396" s="158" t="n">
        <x:v>7777</x:v>
      </x:c>
      <x:c r="J396" s="158" t="n">
        <x:v>421024</x:v>
      </x:c>
      <x:c r="K396" s="158" t="n">
        <x:v>3274660304</x:v>
      </x:c>
      <x:c r="L396" s="158" t="n">
        <x:v>4684658</x:v>
      </x:c>
      <x:c r="M396" s="141" t="str">
        <x:v>https://www.sge.com.cn/sjzx/quotation_daily_new?start_date=2024-11-01&amp;end_date=2024-11-30&amp;inst_ids=Ag%28T%2BD%29&amp;p=</x:v>
      </x:c>
    </x:row>
    <x:row r="397">
      <x:c r="A397" s="155" t="n">
        <x:v>45607</x:v>
      </x:c>
      <x:c r="B397" s="141" t="str">
        <x:v>Au99.99</x:v>
      </x:c>
      <x:c r="C397" s="153" t="n">
        <x:v>615</x:v>
      </x:c>
      <x:c r="D397" s="153" t="n">
        <x:v>619</x:v>
      </x:c>
      <x:c r="E397" s="153" t="n">
        <x:v>612.31</x:v>
      </x:c>
      <x:c r="F397" s="153" t="n">
        <x:v>613.3</x:v>
      </x:c>
      <x:c r="G397" s="153" t="n">
        <x:v>0.45</x:v>
      </x:c>
      <x:c r="H397" s="154" t="n">
        <x:v>0.0007000000000000001</x:v>
      </x:c>
      <x:c r="I397" s="158" t="n">
        <x:v>613.61</x:v>
      </x:c>
      <x:c r="J397" s="158" t="n">
        <x:v>9477.2</x:v>
      </x:c>
      <x:c r="K397" s="158" t="n">
        <x:v>5815320326.6</x:v>
      </x:c>
      <x:c r="L397" s="158"/>
      <x:c r="M397" s="141" t="str">
        <x:v>https://www.sge.com.cn/sjzx/quotation_daily_new?start_date=2024-11-01&amp;end_date=2024-11-30&amp;inst_ids=Au99.99&amp;p=</x:v>
      </x:c>
    </x:row>
    <x:row r="398">
      <x:c r="A398" s="155" t="n">
        <x:v>45608</x:v>
      </x:c>
      <x:c r="B398" s="141" t="str">
        <x:v>Ag(T+D)</x:v>
      </x:c>
      <x:c r="C398" s="153" t="n">
        <x:v>7773</x:v>
      </x:c>
      <x:c r="D398" s="153" t="n">
        <x:v>7787</x:v>
      </x:c>
      <x:c r="E398" s="153" t="n">
        <x:v>7533</x:v>
      </x:c>
      <x:c r="F398" s="153" t="n">
        <x:v>7559</x:v>
      </x:c>
      <x:c r="G398" s="153" t="n">
        <x:v>-218</x:v>
      </x:c>
      <x:c r="H398" s="154" t="n">
        <x:v>-0.027999999999999997</x:v>
      </x:c>
      <x:c r="I398" s="158" t="n">
        <x:v>7635</x:v>
      </x:c>
      <x:c r="J398" s="158" t="n">
        <x:v>493070</x:v>
      </x:c>
      <x:c r="K398" s="158" t="n">
        <x:v>3764675018</x:v>
      </x:c>
      <x:c r="L398" s="158" t="n">
        <x:v>4692546</x:v>
      </x:c>
      <x:c r="M398" s="141" t="str">
        <x:v>https://www.sge.com.cn/sjzx/quotation_daily_new?start_date=2024-11-01&amp;end_date=2024-11-30&amp;inst_ids=Ag%28T%2BD%29&amp;p=</x:v>
      </x:c>
    </x:row>
    <x:row r="399">
      <x:c r="A399" s="155" t="n">
        <x:v>45608</x:v>
      </x:c>
      <x:c r="B399" s="141" t="str">
        <x:v>Au99.99</x:v>
      </x:c>
      <x:c r="C399" s="153" t="n">
        <x:v>612.1</x:v>
      </x:c>
      <x:c r="D399" s="153" t="n">
        <x:v>612.1</x:v>
      </x:c>
      <x:c r="E399" s="153" t="n">
        <x:v>602.4</x:v>
      </x:c>
      <x:c r="F399" s="153" t="n">
        <x:v>602.81</x:v>
      </x:c>
      <x:c r="G399" s="153" t="n">
        <x:v>-10.49</x:v>
      </x:c>
      <x:c r="H399" s="154" t="n">
        <x:v>-0.0171</x:v>
      </x:c>
      <x:c r="I399" s="158" t="n">
        <x:v>605.31</x:v>
      </x:c>
      <x:c r="J399" s="158" t="n">
        <x:v>10360.04</x:v>
      </x:c>
      <x:c r="K399" s="158" t="n">
        <x:v>6271041592.6</x:v>
      </x:c>
      <x:c r="L399" s="158"/>
      <x:c r="M399" s="141" t="str">
        <x:v>https://www.sge.com.cn/sjzx/quotation_daily_new?start_date=2024-11-01&amp;end_date=2024-11-30&amp;inst_ids=Au99.99&amp;p=</x:v>
      </x:c>
    </x:row>
    <x:row r="400">
      <x:c r="A400" s="155" t="n">
        <x:v>45609</x:v>
      </x:c>
      <x:c r="B400" s="141" t="str">
        <x:v>Ag(T+D)</x:v>
      </x:c>
      <x:c r="C400" s="153" t="n">
        <x:v>7566</x:v>
      </x:c>
      <x:c r="D400" s="153" t="n">
        <x:v>7698</x:v>
      </x:c>
      <x:c r="E400" s="153" t="n">
        <x:v>7566</x:v>
      </x:c>
      <x:c r="F400" s="153" t="n">
        <x:v>7660</x:v>
      </x:c>
      <x:c r="G400" s="153" t="n">
        <x:v>25</x:v>
      </x:c>
      <x:c r="H400" s="154" t="n">
        <x:v>0.0033</x:v>
      </x:c>
      <x:c r="I400" s="158" t="n">
        <x:v>7655</x:v>
      </x:c>
      <x:c r="J400" s="158" t="n">
        <x:v>423318</x:v>
      </x:c>
      <x:c r="K400" s="158" t="n">
        <x:v>3240670508</x:v>
      </x:c>
      <x:c r="L400" s="158" t="n">
        <x:v>4776664</x:v>
      </x:c>
      <x:c r="M400" s="141" t="str">
        <x:v>https://www.sge.com.cn/sjzx/quotation_daily_new?start_date=2024-11-01&amp;end_date=2024-11-30&amp;inst_ids=Ag%28T%2BD%29&amp;p=</x:v>
      </x:c>
    </x:row>
    <x:row r="401">
      <x:c r="A401" s="155" t="n">
        <x:v>45609</x:v>
      </x:c>
      <x:c r="B401" s="141" t="str">
        <x:v>Au99.99</x:v>
      </x:c>
      <x:c r="C401" s="153" t="n">
        <x:v>601.7</x:v>
      </x:c>
      <x:c r="D401" s="153" t="n">
        <x:v>604.98</x:v>
      </x:c>
      <x:c r="E401" s="153" t="n">
        <x:v>601.6</x:v>
      </x:c>
      <x:c r="F401" s="153" t="n">
        <x:v>603.09</x:v>
      </x:c>
      <x:c r="G401" s="153" t="n">
        <x:v>0.28</x:v>
      </x:c>
      <x:c r="H401" s="154" t="n">
        <x:v>0.0005</x:v>
      </x:c>
      <x:c r="I401" s="158" t="n">
        <x:v>603.24</x:v>
      </x:c>
      <x:c r="J401" s="158" t="n">
        <x:v>8548.94</x:v>
      </x:c>
      <x:c r="K401" s="158" t="n">
        <x:v>5157139734.4</x:v>
      </x:c>
      <x:c r="L401" s="158"/>
      <x:c r="M401" s="141" t="str">
        <x:v>https://www.sge.com.cn/sjzx/quotation_daily_new?start_date=2024-11-01&amp;end_date=2024-11-30&amp;inst_ids=Au99.99&amp;p=</x:v>
      </x:c>
    </x:row>
    <x:row r="402">
      <x:c r="A402" s="155" t="n">
        <x:v>45610</x:v>
      </x:c>
      <x:c r="B402" s="141" t="str">
        <x:v>Ag(T+D)</x:v>
      </x:c>
      <x:c r="C402" s="153" t="n">
        <x:v>7669</x:v>
      </x:c>
      <x:c r="D402" s="153" t="n">
        <x:v>7718</x:v>
      </x:c>
      <x:c r="E402" s="153" t="n">
        <x:v>7420</x:v>
      </x:c>
      <x:c r="F402" s="153" t="n">
        <x:v>7433</x:v>
      </x:c>
      <x:c r="G402" s="153" t="n">
        <x:v>-222</x:v>
      </x:c>
      <x:c r="H402" s="154" t="n">
        <x:v>-0.028999999999999998</x:v>
      </x:c>
      <x:c r="I402" s="158" t="n">
        <x:v>7550</x:v>
      </x:c>
      <x:c r="J402" s="158" t="n">
        <x:v>402110</x:v>
      </x:c>
      <x:c r="K402" s="158" t="n">
        <x:v>3036213644</x:v>
      </x:c>
      <x:c r="L402" s="158" t="n">
        <x:v>4826332</x:v>
      </x:c>
      <x:c r="M402" s="141" t="str">
        <x:v>https://www.sge.com.cn/sjzx/quotation_daily_new?start_date=2024-11-01&amp;end_date=2024-11-30&amp;inst_ids=Ag%28T%2BD%29&amp;p=</x:v>
      </x:c>
    </x:row>
    <x:row r="403">
      <x:c r="A403" s="155" t="n">
        <x:v>45610</x:v>
      </x:c>
      <x:c r="B403" s="141" t="str">
        <x:v>Au99.99</x:v>
      </x:c>
      <x:c r="C403" s="153" t="n">
        <x:v>603.24</x:v>
      </x:c>
      <x:c r="D403" s="153" t="n">
        <x:v>604.55</x:v>
      </x:c>
      <x:c r="E403" s="153" t="n">
        <x:v>589</x:v>
      </x:c>
      <x:c r="F403" s="153" t="n">
        <x:v>591.12</x:v>
      </x:c>
      <x:c r="G403" s="153" t="n">
        <x:v>-11.97</x:v>
      </x:c>
      <x:c r="H403" s="154" t="n">
        <x:v>-0.019799999999999998</x:v>
      </x:c>
      <x:c r="I403" s="158" t="n">
        <x:v>593.36</x:v>
      </x:c>
      <x:c r="J403" s="158" t="n">
        <x:v>11199.98</x:v>
      </x:c>
      <x:c r="K403" s="158" t="n">
        <x:v>6645707083</x:v>
      </x:c>
      <x:c r="L403" s="158"/>
      <x:c r="M403" s="141" t="str">
        <x:v>https://www.sge.com.cn/sjzx/quotation_daily_new?start_date=2024-11-01&amp;end_date=2024-11-30&amp;inst_ids=Au99.99&amp;p=</x:v>
      </x:c>
    </x:row>
    <x:row r="404">
      <x:c r="A404" s="155" t="n">
        <x:v>45611</x:v>
      </x:c>
      <x:c r="B404" s="141" t="str">
        <x:v>Ag(T+D)</x:v>
      </x:c>
      <x:c r="C404" s="153" t="n">
        <x:v>7460</x:v>
      </x:c>
      <x:c r="D404" s="153" t="n">
        <x:v>7603</x:v>
      </x:c>
      <x:c r="E404" s="153" t="n">
        <x:v>7446</x:v>
      </x:c>
      <x:c r="F404" s="153" t="n">
        <x:v>7550</x:v>
      </x:c>
      <x:c r="G404" s="153" t="n">
        <x:v>0</x:v>
      </x:c>
      <x:c r="H404" s="154" t="n">
        <x:v>0</x:v>
      </x:c>
      <x:c r="I404" s="158" t="n">
        <x:v>7557</x:v>
      </x:c>
      <x:c r="J404" s="158" t="n">
        <x:v>522854</x:v>
      </x:c>
      <x:c r="K404" s="158" t="n">
        <x:v>3951431432</x:v>
      </x:c>
      <x:c r="L404" s="158" t="n">
        <x:v>4848038</x:v>
      </x:c>
      <x:c r="M404" s="141" t="str">
        <x:v>https://www.sge.com.cn/sjzx/quotation_daily_new?start_date=2024-11-01&amp;end_date=2024-11-30&amp;inst_ids=Ag%28T%2BD%29&amp;p=</x:v>
      </x:c>
    </x:row>
    <x:row r="405">
      <x:c r="A405" s="155" t="n">
        <x:v>45611</x:v>
      </x:c>
      <x:c r="B405" s="141" t="str">
        <x:v>Au99.99</x:v>
      </x:c>
      <x:c r="C405" s="153" t="n">
        <x:v>591</x:v>
      </x:c>
      <x:c r="D405" s="153" t="n">
        <x:v>595.3</x:v>
      </x:c>
      <x:c r="E405" s="153" t="n">
        <x:v>590</x:v>
      </x:c>
      <x:c r="F405" s="153" t="n">
        <x:v>591.97</x:v>
      </x:c>
      <x:c r="G405" s="153" t="n">
        <x:v>0.85</x:v>
      </x:c>
      <x:c r="H405" s="154" t="n">
        <x:v>0.0014000000000000002</x:v>
      </x:c>
      <x:c r="I405" s="158" t="n">
        <x:v>592.94</x:v>
      </x:c>
      <x:c r="J405" s="158" t="n">
        <x:v>8435.7</x:v>
      </x:c>
      <x:c r="K405" s="158" t="n">
        <x:v>5001895770.8</x:v>
      </x:c>
      <x:c r="L405" s="158"/>
      <x:c r="M405" s="141" t="str">
        <x:v>https://www.sge.com.cn/sjzx/quotation_daily_new?start_date=2024-11-01&amp;end_date=2024-11-30&amp;inst_ids=Au99.99&amp;p=</x:v>
      </x:c>
    </x:row>
    <x:row r="406">
      <x:c r="A406" s="155" t="n">
        <x:v>45614</x:v>
      </x:c>
      <x:c r="B406" s="141" t="str">
        <x:v>Ag(T+D)</x:v>
      </x:c>
      <x:c r="C406" s="153" t="n">
        <x:v>7603</x:v>
      </x:c>
      <x:c r="D406" s="153" t="n">
        <x:v>7650</x:v>
      </x:c>
      <x:c r="E406" s="153" t="n">
        <x:v>7525</x:v>
      </x:c>
      <x:c r="F406" s="153" t="n">
        <x:v>7632</x:v>
      </x:c>
      <x:c r="G406" s="153" t="n">
        <x:v>75</x:v>
      </x:c>
      <x:c r="H406" s="154" t="n">
        <x:v>0.009899999999999999</x:v>
      </x:c>
      <x:c r="I406" s="158" t="n">
        <x:v>7619</x:v>
      </x:c>
      <x:c r="J406" s="158" t="n">
        <x:v>503202</x:v>
      </x:c>
      <x:c r="K406" s="158" t="n">
        <x:v>3834382070</x:v>
      </x:c>
      <x:c r="L406" s="158" t="n">
        <x:v>4919486</x:v>
      </x:c>
      <x:c r="M406" s="141" t="str">
        <x:v>https://www.sge.com.cn/sjzx/quotation_daily_new?start_date=2024-11-01&amp;end_date=2024-11-30&amp;inst_ids=Ag%28T%2BD%29&amp;p=</x:v>
      </x:c>
    </x:row>
    <x:row r="407">
      <x:c r="A407" s="155" t="n">
        <x:v>45614</x:v>
      </x:c>
      <x:c r="B407" s="141" t="str">
        <x:v>Au99.99</x:v>
      </x:c>
      <x:c r="C407" s="153" t="n">
        <x:v>591.5</x:v>
      </x:c>
      <x:c r="D407" s="153" t="n">
        <x:v>602</x:v>
      </x:c>
      <x:c r="E407" s="153" t="n">
        <x:v>591.5</x:v>
      </x:c>
      <x:c r="F407" s="153" t="n">
        <x:v>598.77</x:v>
      </x:c>
      <x:c r="G407" s="153" t="n">
        <x:v>6.8</x:v>
      </x:c>
      <x:c r="H407" s="154" t="n">
        <x:v>0.0115</x:v>
      </x:c>
      <x:c r="I407" s="158" t="n">
        <x:v>598.6</x:v>
      </x:c>
      <x:c r="J407" s="158" t="n">
        <x:v>12778.74</x:v>
      </x:c>
      <x:c r="K407" s="158" t="n">
        <x:v>7649414953.6</x:v>
      </x:c>
      <x:c r="L407" s="158"/>
      <x:c r="M407" s="141" t="str">
        <x:v>https://www.sge.com.cn/sjzx/quotation_daily_new?start_date=2024-11-01&amp;end_date=2024-11-30&amp;inst_ids=Au99.99&amp;p=</x:v>
      </x:c>
    </x:row>
    <x:row r="408">
      <x:c r="A408" s="155" t="n">
        <x:v>45615</x:v>
      </x:c>
      <x:c r="B408" s="141" t="str">
        <x:v>Ag(T+D)</x:v>
      </x:c>
      <x:c r="C408" s="153" t="n">
        <x:v>7653</x:v>
      </x:c>
      <x:c r="D408" s="153" t="n">
        <x:v>7806</x:v>
      </x:c>
      <x:c r="E408" s="153" t="n">
        <x:v>7645</x:v>
      </x:c>
      <x:c r="F408" s="153" t="n">
        <x:v>7764</x:v>
      </x:c>
      <x:c r="G408" s="153" t="n">
        <x:v>145</x:v>
      </x:c>
      <x:c r="H408" s="154" t="n">
        <x:v>0.019</x:v>
      </x:c>
      <x:c r="I408" s="158" t="n">
        <x:v>7744</x:v>
      </x:c>
      <x:c r="J408" s="158" t="n">
        <x:v>330224</x:v>
      </x:c>
      <x:c r="K408" s="158" t="n">
        <x:v>2557384830</x:v>
      </x:c>
      <x:c r="L408" s="158" t="n">
        <x:v>4921716</x:v>
      </x:c>
      <x:c r="M408" s="141" t="str">
        <x:v>https://www.sge.com.cn/sjzx/quotation_daily_new?start_date=2024-11-01&amp;end_date=2024-11-30&amp;inst_ids=Ag%28T%2BD%29&amp;p=</x:v>
      </x:c>
    </x:row>
    <x:row r="409">
      <x:c r="A409" s="155" t="n">
        <x:v>45615</x:v>
      </x:c>
      <x:c r="B409" s="141" t="str">
        <x:v>Au99.99</x:v>
      </x:c>
      <x:c r="C409" s="153" t="n">
        <x:v>601</x:v>
      </x:c>
      <x:c r="D409" s="153" t="n">
        <x:v>608.2</x:v>
      </x:c>
      <x:c r="E409" s="153" t="n">
        <x:v>599</x:v>
      </x:c>
      <x:c r="F409" s="153" t="n">
        <x:v>607.3</x:v>
      </x:c>
      <x:c r="G409" s="153" t="n">
        <x:v>8.53</x:v>
      </x:c>
      <x:c r="H409" s="154" t="n">
        <x:v>0.014199999999999999</x:v>
      </x:c>
      <x:c r="I409" s="158" t="n">
        <x:v>606.67</x:v>
      </x:c>
      <x:c r="J409" s="158" t="n">
        <x:v>11283.74</x:v>
      </x:c>
      <x:c r="K409" s="158" t="n">
        <x:v>6845553780.2</x:v>
      </x:c>
      <x:c r="L409" s="158"/>
      <x:c r="M409" s="141" t="str">
        <x:v>https://www.sge.com.cn/sjzx/quotation_daily_new?start_date=2024-11-01&amp;end_date=2024-11-30&amp;inst_ids=Au99.99&amp;p=</x:v>
      </x:c>
    </x:row>
    <x:row r="410">
      <x:c r="A410" s="155" t="n">
        <x:v>45616</x:v>
      </x:c>
      <x:c r="B410" s="141" t="str">
        <x:v>Ag(T+D)</x:v>
      </x:c>
      <x:c r="C410" s="153" t="n">
        <x:v>7764</x:v>
      </x:c>
      <x:c r="D410" s="153" t="n">
        <x:v>7803</x:v>
      </x:c>
      <x:c r="E410" s="153" t="n">
        <x:v>7694</x:v>
      </x:c>
      <x:c r="F410" s="153" t="n">
        <x:v>7711</x:v>
      </x:c>
      <x:c r="G410" s="153" t="n">
        <x:v>-33</x:v>
      </x:c>
      <x:c r="H410" s="154" t="n">
        <x:v>-0.0043</x:v>
      </x:c>
      <x:c r="I410" s="158" t="n">
        <x:v>7737</x:v>
      </x:c>
      <x:c r="J410" s="158" t="n">
        <x:v>322032</x:v>
      </x:c>
      <x:c r="K410" s="158" t="n">
        <x:v>2491566940</x:v>
      </x:c>
      <x:c r="L410" s="158" t="n">
        <x:v>4887974</x:v>
      </x:c>
      <x:c r="M410" s="141" t="str">
        <x:v>https://www.sge.com.cn/sjzx/quotation_daily_new?start_date=2024-11-01&amp;end_date=2024-11-30&amp;inst_ids=Ag%28T%2BD%29&amp;p=</x:v>
      </x:c>
    </x:row>
    <x:row r="411">
      <x:c r="A411" s="155" t="n">
        <x:v>45616</x:v>
      </x:c>
      <x:c r="B411" s="141" t="str">
        <x:v>Au99.99</x:v>
      </x:c>
      <x:c r="C411" s="153" t="n">
        <x:v>610</x:v>
      </x:c>
      <x:c r="D411" s="153" t="n">
        <x:v>611.89</x:v>
      </x:c>
      <x:c r="E411" s="153" t="n">
        <x:v>607</x:v>
      </x:c>
      <x:c r="F411" s="153" t="n">
        <x:v>608</x:v>
      </x:c>
      <x:c r="G411" s="153" t="n">
        <x:v>0.7</x:v>
      </x:c>
      <x:c r="H411" s="154" t="n">
        <x:v>0.0012</x:v>
      </x:c>
      <x:c r="I411" s="158" t="n">
        <x:v>610.7</x:v>
      </x:c>
      <x:c r="J411" s="158" t="n">
        <x:v>9167.48</x:v>
      </x:c>
      <x:c r="K411" s="158" t="n">
        <x:v>5598667856.6</x:v>
      </x:c>
      <x:c r="L411" s="158"/>
      <x:c r="M411" s="141" t="str">
        <x:v>https://www.sge.com.cn/sjzx/quotation_daily_new?start_date=2024-11-01&amp;end_date=2024-11-30&amp;inst_ids=Au99.99&amp;p=</x:v>
      </x:c>
    </x:row>
    <x:row r="412">
      <x:c r="A412" s="155" t="n">
        <x:v>45617</x:v>
      </x:c>
      <x:c r="B412" s="141" t="str">
        <x:v>Ag(T+D)</x:v>
      </x:c>
      <x:c r="C412" s="153" t="n">
        <x:v>7692</x:v>
      </x:c>
      <x:c r="D412" s="153" t="n">
        <x:v>7793</x:v>
      </x:c>
      <x:c r="E412" s="153" t="n">
        <x:v>7682</x:v>
      </x:c>
      <x:c r="F412" s="153" t="n">
        <x:v>7791</x:v>
      </x:c>
      <x:c r="G412" s="153" t="n">
        <x:v>54</x:v>
      </x:c>
      <x:c r="H412" s="154" t="n">
        <x:v>0.006999999999999999</x:v>
      </x:c>
      <x:c r="I412" s="158" t="n">
        <x:v>7750</x:v>
      </x:c>
      <x:c r="J412" s="158" t="n">
        <x:v>477212</x:v>
      </x:c>
      <x:c r="K412" s="158" t="n">
        <x:v>3698413790</x:v>
      </x:c>
      <x:c r="L412" s="158" t="n">
        <x:v>4715162</x:v>
      </x:c>
      <x:c r="M412" s="141" t="str">
        <x:v>https://www.sge.com.cn/sjzx/quotation_daily_new?start_date=2024-11-01&amp;end_date=2024-11-30&amp;inst_ids=Ag%28T%2BD%29&amp;p=</x:v>
      </x:c>
    </x:row>
    <x:row r="413">
      <x:c r="A413" s="155" t="n">
        <x:v>45617</x:v>
      </x:c>
      <x:c r="B413" s="141" t="str">
        <x:v>Au99.99</x:v>
      </x:c>
      <x:c r="C413" s="153" t="n">
        <x:v>609.7</x:v>
      </x:c>
      <x:c r="D413" s="153" t="n">
        <x:v>616.68</x:v>
      </x:c>
      <x:c r="E413" s="153" t="n">
        <x:v>609.7</x:v>
      </x:c>
      <x:c r="F413" s="153" t="n">
        <x:v>616.42</x:v>
      </x:c>
      <x:c r="G413" s="153" t="n">
        <x:v>8.42</x:v>
      </x:c>
      <x:c r="H413" s="154" t="n">
        <x:v>0.0138</x:v>
      </x:c>
      <x:c r="I413" s="158" t="n">
        <x:v>615.47</x:v>
      </x:c>
      <x:c r="J413" s="158" t="n">
        <x:v>10831.72</x:v>
      </x:c>
      <x:c r="K413" s="158" t="n">
        <x:v>6666620932.8</x:v>
      </x:c>
      <x:c r="L413" s="158"/>
      <x:c r="M413" s="141" t="str">
        <x:v>https://www.sge.com.cn/sjzx/quotation_daily_new?start_date=2024-11-01&amp;end_date=2024-11-30&amp;inst_ids=Au99.99&amp;p=</x:v>
      </x:c>
    </x:row>
    <x:row r="414">
      <x:c r="A414" s="155" t="n">
        <x:v>45618</x:v>
      </x:c>
      <x:c r="B414" s="141" t="str">
        <x:v>Ag(T+D)</x:v>
      </x:c>
      <x:c r="C414" s="153" t="n">
        <x:v>7750</x:v>
      </x:c>
      <x:c r="D414" s="153" t="n">
        <x:v>7777</x:v>
      </x:c>
      <x:c r="E414" s="153" t="n">
        <x:v>7670</x:v>
      </x:c>
      <x:c r="F414" s="153" t="n">
        <x:v>7762</x:v>
      </x:c>
      <x:c r="G414" s="153" t="n">
        <x:v>12</x:v>
      </x:c>
      <x:c r="H414" s="154" t="n">
        <x:v>0.0015</x:v>
      </x:c>
      <x:c r="I414" s="158" t="n">
        <x:v>7734</x:v>
      </x:c>
      <x:c r="J414" s="158" t="n">
        <x:v>592046</x:v>
      </x:c>
      <x:c r="K414" s="158" t="n">
        <x:v>4579471702</x:v>
      </x:c>
      <x:c r="L414" s="158" t="n">
        <x:v>4726046</x:v>
      </x:c>
      <x:c r="M414" s="141" t="str">
        <x:v>https://www.sge.com.cn/sjzx/quotation_daily_new?start_date=2024-11-01&amp;end_date=2024-11-30&amp;inst_ids=Ag%28T%2BD%29&amp;p=</x:v>
      </x:c>
    </x:row>
    <x:row r="415">
      <x:c r="A415" s="155" t="n">
        <x:v>45618</x:v>
      </x:c>
      <x:c r="B415" s="141" t="str">
        <x:v>Au99.99</x:v>
      </x:c>
      <x:c r="C415" s="153" t="n">
        <x:v>617</x:v>
      </x:c>
      <x:c r="D415" s="153" t="n">
        <x:v>624</x:v>
      </x:c>
      <x:c r="E415" s="153" t="n">
        <x:v>616.5</x:v>
      </x:c>
      <x:c r="F415" s="153" t="n">
        <x:v>623.91</x:v>
      </x:c>
      <x:c r="G415" s="153" t="n">
        <x:v>7.49</x:v>
      </x:c>
      <x:c r="H415" s="154" t="n">
        <x:v>0.012199999999999999</x:v>
      </x:c>
      <x:c r="I415" s="158" t="n">
        <x:v>622.16</x:v>
      </x:c>
      <x:c r="J415" s="158" t="n">
        <x:v>11993.28</x:v>
      </x:c>
      <x:c r="K415" s="158" t="n">
        <x:v>7461784257.4</x:v>
      </x:c>
      <x:c r="L415" s="158"/>
      <x:c r="M415" s="141" t="str">
        <x:v>https://www.sge.com.cn/sjzx/quotation_daily_new?start_date=2024-11-01&amp;end_date=2024-11-30&amp;inst_ids=Au99.99&amp;p=</x:v>
      </x:c>
    </x:row>
    <x:row r="416">
      <x:c r="A416" s="155" t="n">
        <x:v>45621</x:v>
      </x:c>
      <x:c r="B416" s="141" t="str">
        <x:v>Ag(T+D)</x:v>
      </x:c>
      <x:c r="C416" s="153" t="n">
        <x:v>7780</x:v>
      </x:c>
      <x:c r="D416" s="153" t="n">
        <x:v>7822</x:v>
      </x:c>
      <x:c r="E416" s="153" t="n">
        <x:v>7572</x:v>
      </x:c>
      <x:c r="F416" s="153" t="n">
        <x:v>7625</x:v>
      </x:c>
      <x:c r="G416" s="153" t="n">
        <x:v>-109</x:v>
      </x:c>
      <x:c r="H416" s="154" t="n">
        <x:v>-0.0141</x:v>
      </x:c>
      <x:c r="I416" s="158" t="n">
        <x:v>7692</x:v>
      </x:c>
      <x:c r="J416" s="158" t="n">
        <x:v>417986</x:v>
      </x:c>
      <x:c r="K416" s="158" t="n">
        <x:v>3215186600</x:v>
      </x:c>
      <x:c r="L416" s="158" t="n">
        <x:v>4680074</x:v>
      </x:c>
      <x:c r="M416" s="141" t="str">
        <x:v>https://www.sge.com.cn/sjzx/quotation_daily_new?start_date=2024-11-01&amp;end_date=2024-11-30&amp;inst_ids=Ag%28T%2BD%29&amp;p=</x:v>
      </x:c>
    </x:row>
    <x:row r="417">
      <x:c r="A417" s="155" t="n">
        <x:v>45621</x:v>
      </x:c>
      <x:c r="B417" s="141" t="str">
        <x:v>Au99.99</x:v>
      </x:c>
      <x:c r="C417" s="153" t="n">
        <x:v>625</x:v>
      </x:c>
      <x:c r="D417" s="153" t="n">
        <x:v>627</x:v>
      </x:c>
      <x:c r="E417" s="153" t="n">
        <x:v>614</x:v>
      </x:c>
      <x:c r="F417" s="153" t="n">
        <x:v>616.51</x:v>
      </x:c>
      <x:c r="G417" s="153" t="n">
        <x:v>-7.4</x:v>
      </x:c>
      <x:c r="H417" s="154" t="n">
        <x:v>-0.011899999999999999</x:v>
      </x:c>
      <x:c r="I417" s="158" t="n">
        <x:v>618.71</x:v>
      </x:c>
      <x:c r="J417" s="158" t="n">
        <x:v>8965.8</x:v>
      </x:c>
      <x:c r="K417" s="158" t="n">
        <x:v>5547262163.6</x:v>
      </x:c>
      <x:c r="L417" s="158"/>
      <x:c r="M417" s="141" t="str">
        <x:v>https://www.sge.com.cn/sjzx/quotation_daily_new?start_date=2024-11-01&amp;end_date=2024-11-30&amp;inst_ids=Au99.99&amp;p=</x:v>
      </x:c>
    </x:row>
    <x:row r="418">
      <x:c r="A418" s="155" t="n">
        <x:v>45622</x:v>
      </x:c>
      <x:c r="B418" s="141" t="str">
        <x:v>Ag(T+D)</x:v>
      </x:c>
      <x:c r="C418" s="153" t="n">
        <x:v>7634</x:v>
      </x:c>
      <x:c r="D418" s="153" t="n">
        <x:v>7649</x:v>
      </x:c>
      <x:c r="E418" s="153" t="n">
        <x:v>7527</x:v>
      </x:c>
      <x:c r="F418" s="153" t="n">
        <x:v>7561</x:v>
      </x:c>
      <x:c r="G418" s="153" t="n">
        <x:v>-131</x:v>
      </x:c>
      <x:c r="H418" s="154" t="n">
        <x:v>-0.017</x:v>
      </x:c>
      <x:c r="I418" s="158" t="n">
        <x:v>7567</x:v>
      </x:c>
      <x:c r="J418" s="158" t="n">
        <x:v>315346</x:v>
      </x:c>
      <x:c r="K418" s="158" t="n">
        <x:v>2386270400</x:v>
      </x:c>
      <x:c r="L418" s="158" t="n">
        <x:v>4696714</x:v>
      </x:c>
      <x:c r="M418" s="141" t="str">
        <x:v>https://www.sge.com.cn/sjzx/quotation_daily_new?start_date=2024-11-01&amp;end_date=2024-11-30&amp;inst_ids=Ag%28T%2BD%29&amp;p=</x:v>
      </x:c>
    </x:row>
    <x:row r="419">
      <x:c r="A419" s="155" t="n">
        <x:v>45622</x:v>
      </x:c>
      <x:c r="B419" s="141" t="str">
        <x:v>Au99.99</x:v>
      </x:c>
      <x:c r="C419" s="153" t="n">
        <x:v>620</x:v>
      </x:c>
      <x:c r="D419" s="153" t="n">
        <x:v>620</x:v>
      </x:c>
      <x:c r="E419" s="153" t="n">
        <x:v>606</x:v>
      </x:c>
      <x:c r="F419" s="153" t="n">
        <x:v>607</x:v>
      </x:c>
      <x:c r="G419" s="153" t="n">
        <x:v>-9.51</x:v>
      </x:c>
      <x:c r="H419" s="154" t="n">
        <x:v>-0.0154</x:v>
      </x:c>
      <x:c r="I419" s="158" t="n">
        <x:v>608.2</x:v>
      </x:c>
      <x:c r="J419" s="158" t="n">
        <x:v>8198.08</x:v>
      </x:c>
      <x:c r="K419" s="158" t="n">
        <x:v>4986077616.6</x:v>
      </x:c>
      <x:c r="L419" s="158"/>
      <x:c r="M419" s="141" t="str">
        <x:v>https://www.sge.com.cn/sjzx/quotation_daily_new?start_date=2024-11-01&amp;end_date=2024-11-30&amp;inst_ids=Au99.99&amp;p=</x:v>
      </x:c>
    </x:row>
    <x:row r="420">
      <x:c r="A420" s="155" t="n">
        <x:v>45623</x:v>
      </x:c>
      <x:c r="B420" s="141" t="str">
        <x:v>Ag(T+D)</x:v>
      </x:c>
      <x:c r="C420" s="153" t="n">
        <x:v>7616</x:v>
      </x:c>
      <x:c r="D420" s="153" t="n">
        <x:v>7635</x:v>
      </x:c>
      <x:c r="E420" s="153" t="n">
        <x:v>7545</x:v>
      </x:c>
      <x:c r="F420" s="153" t="n">
        <x:v>7626</x:v>
      </x:c>
      <x:c r="G420" s="153" t="n">
        <x:v>59</x:v>
      </x:c>
      <x:c r="H420" s="154" t="n">
        <x:v>0.0078000000000000005</x:v>
      </x:c>
      <x:c r="I420" s="158" t="n">
        <x:v>7596</x:v>
      </x:c>
      <x:c r="J420" s="158" t="n">
        <x:v>268506</x:v>
      </x:c>
      <x:c r="K420" s="158" t="n">
        <x:v>2039685166</x:v>
      </x:c>
      <x:c r="L420" s="158" t="n">
        <x:v>4544236</x:v>
      </x:c>
      <x:c r="M420" s="141" t="str">
        <x:v>https://www.sge.com.cn/sjzx/quotation_daily_new?start_date=2024-11-01&amp;end_date=2024-11-30&amp;inst_ids=Ag%28T%2BD%29&amp;p=</x:v>
      </x:c>
    </x:row>
    <x:row r="421">
      <x:c r="A421" s="155" t="n">
        <x:v>45623</x:v>
      </x:c>
      <x:c r="B421" s="141" t="str">
        <x:v>Au99.99</x:v>
      </x:c>
      <x:c r="C421" s="153" t="n">
        <x:v>609</x:v>
      </x:c>
      <x:c r="D421" s="153" t="n">
        <x:v>614.49</x:v>
      </x:c>
      <x:c r="E421" s="153" t="n">
        <x:v>607</x:v>
      </x:c>
      <x:c r="F421" s="153" t="n">
        <x:v>613.8</x:v>
      </x:c>
      <x:c r="G421" s="153" t="n">
        <x:v>6.8</x:v>
      </x:c>
      <x:c r="H421" s="154" t="n">
        <x:v>0.011200000000000002</x:v>
      </x:c>
      <x:c r="I421" s="158" t="n">
        <x:v>612.11</x:v>
      </x:c>
      <x:c r="J421" s="158" t="n">
        <x:v>8381.12</x:v>
      </x:c>
      <x:c r="K421" s="158" t="n">
        <x:v>5130177843</x:v>
      </x:c>
      <x:c r="L421" s="158"/>
      <x:c r="M421" s="141" t="str">
        <x:v>https://www.sge.com.cn/sjzx/quotation_daily_new?start_date=2024-11-01&amp;end_date=2024-11-30&amp;inst_ids=Au99.99&amp;p=</x:v>
      </x:c>
    </x:row>
    <x:row r="422">
      <x:c r="A422" s="155" t="n">
        <x:v>45624</x:v>
      </x:c>
      <x:c r="B422" s="141" t="str">
        <x:v>Ag(T+D)</x:v>
      </x:c>
      <x:c r="C422" s="153" t="n">
        <x:v>7616</x:v>
      </x:c>
      <x:c r="D422" s="153" t="n">
        <x:v>7632</x:v>
      </x:c>
      <x:c r="E422" s="153" t="n">
        <x:v>7425</x:v>
      </x:c>
      <x:c r="F422" s="153" t="n">
        <x:v>7494</x:v>
      </x:c>
      <x:c r="G422" s="153" t="n">
        <x:v>-102</x:v>
      </x:c>
      <x:c r="H422" s="154" t="n">
        <x:v>-0.0134</x:v>
      </x:c>
      <x:c r="I422" s="158" t="n">
        <x:v>7499</x:v>
      </x:c>
      <x:c r="J422" s="158" t="n">
        <x:v>402982</x:v>
      </x:c>
      <x:c r="K422" s="158" t="n">
        <x:v>3022037668</x:v>
      </x:c>
      <x:c r="L422" s="158" t="n">
        <x:v>4588118</x:v>
      </x:c>
      <x:c r="M422" s="141" t="str">
        <x:v>https://www.sge.com.cn/sjzx/quotation_daily_new?start_date=2024-11-01&amp;end_date=2024-11-30&amp;inst_ids=Ag%28T%2BD%29&amp;p=</x:v>
      </x:c>
    </x:row>
    <x:row r="423">
      <x:c r="A423" s="155" t="n">
        <x:v>45624</x:v>
      </x:c>
      <x:c r="B423" s="141" t="str">
        <x:v>Au99.99</x:v>
      </x:c>
      <x:c r="C423" s="153" t="n">
        <x:v>614.9</x:v>
      </x:c>
      <x:c r="D423" s="153" t="n">
        <x:v>614.9</x:v>
      </x:c>
      <x:c r="E423" s="153" t="n">
        <x:v>606.01</x:v>
      </x:c>
      <x:c r="F423" s="153" t="n">
        <x:v>611.77</x:v>
      </x:c>
      <x:c r="G423" s="153" t="n">
        <x:v>-2.03</x:v>
      </x:c>
      <x:c r="H423" s="154" t="n">
        <x:v>-0.0033</x:v>
      </x:c>
      <x:c r="I423" s="158" t="n">
        <x:v>608.91</x:v>
      </x:c>
      <x:c r="J423" s="158" t="n">
        <x:v>8231.32</x:v>
      </x:c>
      <x:c r="K423" s="158" t="n">
        <x:v>5012161935</x:v>
      </x:c>
      <x:c r="L423" s="158"/>
      <x:c r="M423" s="141" t="str">
        <x:v>https://www.sge.com.cn/sjzx/quotation_daily_new?start_date=2024-11-01&amp;end_date=2024-11-30&amp;inst_ids=Au99.99&amp;p=</x:v>
      </x:c>
    </x:row>
    <x:row r="424">
      <x:c r="A424" s="155" t="n">
        <x:v>45625</x:v>
      </x:c>
      <x:c r="B424" s="141" t="str">
        <x:v>Ag(T+D)</x:v>
      </x:c>
      <x:c r="C424" s="153" t="n">
        <x:v>7523</x:v>
      </x:c>
      <x:c r="D424" s="153" t="n">
        <x:v>7675</x:v>
      </x:c>
      <x:c r="E424" s="153" t="n">
        <x:v>7503</x:v>
      </x:c>
      <x:c r="F424" s="153" t="n">
        <x:v>7649</x:v>
      </x:c>
      <x:c r="G424" s="153" t="n">
        <x:v>150</x:v>
      </x:c>
      <x:c r="H424" s="154" t="n">
        <x:v>0.02</x:v>
      </x:c>
      <x:c r="I424" s="158" t="n">
        <x:v>7604</x:v>
      </x:c>
      <x:c r="J424" s="158" t="n">
        <x:v>391024</x:v>
      </x:c>
      <x:c r="K424" s="158" t="n">
        <x:v>2973659768</x:v>
      </x:c>
      <x:c r="L424" s="158" t="n">
        <x:v>4636836</x:v>
      </x:c>
      <x:c r="M424" s="141" t="str">
        <x:v>https://www.sge.com.cn/sjzx/quotation_daily_new?start_date=2024-11-01&amp;end_date=2024-11-30&amp;inst_ids=Ag%28T%2BD%29&amp;p=</x:v>
      </x:c>
    </x:row>
    <x:row r="425">
      <x:c r="A425" s="155" t="n">
        <x:v>45625</x:v>
      </x:c>
      <x:c r="B425" s="141" t="str">
        <x:v>Au99.99</x:v>
      </x:c>
      <x:c r="C425" s="153" t="n">
        <x:v>612</x:v>
      </x:c>
      <x:c r="D425" s="153" t="n">
        <x:v>616.2</x:v>
      </x:c>
      <x:c r="E425" s="153" t="n">
        <x:v>609</x:v>
      </x:c>
      <x:c r="F425" s="153" t="n">
        <x:v>614.88</x:v>
      </x:c>
      <x:c r="G425" s="153" t="n">
        <x:v>3.11</x:v>
      </x:c>
      <x:c r="H425" s="154" t="n">
        <x:v>0.0051</x:v>
      </x:c>
      <x:c r="I425" s="158" t="n">
        <x:v>614.34</x:v>
      </x:c>
      <x:c r="J425" s="158" t="n">
        <x:v>7079.66</x:v>
      </x:c>
      <x:c r="K425" s="158" t="n">
        <x:v>4349351826.8</x:v>
      </x:c>
      <x:c r="L425" s="158"/>
      <x:c r="M425" s="141" t="str">
        <x:v>https://www.sge.com.cn/sjzx/quotation_daily_new?start_date=2024-11-01&amp;end_date=2024-11-30&amp;inst_ids=Au99.99&amp;p=</x:v>
      </x:c>
    </x:row>
    <x:row r="426">
      <x:c r="A426" s="155" t="n">
        <x:v>45630</x:v>
      </x:c>
      <x:c r="B426" s="141" t="str">
        <x:v>Ag(T+D)</x:v>
      </x:c>
      <x:c r="C426" s="153" t="n">
        <x:v>7740</x:v>
      </x:c>
      <x:c r="D426" s="153" t="n">
        <x:v>7816</x:v>
      </x:c>
      <x:c r="E426" s="153" t="n">
        <x:v>7733</x:v>
      </x:c>
      <x:c r="F426" s="153" t="n">
        <x:v>7776</x:v>
      </x:c>
      <x:c r="G426" s="153" t="n">
        <x:v>96</x:v>
      </x:c>
      <x:c r="H426" s="154" t="n">
        <x:v>0.0125</x:v>
      </x:c>
      <x:c r="I426" s="158" t="n">
        <x:v>7774</x:v>
      </x:c>
      <x:c r="J426" s="158" t="n">
        <x:v>269148</x:v>
      </x:c>
      <x:c r="K426" s="158" t="n">
        <x:v>2092467746</x:v>
      </x:c>
      <x:c r="L426" s="158" t="n">
        <x:v>4492908</x:v>
      </x:c>
      <x:c r="M426" s="141" t="str">
        <x:v>https://www.sge.com.cn/sjzx/quotation_daily_new?start_date=2024-12-01&amp;end_date=2024-12-31&amp;inst_ids=Ag%28T%2BD%29&amp;p=</x:v>
      </x:c>
    </x:row>
    <x:row r="427">
      <x:c r="A427" s="155" t="n">
        <x:v>45630</x:v>
      </x:c>
      <x:c r="B427" s="141" t="str">
        <x:v>Au99.99</x:v>
      </x:c>
      <x:c r="C427" s="153" t="n">
        <x:v>616</x:v>
      </x:c>
      <x:c r="D427" s="153" t="n">
        <x:v>618</x:v>
      </x:c>
      <x:c r="E427" s="153" t="n">
        <x:v>614.8</x:v>
      </x:c>
      <x:c r="F427" s="153" t="n">
        <x:v>615.86</x:v>
      </x:c>
      <x:c r="G427" s="153" t="n">
        <x:v>-0.86</x:v>
      </x:c>
      <x:c r="H427" s="154" t="n">
        <x:v>-0.0014000000000000002</x:v>
      </x:c>
      <x:c r="I427" s="158" t="n">
        <x:v>616.42</x:v>
      </x:c>
      <x:c r="J427" s="158" t="n">
        <x:v>7341.18</x:v>
      </x:c>
      <x:c r="K427" s="158" t="n">
        <x:v>4525267297.2</x:v>
      </x:c>
      <x:c r="L427" s="158"/>
      <x:c r="M427" s="141" t="str">
        <x:v>https://www.sge.com.cn/sjzx/quotation_daily_new?start_date=2024-12-01&amp;end_date=2024-12-31&amp;inst_ids=Au99.99&amp;p=</x:v>
      </x:c>
    </x:row>
    <x:row r="428">
      <x:c r="A428" s="155" t="n">
        <x:v>45631</x:v>
      </x:c>
      <x:c r="B428" s="141" t="str">
        <x:v>Ag(T+D)</x:v>
      </x:c>
      <x:c r="C428" s="153" t="n">
        <x:v>7757</x:v>
      </x:c>
      <x:c r="D428" s="153" t="n">
        <x:v>7872</x:v>
      </x:c>
      <x:c r="E428" s="153" t="n">
        <x:v>7687</x:v>
      </x:c>
      <x:c r="F428" s="153" t="n">
        <x:v>7801</x:v>
      </x:c>
      <x:c r="G428" s="153" t="n">
        <x:v>27</x:v>
      </x:c>
      <x:c r="H428" s="154" t="n">
        <x:v>0.0034999999999999996</x:v>
      </x:c>
      <x:c r="I428" s="158" t="n">
        <x:v>7793</x:v>
      </x:c>
      <x:c r="J428" s="158" t="n">
        <x:v>312884</x:v>
      </x:c>
      <x:c r="K428" s="158" t="n">
        <x:v>2438392028</x:v>
      </x:c>
      <x:c r="L428" s="158" t="n">
        <x:v>4462804</x:v>
      </x:c>
      <x:c r="M428" s="141" t="str">
        <x:v>https://www.sge.com.cn/sjzx/quotation_daily_new?start_date=2024-12-01&amp;end_date=2024-12-31&amp;inst_ids=Ag%28T%2BD%29&amp;p=</x:v>
      </x:c>
    </x:row>
    <x:row r="429">
      <x:c r="A429" s="155" t="n">
        <x:v>45631</x:v>
      </x:c>
      <x:c r="B429" s="141" t="str">
        <x:v>Au99.99</x:v>
      </x:c>
      <x:c r="C429" s="153" t="n">
        <x:v>615</x:v>
      </x:c>
      <x:c r="D429" s="153" t="n">
        <x:v>617.99</x:v>
      </x:c>
      <x:c r="E429" s="153" t="n">
        <x:v>614</x:v>
      </x:c>
      <x:c r="F429" s="153" t="n">
        <x:v>616</x:v>
      </x:c>
      <x:c r="G429" s="153" t="n">
        <x:v>0.14</x:v>
      </x:c>
      <x:c r="H429" s="154" t="n">
        <x:v>0.0002</x:v>
      </x:c>
      <x:c r="I429" s="158" t="n">
        <x:v>616.72</x:v>
      </x:c>
      <x:c r="J429" s="158" t="n">
        <x:v>6480.88</x:v>
      </x:c>
      <x:c r="K429" s="158" t="n">
        <x:v>3996892574.2</x:v>
      </x:c>
      <x:c r="L429" s="158"/>
      <x:c r="M429" s="141" t="str">
        <x:v>https://www.sge.com.cn/sjzx/quotation_daily_new?start_date=2024-12-01&amp;end_date=2024-12-31&amp;inst_ids=Au99.99&amp;p=</x:v>
      </x:c>
    </x:row>
    <x:row r="430">
      <x:c r="A430" s="155" t="n">
        <x:v>45632</x:v>
      </x:c>
      <x:c r="B430" s="141" t="str">
        <x:v>Ag(T+D)</x:v>
      </x:c>
      <x:c r="C430" s="153" t="n">
        <x:v>7815</x:v>
      </x:c>
      <x:c r="D430" s="153" t="n">
        <x:v>7835</x:v>
      </x:c>
      <x:c r="E430" s="153" t="n">
        <x:v>7706</x:v>
      </x:c>
      <x:c r="F430" s="153" t="n">
        <x:v>7797</x:v>
      </x:c>
      <x:c r="G430" s="153" t="n">
        <x:v>4</x:v>
      </x:c>
      <x:c r="H430" s="154" t="n">
        <x:v>0.0005</x:v>
      </x:c>
      <x:c r="I430" s="158" t="n">
        <x:v>7773</x:v>
      </x:c>
      <x:c r="J430" s="158" t="n">
        <x:v>314074</x:v>
      </x:c>
      <x:c r="K430" s="158" t="n">
        <x:v>2441524952</x:v>
      </x:c>
      <x:c r="L430" s="158" t="n">
        <x:v>4466322</x:v>
      </x:c>
      <x:c r="M430" s="141" t="str">
        <x:v>https://www.sge.com.cn/sjzx/quotation_daily_new?start_date=2024-12-01&amp;end_date=2024-12-31&amp;inst_ids=Ag%28T%2BD%29&amp;p=</x:v>
      </x:c>
    </x:row>
    <x:row r="431">
      <x:c r="A431" s="155" t="n">
        <x:v>45632</x:v>
      </x:c>
      <x:c r="B431" s="141" t="str">
        <x:v>Au99.99</x:v>
      </x:c>
      <x:c r="C431" s="153" t="n">
        <x:v>616</x:v>
      </x:c>
      <x:c r="D431" s="153" t="n">
        <x:v>616</x:v>
      </x:c>
      <x:c r="E431" s="153" t="n">
        <x:v>609.06</x:v>
      </x:c>
      <x:c r="F431" s="153" t="n">
        <x:v>614.09</x:v>
      </x:c>
      <x:c r="G431" s="153" t="n">
        <x:v>-1.91</x:v>
      </x:c>
      <x:c r="H431" s="154" t="n">
        <x:v>-0.0031</x:v>
      </x:c>
      <x:c r="I431" s="158" t="n">
        <x:v>612.4</x:v>
      </x:c>
      <x:c r="J431" s="158" t="n">
        <x:v>7711.26</x:v>
      </x:c>
      <x:c r="K431" s="158" t="n">
        <x:v>4722433843.4</x:v>
      </x:c>
      <x:c r="L431" s="158"/>
      <x:c r="M431" s="141" t="str">
        <x:v>https://www.sge.com.cn/sjzx/quotation_daily_new?start_date=2024-12-01&amp;end_date=2024-12-31&amp;inst_ids=Au99.99&amp;p=</x:v>
      </x:c>
    </x:row>
    <x:row r="432">
      <x:c r="A432" s="155" t="n">
        <x:v>45635</x:v>
      </x:c>
      <x:c r="B432" s="141" t="str">
        <x:v>Ag(T+D)</x:v>
      </x:c>
      <x:c r="C432" s="153" t="n">
        <x:v>7774</x:v>
      </x:c>
      <x:c r="D432" s="153" t="n">
        <x:v>7816</x:v>
      </x:c>
      <x:c r="E432" s="153" t="n">
        <x:v>7686</x:v>
      </x:c>
      <x:c r="F432" s="153" t="n">
        <x:v>7775</x:v>
      </x:c>
      <x:c r="G432" s="153" t="n">
        <x:v>2</x:v>
      </x:c>
      <x:c r="H432" s="154" t="n">
        <x:v>0.0003</x:v>
      </x:c>
      <x:c r="I432" s="158" t="n">
        <x:v>7756</x:v>
      </x:c>
      <x:c r="J432" s="158" t="n">
        <x:v>440970</x:v>
      </x:c>
      <x:c r="K432" s="158" t="n">
        <x:v>3420594482</x:v>
      </x:c>
      <x:c r="L432" s="158" t="n">
        <x:v>4512696</x:v>
      </x:c>
      <x:c r="M432" s="141" t="str">
        <x:v>https://www.sge.com.cn/sjzx/quotation_daily_new?start_date=2024-12-01&amp;end_date=2024-12-31&amp;inst_ids=Ag%28T%2BD%29&amp;p=</x:v>
      </x:c>
    </x:row>
    <x:row r="433">
      <x:c r="A433" s="155" t="n">
        <x:v>45635</x:v>
      </x:c>
      <x:c r="B433" s="141" t="str">
        <x:v>Au99.99</x:v>
      </x:c>
      <x:c r="C433" s="153" t="n">
        <x:v>613.8</x:v>
      </x:c>
      <x:c r="D433" s="153" t="n">
        <x:v>618.5</x:v>
      </x:c>
      <x:c r="E433" s="153" t="n">
        <x:v>612</x:v>
      </x:c>
      <x:c r="F433" s="153" t="n">
        <x:v>617.26</x:v>
      </x:c>
      <x:c r="G433" s="153" t="n">
        <x:v>3.17</x:v>
      </x:c>
      <x:c r="H433" s="154" t="n">
        <x:v>0.0052</x:v>
      </x:c>
      <x:c r="I433" s="158" t="n">
        <x:v>616.86</x:v>
      </x:c>
      <x:c r="J433" s="158" t="n">
        <x:v>7703.44</x:v>
      </x:c>
      <x:c r="K433" s="158" t="n">
        <x:v>4752014993.2</x:v>
      </x:c>
      <x:c r="L433" s="158"/>
      <x:c r="M433" s="141" t="str">
        <x:v>https://www.sge.com.cn/sjzx/quotation_daily_new?start_date=2024-12-01&amp;end_date=2024-12-31&amp;inst_ids=Au99.99&amp;p=</x:v>
      </x:c>
    </x:row>
    <x:row r="434">
      <x:c r="A434" s="155" t="n">
        <x:v>45636</x:v>
      </x:c>
      <x:c r="B434" s="141" t="str">
        <x:v>Ag(T+D)</x:v>
      </x:c>
      <x:c r="C434" s="153" t="n">
        <x:v>7871</x:v>
      </x:c>
      <x:c r="D434" s="153" t="n">
        <x:v>7975</x:v>
      </x:c>
      <x:c r="E434" s="153" t="n">
        <x:v>7867</x:v>
      </x:c>
      <x:c r="F434" s="153" t="n">
        <x:v>7899</x:v>
      </x:c>
      <x:c r="G434" s="153" t="n">
        <x:v>143</x:v>
      </x:c>
      <x:c r="H434" s="154" t="n">
        <x:v>0.0184</x:v>
      </x:c>
      <x:c r="I434" s="158" t="n">
        <x:v>7916</x:v>
      </x:c>
      <x:c r="J434" s="158" t="n">
        <x:v>472834</x:v>
      </x:c>
      <x:c r="K434" s="158" t="n">
        <x:v>3742970028</x:v>
      </x:c>
      <x:c r="L434" s="158" t="n">
        <x:v>4533108</x:v>
      </x:c>
      <x:c r="M434" s="141" t="str">
        <x:v>https://www.sge.com.cn/sjzx/quotation_daily_new?start_date=2024-12-01&amp;end_date=2024-12-31&amp;inst_ids=Ag%28T%2BD%29&amp;p=</x:v>
      </x:c>
    </x:row>
    <x:row r="435">
      <x:c r="A435" s="155" t="n">
        <x:v>45636</x:v>
      </x:c>
      <x:c r="B435" s="141" t="str">
        <x:v>Au99.99</x:v>
      </x:c>
      <x:c r="C435" s="153" t="n">
        <x:v>619</x:v>
      </x:c>
      <x:c r="D435" s="153" t="n">
        <x:v>622.5</x:v>
      </x:c>
      <x:c r="E435" s="153" t="n">
        <x:v>618.41</x:v>
      </x:c>
      <x:c r="F435" s="153" t="n">
        <x:v>619.63</x:v>
      </x:c>
      <x:c r="G435" s="153" t="n">
        <x:v>2.37</x:v>
      </x:c>
      <x:c r="H435" s="154" t="n">
        <x:v>0.0038</x:v>
      </x:c>
      <x:c r="I435" s="158" t="n">
        <x:v>619.86</x:v>
      </x:c>
      <x:c r="J435" s="158" t="n">
        <x:v>8527.94</x:v>
      </x:c>
      <x:c r="K435" s="158" t="n">
        <x:v>5286196218.8</x:v>
      </x:c>
      <x:c r="L435" s="158"/>
      <x:c r="M435" s="141" t="str">
        <x:v>https://www.sge.com.cn/sjzx/quotation_daily_new?start_date=2024-12-01&amp;end_date=2024-12-31&amp;inst_ids=Au99.99&amp;p=</x:v>
      </x:c>
    </x:row>
    <x:row r="436">
      <x:c r="A436" s="155" t="n">
        <x:v>45637</x:v>
      </x:c>
      <x:c r="B436" s="141" t="str">
        <x:v>Ag(T+D)</x:v>
      </x:c>
      <x:c r="C436" s="153" t="n">
        <x:v>7905</x:v>
      </x:c>
      <x:c r="D436" s="153" t="n">
        <x:v>7962</x:v>
      </x:c>
      <x:c r="E436" s="153" t="n">
        <x:v>7856</x:v>
      </x:c>
      <x:c r="F436" s="153" t="n">
        <x:v>7884</x:v>
      </x:c>
      <x:c r="G436" s="153" t="n">
        <x:v>-32</x:v>
      </x:c>
      <x:c r="H436" s="154" t="n">
        <x:v>-0.004</x:v>
      </x:c>
      <x:c r="I436" s="158" t="n">
        <x:v>7915</x:v>
      </x:c>
      <x:c r="J436" s="158" t="n">
        <x:v>423292</x:v>
      </x:c>
      <x:c r="K436" s="158" t="n">
        <x:v>3350551698</x:v>
      </x:c>
      <x:c r="L436" s="158" t="n">
        <x:v>4514176</x:v>
      </x:c>
      <x:c r="M436" s="141" t="str">
        <x:v>https://www.sge.com.cn/sjzx/quotation_daily_new?start_date=2024-12-01&amp;end_date=2024-12-31&amp;inst_ids=Ag%28T%2BD%29&amp;p=</x:v>
      </x:c>
    </x:row>
    <x:row r="437">
      <x:c r="A437" s="155" t="n">
        <x:v>45637</x:v>
      </x:c>
      <x:c r="B437" s="141" t="str">
        <x:v>Au99.99</x:v>
      </x:c>
      <x:c r="C437" s="153" t="n">
        <x:v>621</x:v>
      </x:c>
      <x:c r="D437" s="153" t="n">
        <x:v>627</x:v>
      </x:c>
      <x:c r="E437" s="153" t="n">
        <x:v>621</x:v>
      </x:c>
      <x:c r="F437" s="153" t="n">
        <x:v>624.79</x:v>
      </x:c>
      <x:c r="G437" s="153" t="n">
        <x:v>5.16</x:v>
      </x:c>
      <x:c r="H437" s="154" t="n">
        <x:v>0.0083</x:v>
      </x:c>
      <x:c r="I437" s="158" t="n">
        <x:v>624.83</x:v>
      </x:c>
      <x:c r="J437" s="158" t="n">
        <x:v>8740.2</x:v>
      </x:c>
      <x:c r="K437" s="158" t="n">
        <x:v>5461179465</x:v>
      </x:c>
      <x:c r="L437" s="158"/>
      <x:c r="M437" s="141" t="str">
        <x:v>https://www.sge.com.cn/sjzx/quotation_daily_new?start_date=2024-12-01&amp;end_date=2024-12-31&amp;inst_ids=Au99.99&amp;p=</x:v>
      </x:c>
    </x:row>
    <x:row r="438">
      <x:c r="A438" s="155" t="n">
        <x:v>45638</x:v>
      </x:c>
      <x:c r="B438" s="141" t="str">
        <x:v>Ag(T+D)</x:v>
      </x:c>
      <x:c r="C438" s="153" t="n">
        <x:v>7901</x:v>
      </x:c>
      <x:c r="D438" s="153" t="n">
        <x:v>8006</x:v>
      </x:c>
      <x:c r="E438" s="153" t="n">
        <x:v>7869</x:v>
      </x:c>
      <x:c r="F438" s="153" t="n">
        <x:v>7980</x:v>
      </x:c>
      <x:c r="G438" s="153" t="n">
        <x:v>65</x:v>
      </x:c>
      <x:c r="H438" s="154" t="n">
        <x:v>0.008199999999999999</x:v>
      </x:c>
      <x:c r="I438" s="158" t="n">
        <x:v>7945</x:v>
      </x:c>
      <x:c r="J438" s="158" t="n">
        <x:v>388852</x:v>
      </x:c>
      <x:c r="K438" s="158" t="n">
        <x:v>3089804606</x:v>
      </x:c>
      <x:c r="L438" s="158" t="n">
        <x:v>4571792</x:v>
      </x:c>
      <x:c r="M438" s="141" t="str">
        <x:v>https://www.sge.com.cn/sjzx/quotation_daily_new?start_date=2024-12-01&amp;end_date=2024-12-31&amp;inst_ids=Ag%28T%2BD%29&amp;p=</x:v>
      </x:c>
    </x:row>
    <x:row r="439">
      <x:c r="A439" s="155" t="n">
        <x:v>45638</x:v>
      </x:c>
      <x:c r="B439" s="141" t="str">
        <x:v>Au99.99</x:v>
      </x:c>
      <x:c r="C439" s="153" t="n">
        <x:v>626</x:v>
      </x:c>
      <x:c r="D439" s="153" t="n">
        <x:v>629.9</x:v>
      </x:c>
      <x:c r="E439" s="153" t="n">
        <x:v>625.5</x:v>
      </x:c>
      <x:c r="F439" s="153" t="n">
        <x:v>628.83</x:v>
      </x:c>
      <x:c r="G439" s="153" t="n">
        <x:v>4.04</x:v>
      </x:c>
      <x:c r="H439" s="154" t="n">
        <x:v>0.006500000000000001</x:v>
      </x:c>
      <x:c r="I439" s="158" t="n">
        <x:v>628.2</x:v>
      </x:c>
      <x:c r="J439" s="158" t="n">
        <x:v>7726.26</x:v>
      </x:c>
      <x:c r="K439" s="158" t="n">
        <x:v>4853705053</x:v>
      </x:c>
      <x:c r="L439" s="158"/>
      <x:c r="M439" s="141" t="str">
        <x:v>https://www.sge.com.cn/sjzx/quotation_daily_new?start_date=2024-12-01&amp;end_date=2024-12-31&amp;inst_ids=Au99.99&amp;p=</x:v>
      </x:c>
    </x:row>
    <x:row r="440">
      <x:c r="A440" s="155" t="n">
        <x:v>45639</x:v>
      </x:c>
      <x:c r="B440" s="141" t="str">
        <x:v>Ag(T+D)</x:v>
      </x:c>
      <x:c r="C440" s="153" t="n">
        <x:v>7945</x:v>
      </x:c>
      <x:c r="D440" s="153" t="n">
        <x:v>7955</x:v>
      </x:c>
      <x:c r="E440" s="153" t="n">
        <x:v>7754</x:v>
      </x:c>
      <x:c r="F440" s="153" t="n">
        <x:v>7758</x:v>
      </x:c>
      <x:c r="G440" s="153" t="n">
        <x:v>-187</x:v>
      </x:c>
      <x:c r="H440" s="154" t="n">
        <x:v>-0.0235</x:v>
      </x:c>
      <x:c r="I440" s="158" t="n">
        <x:v>7821</x:v>
      </x:c>
      <x:c r="J440" s="158" t="n">
        <x:v>574856</x:v>
      </x:c>
      <x:c r="K440" s="158" t="n">
        <x:v>4495957124</x:v>
      </x:c>
      <x:c r="L440" s="158" t="n">
        <x:v>4671120</x:v>
      </x:c>
      <x:c r="M440" s="141" t="str">
        <x:v>https://www.sge.com.cn/sjzx/quotation_daily_new?start_date=2024-12-01&amp;end_date=2024-12-31&amp;inst_ids=Ag%28T%2BD%29&amp;p=</x:v>
      </x:c>
    </x:row>
    <x:row r="441">
      <x:c r="A441" s="155" t="n">
        <x:v>45639</x:v>
      </x:c>
      <x:c r="B441" s="141" t="str">
        <x:v>Au99.99</x:v>
      </x:c>
      <x:c r="C441" s="153" t="n">
        <x:v>626.5</x:v>
      </x:c>
      <x:c r="D441" s="153" t="n">
        <x:v>631</x:v>
      </x:c>
      <x:c r="E441" s="153" t="n">
        <x:v>621.25</x:v>
      </x:c>
      <x:c r="F441" s="153" t="n">
        <x:v>622.43</x:v>
      </x:c>
      <x:c r="G441" s="153" t="n">
        <x:v>-6.4</x:v>
      </x:c>
      <x:c r="H441" s="154" t="n">
        <x:v>-0.0102</x:v>
      </x:c>
      <x:c r="I441" s="158" t="n">
        <x:v>624.28</x:v>
      </x:c>
      <x:c r="J441" s="158" t="n">
        <x:v>8565.4</x:v>
      </x:c>
      <x:c r="K441" s="158" t="n">
        <x:v>5347214218.6</x:v>
      </x:c>
      <x:c r="L441" s="158"/>
      <x:c r="M441" s="141" t="str">
        <x:v>https://www.sge.com.cn/sjzx/quotation_daily_new?start_date=2024-12-01&amp;end_date=2024-12-31&amp;inst_ids=Au99.99&amp;p=</x:v>
      </x:c>
    </x:row>
    <x:row r="442">
      <x:c r="A442" s="155" t="n">
        <x:v>45642</x:v>
      </x:c>
      <x:c r="B442" s="141" t="str">
        <x:v>Ag(T+D)</x:v>
      </x:c>
      <x:c r="C442" s="153" t="n">
        <x:v>7757</x:v>
      </x:c>
      <x:c r="D442" s="153" t="n">
        <x:v>7769</x:v>
      </x:c>
      <x:c r="E442" s="153" t="n">
        <x:v>7661</x:v>
      </x:c>
      <x:c r="F442" s="153" t="n">
        <x:v>7716</x:v>
      </x:c>
      <x:c r="G442" s="153" t="n">
        <x:v>-105</x:v>
      </x:c>
      <x:c r="H442" s="154" t="n">
        <x:v>-0.0134</x:v>
      </x:c>
      <x:c r="I442" s="158" t="n">
        <x:v>7702</x:v>
      </x:c>
      <x:c r="J442" s="158" t="n">
        <x:v>482454</x:v>
      </x:c>
      <x:c r="K442" s="158" t="n">
        <x:v>3716118038</x:v>
      </x:c>
      <x:c r="L442" s="158" t="n">
        <x:v>4735148</x:v>
      </x:c>
      <x:c r="M442" s="141" t="str">
        <x:v>https://www.sge.com.cn/sjzx/quotation_daily_new?start_date=2024-12-01&amp;end_date=2024-12-31&amp;inst_ids=Ag%28T%2BD%29&amp;p=</x:v>
      </x:c>
    </x:row>
    <x:row r="443">
      <x:c r="A443" s="155" t="n">
        <x:v>45642</x:v>
      </x:c>
      <x:c r="B443" s="141" t="str">
        <x:v>Au99.99</x:v>
      </x:c>
      <x:c r="C443" s="153" t="n">
        <x:v>620</x:v>
      </x:c>
      <x:c r="D443" s="153" t="n">
        <x:v>625</x:v>
      </x:c>
      <x:c r="E443" s="153" t="n">
        <x:v>616.35</x:v>
      </x:c>
      <x:c r="F443" s="153" t="n">
        <x:v>618.34</x:v>
      </x:c>
      <x:c r="G443" s="153" t="n">
        <x:v>-4.09</x:v>
      </x:c>
      <x:c r="H443" s="154" t="n">
        <x:v>-0.0066</x:v>
      </x:c>
      <x:c r="I443" s="158" t="n">
        <x:v>617.42</x:v>
      </x:c>
      <x:c r="J443" s="158" t="n">
        <x:v>11574.2</x:v>
      </x:c>
      <x:c r="K443" s="158" t="n">
        <x:v>7146245249.8</x:v>
      </x:c>
      <x:c r="L443" s="158"/>
      <x:c r="M443" s="141" t="str">
        <x:v>https://www.sge.com.cn/sjzx/quotation_daily_new?start_date=2024-12-01&amp;end_date=2024-12-31&amp;inst_ids=Au99.99&amp;p=</x:v>
      </x:c>
    </x:row>
    <x:row r="444">
      <x:c r="A444" s="155" t="n">
        <x:v>45643</x:v>
      </x:c>
      <x:c r="B444" s="141" t="str">
        <x:v>Ag(T+D)</x:v>
      </x:c>
      <x:c r="C444" s="153" t="n">
        <x:v>7719</x:v>
      </x:c>
      <x:c r="D444" s="153" t="n">
        <x:v>7756</x:v>
      </x:c>
      <x:c r="E444" s="153" t="n">
        <x:v>7689</x:v>
      </x:c>
      <x:c r="F444" s="153" t="n">
        <x:v>7701</x:v>
      </x:c>
      <x:c r="G444" s="153" t="n">
        <x:v>-1</x:v>
      </x:c>
      <x:c r="H444" s="154" t="n">
        <x:v>-0.0001</x:v>
      </x:c>
      <x:c r="I444" s="158" t="n">
        <x:v>7716</x:v>
      </x:c>
      <x:c r="J444" s="158" t="n">
        <x:v>241128</x:v>
      </x:c>
      <x:c r="K444" s="158" t="n">
        <x:v>1860593046</x:v>
      </x:c>
      <x:c r="L444" s="158" t="n">
        <x:v>4528706</x:v>
      </x:c>
      <x:c r="M444" s="141" t="str">
        <x:v>https://www.sge.com.cn/sjzx/quotation_daily_new?start_date=2024-12-01&amp;end_date=2024-12-31&amp;inst_ids=Ag%28T%2BD%29&amp;p=</x:v>
      </x:c>
    </x:row>
    <x:row r="445">
      <x:c r="A445" s="155" t="n">
        <x:v>45643</x:v>
      </x:c>
      <x:c r="B445" s="141" t="str">
        <x:v>Au99.99</x:v>
      </x:c>
      <x:c r="C445" s="153" t="n">
        <x:v>621</x:v>
      </x:c>
      <x:c r="D445" s="153" t="n">
        <x:v>621</x:v>
      </x:c>
      <x:c r="E445" s="153" t="n">
        <x:v>616.7</x:v>
      </x:c>
      <x:c r="F445" s="153" t="n">
        <x:v>618.21</x:v>
      </x:c>
      <x:c r="G445" s="153" t="n">
        <x:v>-0.13</x:v>
      </x:c>
      <x:c r="H445" s="154" t="n">
        <x:v>-0.0002</x:v>
      </x:c>
      <x:c r="I445" s="158" t="n">
        <x:v>618.74</x:v>
      </x:c>
      <x:c r="J445" s="158" t="n">
        <x:v>9575.22</x:v>
      </x:c>
      <x:c r="K445" s="158" t="n">
        <x:v>5924590136.8</x:v>
      </x:c>
      <x:c r="L445" s="158"/>
      <x:c r="M445" s="141" t="str">
        <x:v>https://www.sge.com.cn/sjzx/quotation_daily_new?start_date=2024-12-01&amp;end_date=2024-12-31&amp;inst_ids=Au99.99&amp;p=</x:v>
      </x:c>
    </x:row>
    <x:row r="446">
      <x:c r="A446" s="155" t="n">
        <x:v>45644</x:v>
      </x:c>
      <x:c r="B446" s="141" t="str">
        <x:v>Ag(T+D)</x:v>
      </x:c>
      <x:c r="C446" s="153" t="n">
        <x:v>7660</x:v>
      </x:c>
      <x:c r="D446" s="153" t="n">
        <x:v>7721</x:v>
      </x:c>
      <x:c r="E446" s="153" t="n">
        <x:v>7636</x:v>
      </x:c>
      <x:c r="F446" s="153" t="n">
        <x:v>7680</x:v>
      </x:c>
      <x:c r="G446" s="153" t="n">
        <x:v>-36</x:v>
      </x:c>
      <x:c r="H446" s="154" t="n">
        <x:v>-0.004699999999999999</x:v>
      </x:c>
      <x:c r="I446" s="158" t="n">
        <x:v>7680</x:v>
      </x:c>
      <x:c r="J446" s="158" t="n">
        <x:v>282408</x:v>
      </x:c>
      <x:c r="K446" s="158" t="n">
        <x:v>2169136228</x:v>
      </x:c>
      <x:c r="L446" s="158" t="n">
        <x:v>4497144</x:v>
      </x:c>
      <x:c r="M446" s="141" t="str">
        <x:v>https://www.sge.com.cn/sjzx/quotation_daily_new?start_date=2024-12-01&amp;end_date=2024-12-31&amp;inst_ids=Ag%28T%2BD%29&amp;p=</x:v>
      </x:c>
    </x:row>
    <x:row r="447">
      <x:c r="A447" s="155" t="n">
        <x:v>45644</x:v>
      </x:c>
      <x:c r="B447" s="141" t="str">
        <x:v>Au99.99</x:v>
      </x:c>
      <x:c r="C447" s="153" t="n">
        <x:v>616</x:v>
      </x:c>
      <x:c r="D447" s="153" t="n">
        <x:v>619</x:v>
      </x:c>
      <x:c r="E447" s="153" t="n">
        <x:v>614</x:v>
      </x:c>
      <x:c r="F447" s="153" t="n">
        <x:v>616.5</x:v>
      </x:c>
      <x:c r="G447" s="153" t="n">
        <x:v>-1.71</x:v>
      </x:c>
      <x:c r="H447" s="154" t="n">
        <x:v>-0.0028000000000000004</x:v>
      </x:c>
      <x:c r="I447" s="158" t="n">
        <x:v>617.11</x:v>
      </x:c>
      <x:c r="J447" s="158" t="n">
        <x:v>9319.12</x:v>
      </x:c>
      <x:c r="K447" s="158" t="n">
        <x:v>5751000775.4</x:v>
      </x:c>
      <x:c r="L447" s="158"/>
      <x:c r="M447" s="141" t="str">
        <x:v>https://www.sge.com.cn/sjzx/quotation_daily_new?start_date=2024-12-01&amp;end_date=2024-12-31&amp;inst_ids=Au99.99&amp;p=</x:v>
      </x:c>
    </x:row>
    <x:row r="448">
      <x:c r="A448" s="155" t="n">
        <x:v>45645</x:v>
      </x:c>
      <x:c r="B448" s="141" t="str">
        <x:v>Ag(T+D)</x:v>
      </x:c>
      <x:c r="C448" s="153" t="n">
        <x:v>7680</x:v>
      </x:c>
      <x:c r="D448" s="153" t="n">
        <x:v>7697</x:v>
      </x:c>
      <x:c r="E448" s="153" t="n">
        <x:v>7441</x:v>
      </x:c>
      <x:c r="F448" s="153" t="n">
        <x:v>7508</x:v>
      </x:c>
      <x:c r="G448" s="153" t="n">
        <x:v>-172</x:v>
      </x:c>
      <x:c r="H448" s="154" t="n">
        <x:v>-0.022400000000000003</x:v>
      </x:c>
      <x:c r="I448" s="158" t="n">
        <x:v>7508</x:v>
      </x:c>
      <x:c r="J448" s="158" t="n">
        <x:v>473468</x:v>
      </x:c>
      <x:c r="K448" s="158" t="n">
        <x:v>3554864312</x:v>
      </x:c>
      <x:c r="L448" s="158" t="n">
        <x:v>4388376</x:v>
      </x:c>
      <x:c r="M448" s="141" t="str">
        <x:v>https://www.sge.com.cn/sjzx/quotation_daily_new?start_date=2024-12-01&amp;end_date=2024-12-31&amp;inst_ids=Ag%28T%2BD%29&amp;p=</x:v>
      </x:c>
    </x:row>
    <x:row r="449">
      <x:c r="A449" s="155" t="n">
        <x:v>45645</x:v>
      </x:c>
      <x:c r="B449" s="141" t="str">
        <x:v>Au99.99</x:v>
      </x:c>
      <x:c r="C449" s="153" t="n">
        <x:v>616.5</x:v>
      </x:c>
      <x:c r="D449" s="153" t="n">
        <x:v>616.5</x:v>
      </x:c>
      <x:c r="E449" s="153" t="n">
        <x:v>607</x:v>
      </x:c>
      <x:c r="F449" s="153" t="n">
        <x:v>614.53</x:v>
      </x:c>
      <x:c r="G449" s="153" t="n">
        <x:v>-1.97</x:v>
      </x:c>
      <x:c r="H449" s="154" t="n">
        <x:v>-0.0032</x:v>
      </x:c>
      <x:c r="I449" s="158" t="n">
        <x:v>611.64</x:v>
      </x:c>
      <x:c r="J449" s="158" t="n">
        <x:v>14778.14</x:v>
      </x:c>
      <x:c r="K449" s="158" t="n">
        <x:v>9038948572.8</x:v>
      </x:c>
      <x:c r="L449" s="158"/>
      <x:c r="M449" s="141" t="str">
        <x:v>https://www.sge.com.cn/sjzx/quotation_daily_new?start_date=2024-12-01&amp;end_date=2024-12-31&amp;inst_ids=Au99.99&amp;p=</x:v>
      </x:c>
    </x:row>
    <x:row r="450">
      <x:c r="A450" s="155" t="n">
        <x:v>45646</x:v>
      </x:c>
      <x:c r="B450" s="141" t="str">
        <x:v>Ag(T+D)</x:v>
      </x:c>
      <x:c r="C450" s="153" t="n">
        <x:v>7497</x:v>
      </x:c>
      <x:c r="D450" s="153" t="n">
        <x:v>7497</x:v>
      </x:c>
      <x:c r="E450" s="153" t="n">
        <x:v>7353</x:v>
      </x:c>
      <x:c r="F450" s="153" t="n">
        <x:v>7411</x:v>
      </x:c>
      <x:c r="G450" s="153" t="n">
        <x:v>-97</x:v>
      </x:c>
      <x:c r="H450" s="154" t="n">
        <x:v>-0.0129</x:v>
      </x:c>
      <x:c r="I450" s="158" t="n">
        <x:v>7414</x:v>
      </x:c>
      <x:c r="J450" s="158" t="n">
        <x:v>340286</x:v>
      </x:c>
      <x:c r="K450" s="158" t="n">
        <x:v>2523107696</x:v>
      </x:c>
      <x:c r="L450" s="158" t="n">
        <x:v>4256836</x:v>
      </x:c>
      <x:c r="M450" s="141" t="str">
        <x:v>https://www.sge.com.cn/sjzx/quotation_daily_new?start_date=2024-12-01&amp;end_date=2024-12-31&amp;inst_ids=Ag%28T%2BD%29&amp;p=</x:v>
      </x:c>
    </x:row>
    <x:row r="451">
      <x:c r="A451" s="155" t="n">
        <x:v>45646</x:v>
      </x:c>
      <x:c r="B451" s="141" t="str">
        <x:v>Au99.99</x:v>
      </x:c>
      <x:c r="C451" s="153" t="n">
        <x:v>615</x:v>
      </x:c>
      <x:c r="D451" s="153" t="n">
        <x:v>616</x:v>
      </x:c>
      <x:c r="E451" s="153" t="n">
        <x:v>608</x:v>
      </x:c>
      <x:c r="F451" s="153" t="n">
        <x:v>611.83</x:v>
      </x:c>
      <x:c r="G451" s="153" t="n">
        <x:v>-2.7</x:v>
      </x:c>
      <x:c r="H451" s="154" t="n">
        <x:v>-0.0044</x:v>
      </x:c>
      <x:c r="I451" s="158" t="n">
        <x:v>610.96</x:v>
      </x:c>
      <x:c r="J451" s="158" t="n">
        <x:v>12966.9</x:v>
      </x:c>
      <x:c r="K451" s="158" t="n">
        <x:v>7922283702.2</x:v>
      </x:c>
      <x:c r="L451" s="158"/>
      <x:c r="M451" s="141" t="str">
        <x:v>https://www.sge.com.cn/sjzx/quotation_daily_new?start_date=2024-12-01&amp;end_date=2024-12-31&amp;inst_ids=Au99.99&amp;p=</x:v>
      </x:c>
    </x:row>
    <x:row r="452">
      <x:c r="A452" s="155" t="n">
        <x:v>45649</x:v>
      </x:c>
      <x:c r="B452" s="141" t="str">
        <x:v>Ag(T+D)</x:v>
      </x:c>
      <x:c r="C452" s="153" t="n">
        <x:v>7395</x:v>
      </x:c>
      <x:c r="D452" s="153" t="n">
        <x:v>7575</x:v>
      </x:c>
      <x:c r="E452" s="153" t="n">
        <x:v>7380</x:v>
      </x:c>
      <x:c r="F452" s="153" t="n">
        <x:v>7572</x:v>
      </x:c>
      <x:c r="G452" s="153" t="n">
        <x:v>158</x:v>
      </x:c>
      <x:c r="H452" s="154" t="n">
        <x:v>0.0213</x:v>
      </x:c>
      <x:c r="I452" s="158" t="n">
        <x:v>7508</x:v>
      </x:c>
      <x:c r="J452" s="158" t="n">
        <x:v>401784</x:v>
      </x:c>
      <x:c r="K452" s="158" t="n">
        <x:v>3016654630</x:v>
      </x:c>
      <x:c r="L452" s="158" t="n">
        <x:v>4093902</x:v>
      </x:c>
      <x:c r="M452" s="141" t="str">
        <x:v>https://www.sge.com.cn/sjzx/quotation_daily_new?start_date=2024-12-01&amp;end_date=2024-12-31&amp;inst_ids=Ag%28T%2BD%29&amp;p=</x:v>
      </x:c>
    </x:row>
    <x:row r="453">
      <x:c r="A453" s="155" t="n">
        <x:v>45649</x:v>
      </x:c>
      <x:c r="B453" s="141" t="str">
        <x:v>Au99.99</x:v>
      </x:c>
      <x:c r="C453" s="153" t="n">
        <x:v>611.1</x:v>
      </x:c>
      <x:c r="D453" s="153" t="n">
        <x:v>618.94</x:v>
      </x:c>
      <x:c r="E453" s="153" t="n">
        <x:v>611.1</x:v>
      </x:c>
      <x:c r="F453" s="153" t="n">
        <x:v>618.4</x:v>
      </x:c>
      <x:c r="G453" s="153" t="n">
        <x:v>6.57</x:v>
      </x:c>
      <x:c r="H453" s="154" t="n">
        <x:v>0.010700000000000001</x:v>
      </x:c>
      <x:c r="I453" s="158" t="n">
        <x:v>617.52</x:v>
      </x:c>
      <x:c r="J453" s="158" t="n">
        <x:v>11136.88</x:v>
      </x:c>
      <x:c r="K453" s="158" t="n">
        <x:v>6877252537.4</x:v>
      </x:c>
      <x:c r="L453" s="158"/>
      <x:c r="M453" s="141" t="str">
        <x:v>https://www.sge.com.cn/sjzx/quotation_daily_new?start_date=2024-12-01&amp;end_date=2024-12-31&amp;inst_ids=Au99.99&amp;p=</x:v>
      </x:c>
    </x:row>
    <x:row r="454">
      <x:c r="A454" s="155" t="n">
        <x:v>45650</x:v>
      </x:c>
      <x:c r="B454" s="141" t="str">
        <x:v>Ag(T+D)</x:v>
      </x:c>
      <x:c r="C454" s="153" t="n">
        <x:v>7551</x:v>
      </x:c>
      <x:c r="D454" s="153" t="n">
        <x:v>7585</x:v>
      </x:c>
      <x:c r="E454" s="153" t="n">
        <x:v>7510</x:v>
      </x:c>
      <x:c r="F454" s="153" t="n">
        <x:v>7563</x:v>
      </x:c>
      <x:c r="G454" s="153" t="n">
        <x:v>55</x:v>
      </x:c>
      <x:c r="H454" s="154" t="n">
        <x:v>0.0073</x:v>
      </x:c>
      <x:c r="I454" s="158" t="n">
        <x:v>7555</x:v>
      </x:c>
      <x:c r="J454" s="158" t="n">
        <x:v>506258</x:v>
      </x:c>
      <x:c r="K454" s="158" t="n">
        <x:v>3825142308</x:v>
      </x:c>
      <x:c r="L454" s="158" t="n">
        <x:v>3945818</x:v>
      </x:c>
      <x:c r="M454" s="141" t="str">
        <x:v>https://www.sge.com.cn/sjzx/quotation_daily_new?start_date=2024-12-01&amp;end_date=2024-12-31&amp;inst_ids=Ag%28T%2BD%29&amp;p=</x:v>
      </x:c>
    </x:row>
    <x:row r="455">
      <x:c r="A455" s="155" t="n">
        <x:v>45650</x:v>
      </x:c>
      <x:c r="B455" s="141" t="str">
        <x:v>Au99.99</x:v>
      </x:c>
      <x:c r="C455" s="153" t="n">
        <x:v>600</x:v>
      </x:c>
      <x:c r="D455" s="153" t="n">
        <x:v>617</x:v>
      </x:c>
      <x:c r="E455" s="153" t="n">
        <x:v>600</x:v>
      </x:c>
      <x:c r="F455" s="153" t="n">
        <x:v>616.34</x:v>
      </x:c>
      <x:c r="G455" s="153" t="n">
        <x:v>-2.06</x:v>
      </x:c>
      <x:c r="H455" s="154" t="n">
        <x:v>-0.0033</x:v>
      </x:c>
      <x:c r="I455" s="158" t="n">
        <x:v>615.98</x:v>
      </x:c>
      <x:c r="J455" s="158" t="n">
        <x:v>9607.56</x:v>
      </x:c>
      <x:c r="K455" s="158" t="n">
        <x:v>5918146883.2</x:v>
      </x:c>
      <x:c r="L455" s="158"/>
      <x:c r="M455" s="141" t="str">
        <x:v>https://www.sge.com.cn/sjzx/quotation_daily_new?start_date=2024-12-01&amp;end_date=2024-12-31&amp;inst_ids=Au99.99&amp;p=</x:v>
      </x:c>
    </x:row>
    <x:row r="456">
      <x:c r="A456" s="155" t="n">
        <x:v>45651</x:v>
      </x:c>
      <x:c r="B456" s="141" t="str">
        <x:v>Ag(T+D)</x:v>
      </x:c>
      <x:c r="C456" s="153" t="n">
        <x:v>7540</x:v>
      </x:c>
      <x:c r="D456" s="153" t="n">
        <x:v>7604</x:v>
      </x:c>
      <x:c r="E456" s="153" t="n">
        <x:v>7501</x:v>
      </x:c>
      <x:c r="F456" s="153" t="n">
        <x:v>7553</x:v>
      </x:c>
      <x:c r="G456" s="153" t="n">
        <x:v>-2</x:v>
      </x:c>
      <x:c r="H456" s="154" t="n">
        <x:v>-0.0003</x:v>
      </x:c>
      <x:c r="I456" s="158" t="n">
        <x:v>7569</x:v>
      </x:c>
      <x:c r="J456" s="158" t="n">
        <x:v>223652</x:v>
      </x:c>
      <x:c r="K456" s="158" t="n">
        <x:v>1692919712</x:v>
      </x:c>
      <x:c r="L456" s="158" t="n">
        <x:v>3985898</x:v>
      </x:c>
      <x:c r="M456" s="141" t="str">
        <x:v>https://www.sge.com.cn/sjzx/quotation_daily_new?start_date=2024-12-01&amp;end_date=2024-12-31&amp;inst_ids=Ag%28T%2BD%29&amp;p=</x:v>
      </x:c>
    </x:row>
    <x:row r="457">
      <x:c r="A457" s="155" t="n">
        <x:v>45651</x:v>
      </x:c>
      <x:c r="B457" s="141" t="str">
        <x:v>Au99.99</x:v>
      </x:c>
      <x:c r="C457" s="153" t="n">
        <x:v>615.2</x:v>
      </x:c>
      <x:c r="D457" s="153" t="n">
        <x:v>617.89</x:v>
      </x:c>
      <x:c r="E457" s="153" t="n">
        <x:v>615.05</x:v>
      </x:c>
      <x:c r="F457" s="153" t="n">
        <x:v>616.8</x:v>
      </x:c>
      <x:c r="G457" s="153" t="n">
        <x:v>0.46</x:v>
      </x:c>
      <x:c r="H457" s="154" t="n">
        <x:v>0.0007000000000000001</x:v>
      </x:c>
      <x:c r="I457" s="158" t="n">
        <x:v>617.12</x:v>
      </x:c>
      <x:c r="J457" s="158" t="n">
        <x:v>8153.06</x:v>
      </x:c>
      <x:c r="K457" s="158" t="n">
        <x:v>5031483450.6</x:v>
      </x:c>
      <x:c r="L457" s="158"/>
      <x:c r="M457" s="141" t="str">
        <x:v>https://www.sge.com.cn/sjzx/quotation_daily_new?start_date=2024-12-01&amp;end_date=2024-12-31&amp;inst_ids=Au99.99&amp;p=</x:v>
      </x:c>
    </x:row>
    <x:row r="458">
      <x:c r="A458" s="155" t="n">
        <x:v>45652</x:v>
      </x:c>
      <x:c r="B458" s="141" t="str">
        <x:v>Ag(T+D)</x:v>
      </x:c>
      <x:c r="C458" s="153" t="n">
        <x:v>7565</x:v>
      </x:c>
      <x:c r="D458" s="153" t="n">
        <x:v>7645</x:v>
      </x:c>
      <x:c r="E458" s="153" t="n">
        <x:v>7542</x:v>
      </x:c>
      <x:c r="F458" s="153" t="n">
        <x:v>7550</x:v>
      </x:c>
      <x:c r="G458" s="153" t="n">
        <x:v>-19</x:v>
      </x:c>
      <x:c r="H458" s="154" t="n">
        <x:v>-0.0025</x:v>
      </x:c>
      <x:c r="I458" s="158" t="n">
        <x:v>7585</x:v>
      </x:c>
      <x:c r="J458" s="158" t="n">
        <x:v>231860</x:v>
      </x:c>
      <x:c r="K458" s="158" t="n">
        <x:v>1758682000</x:v>
      </x:c>
      <x:c r="L458" s="158" t="n">
        <x:v>4032580</x:v>
      </x:c>
      <x:c r="M458" s="141" t="str">
        <x:v>https://www.sge.com.cn/sjzx/quotation_daily_new?start_date=2024-12-01&amp;end_date=2024-12-31&amp;inst_ids=Ag%28T%2BD%29&amp;p=</x:v>
      </x:c>
    </x:row>
    <x:row r="459">
      <x:c r="A459" s="155" t="n">
        <x:v>45652</x:v>
      </x:c>
      <x:c r="B459" s="141" t="str">
        <x:v>Au99.99</x:v>
      </x:c>
      <x:c r="C459" s="153" t="n">
        <x:v>617.5</x:v>
      </x:c>
      <x:c r="D459" s="153" t="n">
        <x:v>618.98</x:v>
      </x:c>
      <x:c r="E459" s="153" t="n">
        <x:v>616.5</x:v>
      </x:c>
      <x:c r="F459" s="153" t="n">
        <x:v>618.07</x:v>
      </x:c>
      <x:c r="G459" s="153" t="n">
        <x:v>1.27</x:v>
      </x:c>
      <x:c r="H459" s="154" t="n">
        <x:v>0.0021</x:v>
      </x:c>
      <x:c r="I459" s="158" t="n">
        <x:v>617.95</x:v>
      </x:c>
      <x:c r="J459" s="158" t="n">
        <x:v>10179.12</x:v>
      </x:c>
      <x:c r="K459" s="158" t="n">
        <x:v>6290216881.8</x:v>
      </x:c>
      <x:c r="L459" s="158"/>
      <x:c r="M459" s="141" t="str">
        <x:v>https://www.sge.com.cn/sjzx/quotation_daily_new?start_date=2024-12-01&amp;end_date=2024-12-31&amp;inst_ids=Au99.99&amp;p=</x:v>
      </x:c>
    </x:row>
    <x:row r="460">
      <x:c r="A460" s="155" t="n">
        <x:v>45653</x:v>
      </x:c>
      <x:c r="B460" s="141" t="str">
        <x:v>Ag(T+D)</x:v>
      </x:c>
      <x:c r="C460" s="153" t="n">
        <x:v>7567</x:v>
      </x:c>
      <x:c r="D460" s="153" t="n">
        <x:v>7615</x:v>
      </x:c>
      <x:c r="E460" s="153" t="n">
        <x:v>7544</x:v>
      </x:c>
      <x:c r="F460" s="153" t="n">
        <x:v>7584</x:v>
      </x:c>
      <x:c r="G460" s="153" t="n">
        <x:v>-1</x:v>
      </x:c>
      <x:c r="H460" s="154" t="n">
        <x:v>-0.0001</x:v>
      </x:c>
      <x:c r="I460" s="158" t="n">
        <x:v>7592</x:v>
      </x:c>
      <x:c r="J460" s="158" t="n">
        <x:v>261420</x:v>
      </x:c>
      <x:c r="K460" s="158" t="n">
        <x:v>1984880960</x:v>
      </x:c>
      <x:c r="L460" s="158" t="n">
        <x:v>4029476</x:v>
      </x:c>
      <x:c r="M460" s="141" t="str">
        <x:v>https://www.sge.com.cn/sjzx/quotation_daily_new?start_date=2024-12-01&amp;end_date=2024-12-31&amp;inst_ids=Ag%28T%2BD%29&amp;p=</x:v>
      </x:c>
    </x:row>
    <x:row r="461">
      <x:c r="A461" s="155" t="n">
        <x:v>45653</x:v>
      </x:c>
      <x:c r="B461" s="141" t="str">
        <x:v>Au99.99</x:v>
      </x:c>
      <x:c r="C461" s="153" t="n">
        <x:v>618</x:v>
      </x:c>
      <x:c r="D461" s="153" t="n">
        <x:v>619.5</x:v>
      </x:c>
      <x:c r="E461" s="153" t="n">
        <x:v>618</x:v>
      </x:c>
      <x:c r="F461" s="153" t="n">
        <x:v>618.55</x:v>
      </x:c>
      <x:c r="G461" s="153" t="n">
        <x:v>0.48</x:v>
      </x:c>
      <x:c r="H461" s="154" t="n">
        <x:v>0.0008</x:v>
      </x:c>
      <x:c r="I461" s="158" t="n">
        <x:v>618.72</x:v>
      </x:c>
      <x:c r="J461" s="158" t="n">
        <x:v>10013.18</x:v>
      </x:c>
      <x:c r="K461" s="158" t="n">
        <x:v>6195416100</x:v>
      </x:c>
      <x:c r="L461" s="158"/>
      <x:c r="M461" s="141" t="str">
        <x:v>https://www.sge.com.cn/sjzx/quotation_daily_new?start_date=2024-12-01&amp;end_date=2024-12-31&amp;inst_ids=Au99.99&amp;p=</x:v>
      </x:c>
    </x:row>
    <x:row r="462">
      <x:c r="A462" s="155" t="n">
        <x:v>45656</x:v>
      </x:c>
      <x:c r="B462" s="141" t="str">
        <x:v>Ag(T+D)</x:v>
      </x:c>
      <x:c r="C462" s="153" t="n">
        <x:v>7568</x:v>
      </x:c>
      <x:c r="D462" s="153" t="n">
        <x:v>7569</x:v>
      </x:c>
      <x:c r="E462" s="153" t="n">
        <x:v>7481</x:v>
      </x:c>
      <x:c r="F462" s="153" t="n">
        <x:v>7557</x:v>
      </x:c>
      <x:c r="G462" s="153" t="n">
        <x:v>-35</x:v>
      </x:c>
      <x:c r="H462" s="154" t="n">
        <x:v>-0.0046</x:v>
      </x:c>
      <x:c r="I462" s="158" t="n">
        <x:v>7529</x:v>
      </x:c>
      <x:c r="J462" s="158" t="n">
        <x:v>270748</x:v>
      </x:c>
      <x:c r="K462" s="158" t="n">
        <x:v>2038625498</x:v>
      </x:c>
      <x:c r="L462" s="158" t="n">
        <x:v>4035630</x:v>
      </x:c>
      <x:c r="M462" s="141" t="str">
        <x:v>https://www.sge.com.cn/sjzx/quotation_daily_new?start_date=2024-12-01&amp;end_date=2024-12-31&amp;inst_ids=Ag%28T%2BD%29&amp;p=</x:v>
      </x:c>
    </x:row>
    <x:row r="463">
      <x:c r="A463" s="155" t="n">
        <x:v>45656</x:v>
      </x:c>
      <x:c r="B463" s="141" t="str">
        <x:v>Au99.99</x:v>
      </x:c>
      <x:c r="C463" s="153" t="n">
        <x:v>616.5</x:v>
      </x:c>
      <x:c r="D463" s="153" t="n">
        <x:v>618</x:v>
      </x:c>
      <x:c r="E463" s="153" t="n">
        <x:v>614.5</x:v>
      </x:c>
      <x:c r="F463" s="153" t="n">
        <x:v>616.5</x:v>
      </x:c>
      <x:c r="G463" s="153" t="n">
        <x:v>-2.05</x:v>
      </x:c>
      <x:c r="H463" s="154" t="n">
        <x:v>-0.0033</x:v>
      </x:c>
      <x:c r="I463" s="158" t="n">
        <x:v>616.73</x:v>
      </x:c>
      <x:c r="J463" s="158" t="n">
        <x:v>10156.7</x:v>
      </x:c>
      <x:c r="K463" s="158" t="n">
        <x:v>6264032628.8</x:v>
      </x:c>
      <x:c r="L463" s="158"/>
      <x:c r="M463" s="141" t="str">
        <x:v>https://www.sge.com.cn/sjzx/quotation_daily_new?start_date=2024-12-01&amp;end_date=2024-12-31&amp;inst_ids=Au99.99&amp;p=</x:v>
      </x:c>
    </x:row>
    <x:row r="464">
      <x:c r="A464" s="155" t="n">
        <x:v>45657</x:v>
      </x:c>
      <x:c r="B464" s="141" t="str">
        <x:v>Ag(T+D)</x:v>
      </x:c>
      <x:c r="C464" s="153" t="n">
        <x:v>7543</x:v>
      </x:c>
      <x:c r="D464" s="153" t="n">
        <x:v>7559</x:v>
      </x:c>
      <x:c r="E464" s="153" t="n">
        <x:v>7439</x:v>
      </x:c>
      <x:c r="F464" s="153" t="n">
        <x:v>7461</x:v>
      </x:c>
      <x:c r="G464" s="153" t="n">
        <x:v>-68</x:v>
      </x:c>
      <x:c r="H464" s="154" t="n">
        <x:v>-0.009000000000000001</x:v>
      </x:c>
      <x:c r="I464" s="158" t="n">
        <x:v>7476</x:v>
      </x:c>
      <x:c r="J464" s="158" t="n">
        <x:v>275982</x:v>
      </x:c>
      <x:c r="K464" s="158" t="n">
        <x:v>2063300794</x:v>
      </x:c>
      <x:c r="L464" s="158" t="n">
        <x:v>4056828</x:v>
      </x:c>
      <x:c r="M464" s="141" t="str">
        <x:v>https://www.sge.com.cn/sjzx/quotation_daily_new?start_date=2024-12-01&amp;end_date=2024-12-31&amp;inst_ids=Ag%28T%2BD%29&amp;p=</x:v>
      </x:c>
    </x:row>
    <x:row r="465">
      <x:c r="A465" s="155" t="n">
        <x:v>45657</x:v>
      </x:c>
      <x:c r="B465" s="141" t="str">
        <x:v>Au99.99</x:v>
      </x:c>
      <x:c r="C465" s="153" t="n">
        <x:v>615.5</x:v>
      </x:c>
      <x:c r="D465" s="153" t="n">
        <x:v>617.7</x:v>
      </x:c>
      <x:c r="E465" s="153" t="n">
        <x:v>613.6</x:v>
      </x:c>
      <x:c r="F465" s="153" t="n">
        <x:v>614.8</x:v>
      </x:c>
      <x:c r="G465" s="153" t="n">
        <x:v>-1.7</x:v>
      </x:c>
      <x:c r="H465" s="154" t="n">
        <x:v>-0.0028000000000000004</x:v>
      </x:c>
      <x:c r="I465" s="158" t="n">
        <x:v>614.93</x:v>
      </x:c>
      <x:c r="J465" s="158" t="n">
        <x:v>8629.54</x:v>
      </x:c>
      <x:c r="K465" s="158" t="n">
        <x:v>5306620178.6</x:v>
      </x:c>
      <x:c r="L465" s="158"/>
      <x:c r="M465" s="141" t="str">
        <x:v>https://www.sge.com.cn/sjzx/quotation_daily_new?start_date=2024-12-01&amp;end_date=2024-12-31&amp;inst_ids=Au99.99&amp;p=</x:v>
      </x:c>
    </x:row>
    <x:row r="466">
      <x:c r="A466" s="155" t="n">
        <x:v>45659</x:v>
      </x:c>
      <x:c r="B466" s="141" t="str">
        <x:v>Ag(T+D)</x:v>
      </x:c>
      <x:c r="C466" s="153" t="n">
        <x:v>7469</x:v>
      </x:c>
      <x:c r="D466" s="153" t="n">
        <x:v>7607</x:v>
      </x:c>
      <x:c r="E466" s="153" t="n">
        <x:v>7469</x:v>
      </x:c>
      <x:c r="F466" s="153" t="n">
        <x:v>7601</x:v>
      </x:c>
      <x:c r="G466" s="153" t="n">
        <x:v>125</x:v>
      </x:c>
      <x:c r="H466" s="154" t="n">
        <x:v>0.0167</x:v>
      </x:c>
      <x:c r="I466" s="158" t="n">
        <x:v>7592</x:v>
      </x:c>
      <x:c r="J466" s="158" t="n">
        <x:v>284738</x:v>
      </x:c>
      <x:c r="K466" s="158" t="n">
        <x:v>2161790580</x:v>
      </x:c>
      <x:c r="L466" s="158" t="n">
        <x:v>4063372</x:v>
      </x:c>
      <x:c r="M466" s="141" t="str">
        <x:v>https://www.sge.com.cn/sjzx/quotation_daily_new?start_date=2025-01-01&amp;end_date=2025-01-31&amp;inst_ids=Ag%28T%2BD%29&amp;p=</x:v>
      </x:c>
    </x:row>
    <x:row r="467">
      <x:c r="A467" s="155" t="n">
        <x:v>45659</x:v>
      </x:c>
      <x:c r="B467" s="141" t="str">
        <x:v>Au99.99</x:v>
      </x:c>
      <x:c r="C467" s="153" t="n">
        <x:v>614</x:v>
      </x:c>
      <x:c r="D467" s="153" t="n">
        <x:v>622.6</x:v>
      </x:c>
      <x:c r="E467" s="153" t="n">
        <x:v>614</x:v>
      </x:c>
      <x:c r="F467" s="153" t="n">
        <x:v>621.99</x:v>
      </x:c>
      <x:c r="G467" s="153" t="n">
        <x:v>7.19</x:v>
      </x:c>
      <x:c r="H467" s="154" t="n">
        <x:v>0.011699999999999999</x:v>
      </x:c>
      <x:c r="I467" s="158" t="n">
        <x:v>621.27</x:v>
      </x:c>
      <x:c r="J467" s="158" t="n">
        <x:v>12745.84</x:v>
      </x:c>
      <x:c r="K467" s="158" t="n">
        <x:v>7918685399</x:v>
      </x:c>
      <x:c r="L467" s="158"/>
      <x:c r="M467" s="141" t="str">
        <x:v>https://www.sge.com.cn/sjzx/quotation_daily_new?start_date=2025-01-01&amp;end_date=2025-01-31&amp;inst_ids=Au99.99&amp;p=</x:v>
      </x:c>
    </x:row>
    <x:row r="468">
      <x:c r="A468" s="155" t="n">
        <x:v>45660</x:v>
      </x:c>
      <x:c r="B468" s="141" t="str">
        <x:v>Ag(T+D)</x:v>
      </x:c>
      <x:c r="C468" s="153" t="n">
        <x:v>7613</x:v>
      </x:c>
      <x:c r="D468" s="153" t="n">
        <x:v>7658</x:v>
      </x:c>
      <x:c r="E468" s="153" t="n">
        <x:v>7581</x:v>
      </x:c>
      <x:c r="F468" s="153" t="n">
        <x:v>7620</x:v>
      </x:c>
      <x:c r="G468" s="153" t="n">
        <x:v>28</x:v>
      </x:c>
      <x:c r="H468" s="154" t="n">
        <x:v>0.0037</x:v>
      </x:c>
      <x:c r="I468" s="158" t="n">
        <x:v>7619</x:v>
      </x:c>
      <x:c r="J468" s="158" t="n">
        <x:v>331200</x:v>
      </x:c>
      <x:c r="K468" s="158" t="n">
        <x:v>2523513088</x:v>
      </x:c>
      <x:c r="L468" s="158" t="n">
        <x:v>4076050</x:v>
      </x:c>
      <x:c r="M468" s="141" t="str">
        <x:v>https://www.sge.com.cn/sjzx/quotation_daily_new?start_date=2025-01-01&amp;end_date=2025-01-31&amp;inst_ids=Ag%28T%2BD%29&amp;p=</x:v>
      </x:c>
    </x:row>
    <x:row r="469">
      <x:c r="A469" s="155" t="n">
        <x:v>45660</x:v>
      </x:c>
      <x:c r="B469" s="141" t="str">
        <x:v>Au99.99</x:v>
      </x:c>
      <x:c r="C469" s="153" t="n">
        <x:v>624.4</x:v>
      </x:c>
      <x:c r="D469" s="153" t="n">
        <x:v>627.6</x:v>
      </x:c>
      <x:c r="E469" s="153" t="n">
        <x:v>624.4</x:v>
      </x:c>
      <x:c r="F469" s="153" t="n">
        <x:v>626.87</x:v>
      </x:c>
      <x:c r="G469" s="153" t="n">
        <x:v>4.88</x:v>
      </x:c>
      <x:c r="H469" s="154" t="n">
        <x:v>0.0078000000000000005</x:v>
      </x:c>
      <x:c r="I469" s="158" t="n">
        <x:v>626.52</x:v>
      </x:c>
      <x:c r="J469" s="158" t="n">
        <x:v>11230.76</x:v>
      </x:c>
      <x:c r="K469" s="158" t="n">
        <x:v>7036401252.4</x:v>
      </x:c>
      <x:c r="L469" s="158"/>
      <x:c r="M469" s="141" t="str">
        <x:v>https://www.sge.com.cn/sjzx/quotation_daily_new?start_date=2025-01-01&amp;end_date=2025-01-31&amp;inst_ids=Au99.99&amp;p=</x:v>
      </x:c>
    </x:row>
    <x:row r="470">
      <x:c r="A470" s="155" t="n">
        <x:v>45663</x:v>
      </x:c>
      <x:c r="B470" s="141" t="str">
        <x:v>Ag(T+D)</x:v>
      </x:c>
      <x:c r="C470" s="153" t="n">
        <x:v>7671</x:v>
      </x:c>
      <x:c r="D470" s="153" t="n">
        <x:v>7703</x:v>
      </x:c>
      <x:c r="E470" s="153" t="n">
        <x:v>7587</x:v>
      </x:c>
      <x:c r="F470" s="153" t="n">
        <x:v>7623</x:v>
      </x:c>
      <x:c r="G470" s="153" t="n">
        <x:v>4</x:v>
      </x:c>
      <x:c r="H470" s="154" t="n">
        <x:v>0.0005</x:v>
      </x:c>
      <x:c r="I470" s="158" t="n">
        <x:v>7643</x:v>
      </x:c>
      <x:c r="J470" s="158" t="n">
        <x:v>361714</x:v>
      </x:c>
      <x:c r="K470" s="158" t="n">
        <x:v>2764846606</x:v>
      </x:c>
      <x:c r="L470" s="158" t="n">
        <x:v>4092372</x:v>
      </x:c>
      <x:c r="M470" s="141" t="str">
        <x:v>https://www.sge.com.cn/sjzx/quotation_daily_new?start_date=2025-01-01&amp;end_date=2025-01-31&amp;inst_ids=Ag%28T%2BD%29&amp;p=</x:v>
      </x:c>
    </x:row>
    <x:row r="471">
      <x:c r="A471" s="155" t="n">
        <x:v>45663</x:v>
      </x:c>
      <x:c r="B471" s="141" t="str">
        <x:v>Au99.99</x:v>
      </x:c>
      <x:c r="C471" s="153" t="n">
        <x:v>627.5</x:v>
      </x:c>
      <x:c r="D471" s="153" t="n">
        <x:v>629</x:v>
      </x:c>
      <x:c r="E471" s="153" t="n">
        <x:v>623.9</x:v>
      </x:c>
      <x:c r="F471" s="153" t="n">
        <x:v>624.32</x:v>
      </x:c>
      <x:c r="G471" s="153" t="n">
        <x:v>-2.55</x:v>
      </x:c>
      <x:c r="H471" s="154" t="n">
        <x:v>-0.0040999999999999995</x:v>
      </x:c>
      <x:c r="I471" s="158" t="n">
        <x:v>625.52</x:v>
      </x:c>
      <x:c r="J471" s="158" t="n">
        <x:v>14292.08</x:v>
      </x:c>
      <x:c r="K471" s="158" t="n">
        <x:v>8940101673.6</x:v>
      </x:c>
      <x:c r="L471" s="158"/>
      <x:c r="M471" s="141" t="str">
        <x:v>https://www.sge.com.cn/sjzx/quotation_daily_new?start_date=2025-01-01&amp;end_date=2025-01-31&amp;inst_ids=Au99.99&amp;p=</x:v>
      </x:c>
    </x:row>
    <x:row r="472">
      <x:c r="A472" s="155" t="n">
        <x:v>45664</x:v>
      </x:c>
      <x:c r="B472" s="141" t="str">
        <x:v>Ag(T+D)</x:v>
      </x:c>
      <x:c r="C472" s="153" t="n">
        <x:v>7748</x:v>
      </x:c>
      <x:c r="D472" s="153" t="n">
        <x:v>7769</x:v>
      </x:c>
      <x:c r="E472" s="153" t="n">
        <x:v>7614</x:v>
      </x:c>
      <x:c r="F472" s="153" t="n">
        <x:v>7733</x:v>
      </x:c>
      <x:c r="G472" s="153" t="n">
        <x:v>90</x:v>
      </x:c>
      <x:c r="H472" s="154" t="n">
        <x:v>0.0118</x:v>
      </x:c>
      <x:c r="I472" s="158" t="n">
        <x:v>7705</x:v>
      </x:c>
      <x:c r="J472" s="158" t="n">
        <x:v>560214</x:v>
      </x:c>
      <x:c r="K472" s="158" t="n">
        <x:v>4316662670</x:v>
      </x:c>
      <x:c r="L472" s="158" t="n">
        <x:v>4078580</x:v>
      </x:c>
      <x:c r="M472" s="141" t="str">
        <x:v>https://www.sge.com.cn/sjzx/quotation_daily_new?start_date=2025-01-01&amp;end_date=2025-01-31&amp;inst_ids=Ag%28T%2BD%29&amp;p=</x:v>
      </x:c>
    </x:row>
    <x:row r="473">
      <x:c r="A473" s="155" t="n">
        <x:v>45664</x:v>
      </x:c>
      <x:c r="B473" s="141" t="str">
        <x:v>Au99.99</x:v>
      </x:c>
      <x:c r="C473" s="153" t="n">
        <x:v>626</x:v>
      </x:c>
      <x:c r="D473" s="153" t="n">
        <x:v>626</x:v>
      </x:c>
      <x:c r="E473" s="153" t="n">
        <x:v>619</x:v>
      </x:c>
      <x:c r="F473" s="153" t="n">
        <x:v>625</x:v>
      </x:c>
      <x:c r="G473" s="153" t="n">
        <x:v>0.68</x:v>
      </x:c>
      <x:c r="H473" s="154" t="n">
        <x:v>0.0011</x:v>
      </x:c>
      <x:c r="I473" s="158" t="n">
        <x:v>624.45</x:v>
      </x:c>
      <x:c r="J473" s="158" t="n">
        <x:v>12672.34</x:v>
      </x:c>
      <x:c r="K473" s="158" t="n">
        <x:v>7913324157</x:v>
      </x:c>
      <x:c r="L473" s="158"/>
      <x:c r="M473" s="141" t="str">
        <x:v>https://www.sge.com.cn/sjzx/quotation_daily_new?start_date=2025-01-01&amp;end_date=2025-01-31&amp;inst_ids=Au99.99&amp;p=</x:v>
      </x:c>
    </x:row>
    <x:row r="474">
      <x:c r="A474" s="155" t="n">
        <x:v>45665</x:v>
      </x:c>
      <x:c r="B474" s="141" t="str">
        <x:v>Ag(T+D)</x:v>
      </x:c>
      <x:c r="C474" s="153" t="n">
        <x:v>7756</x:v>
      </x:c>
      <x:c r="D474" s="153" t="n">
        <x:v>7769</x:v>
      </x:c>
      <x:c r="E474" s="153" t="n">
        <x:v>7700</x:v>
      </x:c>
      <x:c r="F474" s="153" t="n">
        <x:v>7728</x:v>
      </x:c>
      <x:c r="G474" s="153" t="n">
        <x:v>23</x:v>
      </x:c>
      <x:c r="H474" s="154" t="n">
        <x:v>0.003</x:v>
      </x:c>
      <x:c r="I474" s="158" t="n">
        <x:v>7727</x:v>
      </x:c>
      <x:c r="J474" s="158" t="n">
        <x:v>337178</x:v>
      </x:c>
      <x:c r="K474" s="158" t="n">
        <x:v>2605565704</x:v>
      </x:c>
      <x:c r="L474" s="158" t="n">
        <x:v>4056014</x:v>
      </x:c>
      <x:c r="M474" s="141" t="str">
        <x:v>https://www.sge.com.cn/sjzx/quotation_daily_new?start_date=2025-01-01&amp;end_date=2025-01-31&amp;inst_ids=Ag%28T%2BD%29&amp;p=</x:v>
      </x:c>
    </x:row>
    <x:row r="475">
      <x:c r="A475" s="155" t="n">
        <x:v>45665</x:v>
      </x:c>
      <x:c r="B475" s="141" t="str">
        <x:v>Au99.99</x:v>
      </x:c>
      <x:c r="C475" s="153" t="n">
        <x:v>626</x:v>
      </x:c>
      <x:c r="D475" s="153" t="n">
        <x:v>630</x:v>
      </x:c>
      <x:c r="E475" s="153" t="n">
        <x:v>625</x:v>
      </x:c>
      <x:c r="F475" s="153" t="n">
        <x:v>628.35</x:v>
      </x:c>
      <x:c r="G475" s="153" t="n">
        <x:v>3.35</x:v>
      </x:c>
      <x:c r="H475" s="154" t="n">
        <x:v>0.0054</x:v>
      </x:c>
      <x:c r="I475" s="158" t="n">
        <x:v>626.42</x:v>
      </x:c>
      <x:c r="J475" s="158" t="n">
        <x:v>11148.34</x:v>
      </x:c>
      <x:c r="K475" s="158" t="n">
        <x:v>6983577124</x:v>
      </x:c>
      <x:c r="L475" s="158"/>
      <x:c r="M475" s="141" t="str">
        <x:v>https://www.sge.com.cn/sjzx/quotation_daily_new?start_date=2025-01-01&amp;end_date=2025-01-31&amp;inst_ids=Au99.99&amp;p=</x:v>
      </x:c>
    </x:row>
    <x:row r="476">
      <x:c r="A476" s="155" t="n">
        <x:v>45666</x:v>
      </x:c>
      <x:c r="B476" s="141" t="str">
        <x:v>Ag(T+D)</x:v>
      </x:c>
      <x:c r="C476" s="153" t="n">
        <x:v>7742</x:v>
      </x:c>
      <x:c r="D476" s="153" t="n">
        <x:v>7765</x:v>
      </x:c>
      <x:c r="E476" s="153" t="n">
        <x:v>7688</x:v>
      </x:c>
      <x:c r="F476" s="153" t="n">
        <x:v>7746</x:v>
      </x:c>
      <x:c r="G476" s="153" t="n">
        <x:v>19</x:v>
      </x:c>
      <x:c r="H476" s="154" t="n">
        <x:v>0.0025</x:v>
      </x:c>
      <x:c r="I476" s="158" t="n">
        <x:v>7730</x:v>
      </x:c>
      <x:c r="J476" s="158" t="n">
        <x:v>419080</x:v>
      </x:c>
      <x:c r="K476" s="158" t="n">
        <x:v>3239875924</x:v>
      </x:c>
      <x:c r="L476" s="158" t="n">
        <x:v>3796720</x:v>
      </x:c>
      <x:c r="M476" s="141" t="str">
        <x:v>https://www.sge.com.cn/sjzx/quotation_daily_new?start_date=2025-01-01&amp;end_date=2025-01-31&amp;inst_ids=Ag%28T%2BD%29&amp;p=</x:v>
      </x:c>
    </x:row>
    <x:row r="477">
      <x:c r="A477" s="155" t="n">
        <x:v>45666</x:v>
      </x:c>
      <x:c r="B477" s="141" t="str">
        <x:v>Au99.99</x:v>
      </x:c>
      <x:c r="C477" s="153" t="n">
        <x:v>626.5</x:v>
      </x:c>
      <x:c r="D477" s="153" t="n">
        <x:v>631</x:v>
      </x:c>
      <x:c r="E477" s="153" t="n">
        <x:v>626.5</x:v>
      </x:c>
      <x:c r="F477" s="153" t="n">
        <x:v>630.37</x:v>
      </x:c>
      <x:c r="G477" s="153" t="n">
        <x:v>2.02</x:v>
      </x:c>
      <x:c r="H477" s="154" t="n">
        <x:v>0.0032</x:v>
      </x:c>
      <x:c r="I477" s="158" t="n">
        <x:v>628.64</x:v>
      </x:c>
      <x:c r="J477" s="158" t="n">
        <x:v>11930.18</x:v>
      </x:c>
      <x:c r="K477" s="158" t="n">
        <x:v>7499891258.2</x:v>
      </x:c>
      <x:c r="L477" s="158"/>
      <x:c r="M477" s="141" t="str">
        <x:v>https://www.sge.com.cn/sjzx/quotation_daily_new?start_date=2025-01-01&amp;end_date=2025-01-31&amp;inst_ids=Au99.99&amp;p=</x:v>
      </x:c>
    </x:row>
    <x:row r="478">
      <x:c r="A478" s="155" t="n">
        <x:v>45667</x:v>
      </x:c>
      <x:c r="B478" s="141" t="str">
        <x:v>Ag(T+D)</x:v>
      </x:c>
      <x:c r="C478" s="153" t="n">
        <x:v>7782</x:v>
      </x:c>
      <x:c r="D478" s="153" t="n">
        <x:v>7801</x:v>
      </x:c>
      <x:c r="E478" s="153" t="n">
        <x:v>7739</x:v>
      </x:c>
      <x:c r="F478" s="153" t="n">
        <x:v>7784</x:v>
      </x:c>
      <x:c r="G478" s="153" t="n">
        <x:v>54</x:v>
      </x:c>
      <x:c r="H478" s="154" t="n">
        <x:v>0.006999999999999999</x:v>
      </x:c>
      <x:c r="I478" s="158" t="n">
        <x:v>7783</x:v>
      </x:c>
      <x:c r="J478" s="158" t="n">
        <x:v>301018</x:v>
      </x:c>
      <x:c r="K478" s="158" t="n">
        <x:v>2343057938</x:v>
      </x:c>
      <x:c r="L478" s="158" t="n">
        <x:v>3703290</x:v>
      </x:c>
      <x:c r="M478" s="141" t="str">
        <x:v>https://www.sge.com.cn/sjzx/quotation_daily_new?start_date=2025-01-01&amp;end_date=2025-01-31&amp;inst_ids=Ag%28T%2BD%29&amp;p=</x:v>
      </x:c>
    </x:row>
    <x:row r="479">
      <x:c r="A479" s="155" t="n">
        <x:v>45667</x:v>
      </x:c>
      <x:c r="B479" s="141" t="str">
        <x:v>Au99.99</x:v>
      </x:c>
      <x:c r="C479" s="153" t="n">
        <x:v>632.7</x:v>
      </x:c>
      <x:c r="D479" s="153" t="n">
        <x:v>635</x:v>
      </x:c>
      <x:c r="E479" s="153" t="n">
        <x:v>631</x:v>
      </x:c>
      <x:c r="F479" s="153" t="n">
        <x:v>633.82</x:v>
      </x:c>
      <x:c r="G479" s="153" t="n">
        <x:v>3.45</x:v>
      </x:c>
      <x:c r="H479" s="154" t="n">
        <x:v>0.0055000000000000005</x:v>
      </x:c>
      <x:c r="I479" s="158" t="n">
        <x:v>633.18</x:v>
      </x:c>
      <x:c r="J479" s="158" t="n">
        <x:v>14013.76</x:v>
      </x:c>
      <x:c r="K479" s="158" t="n">
        <x:v>8873300389.2</x:v>
      </x:c>
      <x:c r="L479" s="158"/>
      <x:c r="M479" s="141" t="str">
        <x:v>https://www.sge.com.cn/sjzx/quotation_daily_new?start_date=2025-01-01&amp;end_date=2025-01-31&amp;inst_ids=Au99.99&amp;p=</x:v>
      </x:c>
    </x:row>
    <x:row r="480">
      <x:c r="A480" s="155" t="n">
        <x:v>45670</x:v>
      </x:c>
      <x:c r="B480" s="141" t="str">
        <x:v>Ag(T+D)</x:v>
      </x:c>
      <x:c r="C480" s="153" t="n">
        <x:v>7798</x:v>
      </x:c>
      <x:c r="D480" s="153" t="n">
        <x:v>7841</x:v>
      </x:c>
      <x:c r="E480" s="153" t="n">
        <x:v>7678</x:v>
      </x:c>
      <x:c r="F480" s="153" t="n">
        <x:v>7767</x:v>
      </x:c>
      <x:c r="G480" s="153" t="n">
        <x:v>-16</x:v>
      </x:c>
      <x:c r="H480" s="154" t="n">
        <x:v>-0.0021</x:v>
      </x:c>
      <x:c r="I480" s="158" t="n">
        <x:v>7762</x:v>
      </x:c>
      <x:c r="J480" s="158" t="n">
        <x:v>686856</x:v>
      </x:c>
      <x:c r="K480" s="158" t="n">
        <x:v>5331571322</x:v>
      </x:c>
      <x:c r="L480" s="158" t="n">
        <x:v>3780218</x:v>
      </x:c>
      <x:c r="M480" s="141" t="str">
        <x:v>https://www.sge.com.cn/sjzx/quotation_daily_new?start_date=2025-01-01&amp;end_date=2025-01-31&amp;inst_ids=Ag%28T%2BD%29&amp;p=</x:v>
      </x:c>
    </x:row>
    <x:row r="481">
      <x:c r="A481" s="155" t="n">
        <x:v>45670</x:v>
      </x:c>
      <x:c r="B481" s="141" t="str">
        <x:v>Au99.99</x:v>
      </x:c>
      <x:c r="C481" s="153" t="n">
        <x:v>633.5</x:v>
      </x:c>
      <x:c r="D481" s="153" t="n">
        <x:v>638.98</x:v>
      </x:c>
      <x:c r="E481" s="153" t="n">
        <x:v>632.5</x:v>
      </x:c>
      <x:c r="F481" s="153" t="n">
        <x:v>636.9</x:v>
      </x:c>
      <x:c r="G481" s="153" t="n">
        <x:v>3.08</x:v>
      </x:c>
      <x:c r="H481" s="154" t="n">
        <x:v>0.0049</x:v>
      </x:c>
      <x:c r="I481" s="158" t="n">
        <x:v>636.32</x:v>
      </x:c>
      <x:c r="J481" s="158" t="n">
        <x:v>15313.56</x:v>
      </x:c>
      <x:c r="K481" s="158" t="n">
        <x:v>9744385303</x:v>
      </x:c>
      <x:c r="L481" s="158"/>
      <x:c r="M481" s="141" t="str">
        <x:v>https://www.sge.com.cn/sjzx/quotation_daily_new?start_date=2025-01-01&amp;end_date=2025-01-31&amp;inst_ids=Au99.99&amp;p=</x:v>
      </x:c>
    </x:row>
    <x:row r="482">
      <x:c r="A482" s="155" t="n">
        <x:v>45671</x:v>
      </x:c>
      <x:c r="B482" s="141" t="str">
        <x:v>Ag(T+D)</x:v>
      </x:c>
      <x:c r="C482" s="153" t="n">
        <x:v>7682</x:v>
      </x:c>
      <x:c r="D482" s="153" t="n">
        <x:v>7682</x:v>
      </x:c>
      <x:c r="E482" s="153" t="n">
        <x:v>7568</x:v>
      </x:c>
      <x:c r="F482" s="153" t="n">
        <x:v>7602</x:v>
      </x:c>
      <x:c r="G482" s="153" t="n">
        <x:v>-160</x:v>
      </x:c>
      <x:c r="H482" s="154" t="n">
        <x:v>-0.0206</x:v>
      </x:c>
      <x:c r="I482" s="158" t="n">
        <x:v>7611</x:v>
      </x:c>
      <x:c r="J482" s="158" t="n">
        <x:v>739834</x:v>
      </x:c>
      <x:c r="K482" s="158" t="n">
        <x:v>5631327080</x:v>
      </x:c>
      <x:c r="L482" s="158" t="n">
        <x:v>3859240</x:v>
      </x:c>
      <x:c r="M482" s="141" t="str">
        <x:v>https://www.sge.com.cn/sjzx/quotation_daily_new?start_date=2025-01-01&amp;end_date=2025-01-31&amp;inst_ids=Ag%28T%2BD%29&amp;p=</x:v>
      </x:c>
    </x:row>
    <x:row r="483">
      <x:c r="A483" s="155" t="n">
        <x:v>45671</x:v>
      </x:c>
      <x:c r="B483" s="141" t="str">
        <x:v>Au99.99</x:v>
      </x:c>
      <x:c r="C483" s="153" t="n">
        <x:v>634.5</x:v>
      </x:c>
      <x:c r="D483" s="153" t="n">
        <x:v>634.5</x:v>
      </x:c>
      <x:c r="E483" s="153" t="n">
        <x:v>630.5</x:v>
      </x:c>
      <x:c r="F483" s="153" t="n">
        <x:v>632.44</x:v>
      </x:c>
      <x:c r="G483" s="153" t="n">
        <x:v>-4.46</x:v>
      </x:c>
      <x:c r="H483" s="154" t="n">
        <x:v>-0.006999999999999999</x:v>
      </x:c>
      <x:c r="I483" s="158" t="n">
        <x:v>631.99</x:v>
      </x:c>
      <x:c r="J483" s="158" t="n">
        <x:v>15678.74</x:v>
      </x:c>
      <x:c r="K483" s="158" t="n">
        <x:v>9908846312.2</x:v>
      </x:c>
      <x:c r="L483" s="158"/>
      <x:c r="M483" s="141" t="str">
        <x:v>https://www.sge.com.cn/sjzx/quotation_daily_new?start_date=2025-01-01&amp;end_date=2025-01-31&amp;inst_ids=Au99.99&amp;p=</x:v>
      </x:c>
    </x:row>
    <x:row r="484">
      <x:c r="A484" s="155" t="n">
        <x:v>45672</x:v>
      </x:c>
      <x:c r="B484" s="141" t="str">
        <x:v>Ag(T+D)</x:v>
      </x:c>
      <x:c r="C484" s="153" t="n">
        <x:v>7621</x:v>
      </x:c>
      <x:c r="D484" s="153" t="n">
        <x:v>7665</x:v>
      </x:c>
      <x:c r="E484" s="153" t="n">
        <x:v>7583</x:v>
      </x:c>
      <x:c r="F484" s="153" t="n">
        <x:v>7652</x:v>
      </x:c>
      <x:c r="G484" s="153" t="n">
        <x:v>41</x:v>
      </x:c>
      <x:c r="H484" s="154" t="n">
        <x:v>0.0054</x:v>
      </x:c>
      <x:c r="I484" s="158" t="n">
        <x:v>7624</x:v>
      </x:c>
      <x:c r="J484" s="158" t="n">
        <x:v>409720</x:v>
      </x:c>
      <x:c r="K484" s="158" t="n">
        <x:v>3123748204</x:v>
      </x:c>
      <x:c r="L484" s="158" t="n">
        <x:v>3866828</x:v>
      </x:c>
      <x:c r="M484" s="141" t="str">
        <x:v>https://www.sge.com.cn/sjzx/quotation_daily_new?start_date=2025-01-01&amp;end_date=2025-01-31&amp;inst_ids=Ag%28T%2BD%29&amp;p=</x:v>
      </x:c>
    </x:row>
    <x:row r="485">
      <x:c r="A485" s="155" t="n">
        <x:v>45672</x:v>
      </x:c>
      <x:c r="B485" s="141" t="str">
        <x:v>Au99.99</x:v>
      </x:c>
      <x:c r="C485" s="153" t="n">
        <x:v>633</x:v>
      </x:c>
      <x:c r="D485" s="153" t="n">
        <x:v>635.9</x:v>
      </x:c>
      <x:c r="E485" s="153" t="n">
        <x:v>630</x:v>
      </x:c>
      <x:c r="F485" s="153" t="n">
        <x:v>634.5</x:v>
      </x:c>
      <x:c r="G485" s="153" t="n">
        <x:v>2.06</x:v>
      </x:c>
      <x:c r="H485" s="154" t="n">
        <x:v>0.0033</x:v>
      </x:c>
      <x:c r="I485" s="158" t="n">
        <x:v>633.68</x:v>
      </x:c>
      <x:c r="J485" s="158" t="n">
        <x:v>12568</x:v>
      </x:c>
      <x:c r="K485" s="158" t="n">
        <x:v>7964132803.6</x:v>
      </x:c>
      <x:c r="L485" s="158"/>
      <x:c r="M485" s="141" t="str">
        <x:v>https://www.sge.com.cn/sjzx/quotation_daily_new?start_date=2025-01-01&amp;end_date=2025-01-31&amp;inst_ids=Au99.99&amp;p=</x:v>
      </x:c>
    </x:row>
    <x:row r="486">
      <x:c r="A486" s="155" t="n">
        <x:v>45673</x:v>
      </x:c>
      <x:c r="B486" s="141" t="str">
        <x:v>Ag(T+D)</x:v>
      </x:c>
      <x:c r="C486" s="153" t="n">
        <x:v>7682</x:v>
      </x:c>
      <x:c r="D486" s="153" t="n">
        <x:v>7853</x:v>
      </x:c>
      <x:c r="E486" s="153" t="n">
        <x:v>7659</x:v>
      </x:c>
      <x:c r="F486" s="153" t="n">
        <x:v>7839</x:v>
      </x:c>
      <x:c r="G486" s="153" t="n">
        <x:v>215</x:v>
      </x:c>
      <x:c r="H486" s="154" t="n">
        <x:v>0.0282</x:v>
      </x:c>
      <x:c r="I486" s="158" t="n">
        <x:v>7800</x:v>
      </x:c>
      <x:c r="J486" s="158" t="n">
        <x:v>616674</x:v>
      </x:c>
      <x:c r="K486" s="158" t="n">
        <x:v>4810275002</x:v>
      </x:c>
      <x:c r="L486" s="158" t="n">
        <x:v>3839148</x:v>
      </x:c>
      <x:c r="M486" s="141" t="str">
        <x:v>https://www.sge.com.cn/sjzx/quotation_daily_new?start_date=2025-01-01&amp;end_date=2025-01-31&amp;inst_ids=Ag%28T%2BD%29&amp;p=</x:v>
      </x:c>
    </x:row>
    <x:row r="487">
      <x:c r="A487" s="155" t="n">
        <x:v>45673</x:v>
      </x:c>
      <x:c r="B487" s="141" t="str">
        <x:v>Au99.99</x:v>
      </x:c>
      <x:c r="C487" s="153" t="n">
        <x:v>634.7</x:v>
      </x:c>
      <x:c r="D487" s="153" t="n">
        <x:v>638.6</x:v>
      </x:c>
      <x:c r="E487" s="153" t="n">
        <x:v>634.5</x:v>
      </x:c>
      <x:c r="F487" s="153" t="n">
        <x:v>637.04</x:v>
      </x:c>
      <x:c r="G487" s="153" t="n">
        <x:v>2.54</x:v>
      </x:c>
      <x:c r="H487" s="154" t="n">
        <x:v>0.004</x:v>
      </x:c>
      <x:c r="I487" s="158" t="n">
        <x:v>637.42</x:v>
      </x:c>
      <x:c r="J487" s="158" t="n">
        <x:v>10434.94</x:v>
      </x:c>
      <x:c r="K487" s="158" t="n">
        <x:v>6651457142</x:v>
      </x:c>
      <x:c r="L487" s="158"/>
      <x:c r="M487" s="141" t="str">
        <x:v>https://www.sge.com.cn/sjzx/quotation_daily_new?start_date=2025-01-01&amp;end_date=2025-01-31&amp;inst_ids=Au99.99&amp;p=</x:v>
      </x:c>
    </x:row>
    <x:row r="488">
      <x:c r="A488" s="155" t="n">
        <x:v>45674</x:v>
      </x:c>
      <x:c r="B488" s="141" t="str">
        <x:v>Ag(T+D)</x:v>
      </x:c>
      <x:c r="C488" s="153" t="n">
        <x:v>7849</x:v>
      </x:c>
      <x:c r="D488" s="153" t="n">
        <x:v>7888</x:v>
      </x:c>
      <x:c r="E488" s="153" t="n">
        <x:v>7778</x:v>
      </x:c>
      <x:c r="F488" s="153" t="n">
        <x:v>7812</x:v>
      </x:c>
      <x:c r="G488" s="153" t="n">
        <x:v>12</x:v>
      </x:c>
      <x:c r="H488" s="154" t="n">
        <x:v>0.0015</x:v>
      </x:c>
      <x:c r="I488" s="158" t="n">
        <x:v>7833</x:v>
      </x:c>
      <x:c r="J488" s="158" t="n">
        <x:v>433470</x:v>
      </x:c>
      <x:c r="K488" s="158" t="n">
        <x:v>3395376838</x:v>
      </x:c>
      <x:c r="L488" s="158" t="n">
        <x:v>3771502</x:v>
      </x:c>
      <x:c r="M488" s="141" t="str">
        <x:v>https://www.sge.com.cn/sjzx/quotation_daily_new?start_date=2025-01-01&amp;end_date=2025-01-31&amp;inst_ids=Ag%28T%2BD%29&amp;p=</x:v>
      </x:c>
    </x:row>
    <x:row r="489">
      <x:c r="A489" s="155" t="n">
        <x:v>45674</x:v>
      </x:c>
      <x:c r="B489" s="141" t="str">
        <x:v>Au99.99</x:v>
      </x:c>
      <x:c r="C489" s="153" t="n">
        <x:v>638</x:v>
      </x:c>
      <x:c r="D489" s="153" t="n">
        <x:v>641.2</x:v>
      </x:c>
      <x:c r="E489" s="153" t="n">
        <x:v>637.5</x:v>
      </x:c>
      <x:c r="F489" s="153" t="n">
        <x:v>637.63</x:v>
      </x:c>
      <x:c r="G489" s="153" t="n">
        <x:v>0.59</x:v>
      </x:c>
      <x:c r="H489" s="154" t="n">
        <x:v>0.0009</x:v>
      </x:c>
      <x:c r="I489" s="158" t="n">
        <x:v>639.85</x:v>
      </x:c>
      <x:c r="J489" s="158" t="n">
        <x:v>10660.92</x:v>
      </x:c>
      <x:c r="K489" s="158" t="n">
        <x:v>6821449173.4</x:v>
      </x:c>
      <x:c r="L489" s="158"/>
      <x:c r="M489" s="141" t="str">
        <x:v>https://www.sge.com.cn/sjzx/quotation_daily_new?start_date=2025-01-01&amp;end_date=2025-01-31&amp;inst_ids=Au99.99&amp;p=</x:v>
      </x:c>
    </x:row>
    <x:row r="490">
      <x:c r="A490" s="155" t="n">
        <x:v>45677</x:v>
      </x:c>
      <x:c r="B490" s="141" t="str">
        <x:v>Ag(T+D)</x:v>
      </x:c>
      <x:c r="C490" s="153" t="n">
        <x:v>7815</x:v>
      </x:c>
      <x:c r="D490" s="153" t="n">
        <x:v>7819</x:v>
      </x:c>
      <x:c r="E490" s="153" t="n">
        <x:v>7679</x:v>
      </x:c>
      <x:c r="F490" s="153" t="n">
        <x:v>7743</x:v>
      </x:c>
      <x:c r="G490" s="153" t="n">
        <x:v>-90</x:v>
      </x:c>
      <x:c r="H490" s="154" t="n">
        <x:v>-0.0115</x:v>
      </x:c>
      <x:c r="I490" s="158" t="n">
        <x:v>7719</x:v>
      </x:c>
      <x:c r="J490" s="158" t="n">
        <x:v>470984</x:v>
      </x:c>
      <x:c r="K490" s="158" t="n">
        <x:v>3635713050</x:v>
      </x:c>
      <x:c r="L490" s="158" t="n">
        <x:v>3841760</x:v>
      </x:c>
      <x:c r="M490" s="141" t="str">
        <x:v>https://www.sge.com.cn/sjzx/quotation_daily_new?start_date=2025-01-01&amp;end_date=2025-01-31&amp;inst_ids=Ag%28T%2BD%29&amp;p=</x:v>
      </x:c>
    </x:row>
    <x:row r="491">
      <x:c r="A491" s="155" t="n">
        <x:v>45677</x:v>
      </x:c>
      <x:c r="B491" s="141" t="str">
        <x:v>Au99.99</x:v>
      </x:c>
      <x:c r="C491" s="153" t="n">
        <x:v>637.5</x:v>
      </x:c>
      <x:c r="D491" s="153" t="n">
        <x:v>640</x:v>
      </x:c>
      <x:c r="E491" s="153" t="n">
        <x:v>632.5</x:v>
      </x:c>
      <x:c r="F491" s="153" t="n">
        <x:v>637.5</x:v>
      </x:c>
      <x:c r="G491" s="153" t="n">
        <x:v>-0.13</x:v>
      </x:c>
      <x:c r="H491" s="154" t="n">
        <x:v>-0.0002</x:v>
      </x:c>
      <x:c r="I491" s="158" t="n">
        <x:v>635.96</x:v>
      </x:c>
      <x:c r="J491" s="158" t="n">
        <x:v>10144.96</x:v>
      </x:c>
      <x:c r="K491" s="158" t="n">
        <x:v>6451815537.8</x:v>
      </x:c>
      <x:c r="L491" s="158"/>
      <x:c r="M491" s="141" t="str">
        <x:v>https://www.sge.com.cn/sjzx/quotation_daily_new?start_date=2025-01-01&amp;end_date=2025-01-31&amp;inst_ids=Au99.99&amp;p=</x:v>
      </x:c>
    </x:row>
    <x:row r="492">
      <x:c r="A492" s="155" t="n">
        <x:v>45678</x:v>
      </x:c>
      <x:c r="B492" s="141" t="str">
        <x:v>Ag(T+D)</x:v>
      </x:c>
      <x:c r="C492" s="153" t="n">
        <x:v>7712</x:v>
      </x:c>
      <x:c r="D492" s="153" t="n">
        <x:v>7795</x:v>
      </x:c>
      <x:c r="E492" s="153" t="n">
        <x:v>7670</x:v>
      </x:c>
      <x:c r="F492" s="153" t="n">
        <x:v>7748</x:v>
      </x:c>
      <x:c r="G492" s="153" t="n">
        <x:v>29</x:v>
      </x:c>
      <x:c r="H492" s="154" t="n">
        <x:v>0.0038</x:v>
      </x:c>
      <x:c r="I492" s="158" t="n">
        <x:v>7738</x:v>
      </x:c>
      <x:c r="J492" s="158" t="n">
        <x:v>461072</x:v>
      </x:c>
      <x:c r="K492" s="158" t="n">
        <x:v>3568181336</x:v>
      </x:c>
      <x:c r="L492" s="158" t="n">
        <x:v>3829820</x:v>
      </x:c>
      <x:c r="M492" s="141" t="str">
        <x:v>https://www.sge.com.cn/sjzx/quotation_daily_new?start_date=2025-01-01&amp;end_date=2025-01-31&amp;inst_ids=Ag%28T%2BD%29&amp;p=</x:v>
      </x:c>
    </x:row>
    <x:row r="493">
      <x:c r="A493" s="155" t="n">
        <x:v>45678</x:v>
      </x:c>
      <x:c r="B493" s="141" t="str">
        <x:v>Au99.99</x:v>
      </x:c>
      <x:c r="C493" s="153" t="n">
        <x:v>636.5</x:v>
      </x:c>
      <x:c r="D493" s="153" t="n">
        <x:v>640</x:v>
      </x:c>
      <x:c r="E493" s="153" t="n">
        <x:v>632</x:v>
      </x:c>
      <x:c r="F493" s="153" t="n">
        <x:v>639</x:v>
      </x:c>
      <x:c r="G493" s="153" t="n">
        <x:v>1.5</x:v>
      </x:c>
      <x:c r="H493" s="154" t="n">
        <x:v>0.0024</x:v>
      </x:c>
      <x:c r="I493" s="158" t="n">
        <x:v>637.17</x:v>
      </x:c>
      <x:c r="J493" s="158" t="n">
        <x:v>10897.08</x:v>
      </x:c>
      <x:c r="K493" s="158" t="n">
        <x:v>6943391479</x:v>
      </x:c>
      <x:c r="L493" s="158"/>
      <x:c r="M493" s="141" t="str">
        <x:v>https://www.sge.com.cn/sjzx/quotation_daily_new?start_date=2025-01-01&amp;end_date=2025-01-31&amp;inst_ids=Au99.99&amp;p=</x:v>
      </x:c>
    </x:row>
    <x:row r="494">
      <x:c r="A494" s="155" t="n">
        <x:v>45679</x:v>
      </x:c>
      <x:c r="B494" s="141" t="str">
        <x:v>Ag(T+D)</x:v>
      </x:c>
      <x:c r="C494" s="153" t="n">
        <x:v>7739</x:v>
      </x:c>
      <x:c r="D494" s="153" t="n">
        <x:v>7837</x:v>
      </x:c>
      <x:c r="E494" s="153" t="n">
        <x:v>7719</x:v>
      </x:c>
      <x:c r="F494" s="153" t="n">
        <x:v>7795</x:v>
      </x:c>
      <x:c r="G494" s="153" t="n">
        <x:v>57</x:v>
      </x:c>
      <x:c r="H494" s="154" t="n">
        <x:v>0.0074</x:v>
      </x:c>
      <x:c r="I494" s="158" t="n">
        <x:v>7795</x:v>
      </x:c>
      <x:c r="J494" s="158" t="n">
        <x:v>434422</x:v>
      </x:c>
      <x:c r="K494" s="158" t="n">
        <x:v>3386449668</x:v>
      </x:c>
      <x:c r="L494" s="158" t="n">
        <x:v>3806828</x:v>
      </x:c>
      <x:c r="M494" s="141" t="str">
        <x:v>https://www.sge.com.cn/sjzx/quotation_daily_new?start_date=2025-01-01&amp;end_date=2025-01-31&amp;inst_ids=Ag%28T%2BD%29&amp;p=</x:v>
      </x:c>
    </x:row>
    <x:row r="495">
      <x:c r="A495" s="155" t="n">
        <x:v>45679</x:v>
      </x:c>
      <x:c r="B495" s="141" t="str">
        <x:v>Au99.99</x:v>
      </x:c>
      <x:c r="C495" s="153" t="n">
        <x:v>637.65</x:v>
      </x:c>
      <x:c r="D495" s="153" t="n">
        <x:v>646.4</x:v>
      </x:c>
      <x:c r="E495" s="153" t="n">
        <x:v>637.6</x:v>
      </x:c>
      <x:c r="F495" s="153" t="n">
        <x:v>643.48</x:v>
      </x:c>
      <x:c r="G495" s="153" t="n">
        <x:v>4.48</x:v>
      </x:c>
      <x:c r="H495" s="154" t="n">
        <x:v>0.006999999999999999</x:v>
      </x:c>
      <x:c r="I495" s="158" t="n">
        <x:v>643.72</x:v>
      </x:c>
      <x:c r="J495" s="158" t="n">
        <x:v>8124.32</x:v>
      </x:c>
      <x:c r="K495" s="158" t="n">
        <x:v>5229837001</x:v>
      </x:c>
      <x:c r="L495" s="158"/>
      <x:c r="M495" s="141" t="str">
        <x:v>https://www.sge.com.cn/sjzx/quotation_daily_new?start_date=2025-01-01&amp;end_date=2025-01-31&amp;inst_ids=Au99.99&amp;p=</x:v>
      </x:c>
    </x:row>
    <x:row r="496">
      <x:c r="A496" s="155" t="n">
        <x:v>45680</x:v>
      </x:c>
      <x:c r="B496" s="141" t="str">
        <x:v>Ag(T+D)</x:v>
      </x:c>
      <x:c r="C496" s="153" t="n">
        <x:v>7790</x:v>
      </x:c>
      <x:c r="D496" s="153" t="n">
        <x:v>7794</x:v>
      </x:c>
      <x:c r="E496" s="153" t="n">
        <x:v>7696</x:v>
      </x:c>
      <x:c r="F496" s="153" t="n">
        <x:v>7705</x:v>
      </x:c>
      <x:c r="G496" s="153" t="n">
        <x:v>-90</x:v>
      </x:c>
      <x:c r="H496" s="154" t="n">
        <x:v>-0.0115</x:v>
      </x:c>
      <x:c r="I496" s="158" t="n">
        <x:v>7727</x:v>
      </x:c>
      <x:c r="J496" s="158" t="n">
        <x:v>350302</x:v>
      </x:c>
      <x:c r="K496" s="158" t="n">
        <x:v>2707073248</x:v>
      </x:c>
      <x:c r="L496" s="158" t="n">
        <x:v>3823698</x:v>
      </x:c>
      <x:c r="M496" s="141" t="str">
        <x:v>https://www.sge.com.cn/sjzx/quotation_daily_new?start_date=2025-01-01&amp;end_date=2025-01-31&amp;inst_ids=Ag%28T%2BD%29&amp;p=</x:v>
      </x:c>
    </x:row>
    <x:row r="497">
      <x:c r="A497" s="155" t="n">
        <x:v>45680</x:v>
      </x:c>
      <x:c r="B497" s="141" t="str">
        <x:v>Au99.99</x:v>
      </x:c>
      <x:c r="C497" s="153" t="n">
        <x:v>644</x:v>
      </x:c>
      <x:c r="D497" s="153" t="n">
        <x:v>645.99</x:v>
      </x:c>
      <x:c r="E497" s="153" t="n">
        <x:v>642</x:v>
      </x:c>
      <x:c r="F497" s="153" t="n">
        <x:v>644.02</x:v>
      </x:c>
      <x:c r="G497" s="153" t="n">
        <x:v>0.54</x:v>
      </x:c>
      <x:c r="H497" s="154" t="n">
        <x:v>0.0008</x:v>
      </x:c>
      <x:c r="I497" s="158" t="n">
        <x:v>644.07</x:v>
      </x:c>
      <x:c r="J497" s="158" t="n">
        <x:v>7412.1</x:v>
      </x:c>
      <x:c r="K497" s="158" t="n">
        <x:v>4773947028.6</x:v>
      </x:c>
      <x:c r="L497" s="158"/>
      <x:c r="M497" s="141" t="str">
        <x:v>https://www.sge.com.cn/sjzx/quotation_daily_new?start_date=2025-01-01&amp;end_date=2025-01-31&amp;inst_ids=Au99.99&amp;p=</x:v>
      </x:c>
    </x:row>
    <x:row r="498">
      <x:c r="A498" s="155" t="n">
        <x:v>45681</x:v>
      </x:c>
      <x:c r="B498" s="141" t="str">
        <x:v>Ag(T+D)</x:v>
      </x:c>
      <x:c r="C498" s="153" t="n">
        <x:v>7675</x:v>
      </x:c>
      <x:c r="D498" s="153" t="n">
        <x:v>7769</x:v>
      </x:c>
      <x:c r="E498" s="153" t="n">
        <x:v>7593</x:v>
      </x:c>
      <x:c r="F498" s="153" t="n">
        <x:v>7720</x:v>
      </x:c>
      <x:c r="G498" s="153" t="n">
        <x:v>-7</x:v>
      </x:c>
      <x:c r="H498" s="154" t="n">
        <x:v>-0.0009</x:v>
      </x:c>
      <x:c r="I498" s="158" t="n">
        <x:v>7703</x:v>
      </x:c>
      <x:c r="J498" s="158" t="n">
        <x:v>472314</x:v>
      </x:c>
      <x:c r="K498" s="158" t="n">
        <x:v>3638300036</x:v>
      </x:c>
      <x:c r="L498" s="158" t="n">
        <x:v>3760950</x:v>
      </x:c>
      <x:c r="M498" s="141" t="str">
        <x:v>https://www.sge.com.cn/sjzx/quotation_daily_new?start_date=2025-01-01&amp;end_date=2025-01-31&amp;inst_ids=Ag%28T%2BD%29&amp;p=</x:v>
      </x:c>
    </x:row>
    <x:row r="499">
      <x:c r="A499" s="155" t="n">
        <x:v>45681</x:v>
      </x:c>
      <x:c r="B499" s="141" t="str">
        <x:v>Au99.99</x:v>
      </x:c>
      <x:c r="C499" s="153" t="n">
        <x:v>644</x:v>
      </x:c>
      <x:c r="D499" s="153" t="n">
        <x:v>647.98</x:v>
      </x:c>
      <x:c r="E499" s="153" t="n">
        <x:v>641.01</x:v>
      </x:c>
      <x:c r="F499" s="153" t="n">
        <x:v>645.51</x:v>
      </x:c>
      <x:c r="G499" s="153" t="n">
        <x:v>1.49</x:v>
      </x:c>
      <x:c r="H499" s="154" t="n">
        <x:v>0.0023</x:v>
      </x:c>
      <x:c r="I499" s="158" t="n">
        <x:v>646.56</x:v>
      </x:c>
      <x:c r="J499" s="158" t="n">
        <x:v>8659.9</x:v>
      </x:c>
      <x:c r="K499" s="158" t="n">
        <x:v>5599192858.8</x:v>
      </x:c>
      <x:c r="L499" s="158"/>
      <x:c r="M499" s="141" t="str">
        <x:v>https://www.sge.com.cn/sjzx/quotation_daily_new?start_date=2025-01-01&amp;end_date=2025-01-31&amp;inst_ids=Au99.99&amp;p=</x:v>
      </x:c>
    </x:row>
    <x:row r="500">
      <x:c r="A500" s="155" t="n">
        <x:v>45684</x:v>
      </x:c>
      <x:c r="B500" s="141" t="str">
        <x:v>Ag(T+D)</x:v>
      </x:c>
      <x:c r="C500" s="153" t="n">
        <x:v>7739</x:v>
      </x:c>
      <x:c r="D500" s="153" t="n">
        <x:v>7796</x:v>
      </x:c>
      <x:c r="E500" s="153" t="n">
        <x:v>7619</x:v>
      </x:c>
      <x:c r="F500" s="153" t="n">
        <x:v>7639</x:v>
      </x:c>
      <x:c r="G500" s="153" t="n">
        <x:v>-64</x:v>
      </x:c>
      <x:c r="H500" s="154" t="n">
        <x:v>-0.0083</x:v>
      </x:c>
      <x:c r="I500" s="158" t="n">
        <x:v>7675</x:v>
      </x:c>
      <x:c r="J500" s="158" t="n">
        <x:v>298500</x:v>
      </x:c>
      <x:c r="K500" s="158" t="n">
        <x:v>2291042118</x:v>
      </x:c>
      <x:c r="L500" s="158" t="n">
        <x:v>3758326</x:v>
      </x:c>
      <x:c r="M500" s="141" t="str">
        <x:v>https://www.sge.com.cn/sjzx/quotation_daily_new?start_date=2025-01-01&amp;end_date=2025-01-31&amp;inst_ids=Ag%28T%2BD%29&amp;p=</x:v>
      </x:c>
    </x:row>
    <x:row r="501">
      <x:c r="A501" s="155" t="n">
        <x:v>45684</x:v>
      </x:c>
      <x:c r="B501" s="141" t="str">
        <x:v>Au99.99</x:v>
      </x:c>
      <x:c r="C501" s="153" t="n">
        <x:v>646.5</x:v>
      </x:c>
      <x:c r="D501" s="153" t="n">
        <x:v>650</x:v>
      </x:c>
      <x:c r="E501" s="153" t="n">
        <x:v>642.75</x:v>
      </x:c>
      <x:c r="F501" s="153" t="n">
        <x:v>643.1</x:v>
      </x:c>
      <x:c r="G501" s="153" t="n">
        <x:v>-2.41</x:v>
      </x:c>
      <x:c r="H501" s="154" t="n">
        <x:v>-0.0037</x:v>
      </x:c>
      <x:c r="I501" s="158" t="n">
        <x:v>645.07</x:v>
      </x:c>
      <x:c r="J501" s="158" t="n">
        <x:v>6404.84</x:v>
      </x:c>
      <x:c r="K501" s="158" t="n">
        <x:v>4131616080.2</x:v>
      </x:c>
      <x:c r="L501" s="158"/>
      <x:c r="M501" s="141" t="str">
        <x:v>https://www.sge.com.cn/sjzx/quotation_daily_new?start_date=2025-01-01&amp;end_date=2025-01-31&amp;inst_ids=Au99.99&amp;p=</x:v>
      </x:c>
    </x:row>
    <x:row r="502">
      <x:c r="A502" s="155" t="n">
        <x:v>45693</x:v>
      </x:c>
      <x:c r="B502" s="141" t="str">
        <x:v>Ag(T+D)</x:v>
      </x:c>
      <x:c r="C502" s="153" t="n">
        <x:v>7978</x:v>
      </x:c>
      <x:c r="D502" s="153" t="n">
        <x:v>8098</x:v>
      </x:c>
      <x:c r="E502" s="153" t="n">
        <x:v>7969</x:v>
      </x:c>
      <x:c r="F502" s="153" t="n">
        <x:v>8062</x:v>
      </x:c>
      <x:c r="G502" s="153" t="n">
        <x:v>387</x:v>
      </x:c>
      <x:c r="H502" s="154" t="n">
        <x:v>0.0504</x:v>
      </x:c>
      <x:c r="I502" s="158" t="n">
        <x:v>8056</x:v>
      </x:c>
      <x:c r="J502" s="158" t="n">
        <x:v>684068</x:v>
      </x:c>
      <x:c r="K502" s="158" t="n">
        <x:v>5510876378</x:v>
      </x:c>
      <x:c r="L502" s="158" t="n">
        <x:v>3882130</x:v>
      </x:c>
      <x:c r="M502" s="141" t="str">
        <x:v>https://www.sge.com.cn/sjzx/quotation_daily_new?start_date=2025-02-01&amp;end_date=2025-02-28&amp;inst_ids=Ag%28T%2BD%29&amp;p=</x:v>
      </x:c>
    </x:row>
    <x:row r="503">
      <x:c r="A503" s="155" t="n">
        <x:v>45693</x:v>
      </x:c>
      <x:c r="B503" s="141" t="str">
        <x:v>Au99.99</x:v>
      </x:c>
      <x:c r="C503" s="153" t="n">
        <x:v>669.21</x:v>
      </x:c>
      <x:c r="D503" s="153" t="n">
        <x:v>669.78</x:v>
      </x:c>
      <x:c r="E503" s="153" t="n">
        <x:v>660.5</x:v>
      </x:c>
      <x:c r="F503" s="153" t="n">
        <x:v>667.87</x:v>
      </x:c>
      <x:c r="G503" s="153" t="n">
        <x:v>24.77</x:v>
      </x:c>
      <x:c r="H503" s="154" t="n">
        <x:v>0.0385</x:v>
      </x:c>
      <x:c r="I503" s="158" t="n">
        <x:v>667.85</x:v>
      </x:c>
      <x:c r="J503" s="158" t="n">
        <x:v>9334.18</x:v>
      </x:c>
      <x:c r="K503" s="158" t="n">
        <x:v>6233868086.4</x:v>
      </x:c>
      <x:c r="L503" s="158"/>
      <x:c r="M503" s="141" t="str">
        <x:v>https://www.sge.com.cn/sjzx/quotation_daily_new?start_date=2025-02-01&amp;end_date=2025-02-28&amp;inst_ids=Au99.99&amp;p=</x:v>
      </x:c>
    </x:row>
    <x:row r="504">
      <x:c r="A504" s="155" t="n">
        <x:v>45694</x:v>
      </x:c>
      <x:c r="B504" s="141" t="str">
        <x:v>Ag(T+D)</x:v>
      </x:c>
      <x:c r="C504" s="153" t="n">
        <x:v>8069</x:v>
      </x:c>
      <x:c r="D504" s="153" t="n">
        <x:v>8097</x:v>
      </x:c>
      <x:c r="E504" s="153" t="n">
        <x:v>8016</x:v>
      </x:c>
      <x:c r="F504" s="153" t="n">
        <x:v>8017</x:v>
      </x:c>
      <x:c r="G504" s="153" t="n">
        <x:v>-39</x:v>
      </x:c>
      <x:c r="H504" s="154" t="n">
        <x:v>-0.0048</x:v>
      </x:c>
      <x:c r="I504" s="158" t="n">
        <x:v>8056</x:v>
      </x:c>
      <x:c r="J504" s="158" t="n">
        <x:v>410534</x:v>
      </x:c>
      <x:c r="K504" s="158" t="n">
        <x:v>3307386412</x:v>
      </x:c>
      <x:c r="L504" s="158" t="n">
        <x:v>3967816</x:v>
      </x:c>
      <x:c r="M504" s="141" t="str">
        <x:v>https://www.sge.com.cn/sjzx/quotation_daily_new?start_date=2025-02-01&amp;end_date=2025-02-28&amp;inst_ids=Ag%28T%2BD%29&amp;p=</x:v>
      </x:c>
    </x:row>
    <x:row r="505">
      <x:c r="A505" s="155" t="n">
        <x:v>45694</x:v>
      </x:c>
      <x:c r="B505" s="141" t="str">
        <x:v>Au99.99</x:v>
      </x:c>
      <x:c r="C505" s="153" t="n">
        <x:v>668.88</x:v>
      </x:c>
      <x:c r="D505" s="153" t="n">
        <x:v>671.65</x:v>
      </x:c>
      <x:c r="E505" s="153" t="n">
        <x:v>666.51</x:v>
      </x:c>
      <x:c r="F505" s="153" t="n">
        <x:v>667.38</x:v>
      </x:c>
      <x:c r="G505" s="153" t="n">
        <x:v>-0.49</x:v>
      </x:c>
      <x:c r="H505" s="154" t="n">
        <x:v>-0.0007000000000000001</x:v>
      </x:c>
      <x:c r="I505" s="158" t="n">
        <x:v>669.94</x:v>
      </x:c>
      <x:c r="J505" s="158" t="n">
        <x:v>12427.72</x:v>
      </x:c>
      <x:c r="K505" s="158" t="n">
        <x:v>8325928369.2</x:v>
      </x:c>
      <x:c r="L505" s="158"/>
      <x:c r="M505" s="141" t="str">
        <x:v>https://www.sge.com.cn/sjzx/quotation_daily_new?start_date=2025-02-01&amp;end_date=2025-02-28&amp;inst_ids=Au99.99&amp;p=</x:v>
      </x:c>
    </x:row>
    <x:row r="506">
      <x:c r="A506" s="155" t="n">
        <x:v>45695</x:v>
      </x:c>
      <x:c r="B506" s="141" t="str">
        <x:v>Ag(T+D)</x:v>
      </x:c>
      <x:c r="C506" s="153" t="n">
        <x:v>8010</x:v>
      </x:c>
      <x:c r="D506" s="153" t="n">
        <x:v>8065</x:v>
      </x:c>
      <x:c r="E506" s="153" t="n">
        <x:v>7955</x:v>
      </x:c>
      <x:c r="F506" s="153" t="n">
        <x:v>8019</x:v>
      </x:c>
      <x:c r="G506" s="153" t="n">
        <x:v>-37</x:v>
      </x:c>
      <x:c r="H506" s="154" t="n">
        <x:v>-0.0046</x:v>
      </x:c>
      <x:c r="I506" s="158" t="n">
        <x:v>8032</x:v>
      </x:c>
      <x:c r="J506" s="158" t="n">
        <x:v>351322</x:v>
      </x:c>
      <x:c r="K506" s="158" t="n">
        <x:v>2822112130</x:v>
      </x:c>
      <x:c r="L506" s="158" t="n">
        <x:v>3852262</x:v>
      </x:c>
      <x:c r="M506" s="141" t="str">
        <x:v>https://www.sge.com.cn/sjzx/quotation_daily_new?start_date=2025-02-01&amp;end_date=2025-02-28&amp;inst_ids=Ag%28T%2BD%29&amp;p=</x:v>
      </x:c>
    </x:row>
    <x:row r="507">
      <x:c r="A507" s="155" t="n">
        <x:v>45695</x:v>
      </x:c>
      <x:c r="B507" s="141" t="str">
        <x:v>Au99.99</x:v>
      </x:c>
      <x:c r="C507" s="153" t="n">
        <x:v>670</x:v>
      </x:c>
      <x:c r="D507" s="153" t="n">
        <x:v>670</x:v>
      </x:c>
      <x:c r="E507" s="153" t="n">
        <x:v>663</x:v>
      </x:c>
      <x:c r="F507" s="153" t="n">
        <x:v>668.99</x:v>
      </x:c>
      <x:c r="G507" s="153" t="n">
        <x:v>1.61</x:v>
      </x:c>
      <x:c r="H507" s="154" t="n">
        <x:v>0.0024</x:v>
      </x:c>
      <x:c r="I507" s="158" t="n">
        <x:v>668.97</x:v>
      </x:c>
      <x:c r="J507" s="158" t="n">
        <x:v>8918.4</x:v>
      </x:c>
      <x:c r="K507" s="158" t="n">
        <x:v>5966147703.6</x:v>
      </x:c>
      <x:c r="L507" s="158"/>
      <x:c r="M507" s="141" t="str">
        <x:v>https://www.sge.com.cn/sjzx/quotation_daily_new?start_date=2025-02-01&amp;end_date=2025-02-28&amp;inst_ids=Au99.99&amp;p=</x:v>
      </x:c>
    </x:row>
    <x:row r="508">
      <x:c r="A508" s="155" t="n">
        <x:v>45698</x:v>
      </x:c>
      <x:c r="B508" s="141" t="str">
        <x:v>Ag(T+D)</x:v>
      </x:c>
      <x:c r="C508" s="153" t="n">
        <x:v>8029</x:v>
      </x:c>
      <x:c r="D508" s="153" t="n">
        <x:v>8122</x:v>
      </x:c>
      <x:c r="E508" s="153" t="n">
        <x:v>7985</x:v>
      </x:c>
      <x:c r="F508" s="153" t="n">
        <x:v>8041</x:v>
      </x:c>
      <x:c r="G508" s="153" t="n">
        <x:v>9</x:v>
      </x:c>
      <x:c r="H508" s="154" t="n">
        <x:v>0.0011</x:v>
      </x:c>
      <x:c r="I508" s="158" t="n">
        <x:v>8033</x:v>
      </x:c>
      <x:c r="J508" s="158" t="n">
        <x:v>411582</x:v>
      </x:c>
      <x:c r="K508" s="158" t="n">
        <x:v>3306387712</x:v>
      </x:c>
      <x:c r="L508" s="158" t="n">
        <x:v>3887844</x:v>
      </x:c>
      <x:c r="M508" s="141" t="str">
        <x:v>https://www.sge.com.cn/sjzx/quotation_daily_new?start_date=2025-02-01&amp;end_date=2025-02-28&amp;inst_ids=Ag%28T%2BD%29&amp;p=</x:v>
      </x:c>
    </x:row>
    <x:row r="509">
      <x:c r="A509" s="155" t="n">
        <x:v>45698</x:v>
      </x:c>
      <x:c r="B509" s="141" t="str">
        <x:v>Au99.99</x:v>
      </x:c>
      <x:c r="C509" s="153" t="n">
        <x:v>669</x:v>
      </x:c>
      <x:c r="D509" s="153" t="n">
        <x:v>679.99</x:v>
      </x:c>
      <x:c r="E509" s="153" t="n">
        <x:v>666</x:v>
      </x:c>
      <x:c r="F509" s="153" t="n">
        <x:v>679.65</x:v>
      </x:c>
      <x:c r="G509" s="153" t="n">
        <x:v>10.66</x:v>
      </x:c>
      <x:c r="H509" s="154" t="n">
        <x:v>0.0159</x:v>
      </x:c>
      <x:c r="I509" s="158" t="n">
        <x:v>675.4</x:v>
      </x:c>
      <x:c r="J509" s="158" t="n">
        <x:v>12495.42</x:v>
      </x:c>
      <x:c r="K509" s="158" t="n">
        <x:v>8439462975</x:v>
      </x:c>
      <x:c r="L509" s="158"/>
      <x:c r="M509" s="141" t="str">
        <x:v>https://www.sge.com.cn/sjzx/quotation_daily_new?start_date=2025-02-01&amp;end_date=2025-02-28&amp;inst_ids=Au99.99&amp;p=</x:v>
      </x:c>
    </x:row>
    <x:row r="510">
      <x:c r="A510" s="155" t="n">
        <x:v>45699</x:v>
      </x:c>
      <x:c r="B510" s="141" t="str">
        <x:v>Ag(T+D)</x:v>
      </x:c>
      <x:c r="C510" s="153" t="n">
        <x:v>8076</x:v>
      </x:c>
      <x:c r="D510" s="153" t="n">
        <x:v>8083</x:v>
      </x:c>
      <x:c r="E510" s="153" t="n">
        <x:v>7913</x:v>
      </x:c>
      <x:c r="F510" s="153" t="n">
        <x:v>7954</x:v>
      </x:c>
      <x:c r="G510" s="153" t="n">
        <x:v>-79</x:v>
      </x:c>
      <x:c r="H510" s="154" t="n">
        <x:v>-0.0098</x:v>
      </x:c>
      <x:c r="I510" s="158" t="n">
        <x:v>8015</x:v>
      </x:c>
      <x:c r="J510" s="158" t="n">
        <x:v>520970</x:v>
      </x:c>
      <x:c r="K510" s="158" t="n">
        <x:v>4175711186</x:v>
      </x:c>
      <x:c r="L510" s="158" t="n">
        <x:v>3868912</x:v>
      </x:c>
      <x:c r="M510" s="141" t="str">
        <x:v>https://www.sge.com.cn/sjzx/quotation_daily_new?start_date=2025-02-01&amp;end_date=2025-02-28&amp;inst_ids=Ag%28T%2BD%29&amp;p=</x:v>
      </x:c>
    </x:row>
    <x:row r="511">
      <x:c r="A511" s="155" t="n">
        <x:v>45699</x:v>
      </x:c>
      <x:c r="B511" s="141" t="str">
        <x:v>Au99.99</x:v>
      </x:c>
      <x:c r="C511" s="153" t="n">
        <x:v>682</x:v>
      </x:c>
      <x:c r="D511" s="153" t="n">
        <x:v>692</x:v>
      </x:c>
      <x:c r="E511" s="153" t="n">
        <x:v>679</x:v>
      </x:c>
      <x:c r="F511" s="153" t="n">
        <x:v>683.52</x:v>
      </x:c>
      <x:c r="G511" s="153" t="n">
        <x:v>3.87</x:v>
      </x:c>
      <x:c r="H511" s="154" t="n">
        <x:v>0.005699999999999999</x:v>
      </x:c>
      <x:c r="I511" s="158" t="n">
        <x:v>686.48</x:v>
      </x:c>
      <x:c r="J511" s="158" t="n">
        <x:v>15833.22</x:v>
      </x:c>
      <x:c r="K511" s="158" t="n">
        <x:v>10869325355.2</x:v>
      </x:c>
      <x:c r="L511" s="158"/>
      <x:c r="M511" s="141" t="str">
        <x:v>https://www.sge.com.cn/sjzx/quotation_daily_new?start_date=2025-02-01&amp;end_date=2025-02-28&amp;inst_ids=Au99.99&amp;p=</x:v>
      </x:c>
    </x:row>
    <x:row r="512">
      <x:c r="A512" s="155" t="n">
        <x:v>45700</x:v>
      </x:c>
      <x:c r="B512" s="141" t="str">
        <x:v>Ag(T+D)</x:v>
      </x:c>
      <x:c r="C512" s="153" t="n">
        <x:v>7964</x:v>
      </x:c>
      <x:c r="D512" s="153" t="n">
        <x:v>7975</x:v>
      </x:c>
      <x:c r="E512" s="153" t="n">
        <x:v>7825</x:v>
      </x:c>
      <x:c r="F512" s="153" t="n">
        <x:v>7956</x:v>
      </x:c>
      <x:c r="G512" s="153" t="n">
        <x:v>-59</x:v>
      </x:c>
      <x:c r="H512" s="154" t="n">
        <x:v>-0.0074</x:v>
      </x:c>
      <x:c r="I512" s="158" t="n">
        <x:v>7914</x:v>
      </x:c>
      <x:c r="J512" s="158" t="n">
        <x:v>437050</x:v>
      </x:c>
      <x:c r="K512" s="158" t="n">
        <x:v>3459147248</x:v>
      </x:c>
      <x:c r="L512" s="158" t="n">
        <x:v>3668410</x:v>
      </x:c>
      <x:c r="M512" s="141" t="str">
        <x:v>https://www.sge.com.cn/sjzx/quotation_daily_new?start_date=2025-02-01&amp;end_date=2025-02-28&amp;inst_ids=Ag%28T%2BD%29&amp;p=</x:v>
      </x:c>
    </x:row>
    <x:row r="513">
      <x:c r="A513" s="155" t="n">
        <x:v>45700</x:v>
      </x:c>
      <x:c r="B513" s="141" t="str">
        <x:v>Au99.99</x:v>
      </x:c>
      <x:c r="C513" s="153" t="n">
        <x:v>681</x:v>
      </x:c>
      <x:c r="D513" s="153" t="n">
        <x:v>682.81</x:v>
      </x:c>
      <x:c r="E513" s="153" t="n">
        <x:v>677.5</x:v>
      </x:c>
      <x:c r="F513" s="153" t="n">
        <x:v>680.21</x:v>
      </x:c>
      <x:c r="G513" s="153" t="n">
        <x:v>-3.31</x:v>
      </x:c>
      <x:c r="H513" s="154" t="n">
        <x:v>-0.0048</x:v>
      </x:c>
      <x:c r="I513" s="158" t="n">
        <x:v>679.96</x:v>
      </x:c>
      <x:c r="J513" s="158" t="n">
        <x:v>12594.46</x:v>
      </x:c>
      <x:c r="K513" s="158" t="n">
        <x:v>8563831950.6</x:v>
      </x:c>
      <x:c r="L513" s="158"/>
      <x:c r="M513" s="141" t="str">
        <x:v>https://www.sge.com.cn/sjzx/quotation_daily_new?start_date=2025-02-01&amp;end_date=2025-02-28&amp;inst_ids=Au99.99&amp;p=</x:v>
      </x:c>
    </x:row>
    <x:row r="514">
      <x:c r="A514" s="155" t="n">
        <x:v>45701</x:v>
      </x:c>
      <x:c r="B514" s="141" t="str">
        <x:v>Ag(T+D)</x:v>
      </x:c>
      <x:c r="C514" s="153" t="n">
        <x:v>7946</x:v>
      </x:c>
      <x:c r="D514" s="153" t="n">
        <x:v>8037</x:v>
      </x:c>
      <x:c r="E514" s="153" t="n">
        <x:v>7883</x:v>
      </x:c>
      <x:c r="F514" s="153" t="n">
        <x:v>8019</x:v>
      </x:c>
      <x:c r="G514" s="153" t="n">
        <x:v>105</x:v>
      </x:c>
      <x:c r="H514" s="154" t="n">
        <x:v>0.013300000000000001</x:v>
      </x:c>
      <x:c r="I514" s="158" t="n">
        <x:v>7993</x:v>
      </x:c>
      <x:c r="J514" s="158" t="n">
        <x:v>408678</x:v>
      </x:c>
      <x:c r="K514" s="158" t="n">
        <x:v>3266916750</x:v>
      </x:c>
      <x:c r="L514" s="158" t="n">
        <x:v>3649666</x:v>
      </x:c>
      <x:c r="M514" s="141" t="str">
        <x:v>https://www.sge.com.cn/sjzx/quotation_daily_new?start_date=2025-02-01&amp;end_date=2025-02-28&amp;inst_ids=Ag%28T%2BD%29&amp;p=</x:v>
      </x:c>
    </x:row>
    <x:row r="515">
      <x:c r="A515" s="155" t="n">
        <x:v>45701</x:v>
      </x:c>
      <x:c r="B515" s="141" t="str">
        <x:v>Au99.99</x:v>
      </x:c>
      <x:c r="C515" s="153" t="n">
        <x:v>677.8</x:v>
      </x:c>
      <x:c r="D515" s="153" t="n">
        <x:v>685.47</x:v>
      </x:c>
      <x:c r="E515" s="153" t="n">
        <x:v>675</x:v>
      </x:c>
      <x:c r="F515" s="153" t="n">
        <x:v>683.86</x:v>
      </x:c>
      <x:c r="G515" s="153" t="n">
        <x:v>3.65</x:v>
      </x:c>
      <x:c r="H515" s="154" t="n">
        <x:v>0.0054</x:v>
      </x:c>
      <x:c r="I515" s="158" t="n">
        <x:v>683.76</x:v>
      </x:c>
      <x:c r="J515" s="158" t="n">
        <x:v>12135.32</x:v>
      </x:c>
      <x:c r="K515" s="158" t="n">
        <x:v>8297688804</x:v>
      </x:c>
      <x:c r="L515" s="158"/>
      <x:c r="M515" s="141" t="str">
        <x:v>https://www.sge.com.cn/sjzx/quotation_daily_new?start_date=2025-02-01&amp;end_date=2025-02-28&amp;inst_ids=Au99.99&amp;p=</x:v>
      </x:c>
    </x:row>
    <x:row r="516">
      <x:c r="A516" s="155" t="n">
        <x:v>45702</x:v>
      </x:c>
      <x:c r="B516" s="141" t="str">
        <x:v>Ag(T+D)</x:v>
      </x:c>
      <x:c r="C516" s="153" t="n">
        <x:v>8019</x:v>
      </x:c>
      <x:c r="D516" s="153" t="n">
        <x:v>8243</x:v>
      </x:c>
      <x:c r="E516" s="153" t="n">
        <x:v>7960</x:v>
      </x:c>
      <x:c r="F516" s="153" t="n">
        <x:v>8234</x:v>
      </x:c>
      <x:c r="G516" s="153" t="n">
        <x:v>241</x:v>
      </x:c>
      <x:c r="H516" s="154" t="n">
        <x:v>0.0302</x:v>
      </x:c>
      <x:c r="I516" s="158" t="n">
        <x:v>8123</x:v>
      </x:c>
      <x:c r="J516" s="158" t="n">
        <x:v>714862</x:v>
      </x:c>
      <x:c r="K516" s="158" t="n">
        <x:v>5807002858</x:v>
      </x:c>
      <x:c r="L516" s="158" t="n">
        <x:v>3776960</x:v>
      </x:c>
      <x:c r="M516" s="141" t="str">
        <x:v>https://www.sge.com.cn/sjzx/quotation_daily_new?start_date=2025-02-01&amp;end_date=2025-02-28&amp;inst_ids=Ag%28T%2BD%29&amp;p=</x:v>
      </x:c>
    </x:row>
    <x:row r="517">
      <x:c r="A517" s="155" t="n">
        <x:v>45702</x:v>
      </x:c>
      <x:c r="B517" s="141" t="str">
        <x:v>Au99.99</x:v>
      </x:c>
      <x:c r="C517" s="153" t="n">
        <x:v>684.5</x:v>
      </x:c>
      <x:c r="D517" s="153" t="n">
        <x:v>687.5</x:v>
      </x:c>
      <x:c r="E517" s="153" t="n">
        <x:v>683.5</x:v>
      </x:c>
      <x:c r="F517" s="153" t="n">
        <x:v>686.58</x:v>
      </x:c>
      <x:c r="G517" s="153" t="n">
        <x:v>2.72</x:v>
      </x:c>
      <x:c r="H517" s="154" t="n">
        <x:v>0.004</x:v>
      </x:c>
      <x:c r="I517" s="158" t="n">
        <x:v>686.6</x:v>
      </x:c>
      <x:c r="J517" s="158" t="n">
        <x:v>10894.24</x:v>
      </x:c>
      <x:c r="K517" s="158" t="n">
        <x:v>7480077366.4</x:v>
      </x:c>
      <x:c r="L517" s="158"/>
      <x:c r="M517" s="141" t="str">
        <x:v>https://www.sge.com.cn/sjzx/quotation_daily_new?start_date=2025-02-01&amp;end_date=2025-02-28&amp;inst_ids=Au99.99&amp;p=</x:v>
      </x:c>
    </x:row>
    <x:row r="518">
      <x:c r="A518" s="155" t="n">
        <x:v>45705</x:v>
      </x:c>
      <x:c r="B518" s="141" t="str">
        <x:v>Ag(T+D)</x:v>
      </x:c>
      <x:c r="C518" s="153" t="n">
        <x:v>8245</x:v>
      </x:c>
      <x:c r="D518" s="153" t="n">
        <x:v>8263</x:v>
      </x:c>
      <x:c r="E518" s="153" t="n">
        <x:v>7948</x:v>
      </x:c>
      <x:c r="F518" s="153" t="n">
        <x:v>8010</x:v>
      </x:c>
      <x:c r="G518" s="153" t="n">
        <x:v>-113</x:v>
      </x:c>
      <x:c r="H518" s="154" t="n">
        <x:v>-0.0139</x:v>
      </x:c>
      <x:c r="I518" s="158" t="n">
        <x:v>8073</x:v>
      </x:c>
      <x:c r="J518" s="158" t="n">
        <x:v>626286</x:v>
      </x:c>
      <x:c r="K518" s="158" t="n">
        <x:v>5056134808</x:v>
      </x:c>
      <x:c r="L518" s="158" t="n">
        <x:v>3781212</x:v>
      </x:c>
      <x:c r="M518" s="141" t="str">
        <x:v>https://www.sge.com.cn/sjzx/quotation_daily_new?start_date=2025-02-01&amp;end_date=2025-02-28&amp;inst_ids=Ag%28T%2BD%29&amp;p=</x:v>
      </x:c>
    </x:row>
    <x:row r="519">
      <x:c r="A519" s="155" t="n">
        <x:v>45705</x:v>
      </x:c>
      <x:c r="B519" s="141" t="str">
        <x:v>Au99.99</x:v>
      </x:c>
      <x:c r="C519" s="153" t="n">
        <x:v>686</x:v>
      </x:c>
      <x:c r="D519" s="153" t="n">
        <x:v>687</x:v>
      </x:c>
      <x:c r="E519" s="153" t="n">
        <x:v>674</x:v>
      </x:c>
      <x:c r="F519" s="153" t="n">
        <x:v>676.28</x:v>
      </x:c>
      <x:c r="G519" s="153" t="n">
        <x:v>-10.3</x:v>
      </x:c>
      <x:c r="H519" s="154" t="n">
        <x:v>-0.015</x:v>
      </x:c>
      <x:c r="I519" s="158" t="n">
        <x:v>675.95</x:v>
      </x:c>
      <x:c r="J519" s="158" t="n">
        <x:v>15275.02</x:v>
      </x:c>
      <x:c r="K519" s="158" t="n">
        <x:v>10325293532.6</x:v>
      </x:c>
      <x:c r="L519" s="158"/>
      <x:c r="M519" s="141" t="str">
        <x:v>https://www.sge.com.cn/sjzx/quotation_daily_new?start_date=2025-02-01&amp;end_date=2025-02-28&amp;inst_ids=Au99.99&amp;p=</x:v>
      </x:c>
    </x:row>
    <x:row r="520">
      <x:c r="A520" s="155" t="n">
        <x:v>45706</x:v>
      </x:c>
      <x:c r="B520" s="141" t="str">
        <x:v>Ag(T+D)</x:v>
      </x:c>
      <x:c r="C520" s="153" t="n">
        <x:v>8040</x:v>
      </x:c>
      <x:c r="D520" s="153" t="n">
        <x:v>8086</x:v>
      </x:c>
      <x:c r="E520" s="153" t="n">
        <x:v>7978</x:v>
      </x:c>
      <x:c r="F520" s="153" t="n">
        <x:v>8068</x:v>
      </x:c>
      <x:c r="G520" s="153" t="n">
        <x:v>-5</x:v>
      </x:c>
      <x:c r="H520" s="154" t="n">
        <x:v>-0.0006</x:v>
      </x:c>
      <x:c r="I520" s="158" t="n">
        <x:v>8040</x:v>
      </x:c>
      <x:c r="J520" s="158" t="n">
        <x:v>449730</x:v>
      </x:c>
      <x:c r="K520" s="158" t="n">
        <x:v>3616063240</x:v>
      </x:c>
      <x:c r="L520" s="158" t="n">
        <x:v>3789058</x:v>
      </x:c>
      <x:c r="M520" s="141" t="str">
        <x:v>https://www.sge.com.cn/sjzx/quotation_daily_new?start_date=2025-02-01&amp;end_date=2025-02-28&amp;inst_ids=Ag%28T%2BD%29&amp;p=</x:v>
      </x:c>
    </x:row>
    <x:row r="521">
      <x:c r="A521" s="155" t="n">
        <x:v>45706</x:v>
      </x:c>
      <x:c r="B521" s="141" t="str">
        <x:v>Au99.99</x:v>
      </x:c>
      <x:c r="C521" s="153" t="n">
        <x:v>677</x:v>
      </x:c>
      <x:c r="D521" s="153" t="n">
        <x:v>683.4</x:v>
      </x:c>
      <x:c r="E521" s="153" t="n">
        <x:v>676.8</x:v>
      </x:c>
      <x:c r="F521" s="153" t="n">
        <x:v>682.85</x:v>
      </x:c>
      <x:c r="G521" s="153" t="n">
        <x:v>6.57</x:v>
      </x:c>
      <x:c r="H521" s="154" t="n">
        <x:v>0.0097</x:v>
      </x:c>
      <x:c r="I521" s="158" t="n">
        <x:v>680.86</x:v>
      </x:c>
      <x:c r="J521" s="158" t="n">
        <x:v>10441.16</x:v>
      </x:c>
      <x:c r="K521" s="158" t="n">
        <x:v>7109019901.2</x:v>
      </x:c>
      <x:c r="L521" s="158"/>
      <x:c r="M521" s="141" t="str">
        <x:v>https://www.sge.com.cn/sjzx/quotation_daily_new?start_date=2025-02-01&amp;end_date=2025-02-28&amp;inst_ids=Au99.99&amp;p=</x:v>
      </x:c>
    </x:row>
    <x:row r="522">
      <x:c r="A522" s="155" t="n">
        <x:v>45707</x:v>
      </x:c>
      <x:c r="B522" s="141" t="str">
        <x:v>Ag(T+D)</x:v>
      </x:c>
      <x:c r="C522" s="153" t="n">
        <x:v>8068</x:v>
      </x:c>
      <x:c r="D522" s="153" t="n">
        <x:v>8144</x:v>
      </x:c>
      <x:c r="E522" s="153" t="n">
        <x:v>8048</x:v>
      </x:c>
      <x:c r="F522" s="153" t="n">
        <x:v>8109</x:v>
      </x:c>
      <x:c r="G522" s="153" t="n">
        <x:v>69</x:v>
      </x:c>
      <x:c r="H522" s="154" t="n">
        <x:v>0.0086</x:v>
      </x:c>
      <x:c r="I522" s="158" t="n">
        <x:v>8109</x:v>
      </x:c>
      <x:c r="J522" s="158" t="n">
        <x:v>441078</x:v>
      </x:c>
      <x:c r="K522" s="158" t="n">
        <x:v>3576797482</x:v>
      </x:c>
      <x:c r="L522" s="158" t="n">
        <x:v>3759760</x:v>
      </x:c>
      <x:c r="M522" s="141" t="str">
        <x:v>https://www.sge.com.cn/sjzx/quotation_daily_new?start_date=2025-02-01&amp;end_date=2025-02-28&amp;inst_ids=Ag%28T%2BD%29&amp;p=</x:v>
      </x:c>
    </x:row>
    <x:row r="523">
      <x:c r="A523" s="155" t="n">
        <x:v>45707</x:v>
      </x:c>
      <x:c r="B523" s="141" t="str">
        <x:v>Au99.99</x:v>
      </x:c>
      <x:c r="C523" s="153" t="n">
        <x:v>685</x:v>
      </x:c>
      <x:c r="D523" s="153" t="n">
        <x:v>689.99</x:v>
      </x:c>
      <x:c r="E523" s="153" t="n">
        <x:v>682</x:v>
      </x:c>
      <x:c r="F523" s="153" t="n">
        <x:v>686.9</x:v>
      </x:c>
      <x:c r="G523" s="153" t="n">
        <x:v>4.05</x:v>
      </x:c>
      <x:c r="H523" s="154" t="n">
        <x:v>0.0059</x:v>
      </x:c>
      <x:c r="I523" s="158" t="n">
        <x:v>687.2</x:v>
      </x:c>
      <x:c r="J523" s="158" t="n">
        <x:v>9960.9</x:v>
      </x:c>
      <x:c r="K523" s="158" t="n">
        <x:v>6845156885.2</x:v>
      </x:c>
      <x:c r="L523" s="158"/>
      <x:c r="M523" s="141" t="str">
        <x:v>https://www.sge.com.cn/sjzx/quotation_daily_new?start_date=2025-02-01&amp;end_date=2025-02-28&amp;inst_ids=Au99.99&amp;p=</x:v>
      </x:c>
    </x:row>
    <x:row r="524">
      <x:c r="A524" s="155" t="n">
        <x:v>45708</x:v>
      </x:c>
      <x:c r="B524" s="141" t="str">
        <x:v>Ag(T+D)</x:v>
      </x:c>
      <x:c r="C524" s="153" t="n">
        <x:v>8130</x:v>
      </x:c>
      <x:c r="D524" s="153" t="n">
        <x:v>8155</x:v>
      </x:c>
      <x:c r="E524" s="153" t="n">
        <x:v>8055</x:v>
      </x:c>
      <x:c r="F524" s="153" t="n">
        <x:v>8141</x:v>
      </x:c>
      <x:c r="G524" s="153" t="n">
        <x:v>32</x:v>
      </x:c>
      <x:c r="H524" s="154" t="n">
        <x:v>0.0039000000000000003</x:v>
      </x:c>
      <x:c r="I524" s="158" t="n">
        <x:v>8119</x:v>
      </x:c>
      <x:c r="J524" s="158" t="n">
        <x:v>464968</x:v>
      </x:c>
      <x:c r="K524" s="158" t="n">
        <x:v>3775157558</x:v>
      </x:c>
      <x:c r="L524" s="158" t="n">
        <x:v>3837532</x:v>
      </x:c>
      <x:c r="M524" s="141" t="str">
        <x:v>https://www.sge.com.cn/sjzx/quotation_daily_new?start_date=2025-02-01&amp;end_date=2025-02-28&amp;inst_ids=Ag%28T%2BD%29&amp;p=</x:v>
      </x:c>
    </x:row>
    <x:row r="525">
      <x:c r="A525" s="155" t="n">
        <x:v>45708</x:v>
      </x:c>
      <x:c r="B525" s="141" t="str">
        <x:v>Au99.99</x:v>
      </x:c>
      <x:c r="C525" s="153" t="n">
        <x:v>688</x:v>
      </x:c>
      <x:c r="D525" s="153" t="n">
        <x:v>689.49</x:v>
      </x:c>
      <x:c r="E525" s="153" t="n">
        <x:v>684</x:v>
      </x:c>
      <x:c r="F525" s="153" t="n">
        <x:v>689.18</x:v>
      </x:c>
      <x:c r="G525" s="153" t="n">
        <x:v>2.28</x:v>
      </x:c>
      <x:c r="H525" s="154" t="n">
        <x:v>0.0033</x:v>
      </x:c>
      <x:c r="I525" s="158" t="n">
        <x:v>687.95</x:v>
      </x:c>
      <x:c r="J525" s="158" t="n">
        <x:v>9567.86</x:v>
      </x:c>
      <x:c r="K525" s="158" t="n">
        <x:v>6582224119.6</x:v>
      </x:c>
      <x:c r="L525" s="158"/>
      <x:c r="M525" s="141" t="str">
        <x:v>https://www.sge.com.cn/sjzx/quotation_daily_new?start_date=2025-02-01&amp;end_date=2025-02-28&amp;inst_ids=Au99.99&amp;p=</x:v>
      </x:c>
    </x:row>
    <x:row r="526">
      <x:c r="A526" s="155" t="n">
        <x:v>45709</x:v>
      </x:c>
      <x:c r="B526" s="141" t="str">
        <x:v>Ag(T+D)</x:v>
      </x:c>
      <x:c r="C526" s="153" t="n">
        <x:v>8169</x:v>
      </x:c>
      <x:c r="D526" s="153" t="n">
        <x:v>8174</x:v>
      </x:c>
      <x:c r="E526" s="153" t="n">
        <x:v>8057</x:v>
      </x:c>
      <x:c r="F526" s="153" t="n">
        <x:v>8094</x:v>
      </x:c>
      <x:c r="G526" s="153" t="n">
        <x:v>-25</x:v>
      </x:c>
      <x:c r="H526" s="154" t="n">
        <x:v>-0.0031</x:v>
      </x:c>
      <x:c r="I526" s="158" t="n">
        <x:v>8111</x:v>
      </x:c>
      <x:c r="J526" s="158" t="n">
        <x:v>661258</x:v>
      </x:c>
      <x:c r="K526" s="158" t="n">
        <x:v>5364027202</x:v>
      </x:c>
      <x:c r="L526" s="158" t="n">
        <x:v>3802694</x:v>
      </x:c>
      <x:c r="M526" s="141" t="str">
        <x:v>https://www.sge.com.cn/sjzx/quotation_daily_new?start_date=2025-02-01&amp;end_date=2025-02-28&amp;inst_ids=Ag%28T%2BD%29&amp;p=</x:v>
      </x:c>
    </x:row>
    <x:row r="527">
      <x:c r="A527" s="155" t="n">
        <x:v>45709</x:v>
      </x:c>
      <x:c r="B527" s="141" t="str">
        <x:v>Au99.99</x:v>
      </x:c>
      <x:c r="C527" s="153" t="n">
        <x:v>688.3</x:v>
      </x:c>
      <x:c r="D527" s="153" t="n">
        <x:v>690</x:v>
      </x:c>
      <x:c r="E527" s="153" t="n">
        <x:v>681.2</x:v>
      </x:c>
      <x:c r="F527" s="153" t="n">
        <x:v>683.47</x:v>
      </x:c>
      <x:c r="G527" s="153" t="n">
        <x:v>-5.71</x:v>
      </x:c>
      <x:c r="H527" s="154" t="n">
        <x:v>-0.0083</x:v>
      </x:c>
      <x:c r="I527" s="158" t="n">
        <x:v>684.35</x:v>
      </x:c>
      <x:c r="J527" s="158" t="n">
        <x:v>10892.72</x:v>
      </x:c>
      <x:c r="K527" s="158" t="n">
        <x:v>7454481001.8</x:v>
      </x:c>
      <x:c r="L527" s="158"/>
      <x:c r="M527" s="141" t="str">
        <x:v>https://www.sge.com.cn/sjzx/quotation_daily_new?start_date=2025-02-01&amp;end_date=2025-02-28&amp;inst_ids=Au99.99&amp;p=</x:v>
      </x:c>
    </x:row>
    <x:row r="528">
      <x:c r="A528" s="155" t="n">
        <x:v>45712</x:v>
      </x:c>
      <x:c r="B528" s="141" t="str">
        <x:v>Ag(T+D)</x:v>
      </x:c>
      <x:c r="C528" s="153" t="n">
        <x:v>8100</x:v>
      </x:c>
      <x:c r="D528" s="153" t="n">
        <x:v>8123</x:v>
      </x:c>
      <x:c r="E528" s="153" t="n">
        <x:v>8003</x:v>
      </x:c>
      <x:c r="F528" s="153" t="n">
        <x:v>8074</x:v>
      </x:c>
      <x:c r="G528" s="153" t="n">
        <x:v>-37</x:v>
      </x:c>
      <x:c r="H528" s="154" t="n">
        <x:v>-0.0046</x:v>
      </x:c>
      <x:c r="I528" s="158" t="n">
        <x:v>8059</x:v>
      </x:c>
      <x:c r="J528" s="158" t="n">
        <x:v>453170</x:v>
      </x:c>
      <x:c r="K528" s="158" t="n">
        <x:v>3652377478</x:v>
      </x:c>
      <x:c r="L528" s="158" t="n">
        <x:v>3796990</x:v>
      </x:c>
      <x:c r="M528" s="141" t="str">
        <x:v>https://www.sge.com.cn/sjzx/quotation_daily_new?start_date=2025-02-01&amp;end_date=2025-02-28&amp;inst_ids=Ag%28T%2BD%29&amp;p=</x:v>
      </x:c>
    </x:row>
    <x:row r="529">
      <x:c r="A529" s="155" t="n">
        <x:v>45712</x:v>
      </x:c>
      <x:c r="B529" s="141" t="str">
        <x:v>Au99.99</x:v>
      </x:c>
      <x:c r="C529" s="153" t="n">
        <x:v>683</x:v>
      </x:c>
      <x:c r="D529" s="153" t="n">
        <x:v>687</x:v>
      </x:c>
      <x:c r="E529" s="153" t="n">
        <x:v>681.9</x:v>
      </x:c>
      <x:c r="F529" s="153" t="n">
        <x:v>685.58</x:v>
      </x:c>
      <x:c r="G529" s="153" t="n">
        <x:v>2.11</x:v>
      </x:c>
      <x:c r="H529" s="154" t="n">
        <x:v>0.0031</x:v>
      </x:c>
      <x:c r="I529" s="158" t="n">
        <x:v>684.63</x:v>
      </x:c>
      <x:c r="J529" s="158" t="n">
        <x:v>12291.68</x:v>
      </x:c>
      <x:c r="K529" s="158" t="n">
        <x:v>8415291486</x:v>
      </x:c>
      <x:c r="L529" s="158"/>
      <x:c r="M529" s="141" t="str">
        <x:v>https://www.sge.com.cn/sjzx/quotation_daily_new?start_date=2025-02-01&amp;end_date=2025-02-28&amp;inst_ids=Au99.99&amp;p=</x:v>
      </x:c>
    </x:row>
    <x:row r="530">
      <x:c r="A530" s="155" t="n">
        <x:v>45713</x:v>
      </x:c>
      <x:c r="B530" s="141" t="str">
        <x:v>Ag(T+D)</x:v>
      </x:c>
      <x:c r="C530" s="153" t="n">
        <x:v>8070</x:v>
      </x:c>
      <x:c r="D530" s="153" t="n">
        <x:v>8082</x:v>
      </x:c>
      <x:c r="E530" s="153" t="n">
        <x:v>7984</x:v>
      </x:c>
      <x:c r="F530" s="153" t="n">
        <x:v>8013</x:v>
      </x:c>
      <x:c r="G530" s="153" t="n">
        <x:v>-46</x:v>
      </x:c>
      <x:c r="H530" s="154" t="n">
        <x:v>-0.005699999999999999</x:v>
      </x:c>
      <x:c r="I530" s="158" t="n">
        <x:v>8024</x:v>
      </x:c>
      <x:c r="J530" s="158" t="n">
        <x:v>511972</x:v>
      </x:c>
      <x:c r="K530" s="158" t="n">
        <x:v>4108559522</x:v>
      </x:c>
      <x:c r="L530" s="158" t="n">
        <x:v>3804474</x:v>
      </x:c>
      <x:c r="M530" s="141" t="str">
        <x:v>https://www.sge.com.cn/sjzx/quotation_daily_new?start_date=2025-02-01&amp;end_date=2025-02-28&amp;inst_ids=Ag%28T%2BD%29&amp;p=</x:v>
      </x:c>
    </x:row>
    <x:row r="531">
      <x:c r="A531" s="155" t="n">
        <x:v>45713</x:v>
      </x:c>
      <x:c r="B531" s="141" t="str">
        <x:v>Au99.99</x:v>
      </x:c>
      <x:c r="C531" s="153" t="n">
        <x:v>687.99</x:v>
      </x:c>
      <x:c r="D531" s="153" t="n">
        <x:v>688.59</x:v>
      </x:c>
      <x:c r="E531" s="153" t="n">
        <x:v>684</x:v>
      </x:c>
      <x:c r="F531" s="153" t="n">
        <x:v>685.17</x:v>
      </x:c>
      <x:c r="G531" s="153" t="n">
        <x:v>-0.41</x:v>
      </x:c>
      <x:c r="H531" s="154" t="n">
        <x:v>-0.0006</x:v>
      </x:c>
      <x:c r="I531" s="158" t="n">
        <x:v>686.42</x:v>
      </x:c>
      <x:c r="J531" s="158" t="n">
        <x:v>9741.44</x:v>
      </x:c>
      <x:c r="K531" s="158" t="n">
        <x:v>6686803948</x:v>
      </x:c>
      <x:c r="L531" s="158"/>
      <x:c r="M531" s="141" t="str">
        <x:v>https://www.sge.com.cn/sjzx/quotation_daily_new?start_date=2025-02-01&amp;end_date=2025-02-28&amp;inst_ids=Au99.99&amp;p=</x:v>
      </x:c>
    </x:row>
    <x:row r="532">
      <x:c r="A532" s="155" t="n">
        <x:v>45714</x:v>
      </x:c>
      <x:c r="B532" s="141" t="str">
        <x:v>Ag(T+D)</x:v>
      </x:c>
      <x:c r="C532" s="153" t="n">
        <x:v>8008</x:v>
      </x:c>
      <x:c r="D532" s="153" t="n">
        <x:v>8011</x:v>
      </x:c>
      <x:c r="E532" s="153" t="n">
        <x:v>7863</x:v>
      </x:c>
      <x:c r="F532" s="153" t="n">
        <x:v>7901</x:v>
      </x:c>
      <x:c r="G532" s="153" t="n">
        <x:v>-123</x:v>
      </x:c>
      <x:c r="H532" s="154" t="n">
        <x:v>-0.015300000000000001</x:v>
      </x:c>
      <x:c r="I532" s="158" t="n">
        <x:v>7925</x:v>
      </x:c>
      <x:c r="J532" s="158" t="n">
        <x:v>610262</x:v>
      </x:c>
      <x:c r="K532" s="158" t="n">
        <x:v>4836749054</x:v>
      </x:c>
      <x:c r="L532" s="158" t="n">
        <x:v>3818540</x:v>
      </x:c>
      <x:c r="M532" s="141" t="str">
        <x:v>https://www.sge.com.cn/sjzx/quotation_daily_new?start_date=2025-02-01&amp;end_date=2025-02-28&amp;inst_ids=Ag%28T%2BD%29&amp;p=</x:v>
      </x:c>
    </x:row>
    <x:row r="533">
      <x:c r="A533" s="155" t="n">
        <x:v>45714</x:v>
      </x:c>
      <x:c r="B533" s="141" t="str">
        <x:v>Au99.99</x:v>
      </x:c>
      <x:c r="C533" s="153" t="n">
        <x:v>684</x:v>
      </x:c>
      <x:c r="D533" s="153" t="n">
        <x:v>686.99</x:v>
      </x:c>
      <x:c r="E533" s="153" t="n">
        <x:v>675</x:v>
      </x:c>
      <x:c r="F533" s="153" t="n">
        <x:v>679.3</x:v>
      </x:c>
      <x:c r="G533" s="153" t="n">
        <x:v>-5.87</x:v>
      </x:c>
      <x:c r="H533" s="154" t="n">
        <x:v>-0.0086</x:v>
      </x:c>
      <x:c r="I533" s="158" t="n">
        <x:v>680.94</x:v>
      </x:c>
      <x:c r="J533" s="158" t="n">
        <x:v>10195.3</x:v>
      </x:c>
      <x:c r="K533" s="158" t="n">
        <x:v>6942417783.8</x:v>
      </x:c>
      <x:c r="L533" s="158"/>
      <x:c r="M533" s="141" t="str">
        <x:v>https://www.sge.com.cn/sjzx/quotation_daily_new?start_date=2025-02-01&amp;end_date=2025-02-28&amp;inst_ids=Au99.99&amp;p=</x:v>
      </x:c>
    </x:row>
    <x:row r="534">
      <x:c r="A534" s="155" t="n">
        <x:v>45715</x:v>
      </x:c>
      <x:c r="B534" s="141" t="str">
        <x:v>Ag(T+D)</x:v>
      </x:c>
      <x:c r="C534" s="153" t="n">
        <x:v>7922</x:v>
      </x:c>
      <x:c r="D534" s="153" t="n">
        <x:v>7943</x:v>
      </x:c>
      <x:c r="E534" s="153" t="n">
        <x:v>7863</x:v>
      </x:c>
      <x:c r="F534" s="153" t="n">
        <x:v>7912</x:v>
      </x:c>
      <x:c r="G534" s="153" t="n">
        <x:v>-13</x:v>
      </x:c>
      <x:c r="H534" s="154" t="n">
        <x:v>-0.0016</x:v>
      </x:c>
      <x:c r="I534" s="158" t="n">
        <x:v>7910</x:v>
      </x:c>
      <x:c r="J534" s="158" t="n">
        <x:v>579546</x:v>
      </x:c>
      <x:c r="K534" s="158" t="n">
        <x:v>4584262302</x:v>
      </x:c>
      <x:c r="L534" s="158" t="n">
        <x:v>3855550</x:v>
      </x:c>
      <x:c r="M534" s="141" t="str">
        <x:v>https://www.sge.com.cn/sjzx/quotation_daily_new?start_date=2025-02-01&amp;end_date=2025-02-28&amp;inst_ids=Ag%28T%2BD%29&amp;p=</x:v>
      </x:c>
    </x:row>
    <x:row r="535">
      <x:c r="A535" s="155" t="n">
        <x:v>45715</x:v>
      </x:c>
      <x:c r="B535" s="141" t="str">
        <x:v>Au99.99</x:v>
      </x:c>
      <x:c r="C535" s="153" t="n">
        <x:v>680</x:v>
      </x:c>
      <x:c r="D535" s="153" t="n">
        <x:v>681.7</x:v>
      </x:c>
      <x:c r="E535" s="153" t="n">
        <x:v>675.3</x:v>
      </x:c>
      <x:c r="F535" s="153" t="n">
        <x:v>676.52</x:v>
      </x:c>
      <x:c r="G535" s="153" t="n">
        <x:v>-2.78</x:v>
      </x:c>
      <x:c r="H535" s="154" t="n">
        <x:v>-0.0040999999999999995</x:v>
      </x:c>
      <x:c r="I535" s="158" t="n">
        <x:v>678.2</x:v>
      </x:c>
      <x:c r="J535" s="158" t="n">
        <x:v>9667.76</x:v>
      </x:c>
      <x:c r="K535" s="158" t="n">
        <x:v>6556688941.8</x:v>
      </x:c>
      <x:c r="L535" s="158"/>
      <x:c r="M535" s="141" t="str">
        <x:v>https://www.sge.com.cn/sjzx/quotation_daily_new?start_date=2025-02-01&amp;end_date=2025-02-28&amp;inst_ids=Au99.99&amp;p=</x:v>
      </x:c>
    </x:row>
    <x:row r="536">
      <x:c r="A536" s="155" t="n">
        <x:v>45716</x:v>
      </x:c>
      <x:c r="B536" s="141" t="str">
        <x:v>Ag(T+D)</x:v>
      </x:c>
      <x:c r="C536" s="153" t="n">
        <x:v>7910</x:v>
      </x:c>
      <x:c r="D536" s="153" t="n">
        <x:v>7942</x:v>
      </x:c>
      <x:c r="E536" s="153" t="n">
        <x:v>7827</x:v>
      </x:c>
      <x:c r="F536" s="153" t="n">
        <x:v>7841</x:v>
      </x:c>
      <x:c r="G536" s="153" t="n">
        <x:v>-69</x:v>
      </x:c>
      <x:c r="H536" s="154" t="n">
        <x:v>-0.0087</x:v>
      </x:c>
      <x:c r="I536" s="158" t="n">
        <x:v>7871</x:v>
      </x:c>
      <x:c r="J536" s="158" t="n">
        <x:v>584916</x:v>
      </x:c>
      <x:c r="K536" s="158" t="n">
        <x:v>4604089352</x:v>
      </x:c>
      <x:c r="L536" s="158" t="n">
        <x:v>3922878</x:v>
      </x:c>
      <x:c r="M536" s="141" t="str">
        <x:v>https://www.sge.com.cn/sjzx/quotation_daily_new?start_date=2025-02-01&amp;end_date=2025-02-28&amp;inst_ids=Ag%28T%2BD%29&amp;p=</x:v>
      </x:c>
    </x:row>
    <x:row r="537">
      <x:c r="A537" s="155" t="n">
        <x:v>45716</x:v>
      </x:c>
      <x:c r="B537" s="141" t="str">
        <x:v>Au99.99</x:v>
      </x:c>
      <x:c r="C537" s="153" t="n">
        <x:v>676</x:v>
      </x:c>
      <x:c r="D537" s="153" t="n">
        <x:v>677.8</x:v>
      </x:c>
      <x:c r="E537" s="153" t="n">
        <x:v>670</x:v>
      </x:c>
      <x:c r="F537" s="153" t="n">
        <x:v>670.78</x:v>
      </x:c>
      <x:c r="G537" s="153" t="n">
        <x:v>-5.74</x:v>
      </x:c>
      <x:c r="H537" s="154" t="n">
        <x:v>-0.0085</x:v>
      </x:c>
      <x:c r="I537" s="158" t="n">
        <x:v>673.01</x:v>
      </x:c>
      <x:c r="J537" s="158" t="n">
        <x:v>9780.24</x:v>
      </x:c>
      <x:c r="K537" s="158" t="n">
        <x:v>6582225547</x:v>
      </x:c>
      <x:c r="L537" s="158"/>
      <x:c r="M537" s="141" t="str">
        <x:v>https://www.sge.com.cn/sjzx/quotation_daily_new?start_date=2025-02-01&amp;end_date=2025-02-28&amp;inst_ids=Au99.99&amp;p=</x:v>
      </x:c>
    </x:row>
    <x:row r="538">
      <x:c r="A538" s="155" t="n">
        <x:v>45720</x:v>
      </x:c>
      <x:c r="B538" s="141" t="str">
        <x:v>Ag(T+D)</x:v>
      </x:c>
      <x:c r="C538" s="153" t="n">
        <x:v>7932</x:v>
      </x:c>
      <x:c r="D538" s="153" t="n">
        <x:v>7970</x:v>
      </x:c>
      <x:c r="E538" s="153" t="n">
        <x:v>7905</x:v>
      </x:c>
      <x:c r="F538" s="153" t="n">
        <x:v>7945</x:v>
      </x:c>
      <x:c r="G538" s="153" t="n">
        <x:v>69</x:v>
      </x:c>
      <x:c r="H538" s="154" t="n">
        <x:v>0.0088</x:v>
      </x:c>
      <x:c r="I538" s="158" t="n">
        <x:v>7936</x:v>
      </x:c>
      <x:c r="J538" s="158" t="n">
        <x:v>392392</x:v>
      </x:c>
      <x:c r="K538" s="158" t="n">
        <x:v>3114167782</x:v>
      </x:c>
      <x:c r="L538" s="158" t="n">
        <x:v>3757714</x:v>
      </x:c>
      <x:c r="M538" s="141" t="str">
        <x:v>https://www.sge.com.cn/sjzx/quotation_daily_new?start_date=2025-03-01&amp;end_date=2025-03-31&amp;inst_ids=Ag%28T%2BD%29&amp;p=</x:v>
      </x:c>
    </x:row>
    <x:row r="539">
      <x:c r="A539" s="155" t="n">
        <x:v>45720</x:v>
      </x:c>
      <x:c r="B539" s="141" t="str">
        <x:v>Au99.99</x:v>
      </x:c>
      <x:c r="C539" s="153" t="n">
        <x:v>674</x:v>
      </x:c>
      <x:c r="D539" s="153" t="n">
        <x:v>679.99</x:v>
      </x:c>
      <x:c r="E539" s="153" t="n">
        <x:v>673</x:v>
      </x:c>
      <x:c r="F539" s="153" t="n">
        <x:v>679.97</x:v>
      </x:c>
      <x:c r="G539" s="153" t="n">
        <x:v>8.19</x:v>
      </x:c>
      <x:c r="H539" s="154" t="n">
        <x:v>0.012199999999999999</x:v>
      </x:c>
      <x:c r="I539" s="158" t="n">
        <x:v>676.48</x:v>
      </x:c>
      <x:c r="J539" s="158" t="n">
        <x:v>8446</x:v>
      </x:c>
      <x:c r="K539" s="158" t="n">
        <x:v>5713600125.8</x:v>
      </x:c>
      <x:c r="L539" s="158"/>
      <x:c r="M539" s="141" t="str">
        <x:v>https://www.sge.com.cn/sjzx/quotation_daily_new?start_date=2025-03-01&amp;end_date=2025-03-31&amp;inst_ids=Au99.99&amp;p=</x:v>
      </x:c>
    </x:row>
    <x:row r="540">
      <x:c r="A540" s="155" t="n">
        <x:v>45721</x:v>
      </x:c>
      <x:c r="B540" s="141" t="str">
        <x:v>Ag(T+D)</x:v>
      </x:c>
      <x:c r="C540" s="153" t="n">
        <x:v>7970</x:v>
      </x:c>
      <x:c r="D540" s="153" t="n">
        <x:v>8012</x:v>
      </x:c>
      <x:c r="E540" s="153" t="n">
        <x:v>7902</x:v>
      </x:c>
      <x:c r="F540" s="153" t="n">
        <x:v>8012</x:v>
      </x:c>
      <x:c r="G540" s="153" t="n">
        <x:v>76</x:v>
      </x:c>
      <x:c r="H540" s="154" t="n">
        <x:v>0.0096</x:v>
      </x:c>
      <x:c r="I540" s="158" t="n">
        <x:v>7968</x:v>
      </x:c>
      <x:c r="J540" s="158" t="n">
        <x:v>420232</x:v>
      </x:c>
      <x:c r="K540" s="158" t="n">
        <x:v>3348680058</x:v>
      </x:c>
      <x:c r="L540" s="158" t="n">
        <x:v>3794980</x:v>
      </x:c>
      <x:c r="M540" s="141" t="str">
        <x:v>https://www.sge.com.cn/sjzx/quotation_daily_new?start_date=2025-03-01&amp;end_date=2025-03-31&amp;inst_ids=Ag%28T%2BD%29&amp;p=</x:v>
      </x:c>
    </x:row>
    <x:row r="541">
      <x:c r="A541" s="155" t="n">
        <x:v>45721</x:v>
      </x:c>
      <x:c r="B541" s="141" t="str">
        <x:v>Au99.99</x:v>
      </x:c>
      <x:c r="C541" s="153" t="n">
        <x:v>680</x:v>
      </x:c>
      <x:c r="D541" s="153" t="n">
        <x:v>682.47</x:v>
      </x:c>
      <x:c r="E541" s="153" t="n">
        <x:v>678.3</x:v>
      </x:c>
      <x:c r="F541" s="153" t="n">
        <x:v>681.57</x:v>
      </x:c>
      <x:c r="G541" s="153" t="n">
        <x:v>1.6</x:v>
      </x:c>
      <x:c r="H541" s="154" t="n">
        <x:v>0.0024</x:v>
      </x:c>
      <x:c r="I541" s="158" t="n">
        <x:v>680.54</x:v>
      </x:c>
      <x:c r="J541" s="158" t="n">
        <x:v>10594.5</x:v>
      </x:c>
      <x:c r="K541" s="158" t="n">
        <x:v>7210008590.2</x:v>
      </x:c>
      <x:c r="L541" s="158"/>
      <x:c r="M541" s="141" t="str">
        <x:v>https://www.sge.com.cn/sjzx/quotation_daily_new?start_date=2025-03-01&amp;end_date=2025-03-31&amp;inst_ids=Au99.99&amp;p=</x:v>
      </x:c>
    </x:row>
    <x:row r="542">
      <x:c r="A542" s="155" t="n">
        <x:v>45722</x:v>
      </x:c>
      <x:c r="B542" s="141" t="str">
        <x:v>Ag(T+D)</x:v>
      </x:c>
      <x:c r="C542" s="153" t="n">
        <x:v>8040</x:v>
      </x:c>
      <x:c r="D542" s="153" t="n">
        <x:v>8078</x:v>
      </x:c>
      <x:c r="E542" s="153" t="n">
        <x:v>7944</x:v>
      </x:c>
      <x:c r="F542" s="153" t="n">
        <x:v>8048</x:v>
      </x:c>
      <x:c r="G542" s="153" t="n">
        <x:v>80</x:v>
      </x:c>
      <x:c r="H542" s="154" t="n">
        <x:v>0.01</x:v>
      </x:c>
      <x:c r="I542" s="158" t="n">
        <x:v>8028</x:v>
      </x:c>
      <x:c r="J542" s="158" t="n">
        <x:v>516856</x:v>
      </x:c>
      <x:c r="K542" s="158" t="n">
        <x:v>4149543522</x:v>
      </x:c>
      <x:c r="L542" s="158" t="n">
        <x:v>3732934</x:v>
      </x:c>
      <x:c r="M542" s="141" t="str">
        <x:v>https://www.sge.com.cn/sjzx/quotation_daily_new?start_date=2025-03-01&amp;end_date=2025-03-31&amp;inst_ids=Ag%28T%2BD%29&amp;p=</x:v>
      </x:c>
    </x:row>
    <x:row r="543">
      <x:c r="A543" s="155" t="n">
        <x:v>45722</x:v>
      </x:c>
      <x:c r="B543" s="141" t="str">
        <x:v>Au99.99</x:v>
      </x:c>
      <x:c r="C543" s="153" t="n">
        <x:v>681</x:v>
      </x:c>
      <x:c r="D543" s="153" t="n">
        <x:v>681.8</x:v>
      </x:c>
      <x:c r="E543" s="153" t="n">
        <x:v>677</x:v>
      </x:c>
      <x:c r="F543" s="153" t="n">
        <x:v>679.7</x:v>
      </x:c>
      <x:c r="G543" s="153" t="n">
        <x:v>-1.87</x:v>
      </x:c>
      <x:c r="H543" s="154" t="n">
        <x:v>-0.0027</x:v>
      </x:c>
      <x:c r="I543" s="158" t="n">
        <x:v>680.66</x:v>
      </x:c>
      <x:c r="J543" s="158" t="n">
        <x:v>8483.4</x:v>
      </x:c>
      <x:c r="K543" s="158" t="n">
        <x:v>5774336185.4</x:v>
      </x:c>
      <x:c r="L543" s="158"/>
      <x:c r="M543" s="141" t="str">
        <x:v>https://www.sge.com.cn/sjzx/quotation_daily_new?start_date=2025-03-01&amp;end_date=2025-03-31&amp;inst_ids=Au99.99&amp;p=</x:v>
      </x:c>
    </x:row>
    <x:row r="544">
      <x:c r="A544" s="155" t="n">
        <x:v>45723</x:v>
      </x:c>
      <x:c r="B544" s="141" t="str">
        <x:v>Ag(T+D)</x:v>
      </x:c>
      <x:c r="C544" s="153" t="n">
        <x:v>8027</x:v>
      </x:c>
      <x:c r="D544" s="153" t="n">
        <x:v>8073</x:v>
      </x:c>
      <x:c r="E544" s="153" t="n">
        <x:v>7999</x:v>
      </x:c>
      <x:c r="F544" s="153" t="n">
        <x:v>8060</x:v>
      </x:c>
      <x:c r="G544" s="153" t="n">
        <x:v>32</x:v>
      </x:c>
      <x:c r="H544" s="154" t="n">
        <x:v>0.004</x:v>
      </x:c>
      <x:c r="I544" s="158" t="n">
        <x:v>8043</x:v>
      </x:c>
      <x:c r="J544" s="158" t="n">
        <x:v>423426</x:v>
      </x:c>
      <x:c r="K544" s="158" t="n">
        <x:v>3405726822</x:v>
      </x:c>
      <x:c r="L544" s="158" t="n">
        <x:v>3748244</x:v>
      </x:c>
      <x:c r="M544" s="141" t="str">
        <x:v>https://www.sge.com.cn/sjzx/quotation_daily_new?start_date=2025-03-01&amp;end_date=2025-03-31&amp;inst_ids=Ag%28T%2BD%29&amp;p=</x:v>
      </x:c>
    </x:row>
    <x:row r="545">
      <x:c r="A545" s="155" t="n">
        <x:v>45723</x:v>
      </x:c>
      <x:c r="B545" s="141" t="str">
        <x:v>Au99.99</x:v>
      </x:c>
      <x:c r="C545" s="153" t="n">
        <x:v>677</x:v>
      </x:c>
      <x:c r="D545" s="153" t="n">
        <x:v>680.7</x:v>
      </x:c>
      <x:c r="E545" s="153" t="n">
        <x:v>677</x:v>
      </x:c>
      <x:c r="F545" s="153" t="n">
        <x:v>679.48</x:v>
      </x:c>
      <x:c r="G545" s="153" t="n">
        <x:v>-0.22</x:v>
      </x:c>
      <x:c r="H545" s="154" t="n">
        <x:v>-0.0003</x:v>
      </x:c>
      <x:c r="I545" s="158" t="n">
        <x:v>678.65</x:v>
      </x:c>
      <x:c r="J545" s="158" t="n">
        <x:v>10313.98</x:v>
      </x:c>
      <x:c r="K545" s="158" t="n">
        <x:v>6999636830</x:v>
      </x:c>
      <x:c r="L545" s="158"/>
      <x:c r="M545" s="141" t="str">
        <x:v>https://www.sge.com.cn/sjzx/quotation_daily_new?start_date=2025-03-01&amp;end_date=2025-03-31&amp;inst_ids=Au99.99&amp;p=</x:v>
      </x:c>
    </x:row>
    <x:row r="546">
      <x:c r="A546" s="155" t="n">
        <x:v>45726</x:v>
      </x:c>
      <x:c r="B546" s="141" t="str">
        <x:v>Ag(T+D)</x:v>
      </x:c>
      <x:c r="C546" s="153" t="n">
        <x:v>8045</x:v>
      </x:c>
      <x:c r="D546" s="153" t="n">
        <x:v>8078</x:v>
      </x:c>
      <x:c r="E546" s="153" t="n">
        <x:v>7984</x:v>
      </x:c>
      <x:c r="F546" s="153" t="n">
        <x:v>8071</x:v>
      </x:c>
      <x:c r="G546" s="153" t="n">
        <x:v>28</x:v>
      </x:c>
      <x:c r="H546" s="154" t="n">
        <x:v>0.0034999999999999996</x:v>
      </x:c>
      <x:c r="I546" s="158" t="n">
        <x:v>8041</x:v>
      </x:c>
      <x:c r="J546" s="158" t="n">
        <x:v>442126</x:v>
      </x:c>
      <x:c r="K546" s="158" t="n">
        <x:v>3555169880</x:v>
      </x:c>
      <x:c r="L546" s="158" t="n">
        <x:v>3747740</x:v>
      </x:c>
      <x:c r="M546" s="141" t="str">
        <x:v>https://www.sge.com.cn/sjzx/quotation_daily_new?start_date=2025-03-01&amp;end_date=2025-03-31&amp;inst_ids=Ag%28T%2BD%29&amp;p=</x:v>
      </x:c>
    </x:row>
    <x:row r="547">
      <x:c r="A547" s="155" t="n">
        <x:v>45726</x:v>
      </x:c>
      <x:c r="B547" s="141" t="str">
        <x:v>Au99.99</x:v>
      </x:c>
      <x:c r="C547" s="153" t="n">
        <x:v>680</x:v>
      </x:c>
      <x:c r="D547" s="153" t="n">
        <x:v>684</x:v>
      </x:c>
      <x:c r="E547" s="153" t="n">
        <x:v>678.5</x:v>
      </x:c>
      <x:c r="F547" s="153" t="n">
        <x:v>681.99</x:v>
      </x:c>
      <x:c r="G547" s="153" t="n">
        <x:v>2.51</x:v>
      </x:c>
      <x:c r="H547" s="154" t="n">
        <x:v>0.0037</x:v>
      </x:c>
      <x:c r="I547" s="158" t="n">
        <x:v>680.6</x:v>
      </x:c>
      <x:c r="J547" s="158" t="n">
        <x:v>11337.64</x:v>
      </x:c>
      <x:c r="K547" s="158" t="n">
        <x:v>7716508400.6</x:v>
      </x:c>
      <x:c r="L547" s="158"/>
      <x:c r="M547" s="141" t="str">
        <x:v>https://www.sge.com.cn/sjzx/quotation_daily_new?start_date=2025-03-01&amp;end_date=2025-03-31&amp;inst_ids=Au99.99&amp;p=</x:v>
      </x:c>
    </x:row>
    <x:row r="548">
      <x:c r="A548" s="155" t="n">
        <x:v>45727</x:v>
      </x:c>
      <x:c r="B548" s="141" t="str">
        <x:v>Ag(T+D)</x:v>
      </x:c>
      <x:c r="C548" s="153" t="n">
        <x:v>8052</x:v>
      </x:c>
      <x:c r="D548" s="153" t="n">
        <x:v>8068</x:v>
      </x:c>
      <x:c r="E548" s="153" t="n">
        <x:v>7925</x:v>
      </x:c>
      <x:c r="F548" s="153" t="n">
        <x:v>7989</x:v>
      </x:c>
      <x:c r="G548" s="153" t="n">
        <x:v>-52</x:v>
      </x:c>
      <x:c r="H548" s="154" t="n">
        <x:v>-0.006500000000000001</x:v>
      </x:c>
      <x:c r="I548" s="158" t="n">
        <x:v>7982</x:v>
      </x:c>
      <x:c r="J548" s="158" t="n">
        <x:v>584906</x:v>
      </x:c>
      <x:c r="K548" s="158" t="n">
        <x:v>4668910224</x:v>
      </x:c>
      <x:c r="L548" s="158" t="n">
        <x:v>3667766</x:v>
      </x:c>
      <x:c r="M548" s="141" t="str">
        <x:v>https://www.sge.com.cn/sjzx/quotation_daily_new?start_date=2025-03-01&amp;end_date=2025-03-31&amp;inst_ids=Ag%28T%2BD%29&amp;p=</x:v>
      </x:c>
    </x:row>
    <x:row r="549">
      <x:c r="A549" s="155" t="n">
        <x:v>45727</x:v>
      </x:c>
      <x:c r="B549" s="141" t="str">
        <x:v>Au99.99</x:v>
      </x:c>
      <x:c r="C549" s="153" t="n">
        <x:v>680.9</x:v>
      </x:c>
      <x:c r="D549" s="153" t="n">
        <x:v>680.9</x:v>
      </x:c>
      <x:c r="E549" s="153" t="n">
        <x:v>675</x:v>
      </x:c>
      <x:c r="F549" s="153" t="n">
        <x:v>676.71</x:v>
      </x:c>
      <x:c r="G549" s="153" t="n">
        <x:v>-5.28</x:v>
      </x:c>
      <x:c r="H549" s="154" t="n">
        <x:v>-0.0077</x:v>
      </x:c>
      <x:c r="I549" s="158" t="n">
        <x:v>676.38</x:v>
      </x:c>
      <x:c r="J549" s="158" t="n">
        <x:v>10158.12</x:v>
      </x:c>
      <x:c r="K549" s="158" t="n">
        <x:v>6870797225.6</x:v>
      </x:c>
      <x:c r="L549" s="158"/>
      <x:c r="M549" s="141" t="str">
        <x:v>https://www.sge.com.cn/sjzx/quotation_daily_new?start_date=2025-03-01&amp;end_date=2025-03-31&amp;inst_ids=Au99.99&amp;p=</x:v>
      </x:c>
    </x:row>
    <x:row r="550">
      <x:c r="A550" s="155" t="n">
        <x:v>45728</x:v>
      </x:c>
      <x:c r="B550" s="141" t="str">
        <x:v>Ag(T+D)</x:v>
      </x:c>
      <x:c r="C550" s="153" t="n">
        <x:v>8045</x:v>
      </x:c>
      <x:c r="D550" s="153" t="n">
        <x:v>8104</x:v>
      </x:c>
      <x:c r="E550" s="153" t="n">
        <x:v>8025</x:v>
      </x:c>
      <x:c r="F550" s="153" t="n">
        <x:v>8078</x:v>
      </x:c>
      <x:c r="G550" s="153" t="n">
        <x:v>96</x:v>
      </x:c>
      <x:c r="H550" s="154" t="n">
        <x:v>0.012</x:v>
      </x:c>
      <x:c r="I550" s="158" t="n">
        <x:v>8071</x:v>
      </x:c>
      <x:c r="J550" s="158" t="n">
        <x:v>730142</x:v>
      </x:c>
      <x:c r="K550" s="158" t="n">
        <x:v>5893291418</x:v>
      </x:c>
      <x:c r="L550" s="158" t="n">
        <x:v>3660582</x:v>
      </x:c>
      <x:c r="M550" s="141" t="str">
        <x:v>https://www.sge.com.cn/sjzx/quotation_daily_new?start_date=2025-03-01&amp;end_date=2025-03-31&amp;inst_ids=Ag%28T%2BD%29&amp;p=</x:v>
      </x:c>
    </x:row>
    <x:row r="551">
      <x:c r="A551" s="155" t="n">
        <x:v>45728</x:v>
      </x:c>
      <x:c r="B551" s="141" t="str">
        <x:v>Au99.99</x:v>
      </x:c>
      <x:c r="C551" s="153" t="n">
        <x:v>679</x:v>
      </x:c>
      <x:c r="D551" s="153" t="n">
        <x:v>680.4</x:v>
      </x:c>
      <x:c r="E551" s="153" t="n">
        <x:v>678</x:v>
      </x:c>
      <x:c r="F551" s="153" t="n">
        <x:v>679.43</x:v>
      </x:c>
      <x:c r="G551" s="153" t="n">
        <x:v>2.72</x:v>
      </x:c>
      <x:c r="H551" s="154" t="n">
        <x:v>0.004</x:v>
      </x:c>
      <x:c r="I551" s="158" t="n">
        <x:v>679.04</x:v>
      </x:c>
      <x:c r="J551" s="158" t="n">
        <x:v>9461.1</x:v>
      </x:c>
      <x:c r="K551" s="158" t="n">
        <x:v>6424513538.2</x:v>
      </x:c>
      <x:c r="L551" s="158"/>
      <x:c r="M551" s="141" t="str">
        <x:v>https://www.sge.com.cn/sjzx/quotation_daily_new?start_date=2025-03-01&amp;end_date=2025-03-31&amp;inst_ids=Au99.99&amp;p=</x:v>
      </x:c>
    </x:row>
    <x:row r="552">
      <x:c r="A552" s="155" t="n">
        <x:v>45729</x:v>
      </x:c>
      <x:c r="B552" s="141" t="str">
        <x:v>Ag(T+D)</x:v>
      </x:c>
      <x:c r="C552" s="153" t="n">
        <x:v>8131</x:v>
      </x:c>
      <x:c r="D552" s="153" t="n">
        <x:v>8177</x:v>
      </x:c>
      <x:c r="E552" s="153" t="n">
        <x:v>8090</x:v>
      </x:c>
      <x:c r="F552" s="153" t="n">
        <x:v>8140</x:v>
      </x:c>
      <x:c r="G552" s="153" t="n">
        <x:v>69</x:v>
      </x:c>
      <x:c r="H552" s="154" t="n">
        <x:v>0.0085</x:v>
      </x:c>
      <x:c r="I552" s="158" t="n">
        <x:v>8137</x:v>
      </x:c>
      <x:c r="J552" s="158" t="n">
        <x:v>664602</x:v>
      </x:c>
      <x:c r="K552" s="158" t="n">
        <x:v>5408203106</x:v>
      </x:c>
      <x:c r="L552" s="158" t="n">
        <x:v>3628884</x:v>
      </x:c>
      <x:c r="M552" s="141" t="str">
        <x:v>https://www.sge.com.cn/sjzx/quotation_daily_new?start_date=2025-03-01&amp;end_date=2025-03-31&amp;inst_ids=Ag%28T%2BD%29&amp;p=</x:v>
      </x:c>
    </x:row>
    <x:row r="553">
      <x:c r="A553" s="155" t="n">
        <x:v>45729</x:v>
      </x:c>
      <x:c r="B553" s="141" t="str">
        <x:v>Au99.99</x:v>
      </x:c>
      <x:c r="C553" s="153" t="n">
        <x:v>680</x:v>
      </x:c>
      <x:c r="D553" s="153" t="n">
        <x:v>685.89</x:v>
      </x:c>
      <x:c r="E553" s="153" t="n">
        <x:v>679</x:v>
      </x:c>
      <x:c r="F553" s="153" t="n">
        <x:v>683.77</x:v>
      </x:c>
      <x:c r="G553" s="153" t="n">
        <x:v>4.34</x:v>
      </x:c>
      <x:c r="H553" s="154" t="n">
        <x:v>0.0064</x:v>
      </x:c>
      <x:c r="I553" s="158" t="n">
        <x:v>684.56</x:v>
      </x:c>
      <x:c r="J553" s="158" t="n">
        <x:v>6326.66</x:v>
      </x:c>
      <x:c r="K553" s="158" t="n">
        <x:v>4331022913</x:v>
      </x:c>
      <x:c r="L553" s="158"/>
      <x:c r="M553" s="141" t="str">
        <x:v>https://www.sge.com.cn/sjzx/quotation_daily_new?start_date=2025-03-01&amp;end_date=2025-03-31&amp;inst_ids=Au99.99&amp;p=</x:v>
      </x:c>
    </x:row>
    <x:row r="554">
      <x:c r="A554" s="155" t="n">
        <x:v>45730</x:v>
      </x:c>
      <x:c r="B554" s="141" t="str">
        <x:v>Ag(T+D)</x:v>
      </x:c>
      <x:c r="C554" s="153" t="n">
        <x:v>8154</x:v>
      </x:c>
      <x:c r="D554" s="153" t="n">
        <x:v>8378</x:v>
      </x:c>
      <x:c r="E554" s="153" t="n">
        <x:v>8124</x:v>
      </x:c>
      <x:c r="F554" s="153" t="n">
        <x:v>8348</x:v>
      </x:c>
      <x:c r="G554" s="153" t="n">
        <x:v>211</x:v>
      </x:c>
      <x:c r="H554" s="154" t="n">
        <x:v>0.0259</x:v>
      </x:c>
      <x:c r="I554" s="158" t="n">
        <x:v>8282</x:v>
      </x:c>
      <x:c r="J554" s="158" t="n">
        <x:v>750634</x:v>
      </x:c>
      <x:c r="K554" s="158" t="n">
        <x:v>6217228854</x:v>
      </x:c>
      <x:c r="L554" s="158" t="n">
        <x:v>3651702</x:v>
      </x:c>
      <x:c r="M554" s="141" t="str">
        <x:v>https://www.sge.com.cn/sjzx/quotation_daily_new?start_date=2025-03-01&amp;end_date=2025-03-31&amp;inst_ids=Ag%28T%2BD%29&amp;p=</x:v>
      </x:c>
    </x:row>
    <x:row r="555">
      <x:c r="A555" s="155" t="n">
        <x:v>45730</x:v>
      </x:c>
      <x:c r="B555" s="141" t="str">
        <x:v>Au99.99</x:v>
      </x:c>
      <x:c r="C555" s="153" t="n">
        <x:v>685.5</x:v>
      </x:c>
      <x:c r="D555" s="153" t="n">
        <x:v>697.79</x:v>
      </x:c>
      <x:c r="E555" s="153" t="n">
        <x:v>685.5</x:v>
      </x:c>
      <x:c r="F555" s="153" t="n">
        <x:v>692.67</x:v>
      </x:c>
      <x:c r="G555" s="153" t="n">
        <x:v>8.9</x:v>
      </x:c>
      <x:c r="H555" s="154" t="n">
        <x:v>0.013000000000000001</x:v>
      </x:c>
      <x:c r="I555" s="158" t="n">
        <x:v>694.65</x:v>
      </x:c>
      <x:c r="J555" s="158" t="n">
        <x:v>7907.52</x:v>
      </x:c>
      <x:c r="K555" s="158" t="n">
        <x:v>5492994326.8</x:v>
      </x:c>
      <x:c r="L555" s="158"/>
      <x:c r="M555" s="141" t="str">
        <x:v>https://www.sge.com.cn/sjzx/quotation_daily_new?start_date=2025-03-01&amp;end_date=2025-03-31&amp;inst_ids=Au99.99&amp;p=</x:v>
      </x:c>
    </x:row>
    <x:row r="556">
      <x:c r="A556" s="155" t="n">
        <x:v>45733</x:v>
      </x:c>
      <x:c r="B556" s="141" t="str">
        <x:v>Ag(T+D)</x:v>
      </x:c>
      <x:c r="C556" s="153" t="n">
        <x:v>8354</x:v>
      </x:c>
      <x:c r="D556" s="153" t="n">
        <x:v>8382</x:v>
      </x:c>
      <x:c r="E556" s="153" t="n">
        <x:v>8285</x:v>
      </x:c>
      <x:c r="F556" s="153" t="n">
        <x:v>8325</x:v>
      </x:c>
      <x:c r="G556" s="153" t="n">
        <x:v>43</x:v>
      </x:c>
      <x:c r="H556" s="154" t="n">
        <x:v>0.0052</x:v>
      </x:c>
      <x:c r="I556" s="158" t="n">
        <x:v>8322</x:v>
      </x:c>
      <x:c r="J556" s="158" t="n">
        <x:v>389854</x:v>
      </x:c>
      <x:c r="K556" s="158" t="n">
        <x:v>3244507958</x:v>
      </x:c>
      <x:c r="L556" s="158" t="n">
        <x:v>3634194</x:v>
      </x:c>
      <x:c r="M556" s="141" t="str">
        <x:v>https://www.sge.com.cn/sjzx/quotation_daily_new?start_date=2025-03-01&amp;end_date=2025-03-31&amp;inst_ids=Ag%28T%2BD%29&amp;p=</x:v>
      </x:c>
    </x:row>
    <x:row r="557">
      <x:c r="A557" s="155" t="n">
        <x:v>45733</x:v>
      </x:c>
      <x:c r="B557" s="141" t="str">
        <x:v>Au99.99</x:v>
      </x:c>
      <x:c r="C557" s="153" t="n">
        <x:v>698</x:v>
      </x:c>
      <x:c r="D557" s="153" t="n">
        <x:v>698</x:v>
      </x:c>
      <x:c r="E557" s="153" t="n">
        <x:v>693.8</x:v>
      </x:c>
      <x:c r="F557" s="153" t="n">
        <x:v>695.4</x:v>
      </x:c>
      <x:c r="G557" s="153" t="n">
        <x:v>2.73</x:v>
      </x:c>
      <x:c r="H557" s="154" t="n">
        <x:v>0.0039000000000000003</x:v>
      </x:c>
      <x:c r="I557" s="158" t="n">
        <x:v>695.08</x:v>
      </x:c>
      <x:c r="J557" s="158" t="n">
        <x:v>8427.84</x:v>
      </x:c>
      <x:c r="K557" s="158" t="n">
        <x:v>5858079008.6</x:v>
      </x:c>
      <x:c r="L557" s="158"/>
      <x:c r="M557" s="141" t="str">
        <x:v>https://www.sge.com.cn/sjzx/quotation_daily_new?start_date=2025-03-01&amp;end_date=2025-03-31&amp;inst_ids=Au99.99&amp;p=</x:v>
      </x:c>
    </x:row>
    <x:row r="558">
      <x:c r="A558" s="155" t="n">
        <x:v>45734</x:v>
      </x:c>
      <x:c r="B558" s="141" t="str">
        <x:v>Ag(T+D)</x:v>
      </x:c>
      <x:c r="C558" s="153" t="n">
        <x:v>8328</x:v>
      </x:c>
      <x:c r="D558" s="153" t="n">
        <x:v>8357</x:v>
      </x:c>
      <x:c r="E558" s="153" t="n">
        <x:v>8254</x:v>
      </x:c>
      <x:c r="F558" s="153" t="n">
        <x:v>8345</x:v>
      </x:c>
      <x:c r="G558" s="153" t="n">
        <x:v>23</x:v>
      </x:c>
      <x:c r="H558" s="154" t="n">
        <x:v>0.0028000000000000004</x:v>
      </x:c>
      <x:c r="I558" s="158" t="n">
        <x:v>8322</x:v>
      </x:c>
      <x:c r="J558" s="158" t="n">
        <x:v>401274</x:v>
      </x:c>
      <x:c r="K558" s="158" t="n">
        <x:v>3339757882</x:v>
      </x:c>
      <x:c r="L558" s="158" t="n">
        <x:v>3625522</x:v>
      </x:c>
      <x:c r="M558" s="141" t="str">
        <x:v>https://www.sge.com.cn/sjzx/quotation_daily_new?start_date=2025-03-01&amp;end_date=2025-03-31&amp;inst_ids=Ag%28T%2BD%29&amp;p=</x:v>
      </x:c>
    </x:row>
    <x:row r="559">
      <x:c r="A559" s="155" t="n">
        <x:v>45734</x:v>
      </x:c>
      <x:c r="B559" s="141" t="str">
        <x:v>Au99.99</x:v>
      </x:c>
      <x:c r="C559" s="153" t="n">
        <x:v>696</x:v>
      </x:c>
      <x:c r="D559" s="153" t="n">
        <x:v>701.35</x:v>
      </x:c>
      <x:c r="E559" s="153" t="n">
        <x:v>695</x:v>
      </x:c>
      <x:c r="F559" s="153" t="n">
        <x:v>700.8</x:v>
      </x:c>
      <x:c r="G559" s="153" t="n">
        <x:v>5.4</x:v>
      </x:c>
      <x:c r="H559" s="154" t="n">
        <x:v>0.0078000000000000005</x:v>
      </x:c>
      <x:c r="I559" s="158" t="n">
        <x:v>699.81</x:v>
      </x:c>
      <x:c r="J559" s="158" t="n">
        <x:v>8643.04</x:v>
      </x:c>
      <x:c r="K559" s="158" t="n">
        <x:v>6048533956.4</x:v>
      </x:c>
      <x:c r="L559" s="158"/>
      <x:c r="M559" s="141" t="str">
        <x:v>https://www.sge.com.cn/sjzx/quotation_daily_new?start_date=2025-03-01&amp;end_date=2025-03-31&amp;inst_ids=Au99.99&amp;p=</x:v>
      </x:c>
    </x:row>
    <x:row r="560">
      <x:c r="A560" s="155" t="n">
        <x:v>45735</x:v>
      </x:c>
      <x:c r="B560" s="141" t="str">
        <x:v>Ag(T+D)</x:v>
      </x:c>
      <x:c r="C560" s="153" t="n">
        <x:v>8371</x:v>
      </x:c>
      <x:c r="D560" s="153" t="n">
        <x:v>8415</x:v>
      </x:c>
      <x:c r="E560" s="153" t="n">
        <x:v>8335</x:v>
      </x:c>
      <x:c r="F560" s="153" t="n">
        <x:v>8353</x:v>
      </x:c>
      <x:c r="G560" s="153" t="n">
        <x:v>31</x:v>
      </x:c>
      <x:c r="H560" s="154" t="n">
        <x:v>0.0037</x:v>
      </x:c>
      <x:c r="I560" s="158" t="n">
        <x:v>8364</x:v>
      </x:c>
      <x:c r="J560" s="158" t="n">
        <x:v>596332</x:v>
      </x:c>
      <x:c r="K560" s="158" t="n">
        <x:v>4988101254</x:v>
      </x:c>
      <x:c r="L560" s="158" t="n">
        <x:v>3733166</x:v>
      </x:c>
      <x:c r="M560" s="141" t="str">
        <x:v>https://www.sge.com.cn/sjzx/quotation_daily_new?start_date=2025-03-01&amp;end_date=2025-03-31&amp;inst_ids=Ag%28T%2BD%29&amp;p=</x:v>
      </x:c>
    </x:row>
    <x:row r="561">
      <x:c r="A561" s="155" t="n">
        <x:v>45735</x:v>
      </x:c>
      <x:c r="B561" s="141" t="str">
        <x:v>Au99.99</x:v>
      </x:c>
      <x:c r="C561" s="153" t="n">
        <x:v>702</x:v>
      </x:c>
      <x:c r="D561" s="153" t="n">
        <x:v>708.5</x:v>
      </x:c>
      <x:c r="E561" s="153" t="n">
        <x:v>702</x:v>
      </x:c>
      <x:c r="F561" s="153" t="n">
        <x:v>707.7</x:v>
      </x:c>
      <x:c r="G561" s="153" t="n">
        <x:v>6.9</x:v>
      </x:c>
      <x:c r="H561" s="154" t="n">
        <x:v>0.0098</x:v>
      </x:c>
      <x:c r="I561" s="158" t="n">
        <x:v>706.1</x:v>
      </x:c>
      <x:c r="J561" s="158" t="n">
        <x:v>9087.16</x:v>
      </x:c>
      <x:c r="K561" s="158" t="n">
        <x:v>6416500143</x:v>
      </x:c>
      <x:c r="L561" s="158"/>
      <x:c r="M561" s="141" t="str">
        <x:v>https://www.sge.com.cn/sjzx/quotation_daily_new?start_date=2025-03-01&amp;end_date=2025-03-31&amp;inst_ids=Au99.99&amp;p=</x:v>
      </x:c>
    </x:row>
    <x:row r="562">
      <x:c r="A562" s="155" t="n">
        <x:v>45736</x:v>
      </x:c>
      <x:c r="B562" s="141" t="str">
        <x:v>Ag(T+D)</x:v>
      </x:c>
      <x:c r="C562" s="153" t="n">
        <x:v>8357</x:v>
      </x:c>
      <x:c r="D562" s="153" t="n">
        <x:v>8362</x:v>
      </x:c>
      <x:c r="E562" s="153" t="n">
        <x:v>8282</x:v>
      </x:c>
      <x:c r="F562" s="153" t="n">
        <x:v>8317</x:v>
      </x:c>
      <x:c r="G562" s="153" t="n">
        <x:v>-47</x:v>
      </x:c>
      <x:c r="H562" s="154" t="n">
        <x:v>-0.005600000000000001</x:v>
      </x:c>
      <x:c r="I562" s="158" t="n">
        <x:v>8329</x:v>
      </x:c>
      <x:c r="J562" s="158" t="n">
        <x:v>496502</x:v>
      </x:c>
      <x:c r="K562" s="158" t="n">
        <x:v>4135417002</x:v>
      </x:c>
      <x:c r="L562" s="158" t="n">
        <x:v>3816004</x:v>
      </x:c>
      <x:c r="M562" s="141" t="str">
        <x:v>https://www.sge.com.cn/sjzx/quotation_daily_new?start_date=2025-03-01&amp;end_date=2025-03-31&amp;inst_ids=Ag%28T%2BD%29&amp;p=</x:v>
      </x:c>
    </x:row>
    <x:row r="563">
      <x:c r="A563" s="155" t="n">
        <x:v>45736</x:v>
      </x:c>
      <x:c r="B563" s="141" t="str">
        <x:v>Au99.99</x:v>
      </x:c>
      <x:c r="C563" s="153" t="n">
        <x:v>701.5</x:v>
      </x:c>
      <x:c r="D563" s="153" t="n">
        <x:v>710.89</x:v>
      </x:c>
      <x:c r="E563" s="153" t="n">
        <x:v>701.5</x:v>
      </x:c>
      <x:c r="F563" s="153" t="n">
        <x:v>709.09</x:v>
      </x:c>
      <x:c r="G563" s="153" t="n">
        <x:v>1.39</x:v>
      </x:c>
      <x:c r="H563" s="154" t="n">
        <x:v>0.002</x:v>
      </x:c>
      <x:c r="I563" s="158" t="n">
        <x:v>709.16</x:v>
      </x:c>
      <x:c r="J563" s="158" t="n">
        <x:v>8900.02</x:v>
      </x:c>
      <x:c r="K563" s="158" t="n">
        <x:v>6311611683.6</x:v>
      </x:c>
      <x:c r="L563" s="158"/>
      <x:c r="M563" s="141" t="str">
        <x:v>https://www.sge.com.cn/sjzx/quotation_daily_new?start_date=2025-03-01&amp;end_date=2025-03-31&amp;inst_ids=Au99.99&amp;p=</x:v>
      </x:c>
    </x:row>
    <x:row r="564">
      <x:c r="A564" s="155" t="n">
        <x:v>45737</x:v>
      </x:c>
      <x:c r="B564" s="141" t="str">
        <x:v>Ag(T+D)</x:v>
      </x:c>
      <x:c r="C564" s="153" t="n">
        <x:v>8275</x:v>
      </x:c>
      <x:c r="D564" s="153" t="n">
        <x:v>8297</x:v>
      </x:c>
      <x:c r="E564" s="153" t="n">
        <x:v>8150</x:v>
      </x:c>
      <x:c r="F564" s="153" t="n">
        <x:v>8190</x:v>
      </x:c>
      <x:c r="G564" s="153" t="n">
        <x:v>-139</x:v>
      </x:c>
      <x:c r="H564" s="154" t="n">
        <x:v>-0.0167</x:v>
      </x:c>
      <x:c r="I564" s="158" t="n">
        <x:v>8229</x:v>
      </x:c>
      <x:c r="J564" s="158" t="n">
        <x:v>869066</x:v>
      </x:c>
      <x:c r="K564" s="158" t="n">
        <x:v>7151807724</x:v>
      </x:c>
      <x:c r="L564" s="158" t="n">
        <x:v>3853064</x:v>
      </x:c>
      <x:c r="M564" s="141" t="str">
        <x:v>https://www.sge.com.cn/sjzx/quotation_daily_new?start_date=2025-03-01&amp;end_date=2025-03-31&amp;inst_ids=Ag%28T%2BD%29&amp;p=</x:v>
      </x:c>
    </x:row>
    <x:row r="565">
      <x:c r="A565" s="155" t="n">
        <x:v>45737</x:v>
      </x:c>
      <x:c r="B565" s="141" t="str">
        <x:v>Au99.99</x:v>
      </x:c>
      <x:c r="C565" s="153" t="n">
        <x:v>707.55</x:v>
      </x:c>
      <x:c r="D565" s="153" t="n">
        <x:v>710</x:v>
      </x:c>
      <x:c r="E565" s="153" t="n">
        <x:v>704.39</x:v>
      </x:c>
      <x:c r="F565" s="153" t="n">
        <x:v>706.55</x:v>
      </x:c>
      <x:c r="G565" s="153" t="n">
        <x:v>-2.54</x:v>
      </x:c>
      <x:c r="H565" s="154" t="n">
        <x:v>-0.0036</x:v>
      </x:c>
      <x:c r="I565" s="158" t="n">
        <x:v>706.81</x:v>
      </x:c>
      <x:c r="J565" s="158" t="n">
        <x:v>8901.22</x:v>
      </x:c>
      <x:c r="K565" s="158" t="n">
        <x:v>6291546630.8</x:v>
      </x:c>
      <x:c r="L565" s="158"/>
      <x:c r="M565" s="141" t="str">
        <x:v>https://www.sge.com.cn/sjzx/quotation_daily_new?start_date=2025-03-01&amp;end_date=2025-03-31&amp;inst_ids=Au99.99&amp;p=</x:v>
      </x:c>
    </x:row>
    <x:row r="566">
      <x:c r="A566" s="155" t="n">
        <x:v>45740</x:v>
      </x:c>
      <x:c r="B566" s="141" t="str">
        <x:v>Ag(T+D)</x:v>
      </x:c>
      <x:c r="C566" s="153" t="n">
        <x:v>8190</x:v>
      </x:c>
      <x:c r="D566" s="153" t="n">
        <x:v>8227</x:v>
      </x:c>
      <x:c r="E566" s="153" t="n">
        <x:v>8123</x:v>
      </x:c>
      <x:c r="F566" s="153" t="n">
        <x:v>8224</x:v>
      </x:c>
      <x:c r="G566" s="153" t="n">
        <x:v>-5</x:v>
      </x:c>
      <x:c r="H566" s="154" t="n">
        <x:v>-0.0006</x:v>
      </x:c>
      <x:c r="I566" s="158" t="n">
        <x:v>8194</x:v>
      </x:c>
      <x:c r="J566" s="158" t="n">
        <x:v>519846</x:v>
      </x:c>
      <x:c r="K566" s="158" t="n">
        <x:v>4259994852</x:v>
      </x:c>
      <x:c r="L566" s="158" t="n">
        <x:v>3868146</x:v>
      </x:c>
      <x:c r="M566" s="141" t="str">
        <x:v>https://www.sge.com.cn/sjzx/quotation_daily_new?start_date=2025-03-01&amp;end_date=2025-03-31&amp;inst_ids=Ag%28T%2BD%29&amp;p=</x:v>
      </x:c>
    </x:row>
    <x:row r="567">
      <x:c r="A567" s="155" t="n">
        <x:v>45740</x:v>
      </x:c>
      <x:c r="B567" s="141" t="str">
        <x:v>Au99.99</x:v>
      </x:c>
      <x:c r="C567" s="153" t="n">
        <x:v>706.5</x:v>
      </x:c>
      <x:c r="D567" s="153" t="n">
        <x:v>707</x:v>
      </x:c>
      <x:c r="E567" s="153" t="n">
        <x:v>701</x:v>
      </x:c>
      <x:c r="F567" s="153" t="n">
        <x:v>705.92</x:v>
      </x:c>
      <x:c r="G567" s="153" t="n">
        <x:v>-0.63</x:v>
      </x:c>
      <x:c r="H567" s="154" t="n">
        <x:v>-0.0009</x:v>
      </x:c>
      <x:c r="I567" s="158" t="n">
        <x:v>705.46</x:v>
      </x:c>
      <x:c r="J567" s="158" t="n">
        <x:v>11652.5</x:v>
      </x:c>
      <x:c r="K567" s="158" t="n">
        <x:v>8220427135.6</x:v>
      </x:c>
      <x:c r="L567" s="158"/>
      <x:c r="M567" s="141" t="str">
        <x:v>https://www.sge.com.cn/sjzx/quotation_daily_new?start_date=2025-03-01&amp;end_date=2025-03-31&amp;inst_ids=Au99.99&amp;p=</x:v>
      </x:c>
    </x:row>
    <x:row r="568">
      <x:c r="A568" s="155" t="n">
        <x:v>45741</x:v>
      </x:c>
      <x:c r="B568" s="141" t="str">
        <x:v>Ag(T+D)</x:v>
      </x:c>
      <x:c r="C568" s="153" t="n">
        <x:v>8219</x:v>
      </x:c>
      <x:c r="D568" s="153" t="n">
        <x:v>8233</x:v>
      </x:c>
      <x:c r="E568" s="153" t="n">
        <x:v>8175</x:v>
      </x:c>
      <x:c r="F568" s="153" t="n">
        <x:v>8219</x:v>
      </x:c>
      <x:c r="G568" s="153" t="n">
        <x:v>25</x:v>
      </x:c>
      <x:c r="H568" s="154" t="n">
        <x:v>0.0031</x:v>
      </x:c>
      <x:c r="I568" s="158" t="n">
        <x:v>8209</x:v>
      </x:c>
      <x:c r="J568" s="158" t="n">
        <x:v>366590</x:v>
      </x:c>
      <x:c r="K568" s="158" t="n">
        <x:v>3009455158</x:v>
      </x:c>
      <x:c r="L568" s="158" t="n">
        <x:v>3890578</x:v>
      </x:c>
      <x:c r="M568" s="141" t="str">
        <x:v>https://www.sge.com.cn/sjzx/quotation_daily_new?start_date=2025-03-01&amp;end_date=2025-03-31&amp;inst_ids=Ag%28T%2BD%29&amp;p=</x:v>
      </x:c>
    </x:row>
    <x:row r="569">
      <x:c r="A569" s="155" t="n">
        <x:v>45741</x:v>
      </x:c>
      <x:c r="B569" s="141" t="str">
        <x:v>Au99.99</x:v>
      </x:c>
      <x:c r="C569" s="153" t="n">
        <x:v>705.41</x:v>
      </x:c>
      <x:c r="D569" s="153" t="n">
        <x:v>705.8</x:v>
      </x:c>
      <x:c r="E569" s="153" t="n">
        <x:v>703</x:v>
      </x:c>
      <x:c r="F569" s="153" t="n">
        <x:v>704.56</x:v>
      </x:c>
      <x:c r="G569" s="153" t="n">
        <x:v>-1.36</x:v>
      </x:c>
      <x:c r="H569" s="154" t="n">
        <x:v>-0.0019</x:v>
      </x:c>
      <x:c r="I569" s="158" t="n">
        <x:v>704.54</x:v>
      </x:c>
      <x:c r="J569" s="158" t="n">
        <x:v>10436.74</x:v>
      </x:c>
      <x:c r="K569" s="158" t="n">
        <x:v>7353173787.4</x:v>
      </x:c>
      <x:c r="L569" s="158"/>
      <x:c r="M569" s="141" t="str">
        <x:v>https://www.sge.com.cn/sjzx/quotation_daily_new?start_date=2025-03-01&amp;end_date=2025-03-31&amp;inst_ids=Au99.99&amp;p=</x:v>
      </x:c>
    </x:row>
    <x:row r="570">
      <x:c r="A570" s="155" t="n">
        <x:v>45742</x:v>
      </x:c>
      <x:c r="B570" s="141" t="str">
        <x:v>Ag(T+D)</x:v>
      </x:c>
      <x:c r="C570" s="153" t="n">
        <x:v>8278</x:v>
      </x:c>
      <x:c r="D570" s="153" t="n">
        <x:v>8359</x:v>
      </x:c>
      <x:c r="E570" s="153" t="n">
        <x:v>8260</x:v>
      </x:c>
      <x:c r="F570" s="153" t="n">
        <x:v>8334</x:v>
      </x:c>
      <x:c r="G570" s="153" t="n">
        <x:v>125</x:v>
      </x:c>
      <x:c r="H570" s="154" t="n">
        <x:v>0.0152</x:v>
      </x:c>
      <x:c r="I570" s="158" t="n">
        <x:v>8321</x:v>
      </x:c>
      <x:c r="J570" s="158" t="n">
        <x:v>594004</x:v>
      </x:c>
      <x:c r="K570" s="158" t="n">
        <x:v>4942754268</x:v>
      </x:c>
      <x:c r="L570" s="158" t="n">
        <x:v>3929172</x:v>
      </x:c>
      <x:c r="M570" s="141" t="str">
        <x:v>https://www.sge.com.cn/sjzx/quotation_daily_new?start_date=2025-03-01&amp;end_date=2025-03-31&amp;inst_ids=Ag%28T%2BD%29&amp;p=</x:v>
      </x:c>
    </x:row>
    <x:row r="571">
      <x:c r="A571" s="155" t="n">
        <x:v>45742</x:v>
      </x:c>
      <x:c r="B571" s="141" t="str">
        <x:v>Au99.99</x:v>
      </x:c>
      <x:c r="C571" s="153" t="n">
        <x:v>705</x:v>
      </x:c>
      <x:c r="D571" s="153" t="n">
        <x:v>708</x:v>
      </x:c>
      <x:c r="E571" s="153" t="n">
        <x:v>705</x:v>
      </x:c>
      <x:c r="F571" s="153" t="n">
        <x:v>707.79</x:v>
      </x:c>
      <x:c r="G571" s="153" t="n">
        <x:v>3.23</x:v>
      </x:c>
      <x:c r="H571" s="154" t="n">
        <x:v>0.0046</x:v>
      </x:c>
      <x:c r="I571" s="158" t="n">
        <x:v>706.66</x:v>
      </x:c>
      <x:c r="J571" s="158" t="n">
        <x:v>11755.56</x:v>
      </x:c>
      <x:c r="K571" s="158" t="n">
        <x:v>8307265165.8</x:v>
      </x:c>
      <x:c r="L571" s="158"/>
      <x:c r="M571" s="141" t="str">
        <x:v>https://www.sge.com.cn/sjzx/quotation_daily_new?start_date=2025-03-01&amp;end_date=2025-03-31&amp;inst_ids=Au99.99&amp;p=</x:v>
      </x:c>
    </x:row>
    <x:row r="572">
      <x:c r="A572" s="155" t="n">
        <x:v>45743</x:v>
      </x:c>
      <x:c r="B572" s="141" t="str">
        <x:v>Ag(T+D)</x:v>
      </x:c>
      <x:c r="C572" s="153" t="n">
        <x:v>8349</x:v>
      </x:c>
      <x:c r="D572" s="153" t="n">
        <x:v>8375</x:v>
      </x:c>
      <x:c r="E572" s="153" t="n">
        <x:v>8309</x:v>
      </x:c>
      <x:c r="F572" s="153" t="n">
        <x:v>8348</x:v>
      </x:c>
      <x:c r="G572" s="153" t="n">
        <x:v>27</x:v>
      </x:c>
      <x:c r="H572" s="154" t="n">
        <x:v>0.0032</x:v>
      </x:c>
      <x:c r="I572" s="158" t="n">
        <x:v>8338</x:v>
      </x:c>
      <x:c r="J572" s="158" t="n">
        <x:v>418402</x:v>
      </x:c>
      <x:c r="K572" s="158" t="n">
        <x:v>3488761050</x:v>
      </x:c>
      <x:c r="L572" s="158" t="n">
        <x:v>3999614</x:v>
      </x:c>
      <x:c r="M572" s="141" t="str">
        <x:v>https://www.sge.com.cn/sjzx/quotation_daily_new?start_date=2025-03-01&amp;end_date=2025-03-31&amp;inst_ids=Ag%28T%2BD%29&amp;p=</x:v>
      </x:c>
    </x:row>
    <x:row r="573">
      <x:c r="A573" s="155" t="n">
        <x:v>45743</x:v>
      </x:c>
      <x:c r="B573" s="141" t="str">
        <x:v>Au99.99</x:v>
      </x:c>
      <x:c r="C573" s="153" t="n">
        <x:v>706.5</x:v>
      </x:c>
      <x:c r="D573" s="153" t="n">
        <x:v>709.7</x:v>
      </x:c>
      <x:c r="E573" s="153" t="n">
        <x:v>705.5</x:v>
      </x:c>
      <x:c r="F573" s="153" t="n">
        <x:v>709.29</x:v>
      </x:c>
      <x:c r="G573" s="153" t="n">
        <x:v>1.5</x:v>
      </x:c>
      <x:c r="H573" s="154" t="n">
        <x:v>0.0021</x:v>
      </x:c>
      <x:c r="I573" s="158" t="n">
        <x:v>708.52</x:v>
      </x:c>
      <x:c r="J573" s="158" t="n">
        <x:v>12609.4</x:v>
      </x:c>
      <x:c r="K573" s="158" t="n">
        <x:v>8934036997.6</x:v>
      </x:c>
      <x:c r="L573" s="158"/>
      <x:c r="M573" s="141" t="str">
        <x:v>https://www.sge.com.cn/sjzx/quotation_daily_new?start_date=2025-03-01&amp;end_date=2025-03-31&amp;inst_ids=Au99.99&amp;p=</x:v>
      </x:c>
    </x:row>
    <x:row r="574">
      <x:c r="A574" s="155" t="n">
        <x:v>45744</x:v>
      </x:c>
      <x:c r="B574" s="141" t="str">
        <x:v>Ag(T+D)</x:v>
      </x:c>
      <x:c r="C574" s="153" t="n">
        <x:v>8416</x:v>
      </x:c>
      <x:c r="D574" s="153" t="n">
        <x:v>8517</x:v>
      </x:c>
      <x:c r="E574" s="153" t="n">
        <x:v>8355</x:v>
      </x:c>
      <x:c r="F574" s="153" t="n">
        <x:v>8483</x:v>
      </x:c>
      <x:c r="G574" s="153" t="n">
        <x:v>145</x:v>
      </x:c>
      <x:c r="H574" s="154" t="n">
        <x:v>0.0174</x:v>
      </x:c>
      <x:c r="I574" s="158" t="n">
        <x:v>8459</x:v>
      </x:c>
      <x:c r="J574" s="158" t="n">
        <x:v>809190</x:v>
      </x:c>
      <x:c r="K574" s="158" t="n">
        <x:v>6845590566</x:v>
      </x:c>
      <x:c r="L574" s="158" t="n">
        <x:v>3980970</x:v>
      </x:c>
      <x:c r="M574" s="141" t="str">
        <x:v>https://www.sge.com.cn/sjzx/quotation_daily_new?start_date=2025-03-01&amp;end_date=2025-03-31&amp;inst_ids=Ag%28T%2BD%29&amp;p=</x:v>
      </x:c>
    </x:row>
    <x:row r="575">
      <x:c r="A575" s="155" t="n">
        <x:v>45744</x:v>
      </x:c>
      <x:c r="B575" s="141" t="str">
        <x:v>Au99.99</x:v>
      </x:c>
      <x:c r="C575" s="153" t="n">
        <x:v>714</x:v>
      </x:c>
      <x:c r="D575" s="153" t="n">
        <x:v>722</x:v>
      </x:c>
      <x:c r="E575" s="153" t="n">
        <x:v>711.1</x:v>
      </x:c>
      <x:c r="F575" s="153" t="n">
        <x:v>721.03</x:v>
      </x:c>
      <x:c r="G575" s="153" t="n">
        <x:v>11.74</x:v>
      </x:c>
      <x:c r="H575" s="154" t="n">
        <x:v>0.0166</x:v>
      </x:c>
      <x:c r="I575" s="158" t="n">
        <x:v>719.56</x:v>
      </x:c>
      <x:c r="J575" s="158" t="n">
        <x:v>14237.02</x:v>
      </x:c>
      <x:c r="K575" s="158" t="n">
        <x:v>10244480730.8</x:v>
      </x:c>
      <x:c r="L575" s="158"/>
      <x:c r="M575" s="141" t="str">
        <x:v>https://www.sge.com.cn/sjzx/quotation_daily_new?start_date=2025-03-01&amp;end_date=2025-03-31&amp;inst_ids=Au99.99&amp;p=</x:v>
      </x:c>
    </x:row>
    <x:row r="576">
      <x:c r="A576" s="155" t="n">
        <x:v>45747</x:v>
      </x:c>
      <x:c r="B576" s="141" t="str">
        <x:v>Ag(T+D)</x:v>
      </x:c>
      <x:c r="C576" s="153" t="n">
        <x:v>8471</x:v>
      </x:c>
      <x:c r="D576" s="153" t="n">
        <x:v>8495</x:v>
      </x:c>
      <x:c r="E576" s="153" t="n">
        <x:v>8406</x:v>
      </x:c>
      <x:c r="F576" s="153" t="n">
        <x:v>8485</x:v>
      </x:c>
      <x:c r="G576" s="153" t="n">
        <x:v>26</x:v>
      </x:c>
      <x:c r="H576" s="154" t="n">
        <x:v>0.0031</x:v>
      </x:c>
      <x:c r="I576" s="158" t="n">
        <x:v>8456</x:v>
      </x:c>
      <x:c r="J576" s="158" t="n">
        <x:v>420312</x:v>
      </x:c>
      <x:c r="K576" s="158" t="n">
        <x:v>3554440256</x:v>
      </x:c>
      <x:c r="L576" s="158" t="n">
        <x:v>3940286</x:v>
      </x:c>
      <x:c r="M576" s="141" t="str">
        <x:v>https://www.sge.com.cn/sjzx/quotation_daily_new?start_date=2025-03-01&amp;end_date=2025-03-31&amp;inst_ids=Ag%28T%2BD%29&amp;p=</x:v>
      </x:c>
    </x:row>
    <x:row r="577">
      <x:c r="A577" s="155" t="n">
        <x:v>45747</x:v>
      </x:c>
      <x:c r="B577" s="141" t="str">
        <x:v>Au99.99</x:v>
      </x:c>
      <x:c r="C577" s="153" t="n">
        <x:v>721.5</x:v>
      </x:c>
      <x:c r="D577" s="153" t="n">
        <x:v>730.9</x:v>
      </x:c>
      <x:c r="E577" s="153" t="n">
        <x:v>719</x:v>
      </x:c>
      <x:c r="F577" s="153" t="n">
        <x:v>730.8</x:v>
      </x:c>
      <x:c r="G577" s="153" t="n">
        <x:v>9.77</x:v>
      </x:c>
      <x:c r="H577" s="154" t="n">
        <x:v>0.013600000000000001</x:v>
      </x:c>
      <x:c r="I577" s="158" t="n">
        <x:v>726.52</x:v>
      </x:c>
      <x:c r="J577" s="158" t="n">
        <x:v>19696.52</x:v>
      </x:c>
      <x:c r="K577" s="158" t="n">
        <x:v>14309994562.2</x:v>
      </x:c>
      <x:c r="L577" s="158"/>
      <x:c r="M577" s="141" t="str">
        <x:v>https://www.sge.com.cn/sjzx/quotation_daily_new?start_date=2025-03-01&amp;end_date=2025-03-31&amp;inst_ids=Au99.99&amp;p=</x:v>
      </x:c>
    </x:row>
    <x:row r="578">
      <x:c r="A578" s="155" t="n">
        <x:v>45749</x:v>
      </x:c>
      <x:c r="B578" s="141" t="str">
        <x:v>Ag(T+D)</x:v>
      </x:c>
      <x:c r="C578" s="153" t="n">
        <x:v>8406</x:v>
      </x:c>
      <x:c r="D578" s="153" t="n">
        <x:v>8426</x:v>
      </x:c>
      <x:c r="E578" s="153" t="n">
        <x:v>8344</x:v>
      </x:c>
      <x:c r="F578" s="153" t="n">
        <x:v>8386</x:v>
      </x:c>
      <x:c r="G578" s="153" t="n">
        <x:v>-28</x:v>
      </x:c>
      <x:c r="H578" s="154" t="n">
        <x:v>-0.0033</x:v>
      </x:c>
      <x:c r="I578" s="158" t="n">
        <x:v>8390</x:v>
      </x:c>
      <x:c r="J578" s="158" t="n">
        <x:v>545812</x:v>
      </x:c>
      <x:c r="K578" s="158" t="n">
        <x:v>4579771244</x:v>
      </x:c>
      <x:c r="L578" s="158" t="n">
        <x:v>3858832</x:v>
      </x:c>
      <x:c r="M578" s="141" t="str">
        <x:v>https://www.sge.com.cn/sjzx/quotation_daily_new?start_date=2025-04-01&amp;end_date=2025-04-30&amp;inst_ids=Ag%28T%2BD%29&amp;p=</x:v>
      </x:c>
    </x:row>
    <x:row r="579">
      <x:c r="A579" s="155" t="n">
        <x:v>45749</x:v>
      </x:c>
      <x:c r="B579" s="141" t="str">
        <x:v>Au99.99</x:v>
      </x:c>
      <x:c r="C579" s="153" t="n">
        <x:v>738.1</x:v>
      </x:c>
      <x:c r="D579" s="153" t="n">
        <x:v>738.1</x:v>
      </x:c>
      <x:c r="E579" s="153" t="n">
        <x:v>730</x:v>
      </x:c>
      <x:c r="F579" s="153" t="n">
        <x:v>732.5</x:v>
      </x:c>
      <x:c r="G579" s="153" t="n">
        <x:v>-3.34</x:v>
      </x:c>
      <x:c r="H579" s="154" t="n">
        <x:v>-0.0045000000000000005</x:v>
      </x:c>
      <x:c r="I579" s="158" t="n">
        <x:v>734.45</x:v>
      </x:c>
      <x:c r="J579" s="158" t="n">
        <x:v>16407.04</x:v>
      </x:c>
      <x:c r="K579" s="158" t="n">
        <x:v>12050153001.8</x:v>
      </x:c>
      <x:c r="L579" s="158"/>
      <x:c r="M579" s="141" t="str">
        <x:v>https://www.sge.com.cn/sjzx/quotation_daily_new?start_date=2025-04-01&amp;end_date=2025-04-30&amp;inst_ids=Au99.99&amp;p=</x:v>
      </x:c>
    </x:row>
    <x:row r="580">
      <x:c r="A580" s="155" t="n">
        <x:v>45750</x:v>
      </x:c>
      <x:c r="B580" s="141" t="str">
        <x:v>Ag(T+D)</x:v>
      </x:c>
      <x:c r="C580" s="153" t="n">
        <x:v>8415</x:v>
      </x:c>
      <x:c r="D580" s="153" t="n">
        <x:v>8440</x:v>
      </x:c>
      <x:c r="E580" s="153" t="n">
        <x:v>8255</x:v>
      </x:c>
      <x:c r="F580" s="153" t="n">
        <x:v>8263</x:v>
      </x:c>
      <x:c r="G580" s="153" t="n">
        <x:v>-127</x:v>
      </x:c>
      <x:c r="H580" s="154" t="n">
        <x:v>-0.0151</x:v>
      </x:c>
      <x:c r="I580" s="158" t="n">
        <x:v>8348</x:v>
      </x:c>
      <x:c r="J580" s="158" t="n">
        <x:v>1002632</x:v>
      </x:c>
      <x:c r="K580" s="158" t="n">
        <x:v>8370514264</x:v>
      </x:c>
      <x:c r="L580" s="158" t="n">
        <x:v>3874412</x:v>
      </x:c>
      <x:c r="M580" s="141" t="str">
        <x:v>https://www.sge.com.cn/sjzx/quotation_daily_new?start_date=2025-04-01&amp;end_date=2025-04-30&amp;inst_ids=Ag%28T%2BD%29&amp;p=</x:v>
      </x:c>
    </x:row>
    <x:row r="581">
      <x:c r="A581" s="155" t="n">
        <x:v>45750</x:v>
      </x:c>
      <x:c r="B581" s="141" t="str">
        <x:v>Au99.99</x:v>
      </x:c>
      <x:c r="C581" s="153" t="n">
        <x:v>735.9</x:v>
      </x:c>
      <x:c r="D581" s="153" t="n">
        <x:v>747.5</x:v>
      </x:c>
      <x:c r="E581" s="153" t="n">
        <x:v>732</x:v>
      </x:c>
      <x:c r="F581" s="153" t="n">
        <x:v>738.94</x:v>
      </x:c>
      <x:c r="G581" s="153" t="n">
        <x:v>6.44</x:v>
      </x:c>
      <x:c r="H581" s="154" t="n">
        <x:v>0.0088</x:v>
      </x:c>
      <x:c r="I581" s="158" t="n">
        <x:v>741.01</x:v>
      </x:c>
      <x:c r="J581" s="158" t="n">
        <x:v>18626.88</x:v>
      </x:c>
      <x:c r="K581" s="158" t="n">
        <x:v>13802749820.4</x:v>
      </x:c>
      <x:c r="L581" s="158"/>
      <x:c r="M581" s="141" t="str">
        <x:v>https://www.sge.com.cn/sjzx/quotation_daily_new?start_date=2025-04-01&amp;end_date=2025-04-30&amp;inst_ids=Au99.99&amp;p=</x:v>
      </x:c>
    </x:row>
    <x:row r="582">
      <x:c r="A582" s="155" t="n">
        <x:v>45754</x:v>
      </x:c>
      <x:c r="B582" s="141" t="str">
        <x:v>Ag(T+D)</x:v>
      </x:c>
      <x:c r="C582" s="153" t="n">
        <x:v>7346</x:v>
      </x:c>
      <x:c r="D582" s="153" t="n">
        <x:v>7805</x:v>
      </x:c>
      <x:c r="E582" s="153" t="n">
        <x:v>7346</x:v>
      </x:c>
      <x:c r="F582" s="153" t="n">
        <x:v>7606</x:v>
      </x:c>
      <x:c r="G582" s="153" t="n">
        <x:v>-742</x:v>
      </x:c>
      <x:c r="H582" s="154" t="n">
        <x:v>-0.0889</x:v>
      </x:c>
      <x:c r="I582" s="158" t="n">
        <x:v>7619</x:v>
      </x:c>
      <x:c r="J582" s="158" t="n">
        <x:v>1548034</x:v>
      </x:c>
      <x:c r="K582" s="158" t="n">
        <x:v>11794520578</x:v>
      </x:c>
      <x:c r="L582" s="158" t="n">
        <x:v>3960914</x:v>
      </x:c>
      <x:c r="M582" s="141" t="str">
        <x:v>https://www.sge.com.cn/sjzx/quotation_daily_new?start_date=2025-04-01&amp;end_date=2025-04-30&amp;inst_ids=Ag%28T%2BD%29&amp;p=</x:v>
      </x:c>
    </x:row>
    <x:row r="583">
      <x:c r="A583" s="155" t="n">
        <x:v>45754</x:v>
      </x:c>
      <x:c r="B583" s="141" t="str">
        <x:v>Au99.99</x:v>
      </x:c>
      <x:c r="C583" s="153" t="n">
        <x:v>705</x:v>
      </x:c>
      <x:c r="D583" s="153" t="n">
        <x:v>727</x:v>
      </x:c>
      <x:c r="E583" s="153" t="n">
        <x:v>703.31</x:v>
      </x:c>
      <x:c r="F583" s="153" t="n">
        <x:v>713.98</x:v>
      </x:c>
      <x:c r="G583" s="153" t="n">
        <x:v>-24.96</x:v>
      </x:c>
      <x:c r="H583" s="154" t="n">
        <x:v>-0.0338</x:v>
      </x:c>
      <x:c r="I583" s="158" t="n">
        <x:v>717.29</x:v>
      </x:c>
      <x:c r="J583" s="158" t="n">
        <x:v>21418.3</x:v>
      </x:c>
      <x:c r="K583" s="158" t="n">
        <x:v>15363158745.4</x:v>
      </x:c>
      <x:c r="L583" s="158"/>
      <x:c r="M583" s="141" t="str">
        <x:v>https://www.sge.com.cn/sjzx/quotation_daily_new?start_date=2025-04-01&amp;end_date=2025-04-30&amp;inst_ids=Au99.99&amp;p=</x:v>
      </x:c>
    </x:row>
    <x:row r="584">
      <x:c r="A584" s="155" t="n">
        <x:v>45755</x:v>
      </x:c>
      <x:c r="B584" s="141" t="str">
        <x:v>Ag(T+D)</x:v>
      </x:c>
      <x:c r="C584" s="153" t="n">
        <x:v>7621</x:v>
      </x:c>
      <x:c r="D584" s="153" t="n">
        <x:v>7732</x:v>
      </x:c>
      <x:c r="E584" s="153" t="n">
        <x:v>7610</x:v>
      </x:c>
      <x:c r="F584" s="153" t="n">
        <x:v>7689</x:v>
      </x:c>
      <x:c r="G584" s="153" t="n">
        <x:v>70</x:v>
      </x:c>
      <x:c r="H584" s="154" t="n">
        <x:v>0.0092</x:v>
      </x:c>
      <x:c r="I584" s="158" t="n">
        <x:v>7661</x:v>
      </x:c>
      <x:c r="J584" s="158" t="n">
        <x:v>996322</x:v>
      </x:c>
      <x:c r="K584" s="158" t="n">
        <x:v>7633156080</x:v>
      </x:c>
      <x:c r="L584" s="158" t="n">
        <x:v>4047788</x:v>
      </x:c>
      <x:c r="M584" s="141" t="str">
        <x:v>https://www.sge.com.cn/sjzx/quotation_daily_new?start_date=2025-04-01&amp;end_date=2025-04-30&amp;inst_ids=Ag%28T%2BD%29&amp;p=</x:v>
      </x:c>
    </x:row>
    <x:row r="585">
      <x:c r="A585" s="155" t="n">
        <x:v>45755</x:v>
      </x:c>
      <x:c r="B585" s="141" t="str">
        <x:v>Au99.99</x:v>
      </x:c>
      <x:c r="C585" s="153" t="n">
        <x:v>718.9</x:v>
      </x:c>
      <x:c r="D585" s="153" t="n">
        <x:v>719.9</x:v>
      </x:c>
      <x:c r="E585" s="153" t="n">
        <x:v>710</x:v>
      </x:c>
      <x:c r="F585" s="153" t="n">
        <x:v>717.5</x:v>
      </x:c>
      <x:c r="G585" s="153" t="n">
        <x:v>3.52</x:v>
      </x:c>
      <x:c r="H585" s="154" t="n">
        <x:v>0.0049</x:v>
      </x:c>
      <x:c r="I585" s="158" t="n">
        <x:v>715.77</x:v>
      </x:c>
      <x:c r="J585" s="158" t="n">
        <x:v>16656.36</x:v>
      </x:c>
      <x:c r="K585" s="158" t="n">
        <x:v>11922180768.4</x:v>
      </x:c>
      <x:c r="L585" s="158"/>
      <x:c r="M585" s="141" t="str">
        <x:v>https://www.sge.com.cn/sjzx/quotation_daily_new?start_date=2025-04-01&amp;end_date=2025-04-30&amp;inst_ids=Au99.99&amp;p=</x:v>
      </x:c>
    </x:row>
    <x:row r="586">
      <x:c r="A586" s="155" t="n">
        <x:v>45756</x:v>
      </x:c>
      <x:c r="B586" s="141" t="str">
        <x:v>Ag(T+D)</x:v>
      </x:c>
      <x:c r="C586" s="153" t="n">
        <x:v>7720</x:v>
      </x:c>
      <x:c r="D586" s="153" t="n">
        <x:v>7765</x:v>
      </x:c>
      <x:c r="E586" s="153" t="n">
        <x:v>7591</x:v>
      </x:c>
      <x:c r="F586" s="153" t="n">
        <x:v>7746</x:v>
      </x:c>
      <x:c r="G586" s="153" t="n">
        <x:v>85</x:v>
      </x:c>
      <x:c r="H586" s="154" t="n">
        <x:v>0.0111</x:v>
      </x:c>
      <x:c r="I586" s="158" t="n">
        <x:v>7680</x:v>
      </x:c>
      <x:c r="J586" s="158" t="n">
        <x:v>778144</x:v>
      </x:c>
      <x:c r="K586" s="158" t="n">
        <x:v>5976864828</x:v>
      </x:c>
      <x:c r="L586" s="158" t="n">
        <x:v>4023610</x:v>
      </x:c>
      <x:c r="M586" s="141" t="str">
        <x:v>https://www.sge.com.cn/sjzx/quotation_daily_new?start_date=2025-04-01&amp;end_date=2025-04-30&amp;inst_ids=Ag%28T%2BD%29&amp;p=</x:v>
      </x:c>
    </x:row>
    <x:row r="587">
      <x:c r="A587" s="155" t="n">
        <x:v>45756</x:v>
      </x:c>
      <x:c r="B587" s="141" t="str">
        <x:v>Au99.99</x:v>
      </x:c>
      <x:c r="C587" s="153" t="n">
        <x:v>718</x:v>
      </x:c>
      <x:c r="D587" s="153" t="n">
        <x:v>729</x:v>
      </x:c>
      <x:c r="E587" s="153" t="n">
        <x:v>713</x:v>
      </x:c>
      <x:c r="F587" s="153" t="n">
        <x:v>728.88</x:v>
      </x:c>
      <x:c r="G587" s="153" t="n">
        <x:v>11.38</x:v>
      </x:c>
      <x:c r="H587" s="154" t="n">
        <x:v>0.0159</x:v>
      </x:c>
      <x:c r="I587" s="158" t="n">
        <x:v>720.32</x:v>
      </x:c>
      <x:c r="J587" s="158" t="n">
        <x:v>19055.22</x:v>
      </x:c>
      <x:c r="K587" s="158" t="n">
        <x:v>13726033545.8</x:v>
      </x:c>
      <x:c r="L587" s="158"/>
      <x:c r="M587" s="141" t="str">
        <x:v>https://www.sge.com.cn/sjzx/quotation_daily_new?start_date=2025-04-01&amp;end_date=2025-04-30&amp;inst_ids=Au99.99&amp;p=</x:v>
      </x:c>
    </x:row>
    <x:row r="588">
      <x:c r="A588" s="155" t="n">
        <x:v>45757</x:v>
      </x:c>
      <x:c r="B588" s="141" t="str">
        <x:v>Ag(T+D)</x:v>
      </x:c>
      <x:c r="C588" s="153" t="n">
        <x:v>7790</x:v>
      </x:c>
      <x:c r="D588" s="153" t="n">
        <x:v>7975</x:v>
      </x:c>
      <x:c r="E588" s="153" t="n">
        <x:v>7728</x:v>
      </x:c>
      <x:c r="F588" s="153" t="n">
        <x:v>7939</x:v>
      </x:c>
      <x:c r="G588" s="153" t="n">
        <x:v>259</x:v>
      </x:c>
      <x:c r="H588" s="154" t="n">
        <x:v>0.0337</x:v>
      </x:c>
      <x:c r="I588" s="158" t="n">
        <x:v>7898</x:v>
      </x:c>
      <x:c r="J588" s="158" t="n">
        <x:v>594864</x:v>
      </x:c>
      <x:c r="K588" s="158" t="n">
        <x:v>4698289160</x:v>
      </x:c>
      <x:c r="L588" s="158" t="n">
        <x:v>4063294</x:v>
      </x:c>
      <x:c r="M588" s="141" t="str">
        <x:v>https://www.sge.com.cn/sjzx/quotation_daily_new?start_date=2025-04-01&amp;end_date=2025-04-30&amp;inst_ids=Ag%28T%2BD%29&amp;p=</x:v>
      </x:c>
    </x:row>
    <x:row r="589">
      <x:c r="A589" s="155" t="n">
        <x:v>45757</x:v>
      </x:c>
      <x:c r="B589" s="141" t="str">
        <x:v>Au99.99</x:v>
      </x:c>
      <x:c r="C589" s="153" t="n">
        <x:v>732</x:v>
      </x:c>
      <x:c r="D589" s="153" t="n">
        <x:v>744.99</x:v>
      </x:c>
      <x:c r="E589" s="153" t="n">
        <x:v>728</x:v>
      </x:c>
      <x:c r="F589" s="153" t="n">
        <x:v>741.26</x:v>
      </x:c>
      <x:c r="G589" s="153" t="n">
        <x:v>12.38</x:v>
      </x:c>
      <x:c r="H589" s="154" t="n">
        <x:v>0.017</x:v>
      </x:c>
      <x:c r="I589" s="158" t="n">
        <x:v>741.45</x:v>
      </x:c>
      <x:c r="J589" s="158" t="n">
        <x:v>16472.68</x:v>
      </x:c>
      <x:c r="K589" s="158" t="n">
        <x:v>12213676815.4</x:v>
      </x:c>
      <x:c r="L589" s="158"/>
      <x:c r="M589" s="141" t="str">
        <x:v>https://www.sge.com.cn/sjzx/quotation_daily_new?start_date=2025-04-01&amp;end_date=2025-04-30&amp;inst_ids=Au99.99&amp;p=</x:v>
      </x:c>
    </x:row>
    <x:row r="590">
      <x:c r="A590" s="155" t="n">
        <x:v>45758</x:v>
      </x:c>
      <x:c r="B590" s="141" t="str">
        <x:v>Ag(T+D)</x:v>
      </x:c>
      <x:c r="C590" s="153" t="n">
        <x:v>7899</x:v>
      </x:c>
      <x:c r="D590" s="153" t="n">
        <x:v>7996</x:v>
      </x:c>
      <x:c r="E590" s="153" t="n">
        <x:v>7850</x:v>
      </x:c>
      <x:c r="F590" s="153" t="n">
        <x:v>7984</x:v>
      </x:c>
      <x:c r="G590" s="153" t="n">
        <x:v>86</x:v>
      </x:c>
      <x:c r="H590" s="154" t="n">
        <x:v>0.0109</x:v>
      </x:c>
      <x:c r="I590" s="158" t="n">
        <x:v>7929</x:v>
      </x:c>
      <x:c r="J590" s="158" t="n">
        <x:v>834808</x:v>
      </x:c>
      <x:c r="K590" s="158" t="n">
        <x:v>6619904408</x:v>
      </x:c>
      <x:c r="L590" s="158" t="n">
        <x:v>3897306</x:v>
      </x:c>
      <x:c r="M590" s="141" t="str">
        <x:v>https://www.sge.com.cn/sjzx/quotation_daily_new?start_date=2025-04-01&amp;end_date=2025-04-30&amp;inst_ids=Ag%28T%2BD%29&amp;p=</x:v>
      </x:c>
    </x:row>
    <x:row r="591">
      <x:c r="A591" s="155" t="n">
        <x:v>45758</x:v>
      </x:c>
      <x:c r="B591" s="141" t="str">
        <x:v>Au99.99</x:v>
      </x:c>
      <x:c r="C591" s="153" t="n">
        <x:v>743.5</x:v>
      </x:c>
      <x:c r="D591" s="153" t="n">
        <x:v>762</x:v>
      </x:c>
      <x:c r="E591" s="153" t="n">
        <x:v>740.5</x:v>
      </x:c>
      <x:c r="F591" s="153" t="n">
        <x:v>757.1</x:v>
      </x:c>
      <x:c r="G591" s="153" t="n">
        <x:v>15.84</x:v>
      </x:c>
      <x:c r="H591" s="154" t="n">
        <x:v>0.021400000000000002</x:v>
      </x:c>
      <x:c r="I591" s="158" t="n">
        <x:v>759.26</x:v>
      </x:c>
      <x:c r="J591" s="158" t="n">
        <x:v>17310.22</x:v>
      </x:c>
      <x:c r="K591" s="158" t="n">
        <x:v>13143016321.8</x:v>
      </x:c>
      <x:c r="L591" s="158"/>
      <x:c r="M591" s="141" t="str">
        <x:v>https://www.sge.com.cn/sjzx/quotation_daily_new?start_date=2025-04-01&amp;end_date=2025-04-30&amp;inst_ids=Au99.99&amp;p=</x:v>
      </x:c>
    </x:row>
    <x:row r="592">
      <x:c r="A592" s="155" t="n">
        <x:v>45761</x:v>
      </x:c>
      <x:c r="B592" s="141" t="str">
        <x:v>Ag(T+D)</x:v>
      </x:c>
      <x:c r="C592" s="153" t="n">
        <x:v>7995</x:v>
      </x:c>
      <x:c r="D592" s="153" t="n">
        <x:v>8164</x:v>
      </x:c>
      <x:c r="E592" s="153" t="n">
        <x:v>7975</x:v>
      </x:c>
      <x:c r="F592" s="153" t="n">
        <x:v>8107</x:v>
      </x:c>
      <x:c r="G592" s="153" t="n">
        <x:v>178</x:v>
      </x:c>
      <x:c r="H592" s="154" t="n">
        <x:v>0.022400000000000003</x:v>
      </x:c>
      <x:c r="I592" s="158" t="n">
        <x:v>8065</x:v>
      </x:c>
      <x:c r="J592" s="158" t="n">
        <x:v>562266</x:v>
      </x:c>
      <x:c r="K592" s="158" t="n">
        <x:v>4534737024</x:v>
      </x:c>
      <x:c r="L592" s="158" t="n">
        <x:v>3914410</x:v>
      </x:c>
      <x:c r="M592" s="141" t="str">
        <x:v>https://www.sge.com.cn/sjzx/quotation_daily_new?start_date=2025-04-01&amp;end_date=2025-04-30&amp;inst_ids=Ag%28T%2BD%29&amp;p=</x:v>
      </x:c>
    </x:row>
    <x:row r="593">
      <x:c r="A593" s="155" t="n">
        <x:v>45761</x:v>
      </x:c>
      <x:c r="B593" s="141" t="str">
        <x:v>Au99.99</x:v>
      </x:c>
      <x:c r="C593" s="153" t="n">
        <x:v>757</x:v>
      </x:c>
      <x:c r="D593" s="153" t="n">
        <x:v>765.5</x:v>
      </x:c>
      <x:c r="E593" s="153" t="n">
        <x:v>756.31</x:v>
      </x:c>
      <x:c r="F593" s="153" t="n">
        <x:v>762.47</x:v>
      </x:c>
      <x:c r="G593" s="153" t="n">
        <x:v>5.37</x:v>
      </x:c>
      <x:c r="H593" s="154" t="n">
        <x:v>0.0070999999999999995</x:v>
      </x:c>
      <x:c r="I593" s="158" t="n">
        <x:v>763.08</x:v>
      </x:c>
      <x:c r="J593" s="158" t="n">
        <x:v>16882.5</x:v>
      </x:c>
      <x:c r="K593" s="158" t="n">
        <x:v>12882724165.8</x:v>
      </x:c>
      <x:c r="L593" s="158"/>
      <x:c r="M593" s="141" t="str">
        <x:v>https://www.sge.com.cn/sjzx/quotation_daily_new?start_date=2025-04-01&amp;end_date=2025-04-30&amp;inst_ids=Au99.99&amp;p=</x:v>
      </x:c>
    </x:row>
    <x:row r="594">
      <x:c r="A594" s="155" t="n">
        <x:v>45762</x:v>
      </x:c>
      <x:c r="B594" s="141" t="str">
        <x:v>Ag(T+D)</x:v>
      </x:c>
      <x:c r="C594" s="153" t="n">
        <x:v>8120</x:v>
      </x:c>
      <x:c r="D594" s="153" t="n">
        <x:v>8153</x:v>
      </x:c>
      <x:c r="E594" s="153" t="n">
        <x:v>8042</x:v>
      </x:c>
      <x:c r="F594" s="153" t="n">
        <x:v>8139</x:v>
      </x:c>
      <x:c r="G594" s="153" t="n">
        <x:v>74</x:v>
      </x:c>
      <x:c r="H594" s="154" t="n">
        <x:v>0.0092</x:v>
      </x:c>
      <x:c r="I594" s="158" t="n">
        <x:v>8114</x:v>
      </x:c>
      <x:c r="J594" s="158" t="n">
        <x:v>497504</x:v>
      </x:c>
      <x:c r="K594" s="158" t="n">
        <x:v>4036950086</x:v>
      </x:c>
      <x:c r="L594" s="158" t="n">
        <x:v>3892336</x:v>
      </x:c>
      <x:c r="M594" s="141" t="str">
        <x:v>https://www.sge.com.cn/sjzx/quotation_daily_new?start_date=2025-04-01&amp;end_date=2025-04-30&amp;inst_ids=Ag%28T%2BD%29&amp;p=</x:v>
      </x:c>
    </x:row>
    <x:row r="595">
      <x:c r="A595" s="155" t="n">
        <x:v>45762</x:v>
      </x:c>
      <x:c r="B595" s="141" t="str">
        <x:v>Au99.99</x:v>
      </x:c>
      <x:c r="C595" s="153" t="n">
        <x:v>765.3</x:v>
      </x:c>
      <x:c r="D595" s="153" t="n">
        <x:v>765.3</x:v>
      </x:c>
      <x:c r="E595" s="153" t="n">
        <x:v>757</x:v>
      </x:c>
      <x:c r="F595" s="153" t="n">
        <x:v>762.9</x:v>
      </x:c>
      <x:c r="G595" s="153" t="n">
        <x:v>0.43</x:v>
      </x:c>
      <x:c r="H595" s="154" t="n">
        <x:v>0.0006</x:v>
      </x:c>
      <x:c r="I595" s="158" t="n">
        <x:v>762.65</x:v>
      </x:c>
      <x:c r="J595" s="158" t="n">
        <x:v>12864.42</x:v>
      </x:c>
      <x:c r="K595" s="158" t="n">
        <x:v>9811120229</x:v>
      </x:c>
      <x:c r="L595" s="158"/>
      <x:c r="M595" s="141" t="str">
        <x:v>https://www.sge.com.cn/sjzx/quotation_daily_new?start_date=2025-04-01&amp;end_date=2025-04-30&amp;inst_ids=Au99.99&amp;p=</x:v>
      </x:c>
    </x:row>
    <x:row r="596">
      <x:c r="A596" s="155" t="n">
        <x:v>45763</x:v>
      </x:c>
      <x:c r="B596" s="141" t="str">
        <x:v>Ag(T+D)</x:v>
      </x:c>
      <x:c r="C596" s="153" t="n">
        <x:v>8130</x:v>
      </x:c>
      <x:c r="D596" s="153" t="n">
        <x:v>8236</x:v>
      </x:c>
      <x:c r="E596" s="153" t="n">
        <x:v>8107</x:v>
      </x:c>
      <x:c r="F596" s="153" t="n">
        <x:v>8230</x:v>
      </x:c>
      <x:c r="G596" s="153" t="n">
        <x:v>116</x:v>
      </x:c>
      <x:c r="H596" s="154" t="n">
        <x:v>0.0143</x:v>
      </x:c>
      <x:c r="I596" s="158" t="n">
        <x:v>8180</x:v>
      </x:c>
      <x:c r="J596" s="158" t="n">
        <x:v>548378</x:v>
      </x:c>
      <x:c r="K596" s="158" t="n">
        <x:v>4485769548</x:v>
      </x:c>
      <x:c r="L596" s="158" t="n">
        <x:v>3806108</x:v>
      </x:c>
      <x:c r="M596" s="141" t="str">
        <x:v>https://www.sge.com.cn/sjzx/quotation_daily_new?start_date=2025-04-01&amp;end_date=2025-04-30&amp;inst_ids=Ag%28T%2BD%29&amp;p=</x:v>
      </x:c>
    </x:row>
    <x:row r="597">
      <x:c r="A597" s="155" t="n">
        <x:v>45763</x:v>
      </x:c>
      <x:c r="B597" s="141" t="str">
        <x:v>Au99.99</x:v>
      </x:c>
      <x:c r="C597" s="153" t="n">
        <x:v>762</x:v>
      </x:c>
      <x:c r="D597" s="153" t="n">
        <x:v>781.9</x:v>
      </x:c>
      <x:c r="E597" s="153" t="n">
        <x:v>761.5</x:v>
      </x:c>
      <x:c r="F597" s="153" t="n">
        <x:v>781.62</x:v>
      </x:c>
      <x:c r="G597" s="153" t="n">
        <x:v>18.72</x:v>
      </x:c>
      <x:c r="H597" s="154" t="n">
        <x:v>0.0245</x:v>
      </x:c>
      <x:c r="I597" s="158" t="n">
        <x:v>777.08</x:v>
      </x:c>
      <x:c r="J597" s="158" t="n">
        <x:v>14001.56</x:v>
      </x:c>
      <x:c r="K597" s="158" t="n">
        <x:v>10880388039</x:v>
      </x:c>
      <x:c r="L597" s="158"/>
      <x:c r="M597" s="141" t="str">
        <x:v>https://www.sge.com.cn/sjzx/quotation_daily_new?start_date=2025-04-01&amp;end_date=2025-04-30&amp;inst_ids=Au99.99&amp;p=</x:v>
      </x:c>
    </x:row>
    <x:row r="598">
      <x:c r="A598" s="155" t="n">
        <x:v>45764</x:v>
      </x:c>
      <x:c r="B598" s="141" t="str">
        <x:v>Ag(T+D)</x:v>
      </x:c>
      <x:c r="C598" s="153" t="n">
        <x:v>8271</x:v>
      </x:c>
      <x:c r="D598" s="153" t="n">
        <x:v>8290</x:v>
      </x:c>
      <x:c r="E598" s="153" t="n">
        <x:v>8098</x:v>
      </x:c>
      <x:c r="F598" s="153" t="n">
        <x:v>8143</x:v>
      </x:c>
      <x:c r="G598" s="153" t="n">
        <x:v>-37</x:v>
      </x:c>
      <x:c r="H598" s="154" t="n">
        <x:v>-0.0045000000000000005</x:v>
      </x:c>
      <x:c r="I598" s="158" t="n">
        <x:v>8172</x:v>
      </x:c>
      <x:c r="J598" s="158" t="n">
        <x:v>629680</x:v>
      </x:c>
      <x:c r="K598" s="158" t="n">
        <x:v>5145902268</x:v>
      </x:c>
      <x:c r="L598" s="158" t="n">
        <x:v>3864370</x:v>
      </x:c>
      <x:c r="M598" s="141" t="str">
        <x:v>https://www.sge.com.cn/sjzx/quotation_daily_new?start_date=2025-04-01&amp;end_date=2025-04-30&amp;inst_ids=Ag%28T%2BD%29&amp;p=</x:v>
      </x:c>
    </x:row>
    <x:row r="599">
      <x:c r="A599" s="155" t="n">
        <x:v>45764</x:v>
      </x:c>
      <x:c r="B599" s="141" t="str">
        <x:v>Au99.99</x:v>
      </x:c>
      <x:c r="C599" s="153" t="n">
        <x:v>782</x:v>
      </x:c>
      <x:c r="D599" s="153" t="n">
        <x:v>795.36</x:v>
      </x:c>
      <x:c r="E599" s="153" t="n">
        <x:v>780</x:v>
      </x:c>
      <x:c r="F599" s="153" t="n">
        <x:v>786</x:v>
      </x:c>
      <x:c r="G599" s="153" t="n">
        <x:v>4.38</x:v>
      </x:c>
      <x:c r="H599" s="154" t="n">
        <x:v>0.005600000000000001</x:v>
      </x:c>
      <x:c r="I599" s="158" t="n">
        <x:v>789.47</x:v>
      </x:c>
      <x:c r="J599" s="158" t="n">
        <x:v>26860.66</x:v>
      </x:c>
      <x:c r="K599" s="158" t="n">
        <x:v>21205807805.8</x:v>
      </x:c>
      <x:c r="L599" s="158"/>
      <x:c r="M599" s="141" t="str">
        <x:v>https://www.sge.com.cn/sjzx/quotation_daily_new?start_date=2025-04-01&amp;end_date=2025-04-30&amp;inst_ids=Au99.99&amp;p=</x:v>
      </x:c>
    </x:row>
    <x:row r="600">
      <x:c r="A600" s="155" t="n">
        <x:v>45765</x:v>
      </x:c>
      <x:c r="B600" s="141" t="str">
        <x:v>Ag(T+D)</x:v>
      </x:c>
      <x:c r="C600" s="153" t="n">
        <x:v>8143</x:v>
      </x:c>
      <x:c r="D600" s="153" t="n">
        <x:v>8170</x:v>
      </x:c>
      <x:c r="E600" s="153" t="n">
        <x:v>8060</x:v>
      </x:c>
      <x:c r="F600" s="153" t="n">
        <x:v>8142</x:v>
      </x:c>
      <x:c r="G600" s="153" t="n">
        <x:v>-30</x:v>
      </x:c>
      <x:c r="H600" s="154" t="n">
        <x:v>-0.0037</x:v>
      </x:c>
      <x:c r="I600" s="158" t="n">
        <x:v>8135</x:v>
      </x:c>
      <x:c r="J600" s="158" t="n">
        <x:v>483736</x:v>
      </x:c>
      <x:c r="K600" s="158" t="n">
        <x:v>3935640198</x:v>
      </x:c>
      <x:c r="L600" s="158" t="n">
        <x:v>3857518</x:v>
      </x:c>
      <x:c r="M600" s="141" t="str">
        <x:v>https://www.sge.com.cn/sjzx/quotation_daily_new?start_date=2025-04-01&amp;end_date=2025-04-30&amp;inst_ids=Ag%28T%2BD%29&amp;p=</x:v>
      </x:c>
    </x:row>
    <x:row r="601">
      <x:c r="A601" s="155" t="n">
        <x:v>45765</x:v>
      </x:c>
      <x:c r="B601" s="141" t="str">
        <x:v>Au99.99</x:v>
      </x:c>
      <x:c r="C601" s="153" t="n">
        <x:v>788.5</x:v>
      </x:c>
      <x:c r="D601" s="153" t="n">
        <x:v>790.49</x:v>
      </x:c>
      <x:c r="E601" s="153" t="n">
        <x:v>778</x:v>
      </x:c>
      <x:c r="F601" s="153" t="n">
        <x:v>788.62</x:v>
      </x:c>
      <x:c r="G601" s="153" t="n">
        <x:v>2.62</x:v>
      </x:c>
      <x:c r="H601" s="154" t="n">
        <x:v>0.0033</x:v>
      </x:c>
      <x:c r="I601" s="158" t="n">
        <x:v>788.6</x:v>
      </x:c>
      <x:c r="J601" s="158" t="n">
        <x:v>15482.78</x:v>
      </x:c>
      <x:c r="K601" s="158" t="n">
        <x:v>12209805089</x:v>
      </x:c>
      <x:c r="L601" s="158"/>
      <x:c r="M601" s="141" t="str">
        <x:v>https://www.sge.com.cn/sjzx/quotation_daily_new?start_date=2025-04-01&amp;end_date=2025-04-30&amp;inst_ids=Au99.99&amp;p=</x:v>
      </x:c>
    </x:row>
    <x:row r="602">
      <x:c r="A602" s="155" t="n">
        <x:v>45768</x:v>
      </x:c>
      <x:c r="B602" s="141" t="str">
        <x:v>Ag(T+D)</x:v>
      </x:c>
      <x:c r="C602" s="153" t="n">
        <x:v>8133</x:v>
      </x:c>
      <x:c r="D602" s="153" t="n">
        <x:v>8238</x:v>
      </x:c>
      <x:c r="E602" s="153" t="n">
        <x:v>8114</x:v>
      </x:c>
      <x:c r="F602" s="153" t="n">
        <x:v>8227</x:v>
      </x:c>
      <x:c r="G602" s="153" t="n">
        <x:v>92</x:v>
      </x:c>
      <x:c r="H602" s="154" t="n">
        <x:v>0.0113</x:v>
      </x:c>
      <x:c r="I602" s="158" t="n">
        <x:v>8202</x:v>
      </x:c>
      <x:c r="J602" s="158" t="n">
        <x:v>497806</x:v>
      </x:c>
      <x:c r="K602" s="158" t="n">
        <x:v>4083118802</x:v>
      </x:c>
      <x:c r="L602" s="158" t="n">
        <x:v>3736054</x:v>
      </x:c>
      <x:c r="M602" s="141" t="str">
        <x:v>https://www.sge.com.cn/sjzx/quotation_daily_new?start_date=2025-04-01&amp;end_date=2025-04-30&amp;inst_ids=Ag%28T%2BD%29&amp;p=</x:v>
      </x:c>
    </x:row>
    <x:row r="603">
      <x:c r="A603" s="155" t="n">
        <x:v>45768</x:v>
      </x:c>
      <x:c r="B603" s="141" t="str">
        <x:v>Au99.99</x:v>
      </x:c>
      <x:c r="C603" s="153" t="n">
        <x:v>790</x:v>
      </x:c>
      <x:c r="D603" s="153" t="n">
        <x:v>806</x:v>
      </x:c>
      <x:c r="E603" s="153" t="n">
        <x:v>787</x:v>
      </x:c>
      <x:c r="F603" s="153" t="n">
        <x:v>804.11</x:v>
      </x:c>
      <x:c r="G603" s="153" t="n">
        <x:v>15.49</x:v>
      </x:c>
      <x:c r="H603" s="154" t="n">
        <x:v>0.0196</x:v>
      </x:c>
      <x:c r="I603" s="158" t="n">
        <x:v>801.02</x:v>
      </x:c>
      <x:c r="J603" s="158" t="n">
        <x:v>26503</x:v>
      </x:c>
      <x:c r="K603" s="158" t="n">
        <x:v>21229533675.6</x:v>
      </x:c>
      <x:c r="L603" s="158"/>
      <x:c r="M603" s="141" t="str">
        <x:v>https://www.sge.com.cn/sjzx/quotation_daily_new?start_date=2025-04-01&amp;end_date=2025-04-30&amp;inst_ids=Au99.99&amp;p=</x:v>
      </x:c>
    </x:row>
    <x:row r="604">
      <x:c r="A604" s="155" t="n">
        <x:v>45769</x:v>
      </x:c>
      <x:c r="B604" s="141" t="str">
        <x:v>Ag(T+D)</x:v>
      </x:c>
      <x:c r="C604" s="153" t="n">
        <x:v>8244</x:v>
      </x:c>
      <x:c r="D604" s="153" t="n">
        <x:v>8265</x:v>
      </x:c>
      <x:c r="E604" s="153" t="n">
        <x:v>8126</x:v>
      </x:c>
      <x:c r="F604" s="153" t="n">
        <x:v>8154</x:v>
      </x:c>
      <x:c r="G604" s="153" t="n">
        <x:v>-48</x:v>
      </x:c>
      <x:c r="H604" s="154" t="n">
        <x:v>-0.0059</x:v>
      </x:c>
      <x:c r="I604" s="158" t="n">
        <x:v>8182</x:v>
      </x:c>
      <x:c r="J604" s="158" t="n">
        <x:v>778868</x:v>
      </x:c>
      <x:c r="K604" s="158" t="n">
        <x:v>6373292366</x:v>
      </x:c>
      <x:c r="L604" s="158" t="n">
        <x:v>3682262</x:v>
      </x:c>
      <x:c r="M604" s="141" t="str">
        <x:v>https://www.sge.com.cn/sjzx/quotation_daily_new?start_date=2025-04-01&amp;end_date=2025-04-30&amp;inst_ids=Ag%28T%2BD%29&amp;p=</x:v>
      </x:c>
    </x:row>
    <x:row r="605">
      <x:c r="A605" s="155" t="n">
        <x:v>45769</x:v>
      </x:c>
      <x:c r="B605" s="141" t="str">
        <x:v>Au99.99</x:v>
      </x:c>
      <x:c r="C605" s="153" t="n">
        <x:v>808.2</x:v>
      </x:c>
      <x:c r="D605" s="153" t="n">
        <x:v>834.6</x:v>
      </x:c>
      <x:c r="E605" s="153" t="n">
        <x:v>805</x:v>
      </x:c>
      <x:c r="F605" s="153" t="n">
        <x:v>825.8</x:v>
      </x:c>
      <x:c r="G605" s="153" t="n">
        <x:v>21.69</x:v>
      </x:c>
      <x:c r="H605" s="154" t="n">
        <x:v>0.027000000000000003</x:v>
      </x:c>
      <x:c r="I605" s="158" t="n">
        <x:v>825.06</x:v>
      </x:c>
      <x:c r="J605" s="158" t="n">
        <x:v>33896.18</x:v>
      </x:c>
      <x:c r="K605" s="158" t="n">
        <x:v>27966684715.2</x:v>
      </x:c>
      <x:c r="L605" s="158"/>
      <x:c r="M605" s="141" t="str">
        <x:v>https://www.sge.com.cn/sjzx/quotation_daily_new?start_date=2025-04-01&amp;end_date=2025-04-30&amp;inst_ids=Au99.99&amp;p=</x:v>
      </x:c>
    </x:row>
    <x:row r="606">
      <x:c r="A606" s="155" t="n">
        <x:v>45770</x:v>
      </x:c>
      <x:c r="B606" s="141" t="str">
        <x:v>Ag(T+D)</x:v>
      </x:c>
      <x:c r="C606" s="153" t="n">
        <x:v>8190</x:v>
      </x:c>
      <x:c r="D606" s="153" t="n">
        <x:v>8280</x:v>
      </x:c>
      <x:c r="E606" s="153" t="n">
        <x:v>8128</x:v>
      </x:c>
      <x:c r="F606" s="153" t="n">
        <x:v>8191</x:v>
      </x:c>
      <x:c r="G606" s="153" t="n">
        <x:v>9</x:v>
      </x:c>
      <x:c r="H606" s="154" t="n">
        <x:v>0.0011</x:v>
      </x:c>
      <x:c r="I606" s="158" t="n">
        <x:v>8197</x:v>
      </x:c>
      <x:c r="J606" s="158" t="n">
        <x:v>661984</x:v>
      </x:c>
      <x:c r="K606" s="158" t="n">
        <x:v>5426382872</x:v>
      </x:c>
      <x:c r="L606" s="158" t="n">
        <x:v>3664940</x:v>
      </x:c>
      <x:c r="M606" s="141" t="str">
        <x:v>https://www.sge.com.cn/sjzx/quotation_daily_new?start_date=2025-04-01&amp;end_date=2025-04-30&amp;inst_ids=Ag%28T%2BD%29&amp;p=</x:v>
      </x:c>
    </x:row>
    <x:row r="607">
      <x:c r="A607" s="155" t="n">
        <x:v>45770</x:v>
      </x:c>
      <x:c r="B607" s="141" t="str">
        <x:v>Au99.99</x:v>
      </x:c>
      <x:c r="C607" s="153" t="n">
        <x:v>829</x:v>
      </x:c>
      <x:c r="D607" s="153" t="n">
        <x:v>829</x:v>
      </x:c>
      <x:c r="E607" s="153" t="n">
        <x:v>780.55</x:v>
      </x:c>
      <x:c r="F607" s="153" t="n">
        <x:v>786.99</x:v>
      </x:c>
      <x:c r="G607" s="153" t="n">
        <x:v>-38.81</x:v>
      </x:c>
      <x:c r="H607" s="154" t="n">
        <x:v>-0.047</x:v>
      </x:c>
      <x:c r="I607" s="158" t="n">
        <x:v>797.36</x:v>
      </x:c>
      <x:c r="J607" s="158" t="n">
        <x:v>27249.28</x:v>
      </x:c>
      <x:c r="K607" s="158" t="n">
        <x:v>21727670791.8</x:v>
      </x:c>
      <x:c r="L607" s="158"/>
      <x:c r="M607" s="141" t="str">
        <x:v>https://www.sge.com.cn/sjzx/quotation_daily_new?start_date=2025-04-01&amp;end_date=2025-04-30&amp;inst_ids=Au99.99&amp;p=</x:v>
      </x:c>
    </x:row>
    <x:row r="608">
      <x:c r="A608" s="155" t="n">
        <x:v>45771</x:v>
      </x:c>
      <x:c r="B608" s="141" t="str">
        <x:v>Ag(T+D)</x:v>
      </x:c>
      <x:c r="C608" s="153" t="n">
        <x:v>8189</x:v>
      </x:c>
      <x:c r="D608" s="153" t="n">
        <x:v>8351</x:v>
      </x:c>
      <x:c r="E608" s="153" t="n">
        <x:v>8168</x:v>
      </x:c>
      <x:c r="F608" s="153" t="n">
        <x:v>8295</x:v>
      </x:c>
      <x:c r="G608" s="153" t="n">
        <x:v>98</x:v>
      </x:c>
      <x:c r="H608" s="154" t="n">
        <x:v>0.012</x:v>
      </x:c>
      <x:c r="I608" s="158" t="n">
        <x:v>8283</x:v>
      </x:c>
      <x:c r="J608" s="158" t="n">
        <x:v>699388</x:v>
      </x:c>
      <x:c r="K608" s="158" t="n">
        <x:v>5793241732</x:v>
      </x:c>
      <x:c r="L608" s="158" t="n">
        <x:v>3625908</x:v>
      </x:c>
      <x:c r="M608" s="141" t="str">
        <x:v>https://www.sge.com.cn/sjzx/quotation_daily_new?start_date=2025-04-01&amp;end_date=2025-04-30&amp;inst_ids=Ag%28T%2BD%29&amp;p=</x:v>
      </x:c>
    </x:row>
    <x:row r="609">
      <x:c r="A609" s="155" t="n">
        <x:v>45771</x:v>
      </x:c>
      <x:c r="B609" s="141" t="str">
        <x:v>Au99.99</x:v>
      </x:c>
      <x:c r="C609" s="153" t="n">
        <x:v>787</x:v>
      </x:c>
      <x:c r="D609" s="153" t="n">
        <x:v>802.3</x:v>
      </x:c>
      <x:c r="E609" s="153" t="n">
        <x:v>775</x:v>
      </x:c>
      <x:c r="F609" s="153" t="n">
        <x:v>792.47</x:v>
      </x:c>
      <x:c r="G609" s="153" t="n">
        <x:v>5.48</x:v>
      </x:c>
      <x:c r="H609" s="154" t="n">
        <x:v>0.006999999999999999</x:v>
      </x:c>
      <x:c r="I609" s="158" t="n">
        <x:v>793.75</x:v>
      </x:c>
      <x:c r="J609" s="158" t="n">
        <x:v>22494.66</x:v>
      </x:c>
      <x:c r="K609" s="158" t="n">
        <x:v>17855297242</x:v>
      </x:c>
      <x:c r="L609" s="158"/>
      <x:c r="M609" s="141" t="str">
        <x:v>https://www.sge.com.cn/sjzx/quotation_daily_new?start_date=2025-04-01&amp;end_date=2025-04-30&amp;inst_ids=Au99.99&amp;p=</x:v>
      </x:c>
    </x:row>
    <x:row r="610">
      <x:c r="A610" s="155" t="n">
        <x:v>45772</x:v>
      </x:c>
      <x:c r="B610" s="141" t="str">
        <x:v>Ag(T+D)</x:v>
      </x:c>
      <x:c r="C610" s="153" t="n">
        <x:v>8306</x:v>
      </x:c>
      <x:c r="D610" s="153" t="n">
        <x:v>8328</x:v>
      </x:c>
      <x:c r="E610" s="153" t="n">
        <x:v>8231</x:v>
      </x:c>
      <x:c r="F610" s="153" t="n">
        <x:v>8270</x:v>
      </x:c>
      <x:c r="G610" s="153" t="n">
        <x:v>-13</x:v>
      </x:c>
      <x:c r="H610" s="154" t="n">
        <x:v>-0.0016</x:v>
      </x:c>
      <x:c r="I610" s="158" t="n">
        <x:v>8280</x:v>
      </x:c>
      <x:c r="J610" s="158" t="n">
        <x:v>421174</x:v>
      </x:c>
      <x:c r="K610" s="158" t="n">
        <x:v>3487511326</x:v>
      </x:c>
      <x:c r="L610" s="158" t="n">
        <x:v>3574040</x:v>
      </x:c>
      <x:c r="M610" s="141" t="str">
        <x:v>https://www.sge.com.cn/sjzx/quotation_daily_new?start_date=2025-04-01&amp;end_date=2025-04-30&amp;inst_ids=Ag%28T%2BD%29&amp;p=</x:v>
      </x:c>
    </x:row>
    <x:row r="611">
      <x:c r="A611" s="155" t="n">
        <x:v>45772</x:v>
      </x:c>
      <x:c r="B611" s="141" t="str">
        <x:v>Au99.99</x:v>
      </x:c>
      <x:c r="C611" s="153" t="n">
        <x:v>792.47</x:v>
      </x:c>
      <x:c r="D611" s="153" t="n">
        <x:v>803</x:v>
      </x:c>
      <x:c r="E611" s="153" t="n">
        <x:v>780.5</x:v>
      </x:c>
      <x:c r="F611" s="153" t="n">
        <x:v>785.6</x:v>
      </x:c>
      <x:c r="G611" s="153" t="n">
        <x:v>-6.87</x:v>
      </x:c>
      <x:c r="H611" s="154" t="n">
        <x:v>-0.0087</x:v>
      </x:c>
      <x:c r="I611" s="158" t="n">
        <x:v>789.17</x:v>
      </x:c>
      <x:c r="J611" s="158" t="n">
        <x:v>14161.08</x:v>
      </x:c>
      <x:c r="K611" s="158" t="n">
        <x:v>11175627119</x:v>
      </x:c>
      <x:c r="L611" s="158"/>
      <x:c r="M611" s="141" t="str">
        <x:v>https://www.sge.com.cn/sjzx/quotation_daily_new?start_date=2025-04-01&amp;end_date=2025-04-30&amp;inst_ids=Au99.99&amp;p=</x:v>
      </x:c>
    </x:row>
    <x:row r="612">
      <x:c r="A612" s="155" t="n">
        <x:v>45775</x:v>
      </x:c>
      <x:c r="B612" s="141" t="str">
        <x:v>Ag(T+D)</x:v>
      </x:c>
      <x:c r="C612" s="153" t="n">
        <x:v>8256</x:v>
      </x:c>
      <x:c r="D612" s="153" t="n">
        <x:v>8263</x:v>
      </x:c>
      <x:c r="E612" s="153" t="n">
        <x:v>8151</x:v>
      </x:c>
      <x:c r="F612" s="153" t="n">
        <x:v>8173</x:v>
      </x:c>
      <x:c r="G612" s="153" t="n">
        <x:v>-107</x:v>
      </x:c>
      <x:c r="H612" s="154" t="n">
        <x:v>-0.0129</x:v>
      </x:c>
      <x:c r="I612" s="158" t="n">
        <x:v>8179</x:v>
      </x:c>
      <x:c r="J612" s="158" t="n">
        <x:v>471636</x:v>
      </x:c>
      <x:c r="K612" s="158" t="n">
        <x:v>3857556844</x:v>
      </x:c>
      <x:c r="L612" s="158" t="n">
        <x:v>3578110</x:v>
      </x:c>
      <x:c r="M612" s="141" t="str">
        <x:v>https://www.sge.com.cn/sjzx/quotation_daily_new?start_date=2025-04-01&amp;end_date=2025-04-30&amp;inst_ids=Ag%28T%2BD%29&amp;p=</x:v>
      </x:c>
    </x:row>
    <x:row r="613">
      <x:c r="A613" s="155" t="n">
        <x:v>45775</x:v>
      </x:c>
      <x:c r="B613" s="141" t="str">
        <x:v>Au99.99</x:v>
      </x:c>
      <x:c r="C613" s="153" t="n">
        <x:v>787.6</x:v>
      </x:c>
      <x:c r="D613" s="153" t="n">
        <x:v>788</x:v>
      </x:c>
      <x:c r="E613" s="153" t="n">
        <x:v>776.01</x:v>
      </x:c>
      <x:c r="F613" s="153" t="n">
        <x:v>778.4</x:v>
      </x:c>
      <x:c r="G613" s="153" t="n">
        <x:v>-7.2</x:v>
      </x:c>
      <x:c r="H613" s="154" t="n">
        <x:v>-0.0092</x:v>
      </x:c>
      <x:c r="I613" s="158" t="n">
        <x:v>780.17</x:v>
      </x:c>
      <x:c r="J613" s="158" t="n">
        <x:v>12972.42</x:v>
      </x:c>
      <x:c r="K613" s="158" t="n">
        <x:v>10120727694.2</x:v>
      </x:c>
      <x:c r="L613" s="158"/>
      <x:c r="M613" s="141" t="str">
        <x:v>https://www.sge.com.cn/sjzx/quotation_daily_new?start_date=2025-04-01&amp;end_date=2025-04-30&amp;inst_ids=Au99.99&amp;p=</x:v>
      </x:c>
    </x:row>
    <x:row r="614">
      <x:c r="A614" s="155" t="n">
        <x:v>45776</x:v>
      </x:c>
      <x:c r="B614" s="141" t="str">
        <x:v>Ag(T+D)</x:v>
      </x:c>
      <x:c r="C614" s="153" t="n">
        <x:v>8195</x:v>
      </x:c>
      <x:c r="D614" s="153" t="n">
        <x:v>8239</x:v>
      </x:c>
      <x:c r="E614" s="153" t="n">
        <x:v>8165</x:v>
      </x:c>
      <x:c r="F614" s="153" t="n">
        <x:v>8197</x:v>
      </x:c>
      <x:c r="G614" s="153" t="n">
        <x:v>18</x:v>
      </x:c>
      <x:c r="H614" s="154" t="n">
        <x:v>0.0022</x:v>
      </x:c>
      <x:c r="I614" s="158" t="n">
        <x:v>8202</x:v>
      </x:c>
      <x:c r="J614" s="158" t="n">
        <x:v>349058</x:v>
      </x:c>
      <x:c r="K614" s="158" t="n">
        <x:v>2863148398</x:v>
      </x:c>
      <x:c r="L614" s="158" t="n">
        <x:v>3581790</x:v>
      </x:c>
      <x:c r="M614" s="141" t="str">
        <x:v>https://www.sge.com.cn/sjzx/quotation_daily_new?start_date=2025-04-01&amp;end_date=2025-04-30&amp;inst_ids=Ag%28T%2BD%29&amp;p=</x:v>
      </x:c>
    </x:row>
    <x:row r="615">
      <x:c r="A615" s="155" t="n">
        <x:v>45776</x:v>
      </x:c>
      <x:c r="B615" s="141" t="str">
        <x:v>Au99.99</x:v>
      </x:c>
      <x:c r="C615" s="153" t="n">
        <x:v>781</x:v>
      </x:c>
      <x:c r="D615" s="153" t="n">
        <x:v>791</x:v>
      </x:c>
      <x:c r="E615" s="153" t="n">
        <x:v>780</x:v>
      </x:c>
      <x:c r="F615" s="153" t="n">
        <x:v>780.05</x:v>
      </x:c>
      <x:c r="G615" s="153" t="n">
        <x:v>1.65</x:v>
      </x:c>
      <x:c r="H615" s="154" t="n">
        <x:v>0.0021</x:v>
      </x:c>
      <x:c r="I615" s="158" t="n">
        <x:v>784.04</x:v>
      </x:c>
      <x:c r="J615" s="158" t="n">
        <x:v>12034.16</x:v>
      </x:c>
      <x:c r="K615" s="158" t="n">
        <x:v>9435271280.4</x:v>
      </x:c>
      <x:c r="L615" s="158"/>
      <x:c r="M615" s="141" t="str">
        <x:v>https://www.sge.com.cn/sjzx/quotation_daily_new?start_date=2025-04-01&amp;end_date=2025-04-30&amp;inst_ids=Au99.99&amp;p=</x:v>
      </x:c>
    </x:row>
    <x:row r="616">
      <x:c r="A616" s="155" t="n">
        <x:v>45777</x:v>
      </x:c>
      <x:c r="B616" s="141" t="str">
        <x:v>Ag(T+D)</x:v>
      </x:c>
      <x:c r="C616" s="153" t="n">
        <x:v>8210</x:v>
      </x:c>
      <x:c r="D616" s="153" t="n">
        <x:v>8272</x:v>
      </x:c>
      <x:c r="E616" s="153" t="n">
        <x:v>8150</x:v>
      </x:c>
      <x:c r="F616" s="153" t="n">
        <x:v>8163</x:v>
      </x:c>
      <x:c r="G616" s="153" t="n">
        <x:v>-39</x:v>
      </x:c>
      <x:c r="H616" s="154" t="n">
        <x:v>-0.0048</x:v>
      </x:c>
      <x:c r="I616" s="158" t="n">
        <x:v>8201</x:v>
      </x:c>
      <x:c r="J616" s="158" t="n">
        <x:v>358256</x:v>
      </x:c>
      <x:c r="K616" s="158" t="n">
        <x:v>2938140444</x:v>
      </x:c>
      <x:c r="L616" s="158" t="n">
        <x:v>3499912</x:v>
      </x:c>
      <x:c r="M616" s="141" t="str">
        <x:v>https://www.sge.com.cn/sjzx/quotation_daily_new?start_date=2025-04-01&amp;end_date=2025-04-30&amp;inst_ids=Ag%28T%2BD%29&amp;p=</x:v>
      </x:c>
    </x:row>
    <x:row r="617">
      <x:c r="A617" s="155" t="n">
        <x:v>45777</x:v>
      </x:c>
      <x:c r="B617" s="141" t="str">
        <x:v>Au99.99</x:v>
      </x:c>
      <x:c r="C617" s="153" t="n">
        <x:v>783</x:v>
      </x:c>
      <x:c r="D617" s="153" t="n">
        <x:v>784.76</x:v>
      </x:c>
      <x:c r="E617" s="153" t="n">
        <x:v>778.01</x:v>
      </x:c>
      <x:c r="F617" s="153" t="n">
        <x:v>780.19</x:v>
      </x:c>
      <x:c r="G617" s="153" t="n">
        <x:v>0.14</x:v>
      </x:c>
      <x:c r="H617" s="154" t="n">
        <x:v>0.0002</x:v>
      </x:c>
      <x:c r="I617" s="158" t="n">
        <x:v>780.97</x:v>
      </x:c>
      <x:c r="J617" s="158" t="n">
        <x:v>8343.96</x:v>
      </x:c>
      <x:c r="K617" s="158" t="n">
        <x:v>6516398728.8</x:v>
      </x:c>
      <x:c r="L617" s="158"/>
      <x:c r="M617" s="141" t="str">
        <x:v>https://www.sge.com.cn/sjzx/quotation_daily_new?start_date=2025-04-01&amp;end_date=2025-04-30&amp;inst_ids=Au99.99&amp;p=</x:v>
      </x:c>
    </x:row>
    <x:row r="618">
      <x:c r="A618" s="155" t="n">
        <x:v>45783</x:v>
      </x:c>
      <x:c r="B618" s="141" t="str">
        <x:v>Ag(T+D)</x:v>
      </x:c>
      <x:c r="C618" s="153" t="n">
        <x:v>8115</x:v>
      </x:c>
      <x:c r="D618" s="153" t="n">
        <x:v>8255</x:v>
      </x:c>
      <x:c r="E618" s="153" t="n">
        <x:v>8115</x:v>
      </x:c>
      <x:c r="F618" s="153" t="n">
        <x:v>8221</x:v>
      </x:c>
      <x:c r="G618" s="153" t="n">
        <x:v>20</x:v>
      </x:c>
      <x:c r="H618" s="154" t="n">
        <x:v>0.0024</x:v>
      </x:c>
      <x:c r="I618" s="158" t="n">
        <x:v>8224</x:v>
      </x:c>
      <x:c r="J618" s="158" t="n">
        <x:v>410108</x:v>
      </x:c>
      <x:c r="K618" s="158" t="n">
        <x:v>3373107680</x:v>
      </x:c>
      <x:c r="L618" s="158" t="n">
        <x:v>3542778</x:v>
      </x:c>
      <x:c r="M618" s="141" t="str">
        <x:v>https://www.sge.com.cn/sjzx/quotation_daily_new?start_date=2025-05-01&amp;end_date=2025-05-31&amp;inst_ids=Ag%28T%2BD%29&amp;p=</x:v>
      </x:c>
    </x:row>
    <x:row r="619">
      <x:c r="A619" s="155" t="n">
        <x:v>45783</x:v>
      </x:c>
      <x:c r="B619" s="141" t="str">
        <x:v>Au99.99</x:v>
      </x:c>
      <x:c r="C619" s="153" t="n">
        <x:v>785</x:v>
      </x:c>
      <x:c r="D619" s="153" t="n">
        <x:v>797.5</x:v>
      </x:c>
      <x:c r="E619" s="153" t="n">
        <x:v>785</x:v>
      </x:c>
      <x:c r="F619" s="153" t="n">
        <x:v>792.2</x:v>
      </x:c>
      <x:c r="G619" s="153" t="n">
        <x:v>12.01</x:v>
      </x:c>
      <x:c r="H619" s="154" t="n">
        <x:v>0.0154</x:v>
      </x:c>
      <x:c r="I619" s="158" t="n">
        <x:v>792.54</x:v>
      </x:c>
      <x:c r="J619" s="158" t="n">
        <x:v>12694.96</x:v>
      </x:c>
      <x:c r="K619" s="158" t="n">
        <x:v>10061300840.8</x:v>
      </x:c>
      <x:c r="L619" s="158"/>
      <x:c r="M619" s="141" t="str">
        <x:v>https://www.sge.com.cn/sjzx/quotation_daily_new?start_date=2025-05-01&amp;end_date=2025-05-31&amp;inst_ids=Au99.99&amp;p=</x:v>
      </x:c>
    </x:row>
    <x:row r="620">
      <x:c r="A620" s="155" t="n">
        <x:v>45784</x:v>
      </x:c>
      <x:c r="B620" s="141" t="str">
        <x:v>Ag(T+D)</x:v>
      </x:c>
      <x:c r="C620" s="153" t="n">
        <x:v>8221</x:v>
      </x:c>
      <x:c r="D620" s="153" t="n">
        <x:v>8259</x:v>
      </x:c>
      <x:c r="E620" s="153" t="n">
        <x:v>8166</x:v>
      </x:c>
      <x:c r="F620" s="153" t="n">
        <x:v>8229</x:v>
      </x:c>
      <x:c r="G620" s="153" t="n">
        <x:v>5</x:v>
      </x:c>
      <x:c r="H620" s="154" t="n">
        <x:v>0.0006</x:v>
      </x:c>
      <x:c r="I620" s="158" t="n">
        <x:v>8222</x:v>
      </x:c>
      <x:c r="J620" s="158" t="n">
        <x:v>442110</x:v>
      </x:c>
      <x:c r="K620" s="158" t="n">
        <x:v>3635078870</x:v>
      </x:c>
      <x:c r="L620" s="158" t="n">
        <x:v>3494546</x:v>
      </x:c>
      <x:c r="M620" s="141" t="str">
        <x:v>https://www.sge.com.cn/sjzx/quotation_daily_new?start_date=2025-05-01&amp;end_date=2025-05-31&amp;inst_ids=Ag%28T%2BD%29&amp;p=</x:v>
      </x:c>
    </x:row>
    <x:row r="621">
      <x:c r="A621" s="155" t="n">
        <x:v>45784</x:v>
      </x:c>
      <x:c r="B621" s="141" t="str">
        <x:v>Au99.99</x:v>
      </x:c>
      <x:c r="C621" s="153" t="n">
        <x:v>792.9</x:v>
      </x:c>
      <x:c r="D621" s="153" t="n">
        <x:v>801</x:v>
      </x:c>
      <x:c r="E621" s="153" t="n">
        <x:v>791.8</x:v>
      </x:c>
      <x:c r="F621" s="153" t="n">
        <x:v>798.51</x:v>
      </x:c>
      <x:c r="G621" s="153" t="n">
        <x:v>6.31</x:v>
      </x:c>
      <x:c r="H621" s="154" t="n">
        <x:v>0.008</x:v>
      </x:c>
      <x:c r="I621" s="158" t="n">
        <x:v>797.44</x:v>
      </x:c>
      <x:c r="J621" s="158" t="n">
        <x:v>12151.2</x:v>
      </x:c>
      <x:c r="K621" s="158" t="n">
        <x:v>9689878552</x:v>
      </x:c>
      <x:c r="L621" s="158"/>
      <x:c r="M621" s="141" t="str">
        <x:v>https://www.sge.com.cn/sjzx/quotation_daily_new?start_date=2025-05-01&amp;end_date=2025-05-31&amp;inst_ids=Au99.99&amp;p=</x:v>
      </x:c>
    </x:row>
    <x:row r="622">
      <x:c r="A622" s="155" t="n">
        <x:v>45785</x:v>
      </x:c>
      <x:c r="B622" s="141" t="str">
        <x:v>Ag(T+D)</x:v>
      </x:c>
      <x:c r="C622" s="153" t="n">
        <x:v>8215</x:v>
      </x:c>
      <x:c r="D622" s="153" t="n">
        <x:v>8225</x:v>
      </x:c>
      <x:c r="E622" s="153" t="n">
        <x:v>8069</x:v>
      </x:c>
      <x:c r="F622" s="153" t="n">
        <x:v>8100</x:v>
      </x:c>
      <x:c r="G622" s="153" t="n">
        <x:v>-122</x:v>
      </x:c>
      <x:c r="H622" s="154" t="n">
        <x:v>-0.0148</x:v>
      </x:c>
      <x:c r="I622" s="158" t="n">
        <x:v>8155</x:v>
      </x:c>
      <x:c r="J622" s="158" t="n">
        <x:v>663978</x:v>
      </x:c>
      <x:c r="K622" s="158" t="n">
        <x:v>5414810980</x:v>
      </x:c>
      <x:c r="L622" s="158" t="n">
        <x:v>3362624</x:v>
      </x:c>
      <x:c r="M622" s="141" t="str">
        <x:v>https://www.sge.com.cn/sjzx/quotation_daily_new?start_date=2025-05-01&amp;end_date=2025-05-31&amp;inst_ids=Ag%28T%2BD%29&amp;p=</x:v>
      </x:c>
    </x:row>
    <x:row r="623">
      <x:c r="A623" s="155" t="n">
        <x:v>45785</x:v>
      </x:c>
      <x:c r="B623" s="141" t="str">
        <x:v>Au99.99</x:v>
      </x:c>
      <x:c r="C623" s="153" t="n">
        <x:v>789</x:v>
      </x:c>
      <x:c r="D623" s="153" t="n">
        <x:v>807.9</x:v>
      </x:c>
      <x:c r="E623" s="153" t="n">
        <x:v>785</x:v>
      </x:c>
      <x:c r="F623" s="153" t="n">
        <x:v>786.5</x:v>
      </x:c>
      <x:c r="G623" s="153" t="n">
        <x:v>-12.01</x:v>
      </x:c>
      <x:c r="H623" s="154" t="n">
        <x:v>-0.015</x:v>
      </x:c>
      <x:c r="I623" s="158" t="n">
        <x:v>794.3</x:v>
      </x:c>
      <x:c r="J623" s="158" t="n">
        <x:v>15787.08</x:v>
      </x:c>
      <x:c r="K623" s="158" t="n">
        <x:v>12539687708.2</x:v>
      </x:c>
      <x:c r="L623" s="158"/>
      <x:c r="M623" s="141" t="str">
        <x:v>https://www.sge.com.cn/sjzx/quotation_daily_new?start_date=2025-05-01&amp;end_date=2025-05-31&amp;inst_ids=Au99.99&amp;p=</x:v>
      </x:c>
    </x:row>
    <x:row r="624">
      <x:c r="A624" s="155" t="n">
        <x:v>45786</x:v>
      </x:c>
      <x:c r="B624" s="141" t="str">
        <x:v>Ag(T+D)</x:v>
      </x:c>
      <x:c r="C624" s="153" t="n">
        <x:v>8109</x:v>
      </x:c>
      <x:c r="D624" s="153" t="n">
        <x:v>8170</x:v>
      </x:c>
      <x:c r="E624" s="153" t="n">
        <x:v>8098</x:v>
      </x:c>
      <x:c r="F624" s="153" t="n">
        <x:v>8150</x:v>
      </x:c>
      <x:c r="G624" s="153" t="n">
        <x:v>-5</x:v>
      </x:c>
      <x:c r="H624" s="154" t="n">
        <x:v>-0.0006</x:v>
      </x:c>
      <x:c r="I624" s="158" t="n">
        <x:v>8137</x:v>
      </x:c>
      <x:c r="J624" s="158" t="n">
        <x:v>464634</x:v>
      </x:c>
      <x:c r="K624" s="158" t="n">
        <x:v>3781115518</x:v>
      </x:c>
      <x:c r="L624" s="158" t="n">
        <x:v>3342648</x:v>
      </x:c>
      <x:c r="M624" s="141" t="str">
        <x:v>https://www.sge.com.cn/sjzx/quotation_daily_new?start_date=2025-05-01&amp;end_date=2025-05-31&amp;inst_ids=Ag%28T%2BD%29&amp;p=</x:v>
      </x:c>
    </x:row>
    <x:row r="625">
      <x:c r="A625" s="155" t="n">
        <x:v>45786</x:v>
      </x:c>
      <x:c r="B625" s="141" t="str">
        <x:v>Au99.99</x:v>
      </x:c>
      <x:c r="C625" s="153" t="n">
        <x:v>792</x:v>
      </x:c>
      <x:c r="D625" s="153" t="n">
        <x:v>799</x:v>
      </x:c>
      <x:c r="E625" s="153" t="n">
        <x:v>774.05</x:v>
      </x:c>
      <x:c r="F625" s="153" t="n">
        <x:v>785.5</x:v>
      </x:c>
      <x:c r="G625" s="153" t="n">
        <x:v>-1</x:v>
      </x:c>
      <x:c r="H625" s="154" t="n">
        <x:v>-0.0013</x:v>
      </x:c>
      <x:c r="I625" s="158" t="n">
        <x:v>781.66</x:v>
      </x:c>
      <x:c r="J625" s="158" t="n">
        <x:v>12024.8</x:v>
      </x:c>
      <x:c r="K625" s="158" t="n">
        <x:v>9399392753.4</x:v>
      </x:c>
      <x:c r="L625" s="158"/>
      <x:c r="M625" s="141" t="str">
        <x:v>https://www.sge.com.cn/sjzx/quotation_daily_new?start_date=2025-05-01&amp;end_date=2025-05-31&amp;inst_ids=Au99.99&amp;p=</x:v>
      </x:c>
    </x:row>
    <x:row r="626">
      <x:c r="A626" s="155" t="n">
        <x:v>45789</x:v>
      </x:c>
      <x:c r="B626" s="141" t="str">
        <x:v>Ag(T+D)</x:v>
      </x:c>
      <x:c r="C626" s="153" t="n">
        <x:v>8155</x:v>
      </x:c>
      <x:c r="D626" s="153" t="n">
        <x:v>8218</x:v>
      </x:c>
      <x:c r="E626" s="153" t="n">
        <x:v>8112</x:v>
      </x:c>
      <x:c r="F626" s="153" t="n">
        <x:v>8124</x:v>
      </x:c>
      <x:c r="G626" s="153" t="n">
        <x:v>-13</x:v>
      </x:c>
      <x:c r="H626" s="154" t="n">
        <x:v>-0.0016</x:v>
      </x:c>
      <x:c r="I626" s="158" t="n">
        <x:v>8169</x:v>
      </x:c>
      <x:c r="J626" s="158" t="n">
        <x:v>477976</x:v>
      </x:c>
      <x:c r="K626" s="158" t="n">
        <x:v>3904750620</x:v>
      </x:c>
      <x:c r="L626" s="158" t="n">
        <x:v>3383242</x:v>
      </x:c>
      <x:c r="M626" s="141" t="str">
        <x:v>https://www.sge.com.cn/sjzx/quotation_daily_new?start_date=2025-05-01&amp;end_date=2025-05-31&amp;inst_ids=Ag%28T%2BD%29&amp;p=</x:v>
      </x:c>
    </x:row>
    <x:row r="627">
      <x:c r="A627" s="155" t="n">
        <x:v>45789</x:v>
      </x:c>
      <x:c r="B627" s="141" t="str">
        <x:v>Au99.99</x:v>
      </x:c>
      <x:c r="C627" s="153" t="n">
        <x:v>787</x:v>
      </x:c>
      <x:c r="D627" s="153" t="n">
        <x:v>788</x:v>
      </x:c>
      <x:c r="E627" s="153" t="n">
        <x:v>755</x:v>
      </x:c>
      <x:c r="F627" s="153" t="n">
        <x:v>759</x:v>
      </x:c>
      <x:c r="G627" s="153" t="n">
        <x:v>-26.5</x:v>
      </x:c>
      <x:c r="H627" s="154" t="n">
        <x:v>-0.0337</x:v>
      </x:c>
      <x:c r="I627" s="158" t="n">
        <x:v>768.3</x:v>
      </x:c>
      <x:c r="J627" s="158" t="n">
        <x:v>11552.36</x:v>
      </x:c>
      <x:c r="K627" s="158" t="n">
        <x:v>8875768682.8</x:v>
      </x:c>
      <x:c r="L627" s="158"/>
      <x:c r="M627" s="141" t="str">
        <x:v>https://www.sge.com.cn/sjzx/quotation_daily_new?start_date=2025-05-01&amp;end_date=2025-05-31&amp;inst_ids=Au99.99&amp;p=</x:v>
      </x:c>
    </x:row>
    <x:row r="628">
      <x:c r="A628" s="155" t="n">
        <x:v>45790</x:v>
      </x:c>
      <x:c r="B628" s="141" t="str">
        <x:v>Ag(T+D)</x:v>
      </x:c>
      <x:c r="C628" s="153" t="n">
        <x:v>8107</x:v>
      </x:c>
      <x:c r="D628" s="153" t="n">
        <x:v>8222</x:v>
      </x:c>
      <x:c r="E628" s="153" t="n">
        <x:v>8064</x:v>
      </x:c>
      <x:c r="F628" s="153" t="n">
        <x:v>8214</x:v>
      </x:c>
      <x:c r="G628" s="153" t="n">
        <x:v>45</x:v>
      </x:c>
      <x:c r="H628" s="154" t="n">
        <x:v>0.0055000000000000005</x:v>
      </x:c>
      <x:c r="I628" s="158" t="n">
        <x:v>8151</x:v>
      </x:c>
      <x:c r="J628" s="158" t="n">
        <x:v>522642</x:v>
      </x:c>
      <x:c r="K628" s="158" t="n">
        <x:v>4260151850</x:v>
      </x:c>
      <x:c r="L628" s="158" t="n">
        <x:v>3392760</x:v>
      </x:c>
      <x:c r="M628" s="141" t="str">
        <x:v>https://www.sge.com.cn/sjzx/quotation_daily_new?start_date=2025-05-01&amp;end_date=2025-05-31&amp;inst_ids=Ag%28T%2BD%29&amp;p=</x:v>
      </x:c>
    </x:row>
    <x:row r="629">
      <x:c r="A629" s="155" t="n">
        <x:v>45790</x:v>
      </x:c>
      <x:c r="B629" s="141" t="str">
        <x:v>Au99.99</x:v>
      </x:c>
      <x:c r="C629" s="153" t="n">
        <x:v>743</x:v>
      </x:c>
      <x:c r="D629" s="153" t="n">
        <x:v>765.8</x:v>
      </x:c>
      <x:c r="E629" s="153" t="n">
        <x:v>742</x:v>
      </x:c>
      <x:c r="F629" s="153" t="n">
        <x:v>763.9</x:v>
      </x:c>
      <x:c r="G629" s="153" t="n">
        <x:v>4.9</x:v>
      </x:c>
      <x:c r="H629" s="154" t="n">
        <x:v>0.006500000000000001</x:v>
      </x:c>
      <x:c r="I629" s="158" t="n">
        <x:v>759.71</x:v>
      </x:c>
      <x:c r="J629" s="158" t="n">
        <x:v>9024.62</x:v>
      </x:c>
      <x:c r="K629" s="158" t="n">
        <x:v>6856111553.8</x:v>
      </x:c>
      <x:c r="L629" s="158"/>
      <x:c r="M629" s="141" t="str">
        <x:v>https://www.sge.com.cn/sjzx/quotation_daily_new?start_date=2025-05-01&amp;end_date=2025-05-31&amp;inst_ids=Au99.99&amp;p=</x:v>
      </x:c>
    </x:row>
    <x:row r="630">
      <x:c r="A630" s="155" t="n">
        <x:v>45791</x:v>
      </x:c>
      <x:c r="B630" s="141" t="str">
        <x:v>Ag(T+D)</x:v>
      </x:c>
      <x:c r="C630" s="153" t="n">
        <x:v>8166</x:v>
      </x:c>
      <x:c r="D630" s="153" t="n">
        <x:v>8205</x:v>
      </x:c>
      <x:c r="E630" s="153" t="n">
        <x:v>8121</x:v>
      </x:c>
      <x:c r="F630" s="153" t="n">
        <x:v>8172</x:v>
      </x:c>
      <x:c r="G630" s="153" t="n">
        <x:v>21</x:v>
      </x:c>
      <x:c r="H630" s="154" t="n">
        <x:v>0.0026</x:v>
      </x:c>
      <x:c r="I630" s="158" t="n">
        <x:v>8157</x:v>
      </x:c>
      <x:c r="J630" s="158" t="n">
        <x:v>398728</x:v>
      </x:c>
      <x:c r="K630" s="158" t="n">
        <x:v>3252648310</x:v>
      </x:c>
      <x:c r="L630" s="158" t="n">
        <x:v>3391270</x:v>
      </x:c>
      <x:c r="M630" s="141" t="str">
        <x:v>https://www.sge.com.cn/sjzx/quotation_daily_new?start_date=2025-05-01&amp;end_date=2025-05-31&amp;inst_ids=Ag%28T%2BD%29&amp;p=</x:v>
      </x:c>
    </x:row>
    <x:row r="631">
      <x:c r="A631" s="155" t="n">
        <x:v>45791</x:v>
      </x:c>
      <x:c r="B631" s="141" t="str">
        <x:v>Au99.99</x:v>
      </x:c>
      <x:c r="C631" s="153" t="n">
        <x:v>760</x:v>
      </x:c>
      <x:c r="D631" s="153" t="n">
        <x:v>764</x:v>
      </x:c>
      <x:c r="E631" s="153" t="n">
        <x:v>757.05</x:v>
      </x:c>
      <x:c r="F631" s="153" t="n">
        <x:v>758.38</x:v>
      </x:c>
      <x:c r="G631" s="153" t="n">
        <x:v>-5.52</x:v>
      </x:c>
      <x:c r="H631" s="154" t="n">
        <x:v>-0.0072</x:v>
      </x:c>
      <x:c r="I631" s="158" t="n">
        <x:v>759.49</x:v>
      </x:c>
      <x:c r="J631" s="158" t="n">
        <x:v>8915.2</x:v>
      </x:c>
      <x:c r="K631" s="158" t="n">
        <x:v>6771072653.8</x:v>
      </x:c>
      <x:c r="L631" s="158"/>
      <x:c r="M631" s="141" t="str">
        <x:v>https://www.sge.com.cn/sjzx/quotation_daily_new?start_date=2025-05-01&amp;end_date=2025-05-31&amp;inst_ids=Au99.99&amp;p=</x:v>
      </x:c>
    </x:row>
    <x:row r="632">
      <x:c r="A632" s="155" t="n">
        <x:v>45792</x:v>
      </x:c>
      <x:c r="B632" s="141" t="str">
        <x:v>Ag(T+D)</x:v>
      </x:c>
      <x:c r="C632" s="153" t="n">
        <x:v>8184</x:v>
      </x:c>
      <x:c r="D632" s="153" t="n">
        <x:v>8190</x:v>
      </x:c>
      <x:c r="E632" s="153" t="n">
        <x:v>7923</x:v>
      </x:c>
      <x:c r="F632" s="153" t="n">
        <x:v>7967</x:v>
      </x:c>
      <x:c r="G632" s="153" t="n">
        <x:v>-190</x:v>
      </x:c>
      <x:c r="H632" s="154" t="n">
        <x:v>-0.0233</x:v>
      </x:c>
      <x:c r="I632" s="158" t="n">
        <x:v>8020</x:v>
      </x:c>
      <x:c r="J632" s="158" t="n">
        <x:v>974352</x:v>
      </x:c>
      <x:c r="K632" s="158" t="n">
        <x:v>7815186122</x:v>
      </x:c>
      <x:c r="L632" s="158" t="n">
        <x:v>3485954</x:v>
      </x:c>
      <x:c r="M632" s="141" t="str">
        <x:v>https://www.sge.com.cn/sjzx/quotation_daily_new?start_date=2025-05-01&amp;end_date=2025-05-31&amp;inst_ids=Ag%28T%2BD%29&amp;p=</x:v>
      </x:c>
    </x:row>
    <x:row r="633">
      <x:c r="A633" s="155" t="n">
        <x:v>45792</x:v>
      </x:c>
      <x:c r="B633" s="141" t="str">
        <x:v>Au99.99</x:v>
      </x:c>
      <x:c r="C633" s="153" t="n">
        <x:v>753.8</x:v>
      </x:c>
      <x:c r="D633" s="153" t="n">
        <x:v>755</x:v>
      </x:c>
      <x:c r="E633" s="153" t="n">
        <x:v>729</x:v>
      </x:c>
      <x:c r="F633" s="153" t="n">
        <x:v>735.86</x:v>
      </x:c>
      <x:c r="G633" s="153" t="n">
        <x:v>-22.52</x:v>
      </x:c>
      <x:c r="H633" s="154" t="n">
        <x:v>-0.0297</x:v>
      </x:c>
      <x:c r="I633" s="158" t="n">
        <x:v>736.17</x:v>
      </x:c>
      <x:c r="J633" s="158" t="n">
        <x:v>10512.94</x:v>
      </x:c>
      <x:c r="K633" s="158" t="n">
        <x:v>7739314769</x:v>
      </x:c>
      <x:c r="L633" s="158"/>
      <x:c r="M633" s="141" t="str">
        <x:v>https://www.sge.com.cn/sjzx/quotation_daily_new?start_date=2025-05-01&amp;end_date=2025-05-31&amp;inst_ids=Au99.99&amp;p=</x:v>
      </x:c>
    </x:row>
    <x:row r="634">
      <x:c r="A634" s="155" t="n">
        <x:v>45793</x:v>
      </x:c>
      <x:c r="B634" s="141" t="str">
        <x:v>Ag(T+D)</x:v>
      </x:c>
      <x:c r="C634" s="153" t="n">
        <x:v>8020</x:v>
      </x:c>
      <x:c r="D634" s="153" t="n">
        <x:v>8126</x:v>
      </x:c>
      <x:c r="E634" s="153" t="n">
        <x:v>8008</x:v>
      </x:c>
      <x:c r="F634" s="153" t="n">
        <x:v>8062</x:v>
      </x:c>
      <x:c r="G634" s="153" t="n">
        <x:v>42</x:v>
      </x:c>
      <x:c r="H634" s="154" t="n">
        <x:v>0.0052</x:v>
      </x:c>
      <x:c r="I634" s="158" t="n">
        <x:v>8073</x:v>
      </x:c>
      <x:c r="J634" s="158" t="n">
        <x:v>330838</x:v>
      </x:c>
      <x:c r="K634" s="158" t="n">
        <x:v>2671063446</x:v>
      </x:c>
      <x:c r="L634" s="158" t="n">
        <x:v>3424700</x:v>
      </x:c>
      <x:c r="M634" s="141" t="str">
        <x:v>https://www.sge.com.cn/sjzx/quotation_daily_new?start_date=2025-05-01&amp;end_date=2025-05-31&amp;inst_ids=Ag%28T%2BD%29&amp;p=</x:v>
      </x:c>
    </x:row>
    <x:row r="635">
      <x:c r="A635" s="155" t="n">
        <x:v>45793</x:v>
      </x:c>
      <x:c r="B635" s="141" t="str">
        <x:v>Au99.99</x:v>
      </x:c>
      <x:c r="C635" s="153" t="n">
        <x:v>743.5</x:v>
      </x:c>
      <x:c r="D635" s="153" t="n">
        <x:v>755</x:v>
      </x:c>
      <x:c r="E635" s="153" t="n">
        <x:v>739</x:v>
      </x:c>
      <x:c r="F635" s="153" t="n">
        <x:v>746.4</x:v>
      </x:c>
      <x:c r="G635" s="153" t="n">
        <x:v>10.54</x:v>
      </x:c>
      <x:c r="H635" s="154" t="n">
        <x:v>0.0143</x:v>
      </x:c>
      <x:c r="I635" s="158" t="n">
        <x:v>748.78</x:v>
      </x:c>
      <x:c r="J635" s="158" t="n">
        <x:v>12330.58</x:v>
      </x:c>
      <x:c r="K635" s="158" t="n">
        <x:v>9232900774.4</x:v>
      </x:c>
      <x:c r="L635" s="158"/>
      <x:c r="M635" s="141" t="str">
        <x:v>https://www.sge.com.cn/sjzx/quotation_daily_new?start_date=2025-05-01&amp;end_date=2025-05-31&amp;inst_ids=Au99.99&amp;p=</x:v>
      </x:c>
    </x:row>
    <x:row r="636">
      <x:c r="A636" s="155" t="n">
        <x:v>45796</x:v>
      </x:c>
      <x:c r="B636" s="141" t="str">
        <x:v>Ag(T+D)</x:v>
      </x:c>
      <x:c r="C636" s="153" t="n">
        <x:v>8008</x:v>
      </x:c>
      <x:c r="D636" s="153" t="n">
        <x:v>8121</x:v>
      </x:c>
      <x:c r="E636" s="153" t="n">
        <x:v>7985</x:v>
      </x:c>
      <x:c r="F636" s="153" t="n">
        <x:v>8113</x:v>
      </x:c>
      <x:c r="G636" s="153" t="n">
        <x:v>40</x:v>
      </x:c>
      <x:c r="H636" s="154" t="n">
        <x:v>0.005</x:v>
      </x:c>
      <x:c r="I636" s="158" t="n">
        <x:v>8077</x:v>
      </x:c>
      <x:c r="J636" s="158" t="n">
        <x:v>450380</x:v>
      </x:c>
      <x:c r="K636" s="158" t="n">
        <x:v>3637857188</x:v>
      </x:c>
      <x:c r="L636" s="158" t="n">
        <x:v>3453580</x:v>
      </x:c>
      <x:c r="M636" s="141" t="str">
        <x:v>https://www.sge.com.cn/sjzx/quotation_daily_new?start_date=2025-05-01&amp;end_date=2025-05-31&amp;inst_ids=Ag%28T%2BD%29&amp;p=</x:v>
      </x:c>
    </x:row>
    <x:row r="637">
      <x:c r="A637" s="155" t="n">
        <x:v>45796</x:v>
      </x:c>
      <x:c r="B637" s="141" t="str">
        <x:v>Au99.99</x:v>
      </x:c>
      <x:c r="C637" s="153" t="n">
        <x:v>735</x:v>
      </x:c>
      <x:c r="D637" s="153" t="n">
        <x:v>756.79</x:v>
      </x:c>
      <x:c r="E637" s="153" t="n">
        <x:v>735</x:v>
      </x:c>
      <x:c r="F637" s="153" t="n">
        <x:v>754.5</x:v>
      </x:c>
      <x:c r="G637" s="153" t="n">
        <x:v>8.1</x:v>
      </x:c>
      <x:c r="H637" s="154" t="n">
        <x:v>0.0109</x:v>
      </x:c>
      <x:c r="I637" s="158" t="n">
        <x:v>752.55</x:v>
      </x:c>
      <x:c r="J637" s="158" t="n">
        <x:v>8373.96</x:v>
      </x:c>
      <x:c r="K637" s="158" t="n">
        <x:v>6301860575.2</x:v>
      </x:c>
      <x:c r="L637" s="158"/>
      <x:c r="M637" s="141" t="str">
        <x:v>https://www.sge.com.cn/sjzx/quotation_daily_new?start_date=2025-05-01&amp;end_date=2025-05-31&amp;inst_ids=Au99.99&amp;p=</x:v>
      </x:c>
    </x:row>
    <x:row r="638">
      <x:c r="A638" s="155" t="n">
        <x:v>45797</x:v>
      </x:c>
      <x:c r="B638" s="141" t="str">
        <x:v>Ag(T+D)</x:v>
      </x:c>
      <x:c r="C638" s="153" t="n">
        <x:v>8122</x:v>
      </x:c>
      <x:c r="D638" s="153" t="n">
        <x:v>8130</x:v>
      </x:c>
      <x:c r="E638" s="153" t="n">
        <x:v>8050</x:v>
      </x:c>
      <x:c r="F638" s="153" t="n">
        <x:v>8057</x:v>
      </x:c>
      <x:c r="G638" s="153" t="n">
        <x:v>-20</x:v>
      </x:c>
      <x:c r="H638" s="154" t="n">
        <x:v>-0.0025</x:v>
      </x:c>
      <x:c r="I638" s="158" t="n">
        <x:v>8072</x:v>
      </x:c>
      <x:c r="J638" s="158" t="n">
        <x:v>359242</x:v>
      </x:c>
      <x:c r="K638" s="158" t="n">
        <x:v>2899960782</x:v>
      </x:c>
      <x:c r="L638" s="158" t="n">
        <x:v>3390360</x:v>
      </x:c>
      <x:c r="M638" s="141" t="str">
        <x:v>https://www.sge.com.cn/sjzx/quotation_daily_new?start_date=2025-05-01&amp;end_date=2025-05-31&amp;inst_ids=Ag%28T%2BD%29&amp;p=</x:v>
      </x:c>
    </x:row>
    <x:row r="639">
      <x:c r="A639" s="155" t="n">
        <x:v>45797</x:v>
      </x:c>
      <x:c r="B639" s="141" t="str">
        <x:v>Au99.99</x:v>
      </x:c>
      <x:c r="C639" s="153" t="n">
        <x:v>747</x:v>
      </x:c>
      <x:c r="D639" s="153" t="n">
        <x:v>756</x:v>
      </x:c>
      <x:c r="E639" s="153" t="n">
        <x:v>747</x:v>
      </x:c>
      <x:c r="F639" s="153" t="n">
        <x:v>753.49</x:v>
      </x:c>
      <x:c r="G639" s="153" t="n">
        <x:v>-1.01</x:v>
      </x:c>
      <x:c r="H639" s="154" t="n">
        <x:v>-0.0013</x:v>
      </x:c>
      <x:c r="I639" s="158" t="n">
        <x:v>752.19</x:v>
      </x:c>
      <x:c r="J639" s="158" t="n">
        <x:v>10329.54</x:v>
      </x:c>
      <x:c r="K639" s="158" t="n">
        <x:v>7769819605.8</x:v>
      </x:c>
      <x:c r="L639" s="158"/>
      <x:c r="M639" s="141" t="str">
        <x:v>https://www.sge.com.cn/sjzx/quotation_daily_new?start_date=2025-05-01&amp;end_date=2025-05-31&amp;inst_ids=Au99.99&amp;p=</x:v>
      </x:c>
    </x:row>
    <x:row r="640">
      <x:c r="A640" s="155" t="n">
        <x:v>45798</x:v>
      </x:c>
      <x:c r="B640" s="141" t="str">
        <x:v>Ag(T+D)</x:v>
      </x:c>
      <x:c r="C640" s="153" t="n">
        <x:v>8117</x:v>
      </x:c>
      <x:c r="D640" s="153" t="n">
        <x:v>8244</x:v>
      </x:c>
      <x:c r="E640" s="153" t="n">
        <x:v>8102</x:v>
      </x:c>
      <x:c r="F640" s="153" t="n">
        <x:v>8237</x:v>
      </x:c>
      <x:c r="G640" s="153" t="n">
        <x:v>165</x:v>
      </x:c>
      <x:c r="H640" s="154" t="n">
        <x:v>0.0204</x:v>
      </x:c>
      <x:c r="I640" s="158" t="n">
        <x:v>8199</x:v>
      </x:c>
      <x:c r="J640" s="158" t="n">
        <x:v>547816</x:v>
      </x:c>
      <x:c r="K640" s="158" t="n">
        <x:v>4491582962</x:v>
      </x:c>
      <x:c r="L640" s="158" t="n">
        <x:v>3441648</x:v>
      </x:c>
      <x:c r="M640" s="141" t="str">
        <x:v>https://www.sge.com.cn/sjzx/quotation_daily_new?start_date=2025-05-01&amp;end_date=2025-05-31&amp;inst_ids=Ag%28T%2BD%29&amp;p=</x:v>
      </x:c>
    </x:row>
    <x:row r="641">
      <x:c r="A641" s="155" t="n">
        <x:v>45798</x:v>
      </x:c>
      <x:c r="B641" s="141" t="str">
        <x:v>Au99.99</x:v>
      </x:c>
      <x:c r="C641" s="153" t="n">
        <x:v>757</x:v>
      </x:c>
      <x:c r="D641" s="153" t="n">
        <x:v>775.79</x:v>
      </x:c>
      <x:c r="E641" s="153" t="n">
        <x:v>757</x:v>
      </x:c>
      <x:c r="F641" s="153" t="n">
        <x:v>773.82</x:v>
      </x:c>
      <x:c r="G641" s="153" t="n">
        <x:v>20.33</x:v>
      </x:c>
      <x:c r="H641" s="154" t="n">
        <x:v>0.027000000000000003</x:v>
      </x:c>
      <x:c r="I641" s="158" t="n">
        <x:v>772.89</x:v>
      </x:c>
      <x:c r="J641" s="158" t="n">
        <x:v>8872.48</x:v>
      </x:c>
      <x:c r="K641" s="158" t="n">
        <x:v>6857486828.2</x:v>
      </x:c>
      <x:c r="L641" s="158"/>
      <x:c r="M641" s="141" t="str">
        <x:v>https://www.sge.com.cn/sjzx/quotation_daily_new?start_date=2025-05-01&amp;end_date=2025-05-31&amp;inst_ids=Au99.99&amp;p=</x:v>
      </x:c>
    </x:row>
    <x:row r="642">
      <x:c r="A642" s="155" t="n">
        <x:v>45799</x:v>
      </x:c>
      <x:c r="B642" s="141" t="str">
        <x:v>Ag(T+D)</x:v>
      </x:c>
      <x:c r="C642" s="153" t="n">
        <x:v>8223</x:v>
      </x:c>
      <x:c r="D642" s="153" t="n">
        <x:v>8311</x:v>
      </x:c>
      <x:c r="E642" s="153" t="n">
        <x:v>8210</x:v>
      </x:c>
      <x:c r="F642" s="153" t="n">
        <x:v>8268</x:v>
      </x:c>
      <x:c r="G642" s="153" t="n">
        <x:v>69</x:v>
      </x:c>
      <x:c r="H642" s="154" t="n">
        <x:v>0.0084</x:v>
      </x:c>
      <x:c r="I642" s="158" t="n">
        <x:v>8276</x:v>
      </x:c>
      <x:c r="J642" s="158" t="n">
        <x:v>330696</x:v>
      </x:c>
      <x:c r="K642" s="158" t="n">
        <x:v>2736978382</x:v>
      </x:c>
      <x:c r="L642" s="158" t="n">
        <x:v>3440368</x:v>
      </x:c>
      <x:c r="M642" s="141" t="str">
        <x:v>https://www.sge.com.cn/sjzx/quotation_daily_new?start_date=2025-05-01&amp;end_date=2025-05-31&amp;inst_ids=Ag%28T%2BD%29&amp;p=</x:v>
      </x:c>
    </x:row>
    <x:row r="643">
      <x:c r="A643" s="155" t="n">
        <x:v>45799</x:v>
      </x:c>
      <x:c r="B643" s="141" t="str">
        <x:v>Au99.99</x:v>
      </x:c>
      <x:c r="C643" s="153" t="n">
        <x:v>768.5</x:v>
      </x:c>
      <x:c r="D643" s="153" t="n">
        <x:v>782.3</x:v>
      </x:c>
      <x:c r="E643" s="153" t="n">
        <x:v>768.5</x:v>
      </x:c>
      <x:c r="F643" s="153" t="n">
        <x:v>778.36</x:v>
      </x:c>
      <x:c r="G643" s="153" t="n">
        <x:v>4.54</x:v>
      </x:c>
      <x:c r="H643" s="154" t="n">
        <x:v>0.0059</x:v>
      </x:c>
      <x:c r="I643" s="158" t="n">
        <x:v>778.99</x:v>
      </x:c>
      <x:c r="J643" s="158" t="n">
        <x:v>8502.62</x:v>
      </x:c>
      <x:c r="K643" s="158" t="n">
        <x:v>6623492689.2</x:v>
      </x:c>
      <x:c r="L643" s="158"/>
      <x:c r="M643" s="141" t="str">
        <x:v>https://www.sge.com.cn/sjzx/quotation_daily_new?start_date=2025-05-01&amp;end_date=2025-05-31&amp;inst_ids=Au99.99&amp;p=</x:v>
      </x:c>
    </x:row>
    <x:row r="644">
      <x:c r="A644" s="155" t="n">
        <x:v>45800</x:v>
      </x:c>
      <x:c r="B644" s="141" t="str">
        <x:v>Ag(T+D)</x:v>
      </x:c>
      <x:c r="C644" s="153" t="n">
        <x:v>8140</x:v>
      </x:c>
      <x:c r="D644" s="153" t="n">
        <x:v>8252</x:v>
      </x:c>
      <x:c r="E644" s="153" t="n">
        <x:v>8140</x:v>
      </x:c>
      <x:c r="F644" s="153" t="n">
        <x:v>8244</x:v>
      </x:c>
      <x:c r="G644" s="153" t="n">
        <x:v>-32</x:v>
      </x:c>
      <x:c r="H644" s="154" t="n">
        <x:v>-0.0039000000000000003</x:v>
      </x:c>
      <x:c r="I644" s="158" t="n">
        <x:v>8209</x:v>
      </x:c>
      <x:c r="J644" s="158" t="n">
        <x:v>372524</x:v>
      </x:c>
      <x:c r="K644" s="158" t="n">
        <x:v>3058373522</x:v>
      </x:c>
      <x:c r="L644" s="158" t="n">
        <x:v>3454112</x:v>
      </x:c>
      <x:c r="M644" s="141" t="str">
        <x:v>https://www.sge.com.cn/sjzx/quotation_daily_new?start_date=2025-05-01&amp;end_date=2025-05-31&amp;inst_ids=Ag%28T%2BD%29&amp;p=</x:v>
      </x:c>
    </x:row>
    <x:row r="645">
      <x:c r="A645" s="155" t="n">
        <x:v>45800</x:v>
      </x:c>
      <x:c r="B645" s="141" t="str">
        <x:v>Au99.99</x:v>
      </x:c>
      <x:c r="C645" s="153" t="n">
        <x:v>774.9</x:v>
      </x:c>
      <x:c r="D645" s="153" t="n">
        <x:v>778.5</x:v>
      </x:c>
      <x:c r="E645" s="153" t="n">
        <x:v>768</x:v>
      </x:c>
      <x:c r="F645" s="153" t="n">
        <x:v>776.4</x:v>
      </x:c>
      <x:c r="G645" s="153" t="n">
        <x:v>-1.96</x:v>
      </x:c>
      <x:c r="H645" s="154" t="n">
        <x:v>-0.0025</x:v>
      </x:c>
      <x:c r="I645" s="158" t="n">
        <x:v>773.07</x:v>
      </x:c>
      <x:c r="J645" s="158" t="n">
        <x:v>8357.1</x:v>
      </x:c>
      <x:c r="K645" s="158" t="n">
        <x:v>6460691577.8</x:v>
      </x:c>
      <x:c r="L645" s="158"/>
      <x:c r="M645" s="141" t="str">
        <x:v>https://www.sge.com.cn/sjzx/quotation_daily_new?start_date=2025-05-01&amp;end_date=2025-05-31&amp;inst_ids=Au99.99&amp;p=</x:v>
      </x:c>
    </x:row>
    <x:row r="646">
      <x:c r="A646" s="155" t="n">
        <x:v>45803</x:v>
      </x:c>
      <x:c r="B646" s="141" t="str">
        <x:v>Ag(T+D)</x:v>
      </x:c>
      <x:c r="C646" s="153" t="n">
        <x:v>8221</x:v>
      </x:c>
      <x:c r="D646" s="153" t="n">
        <x:v>8277</x:v>
      </x:c>
      <x:c r="E646" s="153" t="n">
        <x:v>8182</x:v>
      </x:c>
      <x:c r="F646" s="153" t="n">
        <x:v>8239</x:v>
      </x:c>
      <x:c r="G646" s="153" t="n">
        <x:v>30</x:v>
      </x:c>
      <x:c r="H646" s="154" t="n">
        <x:v>0.0037</x:v>
      </x:c>
      <x:c r="I646" s="158" t="n">
        <x:v>8244</x:v>
      </x:c>
      <x:c r="J646" s="158" t="n">
        <x:v>325264</x:v>
      </x:c>
      <x:c r="K646" s="158" t="n">
        <x:v>2681526478</x:v>
      </x:c>
      <x:c r="L646" s="158" t="n">
        <x:v>3448390</x:v>
      </x:c>
      <x:c r="M646" s="141" t="str">
        <x:v>https://www.sge.com.cn/sjzx/quotation_daily_new?start_date=2025-05-01&amp;end_date=2025-05-31&amp;inst_ids=Ag%28T%2BD%29&amp;p=</x:v>
      </x:c>
    </x:row>
    <x:row r="647">
      <x:c r="A647" s="155" t="n">
        <x:v>45803</x:v>
      </x:c>
      <x:c r="B647" s="141" t="str">
        <x:v>Au99.99</x:v>
      </x:c>
      <x:c r="C647" s="153" t="n">
        <x:v>779.5</x:v>
      </x:c>
      <x:c r="D647" s="153" t="n">
        <x:v>782</x:v>
      </x:c>
      <x:c r="E647" s="153" t="n">
        <x:v>773.51</x:v>
      </x:c>
      <x:c r="F647" s="153" t="n">
        <x:v>773.94</x:v>
      </x:c>
      <x:c r="G647" s="153" t="n">
        <x:v>-2.46</x:v>
      </x:c>
      <x:c r="H647" s="154" t="n">
        <x:v>-0.0032</x:v>
      </x:c>
      <x:c r="I647" s="158" t="n">
        <x:v>776.29</x:v>
      </x:c>
      <x:c r="J647" s="158" t="n">
        <x:v>6914.3</x:v>
      </x:c>
      <x:c r="K647" s="158" t="n">
        <x:v>5367532686.2</x:v>
      </x:c>
      <x:c r="L647" s="158"/>
      <x:c r="M647" s="141" t="str">
        <x:v>https://www.sge.com.cn/sjzx/quotation_daily_new?start_date=2025-05-01&amp;end_date=2025-05-31&amp;inst_ids=Au99.99&amp;p=</x:v>
      </x:c>
    </x:row>
    <x:row r="648">
      <x:c r="A648" s="155" t="n">
        <x:v>45804</x:v>
      </x:c>
      <x:c r="B648" s="141" t="str">
        <x:v>Ag(T+D)</x:v>
      </x:c>
      <x:c r="C648" s="153" t="n">
        <x:v>8238</x:v>
      </x:c>
      <x:c r="D648" s="153" t="n">
        <x:v>8281</x:v>
      </x:c>
      <x:c r="E648" s="153" t="n">
        <x:v>8175</x:v>
      </x:c>
      <x:c r="F648" s="153" t="n">
        <x:v>8189</x:v>
      </x:c>
      <x:c r="G648" s="153" t="n">
        <x:v>-55</x:v>
      </x:c>
      <x:c r="H648" s="154" t="n">
        <x:v>-0.0067</x:v>
      </x:c>
      <x:c r="I648" s="158" t="n">
        <x:v>8219</x:v>
      </x:c>
      <x:c r="J648" s="158" t="n">
        <x:v>428606</x:v>
      </x:c>
      <x:c r="K648" s="158" t="n">
        <x:v>3522957486</x:v>
      </x:c>
      <x:c r="L648" s="158" t="n">
        <x:v>3350256</x:v>
      </x:c>
      <x:c r="M648" s="141" t="str">
        <x:v>https://www.sge.com.cn/sjzx/quotation_daily_new?start_date=2025-05-01&amp;end_date=2025-05-31&amp;inst_ids=Ag%28T%2BD%29&amp;p=</x:v>
      </x:c>
    </x:row>
    <x:row r="649">
      <x:c r="A649" s="155" t="n">
        <x:v>45804</x:v>
      </x:c>
      <x:c r="B649" s="141" t="str">
        <x:v>Au99.99</x:v>
      </x:c>
      <x:c r="C649" s="153" t="n">
        <x:v>774.2</x:v>
      </x:c>
      <x:c r="D649" s="153" t="n">
        <x:v>777.29</x:v>
      </x:c>
      <x:c r="E649" s="153" t="n">
        <x:v>767.3</x:v>
      </x:c>
      <x:c r="F649" s="153" t="n">
        <x:v>768.75</x:v>
      </x:c>
      <x:c r="G649" s="153" t="n">
        <x:v>-5.19</x:v>
      </x:c>
      <x:c r="H649" s="154" t="n">
        <x:v>-0.0067</x:v>
      </x:c>
      <x:c r="I649" s="158" t="n">
        <x:v>773.36</x:v>
      </x:c>
      <x:c r="J649" s="158" t="n">
        <x:v>7447</x:v>
      </x:c>
      <x:c r="K649" s="158" t="n">
        <x:v>5759250821.8</x:v>
      </x:c>
      <x:c r="L649" s="158"/>
      <x:c r="M649" s="141" t="str">
        <x:v>https://www.sge.com.cn/sjzx/quotation_daily_new?start_date=2025-05-01&amp;end_date=2025-05-31&amp;inst_ids=Au99.99&amp;p=</x:v>
      </x:c>
    </x:row>
    <x:row r="650">
      <x:c r="A650" s="155" t="n">
        <x:v>45805</x:v>
      </x:c>
      <x:c r="B650" s="141" t="str">
        <x:v>Ag(T+D)</x:v>
      </x:c>
      <x:c r="C650" s="153" t="n">
        <x:v>8156</x:v>
      </x:c>
      <x:c r="D650" s="153" t="n">
        <x:v>8234</x:v>
      </x:c>
      <x:c r="E650" s="153" t="n">
        <x:v>8147</x:v>
      </x:c>
      <x:c r="F650" s="153" t="n">
        <x:v>8211</x:v>
      </x:c>
      <x:c r="G650" s="153" t="n">
        <x:v>-8</x:v>
      </x:c>
      <x:c r="H650" s="154" t="n">
        <x:v>-0.001</x:v>
      </x:c>
      <x:c r="I650" s="158" t="n">
        <x:v>8204</x:v>
      </x:c>
      <x:c r="J650" s="158" t="n">
        <x:v>368764</x:v>
      </x:c>
      <x:c r="K650" s="158" t="n">
        <x:v>3025618740</x:v>
      </x:c>
      <x:c r="L650" s="158" t="n">
        <x:v>3363726</x:v>
      </x:c>
      <x:c r="M650" s="141" t="str">
        <x:v>https://www.sge.com.cn/sjzx/quotation_daily_new?start_date=2025-05-01&amp;end_date=2025-05-31&amp;inst_ids=Ag%28T%2BD%29&amp;p=</x:v>
      </x:c>
    </x:row>
    <x:row r="651">
      <x:c r="A651" s="155" t="n">
        <x:v>45805</x:v>
      </x:c>
      <x:c r="B651" s="141" t="str">
        <x:v>Au99.99</x:v>
      </x:c>
      <x:c r="C651" s="153" t="n">
        <x:v>767</x:v>
      </x:c>
      <x:c r="D651" s="153" t="n">
        <x:v>770.9</x:v>
      </x:c>
      <x:c r="E651" s="153" t="n">
        <x:v>765.5</x:v>
      </x:c>
      <x:c r="F651" s="153" t="n">
        <x:v>769.67</x:v>
      </x:c>
      <x:c r="G651" s="153" t="n">
        <x:v>0.92</x:v>
      </x:c>
      <x:c r="H651" s="154" t="n">
        <x:v>0.0012</x:v>
      </x:c>
      <x:c r="I651" s="158" t="n">
        <x:v>768.74</x:v>
      </x:c>
      <x:c r="J651" s="158" t="n">
        <x:v>6772.1</x:v>
      </x:c>
      <x:c r="K651" s="158" t="n">
        <x:v>5206016188.2</x:v>
      </x:c>
      <x:c r="L651" s="158"/>
      <x:c r="M651" s="141" t="str">
        <x:v>https://www.sge.com.cn/sjzx/quotation_daily_new?start_date=2025-05-01&amp;end_date=2025-05-31&amp;inst_ids=Au99.99&amp;p=</x:v>
      </x:c>
    </x:row>
    <x:row r="652">
      <x:c r="A652" s="155" t="n">
        <x:v>45806</x:v>
      </x:c>
      <x:c r="B652" s="141" t="str">
        <x:v>Ag(T+D)</x:v>
      </x:c>
      <x:c r="C652" s="153" t="n">
        <x:v>8214</x:v>
      </x:c>
      <x:c r="D652" s="153" t="n">
        <x:v>8214</x:v>
      </x:c>
      <x:c r="E652" s="153" t="n">
        <x:v>8140</x:v>
      </x:c>
      <x:c r="F652" s="153" t="n">
        <x:v>8202</x:v>
      </x:c>
      <x:c r="G652" s="153" t="n">
        <x:v>-2</x:v>
      </x:c>
      <x:c r="H652" s="154" t="n">
        <x:v>-0.0002</x:v>
      </x:c>
      <x:c r="I652" s="158" t="n">
        <x:v>8185</x:v>
      </x:c>
      <x:c r="J652" s="158" t="n">
        <x:v>314636</x:v>
      </x:c>
      <x:c r="K652" s="158" t="n">
        <x:v>2575583490</x:v>
      </x:c>
      <x:c r="L652" s="158" t="n">
        <x:v>3389800</x:v>
      </x:c>
      <x:c r="M652" s="141" t="str">
        <x:v>https://www.sge.com.cn/sjzx/quotation_daily_new?start_date=2025-05-01&amp;end_date=2025-05-31&amp;inst_ids=Ag%28T%2BD%29&amp;p=</x:v>
      </x:c>
    </x:row>
    <x:row r="653">
      <x:c r="A653" s="155" t="n">
        <x:v>45806</x:v>
      </x:c>
      <x:c r="B653" s="141" t="str">
        <x:v>Au99.99</x:v>
      </x:c>
      <x:c r="C653" s="153" t="n">
        <x:v>769.7</x:v>
      </x:c>
      <x:c r="D653" s="153" t="n">
        <x:v>769.7</x:v>
      </x:c>
      <x:c r="E653" s="153" t="n">
        <x:v>756.64</x:v>
      </x:c>
      <x:c r="F653" s="153" t="n">
        <x:v>763.02</x:v>
      </x:c>
      <x:c r="G653" s="153" t="n">
        <x:v>-6.65</x:v>
      </x:c>
      <x:c r="H653" s="154" t="n">
        <x:v>-0.0086</x:v>
      </x:c>
      <x:c r="I653" s="158" t="n">
        <x:v>760.78</x:v>
      </x:c>
      <x:c r="J653" s="158" t="n">
        <x:v>6994.12</x:v>
      </x:c>
      <x:c r="K653" s="158" t="n">
        <x:v>5321003696.2</x:v>
      </x:c>
      <x:c r="L653" s="158"/>
      <x:c r="M653" s="141" t="str">
        <x:v>https://www.sge.com.cn/sjzx/quotation_daily_new?start_date=2025-05-01&amp;end_date=2025-05-31&amp;inst_ids=Au99.99&amp;p=</x:v>
      </x:c>
    </x:row>
    <x:row r="654">
      <x:c r="A654" s="155" t="n">
        <x:v>45807</x:v>
      </x:c>
      <x:c r="B654" s="141" t="str">
        <x:v>Ag(T+D)</x:v>
      </x:c>
      <x:c r="C654" s="153" t="n">
        <x:v>8228</x:v>
      </x:c>
      <x:c r="D654" s="153" t="n">
        <x:v>8230</x:v>
      </x:c>
      <x:c r="E654" s="153" t="n">
        <x:v>8150</x:v>
      </x:c>
      <x:c r="F654" s="153" t="n">
        <x:v>8192</x:v>
      </x:c>
      <x:c r="G654" s="153" t="n">
        <x:v>7</x:v>
      </x:c>
      <x:c r="H654" s="154" t="n">
        <x:v>0.0009</x:v>
      </x:c>
      <x:c r="I654" s="158" t="n">
        <x:v>8180</x:v>
      </x:c>
      <x:c r="J654" s="158" t="n">
        <x:v>379350</x:v>
      </x:c>
      <x:c r="K654" s="158" t="n">
        <x:v>3103086578</x:v>
      </x:c>
      <x:c r="L654" s="158" t="n">
        <x:v>3425600</x:v>
      </x:c>
      <x:c r="M654" s="141" t="str">
        <x:v>https://www.sge.com.cn/sjzx/quotation_daily_new?start_date=2025-05-01&amp;end_date=2025-05-31&amp;inst_ids=Ag%28T%2BD%29&amp;p=</x:v>
      </x:c>
    </x:row>
    <x:row r="655">
      <x:c r="A655" s="155" t="n">
        <x:v>45807</x:v>
      </x:c>
      <x:c r="B655" s="141" t="str">
        <x:v>Au99.99</x:v>
      </x:c>
      <x:c r="C655" s="153" t="n">
        <x:v>763.02</x:v>
      </x:c>
      <x:c r="D655" s="153" t="n">
        <x:v>771.9</x:v>
      </x:c>
      <x:c r="E655" s="153" t="n">
        <x:v>762</x:v>
      </x:c>
      <x:c r="F655" s="153" t="n">
        <x:v>768.79</x:v>
      </x:c>
      <x:c r="G655" s="153" t="n">
        <x:v>5.77</x:v>
      </x:c>
      <x:c r="H655" s="154" t="n">
        <x:v>0.0076</x:v>
      </x:c>
      <x:c r="I655" s="158" t="n">
        <x:v>767.6</x:v>
      </x:c>
      <x:c r="J655" s="158" t="n">
        <x:v>5589.74</x:v>
      </x:c>
      <x:c r="K655" s="158" t="n">
        <x:v>4290728079.2</x:v>
      </x:c>
      <x:c r="L655" s="158"/>
      <x:c r="M655" s="141" t="str">
        <x:v>https://www.sge.com.cn/sjzx/quotation_daily_new?start_date=2025-05-01&amp;end_date=2025-05-31&amp;inst_ids=Au99.99&amp;p=</x:v>
      </x:c>
    </x:row>
    <x:row r="656">
      <x:c r="A656" s="155" t="n">
        <x:v>45811</x:v>
      </x:c>
      <x:c r="B656" s="141" t="str">
        <x:v>Ag(T+D)</x:v>
      </x:c>
      <x:c r="C656" s="153" t="n">
        <x:v>8500</x:v>
      </x:c>
      <x:c r="D656" s="153" t="n">
        <x:v>8500</x:v>
      </x:c>
      <x:c r="E656" s="153" t="n">
        <x:v>8382</x:v>
      </x:c>
      <x:c r="F656" s="153" t="n">
        <x:v>8405</x:v>
      </x:c>
      <x:c r="G656" s="153" t="n">
        <x:v>225</x:v>
      </x:c>
      <x:c r="H656" s="154" t="n">
        <x:v>0.0275</x:v>
      </x:c>
      <x:c r="I656" s="158" t="n">
        <x:v>8427</x:v>
      </x:c>
      <x:c r="J656" s="158" t="n">
        <x:v>644742</x:v>
      </x:c>
      <x:c r="K656" s="158" t="n">
        <x:v>5433823536</x:v>
      </x:c>
      <x:c r="L656" s="158" t="n">
        <x:v>3504532</x:v>
      </x:c>
      <x:c r="M656" s="141" t="str">
        <x:v>https://www.sge.com.cn/sjzx/quotation_daily_new?start_date=2025-06-01&amp;end_date=2025-06-30&amp;inst_ids=Ag%28T%2BD%29&amp;p=</x:v>
      </x:c>
    </x:row>
    <x:row r="657">
      <x:c r="A657" s="155" t="n">
        <x:v>45811</x:v>
      </x:c>
      <x:c r="B657" s="141" t="str">
        <x:v>Au99.99</x:v>
      </x:c>
      <x:c r="C657" s="153" t="n">
        <x:v>786.5</x:v>
      </x:c>
      <x:c r="D657" s="153" t="n">
        <x:v>786.5</x:v>
      </x:c>
      <x:c r="E657" s="153" t="n">
        <x:v>776</x:v>
      </x:c>
      <x:c r="F657" s="153" t="n">
        <x:v>778.5</x:v>
      </x:c>
      <x:c r="G657" s="153" t="n">
        <x:v>9.71</x:v>
      </x:c>
      <x:c r="H657" s="154" t="n">
        <x:v>0.0126</x:v>
      </x:c>
      <x:c r="I657" s="158" t="n">
        <x:v>781.18</x:v>
      </x:c>
      <x:c r="J657" s="158" t="n">
        <x:v>6638.18</x:v>
      </x:c>
      <x:c r="K657" s="158" t="n">
        <x:v>5185653230.8</x:v>
      </x:c>
      <x:c r="L657" s="158"/>
      <x:c r="M657" s="141" t="str">
        <x:v>https://www.sge.com.cn/sjzx/quotation_daily_new?start_date=2025-06-01&amp;end_date=2025-06-30&amp;inst_ids=Au99.99&amp;p=</x:v>
      </x:c>
    </x:row>
    <x:row r="658">
      <x:c r="A658" s="155" t="n">
        <x:v>45812</x:v>
      </x:c>
      <x:c r="B658" s="141" t="str">
        <x:v>Ag(T+D)</x:v>
      </x:c>
      <x:c r="C658" s="153" t="n">
        <x:v>8423</x:v>
      </x:c>
      <x:c r="D658" s="153" t="n">
        <x:v>8464</x:v>
      </x:c>
      <x:c r="E658" s="153" t="n">
        <x:v>8416</x:v>
      </x:c>
      <x:c r="F658" s="153" t="n">
        <x:v>8441</x:v>
      </x:c>
      <x:c r="G658" s="153" t="n">
        <x:v>14</x:v>
      </x:c>
      <x:c r="H658" s="154" t="n">
        <x:v>0.0017000000000000001</x:v>
      </x:c>
      <x:c r="I658" s="158" t="n">
        <x:v>8445</x:v>
      </x:c>
      <x:c r="J658" s="158" t="n">
        <x:v>514516</x:v>
      </x:c>
      <x:c r="K658" s="158" t="n">
        <x:v>4345377480</x:v>
      </x:c>
      <x:c r="L658" s="158" t="n">
        <x:v>3533774</x:v>
      </x:c>
      <x:c r="M658" s="141" t="str">
        <x:v>https://www.sge.com.cn/sjzx/quotation_daily_new?start_date=2025-06-01&amp;end_date=2025-06-30&amp;inst_ids=Ag%28T%2BD%29&amp;p=</x:v>
      </x:c>
    </x:row>
    <x:row r="659">
      <x:c r="A659" s="155" t="n">
        <x:v>45812</x:v>
      </x:c>
      <x:c r="B659" s="141" t="str">
        <x:v>Au99.99</x:v>
      </x:c>
      <x:c r="C659" s="153" t="n">
        <x:v>783.19</x:v>
      </x:c>
      <x:c r="D659" s="153" t="n">
        <x:v>783.19</x:v>
      </x:c>
      <x:c r="E659" s="153" t="n">
        <x:v>775.5</x:v>
      </x:c>
      <x:c r="F659" s="153" t="n">
        <x:v>779.46</x:v>
      </x:c>
      <x:c r="G659" s="153" t="n">
        <x:v>0.96</x:v>
      </x:c>
      <x:c r="H659" s="154" t="n">
        <x:v>0.0012</x:v>
      </x:c>
      <x:c r="I659" s="158" t="n">
        <x:v>780.15</x:v>
      </x:c>
      <x:c r="J659" s="158" t="n">
        <x:v>8605.46</x:v>
      </x:c>
      <x:c r="K659" s="158" t="n">
        <x:v>6713581849.2</x:v>
      </x:c>
      <x:c r="L659" s="158"/>
      <x:c r="M659" s="141" t="str">
        <x:v>https://www.sge.com.cn/sjzx/quotation_daily_new?start_date=2025-06-01&amp;end_date=2025-06-30&amp;inst_ids=Au99.99&amp;p=</x:v>
      </x:c>
    </x:row>
    <x:row r="660">
      <x:c r="A660" s="155" t="n">
        <x:v>45813</x:v>
      </x:c>
      <x:c r="B660" s="141" t="str">
        <x:v>Ag(T+D)</x:v>
      </x:c>
      <x:c r="C660" s="153" t="n">
        <x:v>8430</x:v>
      </x:c>
      <x:c r="D660" s="153" t="n">
        <x:v>8463</x:v>
      </x:c>
      <x:c r="E660" s="153" t="n">
        <x:v>8408</x:v>
      </x:c>
      <x:c r="F660" s="153" t="n">
        <x:v>8456</x:v>
      </x:c>
      <x:c r="G660" s="153" t="n">
        <x:v>11</x:v>
      </x:c>
      <x:c r="H660" s="154" t="n">
        <x:v>0.0013</x:v>
      </x:c>
      <x:c r="I660" s="158" t="n">
        <x:v>8447</x:v>
      </x:c>
      <x:c r="J660" s="158" t="n">
        <x:v>536080</x:v>
      </x:c>
      <x:c r="K660" s="158" t="n">
        <x:v>4528303996</x:v>
      </x:c>
      <x:c r="L660" s="158" t="n">
        <x:v>3546434</x:v>
      </x:c>
      <x:c r="M660" s="141" t="str">
        <x:v>https://www.sge.com.cn/sjzx/quotation_daily_new?start_date=2025-06-01&amp;end_date=2025-06-30&amp;inst_ids=Ag%28T%2BD%29&amp;p=</x:v>
      </x:c>
    </x:row>
    <x:row r="661">
      <x:c r="A661" s="155" t="n">
        <x:v>45813</x:v>
      </x:c>
      <x:c r="B661" s="141" t="str">
        <x:v>Au99.99</x:v>
      </x:c>
      <x:c r="C661" s="153" t="n">
        <x:v>779.75</x:v>
      </x:c>
      <x:c r="D661" s="153" t="n">
        <x:v>783.69</x:v>
      </x:c>
      <x:c r="E661" s="153" t="n">
        <x:v>778</x:v>
      </x:c>
      <x:c r="F661" s="153" t="n">
        <x:v>781.25</x:v>
      </x:c>
      <x:c r="G661" s="153" t="n">
        <x:v>1.79</x:v>
      </x:c>
      <x:c r="H661" s="154" t="n">
        <x:v>0.0023</x:v>
      </x:c>
      <x:c r="I661" s="158" t="n">
        <x:v>780.93</x:v>
      </x:c>
      <x:c r="J661" s="158" t="n">
        <x:v>5692.66</x:v>
      </x:c>
      <x:c r="K661" s="158" t="n">
        <x:v>4445581207.4</x:v>
      </x:c>
      <x:c r="L661" s="158"/>
      <x:c r="M661" s="141" t="str">
        <x:v>https://www.sge.com.cn/sjzx/quotation_daily_new?start_date=2025-06-01&amp;end_date=2025-06-30&amp;inst_ids=Au99.99&amp;p=</x:v>
      </x:c>
    </x:row>
    <x:row r="662">
      <x:c r="A662" s="155" t="n">
        <x:v>45814</x:v>
      </x:c>
      <x:c r="B662" s="141" t="str">
        <x:v>Ag(T+D)</x:v>
      </x:c>
      <x:c r="C662" s="153" t="n">
        <x:v>8640</x:v>
      </x:c>
      <x:c r="D662" s="153" t="n">
        <x:v>8841</x:v>
      </x:c>
      <x:c r="E662" s="153" t="n">
        <x:v>8635</x:v>
      </x:c>
      <x:c r="F662" s="153" t="n">
        <x:v>8839</x:v>
      </x:c>
      <x:c r="G662" s="153" t="n">
        <x:v>392</x:v>
      </x:c>
      <x:c r="H662" s="154" t="n">
        <x:v>0.0464</x:v>
      </x:c>
      <x:c r="I662" s="158" t="n">
        <x:v>8741</x:v>
      </x:c>
      <x:c r="J662" s="158" t="n">
        <x:v>973300</x:v>
      </x:c>
      <x:c r="K662" s="158" t="n">
        <x:v>8507883786</x:v>
      </x:c>
      <x:c r="L662" s="158" t="n">
        <x:v>3545110</x:v>
      </x:c>
      <x:c r="M662" s="141" t="str">
        <x:v>https://www.sge.com.cn/sjzx/quotation_daily_new?start_date=2025-06-01&amp;end_date=2025-06-30&amp;inst_ids=Ag%28T%2BD%29&amp;p=</x:v>
      </x:c>
    </x:row>
    <x:row r="663">
      <x:c r="A663" s="155" t="n">
        <x:v>45814</x:v>
      </x:c>
      <x:c r="B663" s="141" t="str">
        <x:v>Au99.99</x:v>
      </x:c>
      <x:c r="C663" s="153" t="n">
        <x:v>786</x:v>
      </x:c>
      <x:c r="D663" s="153" t="n">
        <x:v>786</x:v>
      </x:c>
      <x:c r="E663" s="153" t="n">
        <x:v>774.5</x:v>
      </x:c>
      <x:c r="F663" s="153" t="n">
        <x:v>779.88</x:v>
      </x:c>
      <x:c r="G663" s="153" t="n">
        <x:v>-1.37</x:v>
      </x:c>
      <x:c r="H663" s="154" t="n">
        <x:v>-0.0018</x:v>
      </x:c>
      <x:c r="I663" s="158" t="n">
        <x:v>779.91</x:v>
      </x:c>
      <x:c r="J663" s="158" t="n">
        <x:v>7020.16</x:v>
      </x:c>
      <x:c r="K663" s="158" t="n">
        <x:v>5475134453</x:v>
      </x:c>
      <x:c r="L663" s="158"/>
      <x:c r="M663" s="141" t="str">
        <x:v>https://www.sge.com.cn/sjzx/quotation_daily_new?start_date=2025-06-01&amp;end_date=2025-06-30&amp;inst_ids=Au99.99&amp;p=</x:v>
      </x:c>
    </x:row>
    <x:row r="664">
      <x:c r="A664" s="155" t="n">
        <x:v>45817</x:v>
      </x:c>
      <x:c r="B664" s="141" t="str">
        <x:v>Ag(T+D)</x:v>
      </x:c>
      <x:c r="C664" s="153" t="n">
        <x:v>8839</x:v>
      </x:c>
      <x:c r="D664" s="153" t="n">
        <x:v>8892</x:v>
      </x:c>
      <x:c r="E664" s="153" t="n">
        <x:v>8765</x:v>
      </x:c>
      <x:c r="F664" s="153" t="n">
        <x:v>8888</x:v>
      </x:c>
      <x:c r="G664" s="153" t="n">
        <x:v>147</x:v>
      </x:c>
      <x:c r="H664" s="154" t="n">
        <x:v>0.0168</x:v>
      </x:c>
      <x:c r="I664" s="158" t="n">
        <x:v>8822</x:v>
      </x:c>
      <x:c r="J664" s="158" t="n">
        <x:v>583946</x:v>
      </x:c>
      <x:c r="K664" s="158" t="n">
        <x:v>5151817374</x:v>
      </x:c>
      <x:c r="L664" s="158" t="n">
        <x:v>3559336</x:v>
      </x:c>
      <x:c r="M664" s="141" t="str">
        <x:v>https://www.sge.com.cn/sjzx/quotation_daily_new?start_date=2025-06-01&amp;end_date=2025-06-30&amp;inst_ids=Ag%28T%2BD%29&amp;p=</x:v>
      </x:c>
    </x:row>
    <x:row r="665">
      <x:c r="A665" s="155" t="n">
        <x:v>45817</x:v>
      </x:c>
      <x:c r="B665" s="141" t="str">
        <x:v>Au99.99</x:v>
      </x:c>
      <x:c r="C665" s="153" t="n">
        <x:v>781</x:v>
      </x:c>
      <x:c r="D665" s="153" t="n">
        <x:v>781</x:v>
      </x:c>
      <x:c r="E665" s="153" t="n">
        <x:v>764.5</x:v>
      </x:c>
      <x:c r="F665" s="153" t="n">
        <x:v>772.3</x:v>
      </x:c>
      <x:c r="G665" s="153" t="n">
        <x:v>-7.58</x:v>
      </x:c>
      <x:c r="H665" s="154" t="n">
        <x:v>-0.0097</x:v>
      </x:c>
      <x:c r="I665" s="158" t="n">
        <x:v>768.89</x:v>
      </x:c>
      <x:c r="J665" s="158" t="n">
        <x:v>8559.7</x:v>
      </x:c>
      <x:c r="K665" s="158" t="n">
        <x:v>6581472189.8</x:v>
      </x:c>
      <x:c r="L665" s="158"/>
      <x:c r="M665" s="141" t="str">
        <x:v>https://www.sge.com.cn/sjzx/quotation_daily_new?start_date=2025-06-01&amp;end_date=2025-06-30&amp;inst_ids=Au99.99&amp;p=</x:v>
      </x:c>
    </x:row>
    <x:row r="666">
      <x:c r="A666" s="155" t="n">
        <x:v>45818</x:v>
      </x:c>
      <x:c r="B666" s="141" t="str">
        <x:v>Ag(T+D)</x:v>
      </x:c>
      <x:c r="C666" s="153" t="n">
        <x:v>8878</x:v>
      </x:c>
      <x:c r="D666" s="153" t="n">
        <x:v>8993</x:v>
      </x:c>
      <x:c r="E666" s="153" t="n">
        <x:v>8840</x:v>
      </x:c>
      <x:c r="F666" s="153" t="n">
        <x:v>8882</x:v>
      </x:c>
      <x:c r="G666" s="153" t="n">
        <x:v>60</x:v>
      </x:c>
      <x:c r="H666" s="154" t="n">
        <x:v>0.0068000000000000005</x:v>
      </x:c>
      <x:c r="I666" s="158" t="n">
        <x:v>8895</x:v>
      </x:c>
      <x:c r="J666" s="158" t="n">
        <x:v>617842</x:v>
      </x:c>
      <x:c r="K666" s="158" t="n">
        <x:v>5495743068</x:v>
      </x:c>
      <x:c r="L666" s="158" t="n">
        <x:v>3574734</x:v>
      </x:c>
      <x:c r="M666" s="141" t="str">
        <x:v>https://www.sge.com.cn/sjzx/quotation_daily_new?start_date=2025-06-01&amp;end_date=2025-06-30&amp;inst_ids=Ag%28T%2BD%29&amp;p=</x:v>
      </x:c>
    </x:row>
    <x:row r="667">
      <x:c r="A667" s="155" t="n">
        <x:v>45818</x:v>
      </x:c>
      <x:c r="B667" s="141" t="str">
        <x:v>Au99.99</x:v>
      </x:c>
      <x:c r="C667" s="153" t="n">
        <x:v>780</x:v>
      </x:c>
      <x:c r="D667" s="153" t="n">
        <x:v>780</x:v>
      </x:c>
      <x:c r="E667" s="153" t="n">
        <x:v>766.7</x:v>
      </x:c>
      <x:c r="F667" s="153" t="n">
        <x:v>772.68</x:v>
      </x:c>
      <x:c r="G667" s="153" t="n">
        <x:v>0.38</x:v>
      </x:c>
      <x:c r="H667" s="154" t="n">
        <x:v>0.0005</x:v>
      </x:c>
      <x:c r="I667" s="158" t="n">
        <x:v>769.59</x:v>
      </x:c>
      <x:c r="J667" s="158" t="n">
        <x:v>7270.9</x:v>
      </x:c>
      <x:c r="K667" s="158" t="n">
        <x:v>5595675238.6</x:v>
      </x:c>
      <x:c r="L667" s="158"/>
      <x:c r="M667" s="141" t="str">
        <x:v>https://www.sge.com.cn/sjzx/quotation_daily_new?start_date=2025-06-01&amp;end_date=2025-06-30&amp;inst_ids=Au99.99&amp;p=</x:v>
      </x:c>
    </x:row>
    <x:row r="668">
      <x:c r="A668" s="155" t="n">
        <x:v>45819</x:v>
      </x:c>
      <x:c r="B668" s="141" t="str">
        <x:v>Ag(T+D)</x:v>
      </x:c>
      <x:c r="C668" s="153" t="n">
        <x:v>8912</x:v>
      </x:c>
      <x:c r="D668" s="153" t="n">
        <x:v>8929</x:v>
      </x:c>
      <x:c r="E668" s="153" t="n">
        <x:v>8836</x:v>
      </x:c>
      <x:c r="F668" s="153" t="n">
        <x:v>8882</x:v>
      </x:c>
      <x:c r="G668" s="153" t="n">
        <x:v>-13</x:v>
      </x:c>
      <x:c r="H668" s="154" t="n">
        <x:v>-0.0015</x:v>
      </x:c>
      <x:c r="I668" s="158" t="n">
        <x:v>8883</x:v>
      </x:c>
      <x:c r="J668" s="158" t="n">
        <x:v>489282</x:v>
      </x:c>
      <x:c r="K668" s="158" t="n">
        <x:v>4346676256</x:v>
      </x:c>
      <x:c r="L668" s="158" t="n">
        <x:v>3481078</x:v>
      </x:c>
      <x:c r="M668" s="141" t="str">
        <x:v>https://www.sge.com.cn/sjzx/quotation_daily_new?start_date=2025-06-01&amp;end_date=2025-06-30&amp;inst_ids=Ag%28T%2BD%29&amp;p=</x:v>
      </x:c>
    </x:row>
    <x:row r="669">
      <x:c r="A669" s="155" t="n">
        <x:v>45819</x:v>
      </x:c>
      <x:c r="B669" s="141" t="str">
        <x:v>Au99.99</x:v>
      </x:c>
      <x:c r="C669" s="153" t="n">
        <x:v>790</x:v>
      </x:c>
      <x:c r="D669" s="153" t="n">
        <x:v>790</x:v>
      </x:c>
      <x:c r="E669" s="153" t="n">
        <x:v>772.5</x:v>
      </x:c>
      <x:c r="F669" s="153" t="n">
        <x:v>774.69</x:v>
      </x:c>
      <x:c r="G669" s="153" t="n">
        <x:v>2.01</x:v>
      </x:c>
      <x:c r="H669" s="154" t="n">
        <x:v>0.0026</x:v>
      </x:c>
      <x:c r="I669" s="158" t="n">
        <x:v>774.47</x:v>
      </x:c>
      <x:c r="J669" s="158" t="n">
        <x:v>7834.42</x:v>
      </x:c>
      <x:c r="K669" s="158" t="n">
        <x:v>6067535912.8</x:v>
      </x:c>
      <x:c r="L669" s="158"/>
      <x:c r="M669" s="141" t="str">
        <x:v>https://www.sge.com.cn/sjzx/quotation_daily_new?start_date=2025-06-01&amp;end_date=2025-06-30&amp;inst_ids=Au99.99&amp;p=</x:v>
      </x:c>
    </x:row>
    <x:row r="670">
      <x:c r="A670" s="155" t="n">
        <x:v>45820</x:v>
      </x:c>
      <x:c r="B670" s="141" t="str">
        <x:v>Ag(T+D)</x:v>
      </x:c>
      <x:c r="C670" s="153" t="n">
        <x:v>8839</x:v>
      </x:c>
      <x:c r="D670" s="153" t="n">
        <x:v>8899</x:v>
      </x:c>
      <x:c r="E670" s="153" t="n">
        <x:v>8768</x:v>
      </x:c>
      <x:c r="F670" s="153" t="n">
        <x:v>8770</x:v>
      </x:c>
      <x:c r="G670" s="153" t="n">
        <x:v>-113</x:v>
      </x:c>
      <x:c r="H670" s="154" t="n">
        <x:v>-0.0127</x:v>
      </x:c>
      <x:c r="I670" s="158" t="n">
        <x:v>8822</x:v>
      </x:c>
      <x:c r="J670" s="158" t="n">
        <x:v>805092</x:v>
      </x:c>
      <x:c r="K670" s="158" t="n">
        <x:v>7102681112</x:v>
      </x:c>
      <x:c r="L670" s="158" t="n">
        <x:v>3511988</x:v>
      </x:c>
      <x:c r="M670" s="141" t="str">
        <x:v>https://www.sge.com.cn/sjzx/quotation_daily_new?start_date=2025-06-01&amp;end_date=2025-06-30&amp;inst_ids=Ag%28T%2BD%29&amp;p=</x:v>
      </x:c>
    </x:row>
    <x:row r="671">
      <x:c r="A671" s="155" t="n">
        <x:v>45820</x:v>
      </x:c>
      <x:c r="B671" s="141" t="str">
        <x:v>Au99.99</x:v>
      </x:c>
      <x:c r="C671" s="153" t="n">
        <x:v>774</x:v>
      </x:c>
      <x:c r="D671" s="153" t="n">
        <x:v>783.5</x:v>
      </x:c>
      <x:c r="E671" s="153" t="n">
        <x:v>772.2</x:v>
      </x:c>
      <x:c r="F671" s="153" t="n">
        <x:v>780.54</x:v>
      </x:c>
      <x:c r="G671" s="153" t="n">
        <x:v>5.85</x:v>
      </x:c>
      <x:c r="H671" s="154" t="n">
        <x:v>0.0076</x:v>
      </x:c>
      <x:c r="I671" s="158" t="n">
        <x:v>781.64</x:v>
      </x:c>
      <x:c r="J671" s="158" t="n">
        <x:v>6324.96</x:v>
      </x:c>
      <x:c r="K671" s="158" t="n">
        <x:v>4943885476.6</x:v>
      </x:c>
      <x:c r="L671" s="158"/>
      <x:c r="M671" s="141" t="str">
        <x:v>https://www.sge.com.cn/sjzx/quotation_daily_new?start_date=2025-06-01&amp;end_date=2025-06-30&amp;inst_ids=Au99.99&amp;p=</x:v>
      </x:c>
    </x:row>
    <x:row r="672">
      <x:c r="A672" s="155" t="n">
        <x:v>45821</x:v>
      </x:c>
      <x:c r="B672" s="141" t="str">
        <x:v>Ag(T+D)</x:v>
      </x:c>
      <x:c r="C672" s="153" t="n">
        <x:v>8794</x:v>
      </x:c>
      <x:c r="D672" s="153" t="n">
        <x:v>8892</x:v>
      </x:c>
      <x:c r="E672" s="153" t="n">
        <x:v>8751</x:v>
      </x:c>
      <x:c r="F672" s="153" t="n">
        <x:v>8793</x:v>
      </x:c>
      <x:c r="G672" s="153" t="n">
        <x:v>-29</x:v>
      </x:c>
      <x:c r="H672" s="154" t="n">
        <x:v>-0.0033</x:v>
      </x:c>
      <x:c r="I672" s="158" t="n">
        <x:v>8803</x:v>
      </x:c>
      <x:c r="J672" s="158" t="n">
        <x:v>853964</x:v>
      </x:c>
      <x:c r="K672" s="158" t="n">
        <x:v>7518276866</x:v>
      </x:c>
      <x:c r="L672" s="158" t="n">
        <x:v>3525006</x:v>
      </x:c>
      <x:c r="M672" s="141" t="str">
        <x:v>https://www.sge.com.cn/sjzx/quotation_daily_new?start_date=2025-06-01&amp;end_date=2025-06-30&amp;inst_ids=Ag%28T%2BD%29&amp;p=</x:v>
      </x:c>
    </x:row>
    <x:row r="673">
      <x:c r="A673" s="155" t="n">
        <x:v>45821</x:v>
      </x:c>
      <x:c r="B673" s="141" t="str">
        <x:v>Au99.99</x:v>
      </x:c>
      <x:c r="C673" s="153" t="n">
        <x:v>785</x:v>
      </x:c>
      <x:c r="D673" s="153" t="n">
        <x:v>798</x:v>
      </x:c>
      <x:c r="E673" s="153" t="n">
        <x:v>773.99</x:v>
      </x:c>
      <x:c r="F673" s="153" t="n">
        <x:v>792.07</x:v>
      </x:c>
      <x:c r="G673" s="153" t="n">
        <x:v>11.53</x:v>
      </x:c>
      <x:c r="H673" s="154" t="n">
        <x:v>0.0148</x:v>
      </x:c>
      <x:c r="I673" s="158" t="n">
        <x:v>793.28</x:v>
      </x:c>
      <x:c r="J673" s="158" t="n">
        <x:v>9681.88</x:v>
      </x:c>
      <x:c r="K673" s="158" t="n">
        <x:v>7680484429</x:v>
      </x:c>
      <x:c r="L673" s="158"/>
      <x:c r="M673" s="141" t="str">
        <x:v>https://www.sge.com.cn/sjzx/quotation_daily_new?start_date=2025-06-01&amp;end_date=2025-06-30&amp;inst_ids=Au99.99&amp;p=</x:v>
      </x:c>
    </x:row>
    <x:row r="674">
      <x:c r="A674" s="155" t="n">
        <x:v>45824</x:v>
      </x:c>
      <x:c r="B674" s="141" t="str">
        <x:v>Ag(T+D)</x:v>
      </x:c>
      <x:c r="C674" s="153" t="n">
        <x:v>8820</x:v>
      </x:c>
      <x:c r="D674" s="153" t="n">
        <x:v>8862</x:v>
      </x:c>
      <x:c r="E674" s="153" t="n">
        <x:v>8767</x:v>
      </x:c>
      <x:c r="F674" s="153" t="n">
        <x:v>8835</x:v>
      </x:c>
      <x:c r="G674" s="153" t="n">
        <x:v>32</x:v>
      </x:c>
      <x:c r="H674" s="154" t="n">
        <x:v>0.0036</x:v>
      </x:c>
      <x:c r="I674" s="158" t="n">
        <x:v>8801</x:v>
      </x:c>
      <x:c r="J674" s="158" t="n">
        <x:v>550218</x:v>
      </x:c>
      <x:c r="K674" s="158" t="n">
        <x:v>4842993982</x:v>
      </x:c>
      <x:c r="L674" s="158" t="n">
        <x:v>3612162</x:v>
      </x:c>
      <x:c r="M674" s="141" t="str">
        <x:v>https://www.sge.com.cn/sjzx/quotation_daily_new?start_date=2025-06-01&amp;end_date=2025-06-30&amp;inst_ids=Ag%28T%2BD%29&amp;p=</x:v>
      </x:c>
    </x:row>
    <x:row r="675">
      <x:c r="A675" s="155" t="n">
        <x:v>45824</x:v>
      </x:c>
      <x:c r="B675" s="141" t="str">
        <x:v>Au99.99</x:v>
      </x:c>
      <x:c r="C675" s="153" t="n">
        <x:v>795</x:v>
      </x:c>
      <x:c r="D675" s="153" t="n">
        <x:v>798</x:v>
      </x:c>
      <x:c r="E675" s="153" t="n">
        <x:v>787.3</x:v>
      </x:c>
      <x:c r="F675" s="153" t="n">
        <x:v>788.2</x:v>
      </x:c>
      <x:c r="G675" s="153" t="n">
        <x:v>-3.87</x:v>
      </x:c>
      <x:c r="H675" s="154" t="n">
        <x:v>-0.0049</x:v>
      </x:c>
      <x:c r="I675" s="158" t="n">
        <x:v>792.24</x:v>
      </x:c>
      <x:c r="J675" s="158" t="n">
        <x:v>9848.44</x:v>
      </x:c>
      <x:c r="K675" s="158" t="n">
        <x:v>7802424589.6</x:v>
      </x:c>
      <x:c r="L675" s="158"/>
      <x:c r="M675" s="141" t="str">
        <x:v>https://www.sge.com.cn/sjzx/quotation_daily_new?start_date=2025-06-01&amp;end_date=2025-06-30&amp;inst_ids=Au99.99&amp;p=</x:v>
      </x:c>
    </x:row>
    <x:row r="676">
      <x:c r="A676" s="155" t="n">
        <x:v>45825</x:v>
      </x:c>
      <x:c r="B676" s="141" t="str">
        <x:v>Ag(T+D)</x:v>
      </x:c>
      <x:c r="C676" s="153" t="n">
        <x:v>8800</x:v>
      </x:c>
      <x:c r="D676" s="153" t="n">
        <x:v>8845</x:v>
      </x:c>
      <x:c r="E676" s="153" t="n">
        <x:v>8781</x:v>
      </x:c>
      <x:c r="F676" s="153" t="n">
        <x:v>8831</x:v>
      </x:c>
      <x:c r="G676" s="153" t="n">
        <x:v>30</x:v>
      </x:c>
      <x:c r="H676" s="154" t="n">
        <x:v>0.0034000000000000002</x:v>
      </x:c>
      <x:c r="I676" s="158" t="n">
        <x:v>8815</x:v>
      </x:c>
      <x:c r="J676" s="158" t="n">
        <x:v>284700</x:v>
      </x:c>
      <x:c r="K676" s="158" t="n">
        <x:v>2509665918</x:v>
      </x:c>
      <x:c r="L676" s="158" t="n">
        <x:v>3624194</x:v>
      </x:c>
      <x:c r="M676" s="141" t="str">
        <x:v>https://www.sge.com.cn/sjzx/quotation_daily_new?start_date=2025-06-01&amp;end_date=2025-06-30&amp;inst_ids=Ag%28T%2BD%29&amp;p=</x:v>
      </x:c>
    </x:row>
    <x:row r="677">
      <x:c r="A677" s="155" t="n">
        <x:v>45825</x:v>
      </x:c>
      <x:c r="B677" s="141" t="str">
        <x:v>Au99.99</x:v>
      </x:c>
      <x:c r="C677" s="153" t="n">
        <x:v>789</x:v>
      </x:c>
      <x:c r="D677" s="153" t="n">
        <x:v>789</x:v>
      </x:c>
      <x:c r="E677" s="153" t="n">
        <x:v>779.01</x:v>
      </x:c>
      <x:c r="F677" s="153" t="n">
        <x:v>783.19</x:v>
      </x:c>
      <x:c r="G677" s="153" t="n">
        <x:v>-5.01</x:v>
      </x:c>
      <x:c r="H677" s="154" t="n">
        <x:v>-0.0064</x:v>
      </x:c>
      <x:c r="I677" s="158" t="n">
        <x:v>782.67</x:v>
      </x:c>
      <x:c r="J677" s="158" t="n">
        <x:v>6886.42</x:v>
      </x:c>
      <x:c r="K677" s="158" t="n">
        <x:v>5389832009.8</x:v>
      </x:c>
      <x:c r="L677" s="158"/>
      <x:c r="M677" s="141" t="str">
        <x:v>https://www.sge.com.cn/sjzx/quotation_daily_new?start_date=2025-06-01&amp;end_date=2025-06-30&amp;inst_ids=Au99.99&amp;p=</x:v>
      </x:c>
    </x:row>
    <x:row r="678">
      <x:c r="A678" s="155" t="n">
        <x:v>45826</x:v>
      </x:c>
      <x:c r="B678" s="141" t="str">
        <x:v>Ag(T+D)</x:v>
      </x:c>
      <x:c r="C678" s="153" t="n">
        <x:v>8933</x:v>
      </x:c>
      <x:c r="D678" s="153" t="n">
        <x:v>9040</x:v>
      </x:c>
      <x:c r="E678" s="153" t="n">
        <x:v>8887</x:v>
      </x:c>
      <x:c r="F678" s="153" t="n">
        <x:v>8989</x:v>
      </x:c>
      <x:c r="G678" s="153" t="n">
        <x:v>174</x:v>
      </x:c>
      <x:c r="H678" s="154" t="n">
        <x:v>0.0197</x:v>
      </x:c>
      <x:c r="I678" s="158" t="n">
        <x:v>8975</x:v>
      </x:c>
      <x:c r="J678" s="158" t="n">
        <x:v>727496</x:v>
      </x:c>
      <x:c r="K678" s="158" t="n">
        <x:v>6529277348</x:v>
      </x:c>
      <x:c r="L678" s="158" t="n">
        <x:v>3679664</x:v>
      </x:c>
      <x:c r="M678" s="141" t="str">
        <x:v>https://www.sge.com.cn/sjzx/quotation_daily_new?start_date=2025-06-01&amp;end_date=2025-06-30&amp;inst_ids=Ag%28T%2BD%29&amp;p=</x:v>
      </x:c>
    </x:row>
    <x:row r="679">
      <x:c r="A679" s="155" t="n">
        <x:v>45826</x:v>
      </x:c>
      <x:c r="B679" s="141" t="str">
        <x:v>Au99.99</x:v>
      </x:c>
      <x:c r="C679" s="153" t="n">
        <x:v>800</x:v>
      </x:c>
      <x:c r="D679" s="153" t="n">
        <x:v>800</x:v>
      </x:c>
      <x:c r="E679" s="153" t="n">
        <x:v>779</x:v>
      </x:c>
      <x:c r="F679" s="153" t="n">
        <x:v>781.85</x:v>
      </x:c>
      <x:c r="G679" s="153" t="n">
        <x:v>-1.34</x:v>
      </x:c>
      <x:c r="H679" s="154" t="n">
        <x:v>-0.0017000000000000001</x:v>
      </x:c>
      <x:c r="I679" s="158" t="n">
        <x:v>782.26</x:v>
      </x:c>
      <x:c r="J679" s="158" t="n">
        <x:v>9091.32</x:v>
      </x:c>
      <x:c r="K679" s="158" t="n">
        <x:v>7111836485.4</x:v>
      </x:c>
      <x:c r="L679" s="158"/>
      <x:c r="M679" s="141" t="str">
        <x:v>https://www.sge.com.cn/sjzx/quotation_daily_new?start_date=2025-06-01&amp;end_date=2025-06-30&amp;inst_ids=Au99.99&amp;p=</x:v>
      </x:c>
    </x:row>
    <x:row r="680">
      <x:c r="A680" s="155" t="n">
        <x:v>45827</x:v>
      </x:c>
      <x:c r="B680" s="141" t="str">
        <x:v>Ag(T+D)</x:v>
      </x:c>
      <x:c r="C680" s="153" t="n">
        <x:v>8986</x:v>
      </x:c>
      <x:c r="D680" s="153" t="n">
        <x:v>8994</x:v>
      </x:c>
      <x:c r="E680" s="153" t="n">
        <x:v>8757</x:v>
      </x:c>
      <x:c r="F680" s="153" t="n">
        <x:v>8777</x:v>
      </x:c>
      <x:c r="G680" s="153" t="n">
        <x:v>-198</x:v>
      </x:c>
      <x:c r="H680" s="154" t="n">
        <x:v>-0.022099999999999998</x:v>
      </x:c>
      <x:c r="I680" s="158" t="n">
        <x:v>8864</x:v>
      </x:c>
      <x:c r="J680" s="158" t="n">
        <x:v>550626</x:v>
      </x:c>
      <x:c r="K680" s="158" t="n">
        <x:v>4881127462</x:v>
      </x:c>
      <x:c r="L680" s="158" t="n">
        <x:v>3279642</x:v>
      </x:c>
      <x:c r="M680" s="141" t="str">
        <x:v>https://www.sge.com.cn/sjzx/quotation_daily_new?start_date=2025-06-01&amp;end_date=2025-06-30&amp;inst_ids=Ag%28T%2BD%29&amp;p=</x:v>
      </x:c>
    </x:row>
    <x:row r="681">
      <x:c r="A681" s="155" t="n">
        <x:v>45827</x:v>
      </x:c>
      <x:c r="B681" s="141" t="str">
        <x:v>Au99.99</x:v>
      </x:c>
      <x:c r="C681" s="153" t="n">
        <x:v>784</x:v>
      </x:c>
      <x:c r="D681" s="153" t="n">
        <x:v>785</x:v>
      </x:c>
      <x:c r="E681" s="153" t="n">
        <x:v>776.3</x:v>
      </x:c>
      <x:c r="F681" s="153" t="n">
        <x:v>777.41</x:v>
      </x:c>
      <x:c r="G681" s="153" t="n">
        <x:v>-4.44</x:v>
      </x:c>
      <x:c r="H681" s="154" t="n">
        <x:v>-0.005699999999999999</x:v>
      </x:c>
      <x:c r="I681" s="158" t="n">
        <x:v>780.14</x:v>
      </x:c>
      <x:c r="J681" s="158" t="n">
        <x:v>8348.9</x:v>
      </x:c>
      <x:c r="K681" s="158" t="n">
        <x:v>6513314061.8</x:v>
      </x:c>
      <x:c r="L681" s="158"/>
      <x:c r="M681" s="141" t="str">
        <x:v>https://www.sge.com.cn/sjzx/quotation_daily_new?start_date=2025-06-01&amp;end_date=2025-06-30&amp;inst_ids=Au99.99&amp;p=</x:v>
      </x:c>
    </x:row>
    <x:row r="682">
      <x:c r="A682" s="155" t="n">
        <x:v>45828</x:v>
      </x:c>
      <x:c r="B682" s="141" t="str">
        <x:v>Ag(T+D)</x:v>
      </x:c>
      <x:c r="C682" s="153" t="n">
        <x:v>8780</x:v>
      </x:c>
      <x:c r="D682" s="153" t="n">
        <x:v>8799</x:v>
      </x:c>
      <x:c r="E682" s="153" t="n">
        <x:v>8613</x:v>
      </x:c>
      <x:c r="F682" s="153" t="n">
        <x:v>8663</x:v>
      </x:c>
      <x:c r="G682" s="153" t="n">
        <x:v>-201</x:v>
      </x:c>
      <x:c r="H682" s="154" t="n">
        <x:v>-0.0227</x:v>
      </x:c>
      <x:c r="I682" s="158" t="n">
        <x:v>8684</x:v>
      </x:c>
      <x:c r="J682" s="158" t="n">
        <x:v>745948</x:v>
      </x:c>
      <x:c r="K682" s="158" t="n">
        <x:v>6477816564</x:v>
      </x:c>
      <x:c r="L682" s="158" t="n">
        <x:v>3187026</x:v>
      </x:c>
      <x:c r="M682" s="141" t="str">
        <x:v>https://www.sge.com.cn/sjzx/quotation_daily_new?start_date=2025-06-01&amp;end_date=2025-06-30&amp;inst_ids=Ag%28T%2BD%29&amp;p=</x:v>
      </x:c>
    </x:row>
    <x:row r="683">
      <x:c r="A683" s="155" t="n">
        <x:v>45828</x:v>
      </x:c>
      <x:c r="B683" s="141" t="str">
        <x:v>Au99.99</x:v>
      </x:c>
      <x:c r="C683" s="153" t="n">
        <x:v>780.3</x:v>
      </x:c>
      <x:c r="D683" s="153" t="n">
        <x:v>781</x:v>
      </x:c>
      <x:c r="E683" s="153" t="n">
        <x:v>774.4</x:v>
      </x:c>
      <x:c r="F683" s="153" t="n">
        <x:v>777.4</x:v>
      </x:c>
      <x:c r="G683" s="153" t="n">
        <x:v>-0.01</x:v>
      </x:c>
      <x:c r="H683" s="154" t="n">
        <x:v>0</x:v>
      </x:c>
      <x:c r="I683" s="158" t="n">
        <x:v>776.51</x:v>
      </x:c>
      <x:c r="J683" s="158" t="n">
        <x:v>10701.1</x:v>
      </x:c>
      <x:c r="K683" s="158" t="n">
        <x:v>8309537150.8</x:v>
      </x:c>
      <x:c r="L683" s="158"/>
      <x:c r="M683" s="141" t="str">
        <x:v>https://www.sge.com.cn/sjzx/quotation_daily_new?start_date=2025-06-01&amp;end_date=2025-06-30&amp;inst_ids=Au99.99&amp;p=</x:v>
      </x:c>
    </x:row>
    <x:row r="684">
      <x:c r="A684" s="155" t="n">
        <x:v>45831</x:v>
      </x:c>
      <x:c r="B684" s="141" t="str">
        <x:v>Ag(T+D)</x:v>
      </x:c>
      <x:c r="C684" s="153" t="n">
        <x:v>8709</x:v>
      </x:c>
      <x:c r="D684" s="153" t="n">
        <x:v>8750</x:v>
      </x:c>
      <x:c r="E684" s="153" t="n">
        <x:v>8673</x:v>
      </x:c>
      <x:c r="F684" s="153" t="n">
        <x:v>8730</x:v>
      </x:c>
      <x:c r="G684" s="153" t="n">
        <x:v>46</x:v>
      </x:c>
      <x:c r="H684" s="154" t="n">
        <x:v>0.0053</x:v>
      </x:c>
      <x:c r="I684" s="158" t="n">
        <x:v>8714</x:v>
      </x:c>
      <x:c r="J684" s="158" t="n">
        <x:v>434856</x:v>
      </x:c>
      <x:c r="K684" s="158" t="n">
        <x:v>3789702760</x:v>
      </x:c>
      <x:c r="L684" s="158" t="n">
        <x:v>3217456</x:v>
      </x:c>
      <x:c r="M684" s="141" t="str">
        <x:v>https://www.sge.com.cn/sjzx/quotation_daily_new?start_date=2025-06-01&amp;end_date=2025-06-30&amp;inst_ids=Ag%28T%2BD%29&amp;p=</x:v>
      </x:c>
    </x:row>
    <x:row r="685">
      <x:c r="A685" s="155" t="n">
        <x:v>45831</x:v>
      </x:c>
      <x:c r="B685" s="141" t="str">
        <x:v>Au99.99</x:v>
      </x:c>
      <x:c r="C685" s="153" t="n">
        <x:v>776</x:v>
      </x:c>
      <x:c r="D685" s="153" t="n">
        <x:v>780.9</x:v>
      </x:c>
      <x:c r="E685" s="153" t="n">
        <x:v>775</x:v>
      </x:c>
      <x:c r="F685" s="153" t="n">
        <x:v>777.98</x:v>
      </x:c>
      <x:c r="G685" s="153" t="n">
        <x:v>0.58</x:v>
      </x:c>
      <x:c r="H685" s="154" t="n">
        <x:v>0.0007000000000000001</x:v>
      </x:c>
      <x:c r="I685" s="158" t="n">
        <x:v>778.62</x:v>
      </x:c>
      <x:c r="J685" s="158" t="n">
        <x:v>10089.16</x:v>
      </x:c>
      <x:c r="K685" s="158" t="n">
        <x:v>7855701391.8</x:v>
      </x:c>
      <x:c r="L685" s="158"/>
      <x:c r="M685" s="141" t="str">
        <x:v>https://www.sge.com.cn/sjzx/quotation_daily_new?start_date=2025-06-01&amp;end_date=2025-06-30&amp;inst_ids=Au99.99&amp;p=</x:v>
      </x:c>
    </x:row>
    <x:row r="686">
      <x:c r="A686" s="155" t="n">
        <x:v>45832</x:v>
      </x:c>
      <x:c r="B686" s="141" t="str">
        <x:v>Ag(T+D)</x:v>
      </x:c>
      <x:c r="C686" s="153" t="n">
        <x:v>8743</x:v>
      </x:c>
      <x:c r="D686" s="153" t="n">
        <x:v>8780</x:v>
      </x:c>
      <x:c r="E686" s="153" t="n">
        <x:v>8694</x:v>
      </x:c>
      <x:c r="F686" s="153" t="n">
        <x:v>8709</x:v>
      </x:c>
      <x:c r="G686" s="153" t="n">
        <x:v>-5</x:v>
      </x:c>
      <x:c r="H686" s="154" t="n">
        <x:v>-0.0006</x:v>
      </x:c>
      <x:c r="I686" s="158" t="n">
        <x:v>8720</x:v>
      </x:c>
      <x:c r="J686" s="158" t="n">
        <x:v>304350</x:v>
      </x:c>
      <x:c r="K686" s="158" t="n">
        <x:v>2654202054</x:v>
      </x:c>
      <x:c r="L686" s="158" t="n">
        <x:v>3170030</x:v>
      </x:c>
      <x:c r="M686" s="141" t="str">
        <x:v>https://www.sge.com.cn/sjzx/quotation_daily_new?start_date=2025-06-01&amp;end_date=2025-06-30&amp;inst_ids=Ag%28T%2BD%29&amp;p=</x:v>
      </x:c>
    </x:row>
    <x:row r="687">
      <x:c r="A687" s="155" t="n">
        <x:v>45832</x:v>
      </x:c>
      <x:c r="B687" s="141" t="str">
        <x:v>Au99.99</x:v>
      </x:c>
      <x:c r="C687" s="153" t="n">
        <x:v>782</x:v>
      </x:c>
      <x:c r="D687" s="153" t="n">
        <x:v>782.2</x:v>
      </x:c>
      <x:c r="E687" s="153" t="n">
        <x:v>767</x:v>
      </x:c>
      <x:c r="F687" s="153" t="n">
        <x:v>768.87</x:v>
      </x:c>
      <x:c r="G687" s="153" t="n">
        <x:v>-9.11</x:v>
      </x:c>
      <x:c r="H687" s="154" t="n">
        <x:v>-0.011699999999999999</x:v>
      </x:c>
      <x:c r="I687" s="158" t="n">
        <x:v>772.58</x:v>
      </x:c>
      <x:c r="J687" s="158" t="n">
        <x:v>12248.7</x:v>
      </x:c>
      <x:c r="K687" s="158" t="n">
        <x:v>9463117578.8</x:v>
      </x:c>
      <x:c r="L687" s="158"/>
      <x:c r="M687" s="141" t="str">
        <x:v>https://www.sge.com.cn/sjzx/quotation_daily_new?start_date=2025-06-01&amp;end_date=2025-06-30&amp;inst_ids=Au99.99&amp;p=</x:v>
      </x:c>
    </x:row>
    <x:row r="688">
      <x:c r="A688" s="155" t="n">
        <x:v>45833</x:v>
      </x:c>
      <x:c r="B688" s="141" t="str">
        <x:v>Ag(T+D)</x:v>
      </x:c>
      <x:c r="C688" s="153" t="n">
        <x:v>8723</x:v>
      </x:c>
      <x:c r="D688" s="153" t="n">
        <x:v>8723</x:v>
      </x:c>
      <x:c r="E688" s="153" t="n">
        <x:v>8540</x:v>
      </x:c>
      <x:c r="F688" s="153" t="n">
        <x:v>8698</x:v>
      </x:c>
      <x:c r="G688" s="153" t="n">
        <x:v>-22</x:v>
      </x:c>
      <x:c r="H688" s="154" t="n">
        <x:v>-0.0025</x:v>
      </x:c>
      <x:c r="I688" s="158" t="n">
        <x:v>8658</x:v>
      </x:c>
      <x:c r="J688" s="158" t="n">
        <x:v>388530</x:v>
      </x:c>
      <x:c r="K688" s="158" t="n">
        <x:v>3364169030</x:v>
      </x:c>
      <x:c r="L688" s="158" t="n">
        <x:v>3127796</x:v>
      </x:c>
      <x:c r="M688" s="141" t="str">
        <x:v>https://www.sge.com.cn/sjzx/quotation_daily_new?start_date=2025-06-01&amp;end_date=2025-06-30&amp;inst_ids=Ag%28T%2BD%29&amp;p=</x:v>
      </x:c>
    </x:row>
    <x:row r="689">
      <x:c r="A689" s="155" t="n">
        <x:v>45833</x:v>
      </x:c>
      <x:c r="B689" s="141" t="str">
        <x:v>Au99.99</x:v>
      </x:c>
      <x:c r="C689" s="153" t="n">
        <x:v>768</x:v>
      </x:c>
      <x:c r="D689" s="153" t="n">
        <x:v>772</x:v>
      </x:c>
      <x:c r="E689" s="153" t="n">
        <x:v>764</x:v>
      </x:c>
      <x:c r="F689" s="153" t="n">
        <x:v>771.49</x:v>
      </x:c>
      <x:c r="G689" s="153" t="n">
        <x:v>2.62</x:v>
      </x:c>
      <x:c r="H689" s="154" t="n">
        <x:v>0.0034000000000000002</x:v>
      </x:c>
      <x:c r="I689" s="158" t="n">
        <x:v>770.72</x:v>
      </x:c>
      <x:c r="J689" s="158" t="n">
        <x:v>8306.14</x:v>
      </x:c>
      <x:c r="K689" s="158" t="n">
        <x:v>6401786144.6</x:v>
      </x:c>
      <x:c r="L689" s="158"/>
      <x:c r="M689" s="141" t="str">
        <x:v>https://www.sge.com.cn/sjzx/quotation_daily_new?start_date=2025-06-01&amp;end_date=2025-06-30&amp;inst_ids=Au99.99&amp;p=</x:v>
      </x:c>
    </x:row>
    <x:row r="690">
      <x:c r="A690" s="155" t="n">
        <x:v>45834</x:v>
      </x:c>
      <x:c r="B690" s="141" t="str">
        <x:v>Ag(T+D)</x:v>
      </x:c>
      <x:c r="C690" s="153" t="n">
        <x:v>8650</x:v>
      </x:c>
      <x:c r="D690" s="153" t="n">
        <x:v>8777</x:v>
      </x:c>
      <x:c r="E690" s="153" t="n">
        <x:v>8641</x:v>
      </x:c>
      <x:c r="F690" s="153" t="n">
        <x:v>8773</x:v>
      </x:c>
      <x:c r="G690" s="153" t="n">
        <x:v>115</x:v>
      </x:c>
      <x:c r="H690" s="154" t="n">
        <x:v>0.013300000000000001</x:v>
      </x:c>
      <x:c r="I690" s="158" t="n">
        <x:v>8739</x:v>
      </x:c>
      <x:c r="J690" s="158" t="n">
        <x:v>371636</x:v>
      </x:c>
      <x:c r="K690" s="158" t="n">
        <x:v>3247999980</x:v>
      </x:c>
      <x:c r="L690" s="158" t="n">
        <x:v>3182526</x:v>
      </x:c>
      <x:c r="M690" s="141" t="str">
        <x:v>https://www.sge.com.cn/sjzx/quotation_daily_new?start_date=2025-06-01&amp;end_date=2025-06-30&amp;inst_ids=Ag%28T%2BD%29&amp;p=</x:v>
      </x:c>
    </x:row>
    <x:row r="691">
      <x:c r="A691" s="155" t="n">
        <x:v>45834</x:v>
      </x:c>
      <x:c r="B691" s="141" t="str">
        <x:v>Au99.99</x:v>
      </x:c>
      <x:c r="C691" s="153" t="n">
        <x:v>770</x:v>
      </x:c>
      <x:c r="D691" s="153" t="n">
        <x:v>774</x:v>
      </x:c>
      <x:c r="E691" s="153" t="n">
        <x:v>768</x:v>
      </x:c>
      <x:c r="F691" s="153" t="n">
        <x:v>773.64</x:v>
      </x:c>
      <x:c r="G691" s="153" t="n">
        <x:v>2.15</x:v>
      </x:c>
      <x:c r="H691" s="154" t="n">
        <x:v>0.0028000000000000004</x:v>
      </x:c>
      <x:c r="I691" s="158" t="n">
        <x:v>771.42</x:v>
      </x:c>
      <x:c r="J691" s="158" t="n">
        <x:v>7384.72</x:v>
      </x:c>
      <x:c r="K691" s="158" t="n">
        <x:v>5696773097.2</x:v>
      </x:c>
      <x:c r="L691" s="158"/>
      <x:c r="M691" s="141" t="str">
        <x:v>https://www.sge.com.cn/sjzx/quotation_daily_new?start_date=2025-06-01&amp;end_date=2025-06-30&amp;inst_ids=Au99.99&amp;p=</x:v>
      </x:c>
    </x:row>
    <x:row r="692">
      <x:c r="A692" s="155" t="n">
        <x:v>45835</x:v>
      </x:c>
      <x:c r="B692" s="141" t="str">
        <x:v>Ag(T+D)</x:v>
      </x:c>
      <x:c r="C692" s="153" t="n">
        <x:v>8800</x:v>
      </x:c>
      <x:c r="D692" s="153" t="n">
        <x:v>8829</x:v>
      </x:c>
      <x:c r="E692" s="153" t="n">
        <x:v>8720</x:v>
      </x:c>
      <x:c r="F692" s="153" t="n">
        <x:v>8748</x:v>
      </x:c>
      <x:c r="G692" s="153" t="n">
        <x:v>9</x:v>
      </x:c>
      <x:c r="H692" s="154" t="n">
        <x:v>0.001</x:v>
      </x:c>
      <x:c r="I692" s="158" t="n">
        <x:v>8790</x:v>
      </x:c>
      <x:c r="J692" s="158" t="n">
        <x:v>477072</x:v>
      </x:c>
      <x:c r="K692" s="158" t="n">
        <x:v>4193469596</x:v>
      </x:c>
      <x:c r="L692" s="158" t="n">
        <x:v>3111050</x:v>
      </x:c>
      <x:c r="M692" s="141" t="str">
        <x:v>https://www.sge.com.cn/sjzx/quotation_daily_new?start_date=2025-06-01&amp;end_date=2025-06-30&amp;inst_ids=Ag%28T%2BD%29&amp;p=</x:v>
      </x:c>
    </x:row>
    <x:row r="693">
      <x:c r="A693" s="155" t="n">
        <x:v>45835</x:v>
      </x:c>
      <x:c r="B693" s="141" t="str">
        <x:v>Au99.99</x:v>
      </x:c>
      <x:c r="C693" s="153" t="n">
        <x:v>772.03</x:v>
      </x:c>
      <x:c r="D693" s="153" t="n">
        <x:v>772.03</x:v>
      </x:c>
      <x:c r="E693" s="153" t="n">
        <x:v>762.2</x:v>
      </x:c>
      <x:c r="F693" s="153" t="n">
        <x:v>763.3</x:v>
      </x:c>
      <x:c r="G693" s="153" t="n">
        <x:v>-10.34</x:v>
      </x:c>
      <x:c r="H693" s="154" t="n">
        <x:v>-0.0134</x:v>
      </x:c>
      <x:c r="I693" s="158" t="n">
        <x:v>765.24</x:v>
      </x:c>
      <x:c r="J693" s="158" t="n">
        <x:v>9938.24</x:v>
      </x:c>
      <x:c r="K693" s="158" t="n">
        <x:v>7605171370</x:v>
      </x:c>
      <x:c r="L693" s="158"/>
      <x:c r="M693" s="141" t="str">
        <x:v>https://www.sge.com.cn/sjzx/quotation_daily_new?start_date=2025-06-01&amp;end_date=2025-06-30&amp;inst_ids=Au99.99&amp;p=</x:v>
      </x:c>
    </x:row>
    <x:row r="694">
      <x:c r="A694" s="155" t="n">
        <x:v>45838</x:v>
      </x:c>
      <x:c r="B694" s="141" t="str">
        <x:v>Ag(T+D)</x:v>
      </x:c>
      <x:c r="C694" s="153" t="n">
        <x:v>8699</x:v>
      </x:c>
      <x:c r="D694" s="153" t="n">
        <x:v>8747</x:v>
      </x:c>
      <x:c r="E694" s="153" t="n">
        <x:v>8646</x:v>
      </x:c>
      <x:c r="F694" s="153" t="n">
        <x:v>8728</x:v>
      </x:c>
      <x:c r="G694" s="153" t="n">
        <x:v>-62</x:v>
      </x:c>
      <x:c r="H694" s="154" t="n">
        <x:v>-0.0070999999999999995</x:v>
      </x:c>
      <x:c r="I694" s="158" t="n">
        <x:v>8697</x:v>
      </x:c>
      <x:c r="J694" s="158" t="n">
        <x:v>487620</x:v>
      </x:c>
      <x:c r="K694" s="158" t="n">
        <x:v>4241015956</x:v>
      </x:c>
      <x:c r="L694" s="158" t="n">
        <x:v>3144678</x:v>
      </x:c>
      <x:c r="M694" s="141" t="str">
        <x:v>https://www.sge.com.cn/sjzx/quotation_daily_new?start_date=2025-06-01&amp;end_date=2025-06-30&amp;inst_ids=Ag%28T%2BD%29&amp;p=</x:v>
      </x:c>
    </x:row>
    <x:row r="695">
      <x:c r="A695" s="155" t="n">
        <x:v>45838</x:v>
      </x:c>
      <x:c r="B695" s="141" t="str">
        <x:v>Au99.99</x:v>
      </x:c>
      <x:c r="C695" s="153" t="n">
        <x:v>760</x:v>
      </x:c>
      <x:c r="D695" s="153" t="n">
        <x:v>765</x:v>
      </x:c>
      <x:c r="E695" s="153" t="n">
        <x:v>756</x:v>
      </x:c>
      <x:c r="F695" s="153" t="n">
        <x:v>764.43</x:v>
      </x:c>
      <x:c r="G695" s="153" t="n">
        <x:v>1.13</x:v>
      </x:c>
      <x:c r="H695" s="154" t="n">
        <x:v>0.0015</x:v>
      </x:c>
      <x:c r="I695" s="158" t="n">
        <x:v>761.92</x:v>
      </x:c>
      <x:c r="J695" s="158" t="n">
        <x:v>9707.34</x:v>
      </x:c>
      <x:c r="K695" s="158" t="n">
        <x:v>7396232242</x:v>
      </x:c>
      <x:c r="L695" s="158"/>
      <x:c r="M695" s="141" t="str">
        <x:v>https://www.sge.com.cn/sjzx/quotation_daily_new?start_date=2025-06-01&amp;end_date=2025-06-30&amp;inst_ids=Au99.99&amp;p=</x:v>
      </x:c>
    </x:row>
    <x:row r="696">
      <x:c r="A696" s="155" t="n">
        <x:v>45842</x:v>
      </x:c>
      <x:c r="B696" s="141" t="str">
        <x:v>Ag(T+D)</x:v>
      </x:c>
      <x:c r="C696" s="153" t="n">
        <x:v>8920</x:v>
      </x:c>
      <x:c r="D696" s="153" t="n">
        <x:v>8930</x:v>
      </x:c>
      <x:c r="E696" s="153" t="n">
        <x:v>8849</x:v>
      </x:c>
      <x:c r="F696" s="153" t="n">
        <x:v>8885</x:v>
      </x:c>
      <x:c r="G696" s="153" t="n">
        <x:v>19</x:v>
      </x:c>
      <x:c r="H696" s="154" t="n">
        <x:v>0.0021</x:v>
      </x:c>
      <x:c r="I696" s="158" t="n">
        <x:v>8902</x:v>
      </x:c>
      <x:c r="J696" s="158" t="n">
        <x:v>415618</x:v>
      </x:c>
      <x:c r="K696" s="158" t="n">
        <x:v>3700141814</x:v>
      </x:c>
      <x:c r="L696" s="158" t="n">
        <x:v>3258774</x:v>
      </x:c>
      <x:c r="M696" s="141" t="str">
        <x:v>https://www.sge.com.cn/sjzx/quotation_daily_new?start_date=2025-07-01&amp;end_date=2025-07-31&amp;inst_ids=Ag%28T%2BD%29&amp;p=</x:v>
      </x:c>
    </x:row>
    <x:row r="697">
      <x:c r="A697" s="155" t="n">
        <x:v>45842</x:v>
      </x:c>
      <x:c r="B697" s="141" t="str">
        <x:v>Au99.99</x:v>
      </x:c>
      <x:c r="C697" s="153" t="n">
        <x:v>772</x:v>
      </x:c>
      <x:c r="D697" s="153" t="n">
        <x:v>773.5</x:v>
      </x:c>
      <x:c r="E697" s="153" t="n">
        <x:v>768</x:v>
      </x:c>
      <x:c r="F697" s="153" t="n">
        <x:v>771.9</x:v>
      </x:c>
      <x:c r="G697" s="153" t="n">
        <x:v>-4.24</x:v>
      </x:c>
      <x:c r="H697" s="154" t="n">
        <x:v>-0.0055000000000000005</x:v>
      </x:c>
      <x:c r="I697" s="158" t="n">
        <x:v>771.88</x:v>
      </x:c>
      <x:c r="J697" s="158" t="n">
        <x:v>7609</x:v>
      </x:c>
      <x:c r="K697" s="158" t="n">
        <x:v>5873265631.6</x:v>
      </x:c>
      <x:c r="L697" s="158"/>
      <x:c r="M697" s="141" t="str">
        <x:v>https://www.sge.com.cn/sjzx/quotation_daily_new?start_date=2025-07-01&amp;end_date=2025-07-31&amp;inst_ids=Au99.99&amp;p=</x:v>
      </x:c>
    </x:row>
    <x:row r="698">
      <x:c r="A698" s="155" t="n">
        <x:v>45845</x:v>
      </x:c>
      <x:c r="B698" s="141" t="str">
        <x:v>Ag(T+D)</x:v>
      </x:c>
      <x:c r="C698" s="153" t="n">
        <x:v>8905</x:v>
      </x:c>
      <x:c r="D698" s="153" t="n">
        <x:v>8935</x:v>
      </x:c>
      <x:c r="E698" s="153" t="n">
        <x:v>8830</x:v>
      </x:c>
      <x:c r="F698" s="153" t="n">
        <x:v>8860</x:v>
      </x:c>
      <x:c r="G698" s="153" t="n">
        <x:v>-42</x:v>
      </x:c>
      <x:c r="H698" s="154" t="n">
        <x:v>-0.004699999999999999</x:v>
      </x:c>
      <x:c r="I698" s="158" t="n">
        <x:v>8883</x:v>
      </x:c>
      <x:c r="J698" s="158" t="n">
        <x:v>549594</x:v>
      </x:c>
      <x:c r="K698" s="158" t="n">
        <x:v>4882373924</x:v>
      </x:c>
      <x:c r="L698" s="158" t="n">
        <x:v>3325506</x:v>
      </x:c>
      <x:c r="M698" s="141" t="str">
        <x:v>https://www.sge.com.cn/sjzx/quotation_daily_new?start_date=2025-07-01&amp;end_date=2025-07-31&amp;inst_ids=Ag%28T%2BD%29&amp;p=</x:v>
      </x:c>
    </x:row>
    <x:row r="699">
      <x:c r="A699" s="155" t="n">
        <x:v>45845</x:v>
      </x:c>
      <x:c r="B699" s="141" t="str">
        <x:v>Au99.99</x:v>
      </x:c>
      <x:c r="C699" s="153" t="n">
        <x:v>772.5</x:v>
      </x:c>
      <x:c r="D699" s="153" t="n">
        <x:v>773.3</x:v>
      </x:c>
      <x:c r="E699" s="153" t="n">
        <x:v>765.9</x:v>
      </x:c>
      <x:c r="F699" s="153" t="n">
        <x:v>767.75</x:v>
      </x:c>
      <x:c r="G699" s="153" t="n">
        <x:v>-4.15</x:v>
      </x:c>
      <x:c r="H699" s="154" t="n">
        <x:v>-0.0054</x:v>
      </x:c>
      <x:c r="I699" s="158" t="n">
        <x:v>767.25</x:v>
      </x:c>
      <x:c r="J699" s="158" t="n">
        <x:v>5503.6</x:v>
      </x:c>
      <x:c r="K699" s="158" t="n">
        <x:v>4222665748.4</x:v>
      </x:c>
      <x:c r="L699" s="158"/>
      <x:c r="M699" s="141" t="str">
        <x:v>https://www.sge.com.cn/sjzx/quotation_daily_new?start_date=2025-07-01&amp;end_date=2025-07-31&amp;inst_ids=Au99.99&amp;p=</x:v>
      </x:c>
    </x:row>
    <x:row r="700">
      <x:c r="A700" s="155" t="n">
        <x:v>45846</x:v>
      </x:c>
      <x:c r="B700" s="141" t="str">
        <x:v>Ag(T+D)</x:v>
      </x:c>
      <x:c r="C700" s="153" t="n">
        <x:v>8803</x:v>
      </x:c>
      <x:c r="D700" s="153" t="n">
        <x:v>8930</x:v>
      </x:c>
      <x:c r="E700" s="153" t="n">
        <x:v>8791</x:v>
      </x:c>
      <x:c r="F700" s="153" t="n">
        <x:v>8923</x:v>
      </x:c>
      <x:c r="G700" s="153" t="n">
        <x:v>40</x:v>
      </x:c>
      <x:c r="H700" s="154" t="n">
        <x:v>0.0045000000000000005</x:v>
      </x:c>
      <x:c r="I700" s="158" t="n">
        <x:v>8883</x:v>
      </x:c>
      <x:c r="J700" s="158" t="n">
        <x:v>319210</x:v>
      </x:c>
      <x:c r="K700" s="158" t="n">
        <x:v>2835611264</x:v>
      </x:c>
      <x:c r="L700" s="158" t="n">
        <x:v>3338888</x:v>
      </x:c>
      <x:c r="M700" s="141" t="str">
        <x:v>https://www.sge.com.cn/sjzx/quotation_daily_new?start_date=2025-07-01&amp;end_date=2025-07-31&amp;inst_ids=Ag%28T%2BD%29&amp;p=</x:v>
      </x:c>
    </x:row>
    <x:row r="701">
      <x:c r="A701" s="155" t="n">
        <x:v>45846</x:v>
      </x:c>
      <x:c r="B701" s="141" t="str">
        <x:v>Au99.99</x:v>
      </x:c>
      <x:c r="C701" s="153" t="n">
        <x:v>766</x:v>
      </x:c>
      <x:c r="D701" s="153" t="n">
        <x:v>773.29</x:v>
      </x:c>
      <x:c r="E701" s="153" t="n">
        <x:v>765.01</x:v>
      </x:c>
      <x:c r="F701" s="153" t="n">
        <x:v>771.48</x:v>
      </x:c>
      <x:c r="G701" s="153" t="n">
        <x:v>3.73</x:v>
      </x:c>
      <x:c r="H701" s="154" t="n">
        <x:v>0.0049</x:v>
      </x:c>
      <x:c r="I701" s="158" t="n">
        <x:v>772.14</x:v>
      </x:c>
      <x:c r="J701" s="158" t="n">
        <x:v>5437.24</x:v>
      </x:c>
      <x:c r="K701" s="158" t="n">
        <x:v>4198358964.8</x:v>
      </x:c>
      <x:c r="L701" s="158"/>
      <x:c r="M701" s="141" t="str">
        <x:v>https://www.sge.com.cn/sjzx/quotation_daily_new?start_date=2025-07-01&amp;end_date=2025-07-31&amp;inst_ids=Au99.99&amp;p=</x:v>
      </x:c>
    </x:row>
    <x:row r="702">
      <x:c r="A702" s="155" t="n">
        <x:v>45847</x:v>
      </x:c>
      <x:c r="B702" s="141" t="str">
        <x:v>Ag(T+D)</x:v>
      </x:c>
      <x:c r="C702" s="153" t="n">
        <x:v>8882</x:v>
      </x:c>
      <x:c r="D702" s="153" t="n">
        <x:v>8907</x:v>
      </x:c>
      <x:c r="E702" s="153" t="n">
        <x:v>8815</x:v>
      </x:c>
      <x:c r="F702" s="153" t="n">
        <x:v>8850</x:v>
      </x:c>
      <x:c r="G702" s="153" t="n">
        <x:v>-33</x:v>
      </x:c>
      <x:c r="H702" s="154" t="n">
        <x:v>-0.0037</x:v>
      </x:c>
      <x:c r="I702" s="158" t="n">
        <x:v>8868</x:v>
      </x:c>
      <x:c r="J702" s="158" t="n">
        <x:v>502922</x:v>
      </x:c>
      <x:c r="K702" s="158" t="n">
        <x:v>4460065028</x:v>
      </x:c>
      <x:c r="L702" s="158" t="n">
        <x:v>3217724</x:v>
      </x:c>
      <x:c r="M702" s="141" t="str">
        <x:v>https://www.sge.com.cn/sjzx/quotation_daily_new?start_date=2025-07-01&amp;end_date=2025-07-31&amp;inst_ids=Ag%28T%2BD%29&amp;p=</x:v>
      </x:c>
    </x:row>
    <x:row r="703">
      <x:c r="A703" s="155" t="n">
        <x:v>45847</x:v>
      </x:c>
      <x:c r="B703" s="141" t="str">
        <x:v>Au99.99</x:v>
      </x:c>
      <x:c r="C703" s="153" t="n">
        <x:v>770</x:v>
      </x:c>
      <x:c r="D703" s="153" t="n">
        <x:v>771.3</x:v>
      </x:c>
      <x:c r="E703" s="153" t="n">
        <x:v>761</x:v>
      </x:c>
      <x:c r="F703" s="153" t="n">
        <x:v>763.38</x:v>
      </x:c>
      <x:c r="G703" s="153" t="n">
        <x:v>-8.1</x:v>
      </x:c>
      <x:c r="H703" s="154" t="n">
        <x:v>-0.0105</x:v>
      </x:c>
      <x:c r="I703" s="158" t="n">
        <x:v>763.9</x:v>
      </x:c>
      <x:c r="J703" s="158" t="n">
        <x:v>8163.06</x:v>
      </x:c>
      <x:c r="K703" s="158" t="n">
        <x:v>6235805590.8</x:v>
      </x:c>
      <x:c r="L703" s="158"/>
      <x:c r="M703" s="141" t="str">
        <x:v>https://www.sge.com.cn/sjzx/quotation_daily_new?start_date=2025-07-01&amp;end_date=2025-07-31&amp;inst_ids=Au99.99&amp;p=</x:v>
      </x:c>
    </x:row>
    <x:row r="704">
      <x:c r="A704" s="155" t="n">
        <x:v>45848</x:v>
      </x:c>
      <x:c r="B704" s="141" t="str">
        <x:v>Ag(T+D)</x:v>
      </x:c>
      <x:c r="C704" s="153" t="n">
        <x:v>8841</x:v>
      </x:c>
      <x:c r="D704" s="153" t="n">
        <x:v>8906</x:v>
      </x:c>
      <x:c r="E704" s="153" t="n">
        <x:v>8821</x:v>
      </x:c>
      <x:c r="F704" s="153" t="n">
        <x:v>8899</x:v>
      </x:c>
      <x:c r="G704" s="153" t="n">
        <x:v>31</x:v>
      </x:c>
      <x:c r="H704" s="154" t="n">
        <x:v>0.0034999999999999996</x:v>
      </x:c>
      <x:c r="I704" s="158" t="n">
        <x:v>8852</x:v>
      </x:c>
      <x:c r="J704" s="158" t="n">
        <x:v>325118</x:v>
      </x:c>
      <x:c r="K704" s="158" t="n">
        <x:v>2877976096</x:v>
      </x:c>
      <x:c r="L704" s="158" t="n">
        <x:v>3163754</x:v>
      </x:c>
      <x:c r="M704" s="141" t="str">
        <x:v>https://www.sge.com.cn/sjzx/quotation_daily_new?start_date=2025-07-01&amp;end_date=2025-07-31&amp;inst_ids=Ag%28T%2BD%29&amp;p=</x:v>
      </x:c>
    </x:row>
    <x:row r="705">
      <x:c r="A705" s="155" t="n">
        <x:v>45848</x:v>
      </x:c>
      <x:c r="B705" s="141" t="str">
        <x:v>Au99.99</x:v>
      </x:c>
      <x:c r="C705" s="153" t="n">
        <x:v>763</x:v>
      </x:c>
      <x:c r="D705" s="153" t="n">
        <x:v>770</x:v>
      </x:c>
      <x:c r="E705" s="153" t="n">
        <x:v>763</x:v>
      </x:c>
      <x:c r="F705" s="153" t="n">
        <x:v>769.73</x:v>
      </x:c>
      <x:c r="G705" s="153" t="n">
        <x:v>6.35</x:v>
      </x:c>
      <x:c r="H705" s="154" t="n">
        <x:v>0.0083</x:v>
      </x:c>
      <x:c r="I705" s="158" t="n">
        <x:v>769.11</x:v>
      </x:c>
      <x:c r="J705" s="158" t="n">
        <x:v>6172.3</x:v>
      </x:c>
      <x:c r="K705" s="158" t="n">
        <x:v>4747207503</x:v>
      </x:c>
      <x:c r="L705" s="158"/>
      <x:c r="M705" s="141" t="str">
        <x:v>https://www.sge.com.cn/sjzx/quotation_daily_new?start_date=2025-07-01&amp;end_date=2025-07-31&amp;inst_ids=Au99.99&amp;p=</x:v>
      </x:c>
    </x:row>
    <x:row r="706">
      <x:c r="A706" s="155" t="n">
        <x:v>45849</x:v>
      </x:c>
      <x:c r="B706" s="141" t="str">
        <x:v>Ag(T+D)</x:v>
      </x:c>
      <x:c r="C706" s="153" t="n">
        <x:v>8890</x:v>
      </x:c>
      <x:c r="D706" s="153" t="n">
        <x:v>9070</x:v>
      </x:c>
      <x:c r="E706" s="153" t="n">
        <x:v>8885</x:v>
      </x:c>
      <x:c r="F706" s="153" t="n">
        <x:v>9028</x:v>
      </x:c>
      <x:c r="G706" s="153" t="n">
        <x:v>176</x:v>
      </x:c>
      <x:c r="H706" s="154" t="n">
        <x:v>0.0199</x:v>
      </x:c>
      <x:c r="I706" s="158" t="n">
        <x:v>8997</x:v>
      </x:c>
      <x:c r="J706" s="158" t="n">
        <x:v>632508</x:v>
      </x:c>
      <x:c r="K706" s="158" t="n">
        <x:v>5690693542</x:v>
      </x:c>
      <x:c r="L706" s="158" t="n">
        <x:v>3287648</x:v>
      </x:c>
      <x:c r="M706" s="141" t="str">
        <x:v>https://www.sge.com.cn/sjzx/quotation_daily_new?start_date=2025-07-01&amp;end_date=2025-07-31&amp;inst_ids=Ag%28T%2BD%29&amp;p=</x:v>
      </x:c>
    </x:row>
    <x:row r="707">
      <x:c r="A707" s="155" t="n">
        <x:v>45849</x:v>
      </x:c>
      <x:c r="B707" s="141" t="str">
        <x:v>Au99.99</x:v>
      </x:c>
      <x:c r="C707" s="153" t="n">
        <x:v>767.4</x:v>
      </x:c>
      <x:c r="D707" s="153" t="n">
        <x:v>771.8</x:v>
      </x:c>
      <x:c r="E707" s="153" t="n">
        <x:v>767.4</x:v>
      </x:c>
      <x:c r="F707" s="153" t="n">
        <x:v>769.66</x:v>
      </x:c>
      <x:c r="G707" s="153" t="n">
        <x:v>-0.07</x:v>
      </x:c>
      <x:c r="H707" s="154" t="n">
        <x:v>-0.0001</x:v>
      </x:c>
      <x:c r="I707" s="158" t="n">
        <x:v>770.44</x:v>
      </x:c>
      <x:c r="J707" s="158" t="n">
        <x:v>4892.84</x:v>
      </x:c>
      <x:c r="K707" s="158" t="n">
        <x:v>3769656995.2</x:v>
      </x:c>
      <x:c r="L707" s="158"/>
      <x:c r="M707" s="141" t="str">
        <x:v>https://www.sge.com.cn/sjzx/quotation_daily_new?start_date=2025-07-01&amp;end_date=2025-07-31&amp;inst_ids=Au99.99&amp;p=</x:v>
      </x:c>
    </x:row>
    <x:row r="708">
      <x:c r="A708" s="155" t="n">
        <x:v>45852</x:v>
      </x:c>
      <x:c r="B708" s="141" t="str">
        <x:v>Ag(T+D)</x:v>
      </x:c>
      <x:c r="C708" s="153" t="n">
        <x:v>9080</x:v>
      </x:c>
      <x:c r="D708" s="153" t="n">
        <x:v>9233</x:v>
      </x:c>
      <x:c r="E708" s="153" t="n">
        <x:v>9054</x:v>
      </x:c>
      <x:c r="F708" s="153" t="n">
        <x:v>9172</x:v>
      </x:c>
      <x:c r="G708" s="153" t="n">
        <x:v>175</x:v>
      </x:c>
      <x:c r="H708" s="154" t="n">
        <x:v>0.0195</x:v>
      </x:c>
      <x:c r="I708" s="158" t="n">
        <x:v>9156</x:v>
      </x:c>
      <x:c r="J708" s="158" t="n">
        <x:v>1017134</x:v>
      </x:c>
      <x:c r="K708" s="158" t="n">
        <x:v>9313059288</x:v>
      </x:c>
      <x:c r="L708" s="158" t="n">
        <x:v>3243004</x:v>
      </x:c>
      <x:c r="M708" s="141" t="str">
        <x:v>https://www.sge.com.cn/sjzx/quotation_daily_new?start_date=2025-07-01&amp;end_date=2025-07-31&amp;inst_ids=Ag%28T%2BD%29&amp;p=</x:v>
      </x:c>
    </x:row>
    <x:row r="709">
      <x:c r="A709" s="155" t="n">
        <x:v>45852</x:v>
      </x:c>
      <x:c r="B709" s="141" t="str">
        <x:v>Au99.99</x:v>
      </x:c>
      <x:c r="C709" s="153" t="n">
        <x:v>764</x:v>
      </x:c>
      <x:c r="D709" s="153" t="n">
        <x:v>777.5</x:v>
      </x:c>
      <x:c r="E709" s="153" t="n">
        <x:v>764</x:v>
      </x:c>
      <x:c r="F709" s="153" t="n">
        <x:v>777.4</x:v>
      </x:c>
      <x:c r="G709" s="153" t="n">
        <x:v>7.74</x:v>
      </x:c>
      <x:c r="H709" s="154" t="n">
        <x:v>0.0101</x:v>
      </x:c>
      <x:c r="I709" s="158" t="n">
        <x:v>774.85</x:v>
      </x:c>
      <x:c r="J709" s="158" t="n">
        <x:v>9075.38</x:v>
      </x:c>
      <x:c r="K709" s="158" t="n">
        <x:v>7032141351.2</x:v>
      </x:c>
      <x:c r="L709" s="158"/>
      <x:c r="M709" s="141" t="str">
        <x:v>https://www.sge.com.cn/sjzx/quotation_daily_new?start_date=2025-07-01&amp;end_date=2025-07-31&amp;inst_ids=Au99.99&amp;p=</x:v>
      </x:c>
    </x:row>
    <x:row r="710">
      <x:c r="A710" s="155" t="n">
        <x:v>45853</x:v>
      </x:c>
      <x:c r="B710" s="141" t="str">
        <x:v>Ag(T+D)</x:v>
      </x:c>
      <x:c r="C710" s="153" t="n">
        <x:v>9162</x:v>
      </x:c>
      <x:c r="D710" s="153" t="n">
        <x:v>9189</x:v>
      </x:c>
      <x:c r="E710" s="153" t="n">
        <x:v>9117</x:v>
      </x:c>
      <x:c r="F710" s="153" t="n">
        <x:v>9184</x:v>
      </x:c>
      <x:c r="G710" s="153" t="n">
        <x:v>28</x:v>
      </x:c>
      <x:c r="H710" s="154" t="n">
        <x:v>0.0031</x:v>
      </x:c>
      <x:c r="I710" s="158" t="n">
        <x:v>9155</x:v>
      </x:c>
      <x:c r="J710" s="158" t="n">
        <x:v>489788</x:v>
      </x:c>
      <x:c r="K710" s="158" t="n">
        <x:v>4484059734</x:v>
      </x:c>
      <x:c r="L710" s="158" t="n">
        <x:v>3257966</x:v>
      </x:c>
      <x:c r="M710" s="141" t="str">
        <x:v>https://www.sge.com.cn/sjzx/quotation_daily_new?start_date=2025-07-01&amp;end_date=2025-07-31&amp;inst_ids=Ag%28T%2BD%29&amp;p=</x:v>
      </x:c>
    </x:row>
    <x:row r="711">
      <x:c r="A711" s="155" t="n">
        <x:v>45853</x:v>
      </x:c>
      <x:c r="B711" s="141" t="str">
        <x:v>Au99.99</x:v>
      </x:c>
      <x:c r="C711" s="153" t="n">
        <x:v>776</x:v>
      </x:c>
      <x:c r="D711" s="153" t="n">
        <x:v>778</x:v>
      </x:c>
      <x:c r="E711" s="153" t="n">
        <x:v>772</x:v>
      </x:c>
      <x:c r="F711" s="153" t="n">
        <x:v>776.02</x:v>
      </x:c>
      <x:c r="G711" s="153" t="n">
        <x:v>-1.38</x:v>
      </x:c>
      <x:c r="H711" s="154" t="n">
        <x:v>-0.0018</x:v>
      </x:c>
      <x:c r="I711" s="158" t="n">
        <x:v>774.78</x:v>
      </x:c>
      <x:c r="J711" s="158" t="n">
        <x:v>6994.42</x:v>
      </x:c>
      <x:c r="K711" s="158" t="n">
        <x:v>5419190282</x:v>
      </x:c>
      <x:c r="L711" s="158"/>
      <x:c r="M711" s="141" t="str">
        <x:v>https://www.sge.com.cn/sjzx/quotation_daily_new?start_date=2025-07-01&amp;end_date=2025-07-31&amp;inst_ids=Au99.99&amp;p=</x:v>
      </x:c>
    </x:row>
    <x:row r="712">
      <x:c r="A712" s="155" t="n">
        <x:v>45854</x:v>
      </x:c>
      <x:c r="B712" s="141" t="str">
        <x:v>Ag(T+D)</x:v>
      </x:c>
      <x:c r="C712" s="153" t="n">
        <x:v>9184</x:v>
      </x:c>
      <x:c r="D712" s="153" t="n">
        <x:v>9185</x:v>
      </x:c>
      <x:c r="E712" s="153" t="n">
        <x:v>9071</x:v>
      </x:c>
      <x:c r="F712" s="153" t="n">
        <x:v>9109</x:v>
      </x:c>
      <x:c r="G712" s="153" t="n">
        <x:v>-46</x:v>
      </x:c>
      <x:c r="H712" s="154" t="n">
        <x:v>-0.005</x:v>
      </x:c>
      <x:c r="I712" s="158" t="n">
        <x:v>9114</x:v>
      </x:c>
      <x:c r="J712" s="158" t="n">
        <x:v>483798</x:v>
      </x:c>
      <x:c r="K712" s="158" t="n">
        <x:v>4409778612</x:v>
      </x:c>
      <x:c r="L712" s="158" t="n">
        <x:v>3334284</x:v>
      </x:c>
      <x:c r="M712" s="141" t="str">
        <x:v>https://www.sge.com.cn/sjzx/quotation_daily_new?start_date=2025-07-01&amp;end_date=2025-07-31&amp;inst_ids=Ag%28T%2BD%29&amp;p=</x:v>
      </x:c>
    </x:row>
    <x:row r="713">
      <x:c r="A713" s="155" t="n">
        <x:v>45854</x:v>
      </x:c>
      <x:c r="B713" s="141" t="str">
        <x:v>Au99.99</x:v>
      </x:c>
      <x:c r="C713" s="153" t="n">
        <x:v>774.5</x:v>
      </x:c>
      <x:c r="D713" s="153" t="n">
        <x:v>774.5</x:v>
      </x:c>
      <x:c r="E713" s="153" t="n">
        <x:v>770</x:v>
      </x:c>
      <x:c r="F713" s="153" t="n">
        <x:v>772.4</x:v>
      </x:c>
      <x:c r="G713" s="153" t="n">
        <x:v>-3.62</x:v>
      </x:c>
      <x:c r="H713" s="154" t="n">
        <x:v>-0.004699999999999999</x:v>
      </x:c>
      <x:c r="I713" s="158" t="n">
        <x:v>771.69</x:v>
      </x:c>
      <x:c r="J713" s="158" t="n">
        <x:v>5753.88</x:v>
      </x:c>
      <x:c r="K713" s="158" t="n">
        <x:v>4440252613.2</x:v>
      </x:c>
      <x:c r="L713" s="158"/>
      <x:c r="M713" s="141" t="str">
        <x:v>https://www.sge.com.cn/sjzx/quotation_daily_new?start_date=2025-07-01&amp;end_date=2025-07-31&amp;inst_ids=Au99.99&amp;p=</x:v>
      </x:c>
    </x:row>
    <x:row r="714">
      <x:c r="A714" s="155" t="n">
        <x:v>45855</x:v>
      </x:c>
      <x:c r="B714" s="141" t="str">
        <x:v>Ag(T+D)</x:v>
      </x:c>
      <x:c r="C714" s="153" t="n">
        <x:v>9107</x:v>
      </x:c>
      <x:c r="D714" s="153" t="n">
        <x:v>9147</x:v>
      </x:c>
      <x:c r="E714" s="153" t="n">
        <x:v>9050</x:v>
      </x:c>
      <x:c r="F714" s="153" t="n">
        <x:v>9123</x:v>
      </x:c>
      <x:c r="G714" s="153" t="n">
        <x:v>9</x:v>
      </x:c>
      <x:c r="H714" s="154" t="n">
        <x:v>0.001</x:v>
      </x:c>
      <x:c r="I714" s="158" t="n">
        <x:v>9115</x:v>
      </x:c>
      <x:c r="J714" s="158" t="n">
        <x:v>281830</x:v>
      </x:c>
      <x:c r="K714" s="158" t="n">
        <x:v>2569127106</x:v>
      </x:c>
      <x:c r="L714" s="158" t="n">
        <x:v>3331190</x:v>
      </x:c>
      <x:c r="M714" s="141" t="str">
        <x:v>https://www.sge.com.cn/sjzx/quotation_daily_new?start_date=2025-07-01&amp;end_date=2025-07-31&amp;inst_ids=Ag%28T%2BD%29&amp;p=</x:v>
      </x:c>
    </x:row>
    <x:row r="715">
      <x:c r="A715" s="155" t="n">
        <x:v>45855</x:v>
      </x:c>
      <x:c r="B715" s="141" t="str">
        <x:v>Au99.99</x:v>
      </x:c>
      <x:c r="C715" s="153" t="n">
        <x:v>773</x:v>
      </x:c>
      <x:c r="D715" s="153" t="n">
        <x:v>778</x:v>
      </x:c>
      <x:c r="E715" s="153" t="n">
        <x:v>769.3</x:v>
      </x:c>
      <x:c r="F715" s="153" t="n">
        <x:v>770.91</x:v>
      </x:c>
      <x:c r="G715" s="153" t="n">
        <x:v>-1.49</x:v>
      </x:c>
      <x:c r="H715" s="154" t="n">
        <x:v>-0.0019</x:v>
      </x:c>
      <x:c r="I715" s="158" t="n">
        <x:v>772.39</x:v>
      </x:c>
      <x:c r="J715" s="158" t="n">
        <x:v>6456.68</x:v>
      </x:c>
      <x:c r="K715" s="158" t="n">
        <x:v>4987125771.2</x:v>
      </x:c>
      <x:c r="L715" s="158"/>
      <x:c r="M715" s="141" t="str">
        <x:v>https://www.sge.com.cn/sjzx/quotation_daily_new?start_date=2025-07-01&amp;end_date=2025-07-31&amp;inst_ids=Au99.99&amp;p=</x:v>
      </x:c>
    </x:row>
    <x:row r="716">
      <x:c r="A716" s="155" t="n">
        <x:v>45856</x:v>
      </x:c>
      <x:c r="B716" s="141" t="str">
        <x:v>Ag(T+D)</x:v>
      </x:c>
      <x:c r="C716" s="153" t="n">
        <x:v>9110</x:v>
      </x:c>
      <x:c r="D716" s="153" t="n">
        <x:v>9235</x:v>
      </x:c>
      <x:c r="E716" s="153" t="n">
        <x:v>9061</x:v>
      </x:c>
      <x:c r="F716" s="153" t="n">
        <x:v>9211</x:v>
      </x:c>
      <x:c r="G716" s="153" t="n">
        <x:v>96</x:v>
      </x:c>
      <x:c r="H716" s="154" t="n">
        <x:v>0.0105</x:v>
      </x:c>
      <x:c r="I716" s="158" t="n">
        <x:v>9169</x:v>
      </x:c>
      <x:c r="J716" s="158" t="n">
        <x:v>403720</x:v>
      </x:c>
      <x:c r="K716" s="158" t="n">
        <x:v>3701998212</x:v>
      </x:c>
      <x:c r="L716" s="158" t="n">
        <x:v>3407420</x:v>
      </x:c>
      <x:c r="M716" s="141" t="str">
        <x:v>https://www.sge.com.cn/sjzx/quotation_daily_new?start_date=2025-07-01&amp;end_date=2025-07-31&amp;inst_ids=Ag%28T%2BD%29&amp;p=</x:v>
      </x:c>
    </x:row>
    <x:row r="717">
      <x:c r="A717" s="155" t="n">
        <x:v>45856</x:v>
      </x:c>
      <x:c r="B717" s="141" t="str">
        <x:v>Au99.99</x:v>
      </x:c>
      <x:c r="C717" s="153" t="n">
        <x:v>770.5</x:v>
      </x:c>
      <x:c r="D717" s="153" t="n">
        <x:v>773.79</x:v>
      </x:c>
      <x:c r="E717" s="153" t="n">
        <x:v>768</x:v>
      </x:c>
      <x:c r="F717" s="153" t="n">
        <x:v>773.5</x:v>
      </x:c>
      <x:c r="G717" s="153" t="n">
        <x:v>2.59</x:v>
      </x:c>
      <x:c r="H717" s="154" t="n">
        <x:v>0.0034000000000000002</x:v>
      </x:c>
      <x:c r="I717" s="158" t="n">
        <x:v>772.41</x:v>
      </x:c>
      <x:c r="J717" s="158" t="n">
        <x:v>4513.74</x:v>
      </x:c>
      <x:c r="K717" s="158" t="n">
        <x:v>3486492546.6</x:v>
      </x:c>
      <x:c r="L717" s="158"/>
      <x:c r="M717" s="141" t="str">
        <x:v>https://www.sge.com.cn/sjzx/quotation_daily_new?start_date=2025-07-01&amp;end_date=2025-07-31&amp;inst_ids=Au99.99&amp;p=</x:v>
      </x:c>
    </x:row>
    <x:row r="718">
      <x:c r="A718" s="155" t="n">
        <x:v>45859</x:v>
      </x:c>
      <x:c r="B718" s="141" t="str">
        <x:v>Ag(T+D)</x:v>
      </x:c>
      <x:c r="C718" s="153" t="n">
        <x:v>9216</x:v>
      </x:c>
      <x:c r="D718" s="153" t="n">
        <x:v>9250</x:v>
      </x:c>
      <x:c r="E718" s="153" t="n">
        <x:v>9177</x:v>
      </x:c>
      <x:c r="F718" s="153" t="n">
        <x:v>9226</x:v>
      </x:c>
      <x:c r="G718" s="153" t="n">
        <x:v>57</x:v>
      </x:c>
      <x:c r="H718" s="154" t="n">
        <x:v>0.0062</x:v>
      </x:c>
      <x:c r="I718" s="158" t="n">
        <x:v>9220</x:v>
      </x:c>
      <x:c r="J718" s="158" t="n">
        <x:v>300788</x:v>
      </x:c>
      <x:c r="K718" s="158" t="n">
        <x:v>2773325804</x:v>
      </x:c>
      <x:c r="L718" s="158" t="n">
        <x:v>3370304</x:v>
      </x:c>
      <x:c r="M718" s="141" t="str">
        <x:v>https://www.sge.com.cn/sjzx/quotation_daily_new?start_date=2025-07-01&amp;end_date=2025-07-31&amp;inst_ids=Ag%28T%2BD%29&amp;p=</x:v>
      </x:c>
    </x:row>
    <x:row r="719">
      <x:c r="A719" s="155" t="n">
        <x:v>45859</x:v>
      </x:c>
      <x:c r="B719" s="141" t="str">
        <x:v>Au99.99</x:v>
      </x:c>
      <x:c r="C719" s="153" t="n">
        <x:v>775.6</x:v>
      </x:c>
      <x:c r="D719" s="153" t="n">
        <x:v>778.5</x:v>
      </x:c>
      <x:c r="E719" s="153" t="n">
        <x:v>773.5</x:v>
      </x:c>
      <x:c r="F719" s="153" t="n">
        <x:v>777.34</x:v>
      </x:c>
      <x:c r="G719" s="153" t="n">
        <x:v>3.84</x:v>
      </x:c>
      <x:c r="H719" s="154" t="n">
        <x:v>0.005</x:v>
      </x:c>
      <x:c r="I719" s="158" t="n">
        <x:v>776.92</x:v>
      </x:c>
      <x:c r="J719" s="158" t="n">
        <x:v>8766.06</x:v>
      </x:c>
      <x:c r="K719" s="158" t="n">
        <x:v>6810600690.4</x:v>
      </x:c>
      <x:c r="L719" s="158"/>
      <x:c r="M719" s="141" t="str">
        <x:v>https://www.sge.com.cn/sjzx/quotation_daily_new?start_date=2025-07-01&amp;end_date=2025-07-31&amp;inst_ids=Au99.99&amp;p=</x:v>
      </x:c>
    </x:row>
    <x:row r="720">
      <x:c r="A720" s="155" t="n">
        <x:v>45860</x:v>
      </x:c>
      <x:c r="B720" s="141" t="str">
        <x:v>Ag(T+D)</x:v>
      </x:c>
      <x:c r="C720" s="153" t="n">
        <x:v>9273</x:v>
      </x:c>
      <x:c r="D720" s="153" t="n">
        <x:v>9386</x:v>
      </x:c>
      <x:c r="E720" s="153" t="n">
        <x:v>9253</x:v>
      </x:c>
      <x:c r="F720" s="153" t="n">
        <x:v>9368</x:v>
      </x:c>
      <x:c r="G720" s="153" t="n">
        <x:v>148</x:v>
      </x:c>
      <x:c r="H720" s="154" t="n">
        <x:v>0.0161</x:v>
      </x:c>
      <x:c r="I720" s="158" t="n">
        <x:v>9331</x:v>
      </x:c>
      <x:c r="J720" s="158" t="n">
        <x:v>537430</x:v>
      </x:c>
      <x:c r="K720" s="158" t="n">
        <x:v>5014943880</x:v>
      </x:c>
      <x:c r="L720" s="158" t="n">
        <x:v>3420474</x:v>
      </x:c>
      <x:c r="M720" s="141" t="str">
        <x:v>https://www.sge.com.cn/sjzx/quotation_daily_new?start_date=2025-07-01&amp;end_date=2025-07-31&amp;inst_ids=Ag%28T%2BD%29&amp;p=</x:v>
      </x:c>
    </x:row>
    <x:row r="721">
      <x:c r="A721" s="155" t="n">
        <x:v>45860</x:v>
      </x:c>
      <x:c r="B721" s="141" t="str">
        <x:v>Au99.99</x:v>
      </x:c>
      <x:c r="C721" s="153" t="n">
        <x:v>778.5</x:v>
      </x:c>
      <x:c r="D721" s="153" t="n">
        <x:v>783</x:v>
      </x:c>
      <x:c r="E721" s="153" t="n">
        <x:v>778.5</x:v>
      </x:c>
      <x:c r="F721" s="153" t="n">
        <x:v>780.35</x:v>
      </x:c>
      <x:c r="G721" s="153" t="n">
        <x:v>3.01</x:v>
      </x:c>
      <x:c r="H721" s="154" t="n">
        <x:v>0.0039000000000000003</x:v>
      </x:c>
      <x:c r="I721" s="158" t="n">
        <x:v>780.98</x:v>
      </x:c>
      <x:c r="J721" s="158" t="n">
        <x:v>6505.46</x:v>
      </x:c>
      <x:c r="K721" s="158" t="n">
        <x:v>5080680426.4</x:v>
      </x:c>
      <x:c r="L721" s="158"/>
      <x:c r="M721" s="141" t="str">
        <x:v>https://www.sge.com.cn/sjzx/quotation_daily_new?start_date=2025-07-01&amp;end_date=2025-07-31&amp;inst_ids=Au99.99&amp;p=</x:v>
      </x:c>
    </x:row>
    <x:row r="722">
      <x:c r="A722" s="155" t="n">
        <x:v>45861</x:v>
      </x:c>
      <x:c r="B722" s="141" t="str">
        <x:v>Ag(T+D)</x:v>
      </x:c>
      <x:c r="C722" s="153" t="n">
        <x:v>9341</x:v>
      </x:c>
      <x:c r="D722" s="153" t="n">
        <x:v>9486</x:v>
      </x:c>
      <x:c r="E722" s="153" t="n">
        <x:v>9341</x:v>
      </x:c>
      <x:c r="F722" s="153" t="n">
        <x:v>9475</x:v>
      </x:c>
      <x:c r="G722" s="153" t="n">
        <x:v>144</x:v>
      </x:c>
      <x:c r="H722" s="154" t="n">
        <x:v>0.0154</x:v>
      </x:c>
      <x:c r="I722" s="158" t="n">
        <x:v>9432</x:v>
      </x:c>
      <x:c r="J722" s="158" t="n">
        <x:v>440246</x:v>
      </x:c>
      <x:c r="K722" s="158" t="n">
        <x:v>4152637050</x:v>
      </x:c>
      <x:c r="L722" s="158" t="n">
        <x:v>3412758</x:v>
      </x:c>
      <x:c r="M722" s="141" t="str">
        <x:v>https://www.sge.com.cn/sjzx/quotation_daily_new?start_date=2025-07-01&amp;end_date=2025-07-31&amp;inst_ids=Ag%28T%2BD%29&amp;p=</x:v>
      </x:c>
    </x:row>
    <x:row r="723">
      <x:c r="A723" s="155" t="n">
        <x:v>45861</x:v>
      </x:c>
      <x:c r="B723" s="141" t="str">
        <x:v>Au99.99</x:v>
      </x:c>
      <x:c r="C723" s="153" t="n">
        <x:v>782.3</x:v>
      </x:c>
      <x:c r="D723" s="153" t="n">
        <x:v>789.3</x:v>
      </x:c>
      <x:c r="E723" s="153" t="n">
        <x:v>782</x:v>
      </x:c>
      <x:c r="F723" s="153" t="n">
        <x:v>788.5</x:v>
      </x:c>
      <x:c r="G723" s="153" t="n">
        <x:v>8.15</x:v>
      </x:c>
      <x:c r="H723" s="154" t="n">
        <x:v>0.0104</x:v>
      </x:c>
      <x:c r="I723" s="158" t="n">
        <x:v>787.73</x:v>
      </x:c>
      <x:c r="J723" s="158" t="n">
        <x:v>7341.56</x:v>
      </x:c>
      <x:c r="K723" s="158" t="n">
        <x:v>5783174999.2</x:v>
      </x:c>
      <x:c r="L723" s="158"/>
      <x:c r="M723" s="141" t="str">
        <x:v>https://www.sge.com.cn/sjzx/quotation_daily_new?start_date=2025-07-01&amp;end_date=2025-07-31&amp;inst_ids=Au99.99&amp;p=</x:v>
      </x:c>
    </x:row>
    <x:row r="724">
      <x:c r="A724" s="155" t="n">
        <x:v>45862</x:v>
      </x:c>
      <x:c r="B724" s="141" t="str">
        <x:v>Ag(T+D)</x:v>
      </x:c>
      <x:c r="C724" s="153" t="n">
        <x:v>9474</x:v>
      </x:c>
      <x:c r="D724" s="153" t="n">
        <x:v>9498</x:v>
      </x:c>
      <x:c r="E724" s="153" t="n">
        <x:v>9263</x:v>
      </x:c>
      <x:c r="F724" s="153" t="n">
        <x:v>9351</x:v>
      </x:c>
      <x:c r="G724" s="153" t="n">
        <x:v>-81</x:v>
      </x:c>
      <x:c r="H724" s="154" t="n">
        <x:v>-0.0086</x:v>
      </x:c>
      <x:c r="I724" s="158" t="n">
        <x:v>9349</x:v>
      </x:c>
      <x:c r="J724" s="158" t="n">
        <x:v>634440</x:v>
      </x:c>
      <x:c r="K724" s="158" t="n">
        <x:v>5931810738</x:v>
      </x:c>
      <x:c r="L724" s="158" t="n">
        <x:v>3386660</x:v>
      </x:c>
      <x:c r="M724" s="141" t="str">
        <x:v>https://www.sge.com.cn/sjzx/quotation_daily_new?start_date=2025-07-01&amp;end_date=2025-07-31&amp;inst_ids=Ag%28T%2BD%29&amp;p=</x:v>
      </x:c>
    </x:row>
    <x:row r="725">
      <x:c r="A725" s="155" t="n">
        <x:v>45862</x:v>
      </x:c>
      <x:c r="B725" s="141" t="str">
        <x:v>Au99.99</x:v>
      </x:c>
      <x:c r="C725" s="153" t="n">
        <x:v>790</x:v>
      </x:c>
      <x:c r="D725" s="153" t="n">
        <x:v>790</x:v>
      </x:c>
      <x:c r="E725" s="153" t="n">
        <x:v>773.25</x:v>
      </x:c>
      <x:c r="F725" s="153" t="n">
        <x:v>775.34</x:v>
      </x:c>
      <x:c r="G725" s="153" t="n">
        <x:v>-13.16</x:v>
      </x:c>
      <x:c r="H725" s="154" t="n">
        <x:v>-0.0167</x:v>
      </x:c>
      <x:c r="I725" s="158" t="n">
        <x:v>775.79</x:v>
      </x:c>
      <x:c r="J725" s="158" t="n">
        <x:v>9347.76</x:v>
      </x:c>
      <x:c r="K725" s="158" t="n">
        <x:v>7251951976.2</x:v>
      </x:c>
      <x:c r="L725" s="158"/>
      <x:c r="M725" s="141" t="str">
        <x:v>https://www.sge.com.cn/sjzx/quotation_daily_new?start_date=2025-07-01&amp;end_date=2025-07-31&amp;inst_ids=Au99.99&amp;p=</x:v>
      </x:c>
    </x:row>
    <x:row r="726">
      <x:c r="A726" s="155" t="n">
        <x:v>45863</x:v>
      </x:c>
      <x:c r="B726" s="141" t="str">
        <x:v>Ag(T+D)</x:v>
      </x:c>
      <x:c r="C726" s="153" t="n">
        <x:v>9351</x:v>
      </x:c>
      <x:c r="D726" s="153" t="n">
        <x:v>9412</x:v>
      </x:c>
      <x:c r="E726" s="153" t="n">
        <x:v>9263</x:v>
      </x:c>
      <x:c r="F726" s="153" t="n">
        <x:v>9372</x:v>
      </x:c>
      <x:c r="G726" s="153" t="n">
        <x:v>23</x:v>
      </x:c>
      <x:c r="H726" s="154" t="n">
        <x:v>0.0025</x:v>
      </x:c>
      <x:c r="I726" s="158" t="n">
        <x:v>9350</x:v>
      </x:c>
      <x:c r="J726" s="158" t="n">
        <x:v>350054</x:v>
      </x:c>
      <x:c r="K726" s="158" t="n">
        <x:v>3273173114</x:v>
      </x:c>
      <x:c r="L726" s="158" t="n">
        <x:v>3380200</x:v>
      </x:c>
      <x:c r="M726" s="141" t="str">
        <x:v>https://www.sge.com.cn/sjzx/quotation_daily_new?start_date=2025-07-01&amp;end_date=2025-07-31&amp;inst_ids=Ag%28T%2BD%29&amp;p=</x:v>
      </x:c>
    </x:row>
    <x:row r="727">
      <x:c r="A727" s="155" t="n">
        <x:v>45863</x:v>
      </x:c>
      <x:c r="B727" s="141" t="str">
        <x:v>Au99.99</x:v>
      </x:c>
      <x:c r="C727" s="153" t="n">
        <x:v>774.1</x:v>
      </x:c>
      <x:c r="D727" s="153" t="n">
        <x:v>775</x:v>
      </x:c>
      <x:c r="E727" s="153" t="n">
        <x:v>772.2</x:v>
      </x:c>
      <x:c r="F727" s="153" t="n">
        <x:v>774.21</x:v>
      </x:c>
      <x:c r="G727" s="153" t="n">
        <x:v>-1.13</x:v>
      </x:c>
      <x:c r="H727" s="154" t="n">
        <x:v>-0.0015</x:v>
      </x:c>
      <x:c r="I727" s="158" t="n">
        <x:v>773.19</x:v>
      </x:c>
      <x:c r="J727" s="158" t="n">
        <x:v>5521.44</x:v>
      </x:c>
      <x:c r="K727" s="158" t="n">
        <x:v>4269150160.8</x:v>
      </x:c>
      <x:c r="L727" s="158"/>
      <x:c r="M727" s="141" t="str">
        <x:v>https://www.sge.com.cn/sjzx/quotation_daily_new?start_date=2025-07-01&amp;end_date=2025-07-31&amp;inst_ids=Au99.99&amp;p=</x:v>
      </x:c>
    </x:row>
    <x:row r="728">
      <x:c r="A728" s="155" t="n">
        <x:v>45866</x:v>
      </x:c>
      <x:c r="B728" s="141" t="str">
        <x:v>Ag(T+D)</x:v>
      </x:c>
      <x:c r="C728" s="153" t="n">
        <x:v>9307</x:v>
      </x:c>
      <x:c r="D728" s="153" t="n">
        <x:v>9338</x:v>
      </x:c>
      <x:c r="E728" s="153" t="n">
        <x:v>9100</x:v>
      </x:c>
      <x:c r="F728" s="153" t="n">
        <x:v>9186</x:v>
      </x:c>
      <x:c r="G728" s="153" t="n">
        <x:v>-164</x:v>
      </x:c>
      <x:c r="H728" s="154" t="n">
        <x:v>-0.0175</x:v>
      </x:c>
      <x:c r="I728" s="158" t="n">
        <x:v>9181</x:v>
      </x:c>
      <x:c r="J728" s="158" t="n">
        <x:v>637268</x:v>
      </x:c>
      <x:c r="K728" s="158" t="n">
        <x:v>5850884148</x:v>
      </x:c>
      <x:c r="L728" s="158" t="n">
        <x:v>3447542</x:v>
      </x:c>
      <x:c r="M728" s="141" t="str">
        <x:v>https://www.sge.com.cn/sjzx/quotation_daily_new?start_date=2025-07-01&amp;end_date=2025-07-31&amp;inst_ids=Ag%28T%2BD%29&amp;p=</x:v>
      </x:c>
    </x:row>
    <x:row r="729">
      <x:c r="A729" s="155" t="n">
        <x:v>45866</x:v>
      </x:c>
      <x:c r="B729" s="141" t="str">
        <x:v>Au99.99</x:v>
      </x:c>
      <x:c r="C729" s="153" t="n">
        <x:v>772</x:v>
      </x:c>
      <x:c r="D729" s="153" t="n">
        <x:v>774.3</x:v>
      </x:c>
      <x:c r="E729" s="153" t="n">
        <x:v>767.8</x:v>
      </x:c>
      <x:c r="F729" s="153" t="n">
        <x:v>771.8</x:v>
      </x:c>
      <x:c r="G729" s="153" t="n">
        <x:v>-2.41</x:v>
      </x:c>
      <x:c r="H729" s="154" t="n">
        <x:v>-0.0031</x:v>
      </x:c>
      <x:c r="I729" s="158" t="n">
        <x:v>770.13</x:v>
      </x:c>
      <x:c r="J729" s="158" t="n">
        <x:v>8850.54</x:v>
      </x:c>
      <x:c r="K729" s="158" t="n">
        <x:v>6816074694.2</x:v>
      </x:c>
      <x:c r="L729" s="158"/>
      <x:c r="M729" s="141" t="str">
        <x:v>https://www.sge.com.cn/sjzx/quotation_daily_new?start_date=2025-07-01&amp;end_date=2025-07-31&amp;inst_ids=Au99.99&amp;p=</x:v>
      </x:c>
    </x:row>
    <x:row r="730">
      <x:c r="A730" s="155" t="n">
        <x:v>45867</x:v>
      </x:c>
      <x:c r="B730" s="141" t="str">
        <x:v>Ag(T+D)</x:v>
      </x:c>
      <x:c r="C730" s="153" t="n">
        <x:v>9168</x:v>
      </x:c>
      <x:c r="D730" s="153" t="n">
        <x:v>9192</x:v>
      </x:c>
      <x:c r="E730" s="153" t="n">
        <x:v>9127</x:v>
      </x:c>
      <x:c r="F730" s="153" t="n">
        <x:v>9163</x:v>
      </x:c>
      <x:c r="G730" s="153" t="n">
        <x:v>-18</x:v>
      </x:c>
      <x:c r="H730" s="154" t="n">
        <x:v>-0.002</x:v>
      </x:c>
      <x:c r="I730" s="158" t="n">
        <x:v>9162</x:v>
      </x:c>
      <x:c r="J730" s="158" t="n">
        <x:v>461672</x:v>
      </x:c>
      <x:c r="K730" s="158" t="n">
        <x:v>4230165658</x:v>
      </x:c>
      <x:c r="L730" s="158" t="n">
        <x:v>3505134</x:v>
      </x:c>
      <x:c r="M730" s="141" t="str">
        <x:v>https://www.sge.com.cn/sjzx/quotation_daily_new?start_date=2025-07-01&amp;end_date=2025-07-31&amp;inst_ids=Ag%28T%2BD%29&amp;p=</x:v>
      </x:c>
    </x:row>
    <x:row r="731">
      <x:c r="A731" s="155" t="n">
        <x:v>45867</x:v>
      </x:c>
      <x:c r="B731" s="141" t="str">
        <x:v>Au99.99</x:v>
      </x:c>
      <x:c r="C731" s="153" t="n">
        <x:v>770</x:v>
      </x:c>
      <x:c r="D731" s="153" t="n">
        <x:v>770</x:v>
      </x:c>
      <x:c r="E731" s="153" t="n">
        <x:v>765</x:v>
      </x:c>
      <x:c r="F731" s="153" t="n">
        <x:v>767.69</x:v>
      </x:c>
      <x:c r="G731" s="153" t="n">
        <x:v>-4.11</x:v>
      </x:c>
      <x:c r="H731" s="154" t="n">
        <x:v>-0.0053</x:v>
      </x:c>
      <x:c r="I731" s="158" t="n">
        <x:v>767.58</x:v>
      </x:c>
      <x:c r="J731" s="158" t="n">
        <x:v>8772.52</x:v>
      </x:c>
      <x:c r="K731" s="158" t="n">
        <x:v>6733693374.6</x:v>
      </x:c>
      <x:c r="L731" s="158"/>
      <x:c r="M731" s="141" t="str">
        <x:v>https://www.sge.com.cn/sjzx/quotation_daily_new?start_date=2025-07-01&amp;end_date=2025-07-31&amp;inst_ids=Au99.99&amp;p=</x:v>
      </x:c>
    </x:row>
    <x:row r="732">
      <x:c r="A732" s="155" t="n">
        <x:v>45868</x:v>
      </x:c>
      <x:c r="B732" s="141" t="str">
        <x:v>Ag(T+D)</x:v>
      </x:c>
      <x:c r="C732" s="153" t="n">
        <x:v>9163</x:v>
      </x:c>
      <x:c r="D732" s="153" t="n">
        <x:v>9222</x:v>
      </x:c>
      <x:c r="E732" s="153" t="n">
        <x:v>9150</x:v>
      </x:c>
      <x:c r="F732" s="153" t="n">
        <x:v>9166</x:v>
      </x:c>
      <x:c r="G732" s="153" t="n">
        <x:v>4</x:v>
      </x:c>
      <x:c r="H732" s="154" t="n">
        <x:v>0.0004</x:v>
      </x:c>
      <x:c r="I732" s="158" t="n">
        <x:v>9175</x:v>
      </x:c>
      <x:c r="J732" s="158" t="n">
        <x:v>281690</x:v>
      </x:c>
      <x:c r="K732" s="158" t="n">
        <x:v>2584737732</x:v>
      </x:c>
      <x:c r="L732" s="158" t="n">
        <x:v>3477706</x:v>
      </x:c>
      <x:c r="M732" s="141" t="str">
        <x:v>https://www.sge.com.cn/sjzx/quotation_daily_new?start_date=2025-07-01&amp;end_date=2025-07-31&amp;inst_ids=Ag%28T%2BD%29&amp;p=</x:v>
      </x:c>
    </x:row>
    <x:row r="733">
      <x:c r="A733" s="155" t="n">
        <x:v>45868</x:v>
      </x:c>
      <x:c r="B733" s="141" t="str">
        <x:v>Au99.99</x:v>
      </x:c>
      <x:c r="C733" s="153" t="n">
        <x:v>767.9</x:v>
      </x:c>
      <x:c r="D733" s="153" t="n">
        <x:v>771.21</x:v>
      </x:c>
      <x:c r="E733" s="153" t="n">
        <x:v>767.9</x:v>
      </x:c>
      <x:c r="F733" s="153" t="n">
        <x:v>769.68</x:v>
      </x:c>
      <x:c r="G733" s="153" t="n">
        <x:v>1.99</x:v>
      </x:c>
      <x:c r="H733" s="154" t="n">
        <x:v>0.0026</x:v>
      </x:c>
      <x:c r="I733" s="158" t="n">
        <x:v>769.83</x:v>
      </x:c>
      <x:c r="J733" s="158" t="n">
        <x:v>7356.8</x:v>
      </x:c>
      <x:c r="K733" s="158" t="n">
        <x:v>5663489645.2</x:v>
      </x:c>
      <x:c r="L733" s="158"/>
      <x:c r="M733" s="141" t="str">
        <x:v>https://www.sge.com.cn/sjzx/quotation_daily_new?start_date=2025-07-01&amp;end_date=2025-07-31&amp;inst_ids=Au99.99&amp;p=</x:v>
      </x:c>
    </x:row>
    <x:row r="734">
      <x:c r="A734" s="155" t="n">
        <x:v>45869</x:v>
      </x:c>
      <x:c r="B734" s="141" t="str">
        <x:v>Ag(T+D)</x:v>
      </x:c>
      <x:c r="C734" s="153" t="n">
        <x:v>9153</x:v>
      </x:c>
      <x:c r="D734" s="153" t="n">
        <x:v>9153</x:v>
      </x:c>
      <x:c r="E734" s="153" t="n">
        <x:v>8936</x:v>
      </x:c>
      <x:c r="F734" s="153" t="n">
        <x:v>8960</x:v>
      </x:c>
      <x:c r="G734" s="153" t="n">
        <x:v>-215</x:v>
      </x:c>
      <x:c r="H734" s="154" t="n">
        <x:v>-0.023399999999999997</x:v>
      </x:c>
      <x:c r="I734" s="158" t="n">
        <x:v>8998</x:v>
      </x:c>
      <x:c r="J734" s="158" t="n">
        <x:v>675762</x:v>
      </x:c>
      <x:c r="K734" s="158" t="n">
        <x:v>6080573168</x:v>
      </x:c>
      <x:c r="L734" s="158" t="n">
        <x:v>3440170</x:v>
      </x:c>
      <x:c r="M734" s="141" t="str">
        <x:v>https://www.sge.com.cn/sjzx/quotation_daily_new?start_date=2025-07-01&amp;end_date=2025-07-31&amp;inst_ids=Ag%28T%2BD%29&amp;p=</x:v>
      </x:c>
    </x:row>
    <x:row r="735">
      <x:c r="A735" s="155" t="n">
        <x:v>45869</x:v>
      </x:c>
      <x:c r="B735" s="141" t="str">
        <x:v>Au99.99</x:v>
      </x:c>
      <x:c r="C735" s="153" t="n">
        <x:v>770</x:v>
      </x:c>
      <x:c r="D735" s="153" t="n">
        <x:v>772</x:v>
      </x:c>
      <x:c r="E735" s="153" t="n">
        <x:v>763.5</x:v>
      </x:c>
      <x:c r="F735" s="153" t="n">
        <x:v>767.36</x:v>
      </x:c>
      <x:c r="G735" s="153" t="n">
        <x:v>-2.32</x:v>
      </x:c>
      <x:c r="H735" s="154" t="n">
        <x:v>-0.003</x:v>
      </x:c>
      <x:c r="I735" s="158" t="n">
        <x:v>765.65</x:v>
      </x:c>
      <x:c r="J735" s="158" t="n">
        <x:v>11032.48</x:v>
      </x:c>
      <x:c r="K735" s="158" t="n">
        <x:v>8447120174.6</x:v>
      </x:c>
      <x:c r="L735" s="158"/>
      <x:c r="M735" s="141" t="str">
        <x:v>https://www.sge.com.cn/sjzx/quotation_daily_new?start_date=2025-07-01&amp;end_date=2025-07-31&amp;inst_ids=Au99.99&amp;p=</x:v>
      </x:c>
    </x:row>
    <x:row r="736">
      <x:c r="A736" s="155" t="n">
        <x:v>45873</x:v>
      </x:c>
      <x:c r="B736" s="141" t="str">
        <x:v>Ag(T+D)</x:v>
      </x:c>
      <x:c r="C736" s="153" t="n">
        <x:v>8878</x:v>
      </x:c>
      <x:c r="D736" s="153" t="n">
        <x:v>9012</x:v>
      </x:c>
      <x:c r="E736" s="153" t="n">
        <x:v>8865</x:v>
      </x:c>
      <x:c r="F736" s="153" t="n">
        <x:v>8999</x:v>
      </x:c>
      <x:c r="G736" s="153" t="n">
        <x:v>108</x:v>
      </x:c>
      <x:c r="H736" s="154" t="n">
        <x:v>0.0121</x:v>
      </x:c>
      <x:c r="I736" s="158" t="n">
        <x:v>8974</x:v>
      </x:c>
      <x:c r="J736" s="158" t="n">
        <x:v>492968</x:v>
      </x:c>
      <x:c r="K736" s="158" t="n">
        <x:v>4424297348</x:v>
      </x:c>
      <x:c r="L736" s="158" t="n">
        <x:v>3479490</x:v>
      </x:c>
      <x:c r="M736" s="141" t="str">
        <x:v>https://www.sge.com.cn/sjzx/quotation_daily_new?start_date=2025-08-01&amp;end_date=2025-08-31&amp;inst_ids=Ag%28T%2BD%29&amp;p=</x:v>
      </x:c>
    </x:row>
    <x:row r="737">
      <x:c r="A737" s="155" t="n">
        <x:v>45873</x:v>
      </x:c>
      <x:c r="B737" s="141" t="str">
        <x:v>Au99.99</x:v>
      </x:c>
      <x:c r="C737" s="153" t="n">
        <x:v>770</x:v>
      </x:c>
      <x:c r="D737" s="153" t="n">
        <x:v>778</x:v>
      </x:c>
      <x:c r="E737" s="153" t="n">
        <x:v>770</x:v>
      </x:c>
      <x:c r="F737" s="153" t="n">
        <x:v>776.01</x:v>
      </x:c>
      <x:c r="G737" s="153" t="n">
        <x:v>8.72</x:v>
      </x:c>
      <x:c r="H737" s="154" t="n">
        <x:v>0.011399999999999999</x:v>
      </x:c>
      <x:c r="I737" s="158" t="n">
        <x:v>776.89</x:v>
      </x:c>
      <x:c r="J737" s="158" t="n">
        <x:v>5523.66</x:v>
      </x:c>
      <x:c r="K737" s="158" t="n">
        <x:v>4291305373.8</x:v>
      </x:c>
      <x:c r="L737" s="158"/>
      <x:c r="M737" s="141" t="str">
        <x:v>https://www.sge.com.cn/sjzx/quotation_daily_new?start_date=2025-08-01&amp;end_date=2025-08-31&amp;inst_ids=Au99.99&amp;p=</x:v>
      </x:c>
    </x:row>
    <x:row r="738">
      <x:c r="A738" s="155" t="n">
        <x:v>45874</x:v>
      </x:c>
      <x:c r="B738" s="141" t="str">
        <x:v>Ag(T+D)</x:v>
      </x:c>
      <x:c r="C738" s="153" t="n">
        <x:v>9018</x:v>
      </x:c>
      <x:c r="D738" s="153" t="n">
        <x:v>9073</x:v>
      </x:c>
      <x:c r="E738" s="153" t="n">
        <x:v>9002</x:v>
      </x:c>
      <x:c r="F738" s="153" t="n">
        <x:v>9052</x:v>
      </x:c>
      <x:c r="G738" s="153" t="n">
        <x:v>78</x:v>
      </x:c>
      <x:c r="H738" s="154" t="n">
        <x:v>0.0087</x:v>
      </x:c>
      <x:c r="I738" s="158" t="n">
        <x:v>9048</x:v>
      </x:c>
      <x:c r="J738" s="158" t="n">
        <x:v>270788</x:v>
      </x:c>
      <x:c r="K738" s="158" t="n">
        <x:v>2450218180</x:v>
      </x:c>
      <x:c r="L738" s="158" t="n">
        <x:v>3443344</x:v>
      </x:c>
      <x:c r="M738" s="141" t="str">
        <x:v>https://www.sge.com.cn/sjzx/quotation_daily_new?start_date=2025-08-01&amp;end_date=2025-08-31&amp;inst_ids=Ag%28T%2BD%29&amp;p=</x:v>
      </x:c>
    </x:row>
    <x:row r="739">
      <x:c r="A739" s="155" t="n">
        <x:v>45874</x:v>
      </x:c>
      <x:c r="B739" s="141" t="str">
        <x:v>Au99.99</x:v>
      </x:c>
      <x:c r="C739" s="153" t="n">
        <x:v>778</x:v>
      </x:c>
      <x:c r="D739" s="153" t="n">
        <x:v>781.8</x:v>
      </x:c>
      <x:c r="E739" s="153" t="n">
        <x:v>778</x:v>
      </x:c>
      <x:c r="F739" s="153" t="n">
        <x:v>779.85</x:v>
      </x:c>
      <x:c r="G739" s="153" t="n">
        <x:v>3.84</x:v>
      </x:c>
      <x:c r="H739" s="154" t="n">
        <x:v>0.0049</x:v>
      </x:c>
      <x:c r="I739" s="158" t="n">
        <x:v>780.13</x:v>
      </x:c>
      <x:c r="J739" s="158" t="n">
        <x:v>4824.92</x:v>
      </x:c>
      <x:c r="K739" s="158" t="n">
        <x:v>3764110093.6</x:v>
      </x:c>
      <x:c r="L739" s="158"/>
      <x:c r="M739" s="141" t="str">
        <x:v>https://www.sge.com.cn/sjzx/quotation_daily_new?start_date=2025-08-01&amp;end_date=2025-08-31&amp;inst_ids=Au99.99&amp;p=</x:v>
      </x:c>
    </x:row>
    <x:row r="740">
      <x:c r="A740" s="155" t="n">
        <x:v>45875</x:v>
      </x:c>
      <x:c r="B740" s="141" t="str">
        <x:v>Ag(T+D)</x:v>
      </x:c>
      <x:c r="C740" s="153" t="n">
        <x:v>9050</x:v>
      </x:c>
      <x:c r="D740" s="153" t="n">
        <x:v>9168</x:v>
      </x:c>
      <x:c r="E740" s="153" t="n">
        <x:v>9045</x:v>
      </x:c>
      <x:c r="F740" s="153" t="n">
        <x:v>9148</x:v>
      </x:c>
      <x:c r="G740" s="153" t="n">
        <x:v>100</x:v>
      </x:c>
      <x:c r="H740" s="154" t="n">
        <x:v>0.0111</x:v>
      </x:c>
      <x:c r="I740" s="158" t="n">
        <x:v>9139</x:v>
      </x:c>
      <x:c r="J740" s="158" t="n">
        <x:v>231594</x:v>
      </x:c>
      <x:c r="K740" s="158" t="n">
        <x:v>2116596548</x:v>
      </x:c>
      <x:c r="L740" s="158" t="n">
        <x:v>3455876</x:v>
      </x:c>
      <x:c r="M740" s="141" t="str">
        <x:v>https://www.sge.com.cn/sjzx/quotation_daily_new?start_date=2025-08-01&amp;end_date=2025-08-31&amp;inst_ids=Ag%28T%2BD%29&amp;p=</x:v>
      </x:c>
    </x:row>
    <x:row r="741">
      <x:c r="A741" s="155" t="n">
        <x:v>45875</x:v>
      </x:c>
      <x:c r="B741" s="141" t="str">
        <x:v>Au99.99</x:v>
      </x:c>
      <x:c r="C741" s="153" t="n">
        <x:v>780</x:v>
      </x:c>
      <x:c r="D741" s="153" t="n">
        <x:v>781.5</x:v>
      </x:c>
      <x:c r="E741" s="153" t="n">
        <x:v>778.9</x:v>
      </x:c>
      <x:c r="F741" s="153" t="n">
        <x:v>779.14</x:v>
      </x:c>
      <x:c r="G741" s="153" t="n">
        <x:v>-0.71</x:v>
      </x:c>
      <x:c r="H741" s="154" t="n">
        <x:v>-0.0009</x:v>
      </x:c>
      <x:c r="I741" s="158" t="n">
        <x:v>780.19</x:v>
      </x:c>
      <x:c r="J741" s="158" t="n">
        <x:v>6532.82</x:v>
      </x:c>
      <x:c r="K741" s="158" t="n">
        <x:v>5096885647.2</x:v>
      </x:c>
      <x:c r="L741" s="158"/>
      <x:c r="M741" s="141" t="str">
        <x:v>https://www.sge.com.cn/sjzx/quotation_daily_new?start_date=2025-08-01&amp;end_date=2025-08-31&amp;inst_ids=Au99.99&amp;p=</x:v>
      </x:c>
    </x:row>
    <x:row r="742">
      <x:c r="A742" s="155" t="n">
        <x:v>45876</x:v>
      </x:c>
      <x:c r="B742" s="141" t="str">
        <x:v>Ag(T+D)</x:v>
      </x:c>
      <x:c r="C742" s="153" t="n">
        <x:v>9150</x:v>
      </x:c>
      <x:c r="D742" s="153" t="n">
        <x:v>9224</x:v>
      </x:c>
      <x:c r="E742" s="153" t="n">
        <x:v>9115</x:v>
      </x:c>
      <x:c r="F742" s="153" t="n">
        <x:v>9224</x:v>
      </x:c>
      <x:c r="G742" s="153" t="n">
        <x:v>85</x:v>
      </x:c>
      <x:c r="H742" s="154" t="n">
        <x:v>0.009300000000000001</x:v>
      </x:c>
      <x:c r="I742" s="158" t="n">
        <x:v>9186</x:v>
      </x:c>
      <x:c r="J742" s="158" t="n">
        <x:v>252338</x:v>
      </x:c>
      <x:c r="K742" s="158" t="n">
        <x:v>2317990844</x:v>
      </x:c>
      <x:c r="L742" s="158" t="n">
        <x:v>3504562</x:v>
      </x:c>
      <x:c r="M742" s="141" t="str">
        <x:v>https://www.sge.com.cn/sjzx/quotation_daily_new?start_date=2025-08-01&amp;end_date=2025-08-31&amp;inst_ids=Ag%28T%2BD%29&amp;p=</x:v>
      </x:c>
    </x:row>
    <x:row r="743">
      <x:c r="A743" s="155" t="n">
        <x:v>45876</x:v>
      </x:c>
      <x:c r="B743" s="141" t="str">
        <x:v>Au99.99</x:v>
      </x:c>
      <x:c r="C743" s="153" t="n">
        <x:v>780.9</x:v>
      </x:c>
      <x:c r="D743" s="153" t="n">
        <x:v>782.5</x:v>
      </x:c>
      <x:c r="E743" s="153" t="n">
        <x:v>779.01</x:v>
      </x:c>
      <x:c r="F743" s="153" t="n">
        <x:v>782.08</x:v>
      </x:c>
      <x:c r="G743" s="153" t="n">
        <x:v>2.94</x:v>
      </x:c>
      <x:c r="H743" s="154" t="n">
        <x:v>0.0038</x:v>
      </x:c>
      <x:c r="I743" s="158" t="n">
        <x:v>780.34</x:v>
      </x:c>
      <x:c r="J743" s="158" t="n">
        <x:v>6530.9</x:v>
      </x:c>
      <x:c r="K743" s="158" t="n">
        <x:v>5096352481</x:v>
      </x:c>
      <x:c r="L743" s="158"/>
      <x:c r="M743" s="141" t="str">
        <x:v>https://www.sge.com.cn/sjzx/quotation_daily_new?start_date=2025-08-01&amp;end_date=2025-08-31&amp;inst_ids=Au99.99&amp;p=</x:v>
      </x:c>
    </x:row>
    <x:row r="744">
      <x:c r="A744" s="155" t="n">
        <x:v>45877</x:v>
      </x:c>
      <x:c r="B744" s="141" t="str">
        <x:v>Ag(T+D)</x:v>
      </x:c>
      <x:c r="C744" s="153" t="n">
        <x:v>9256</x:v>
      </x:c>
      <x:c r="D744" s="153" t="n">
        <x:v>9287</x:v>
      </x:c>
      <x:c r="E744" s="153" t="n">
        <x:v>9210</x:v>
      </x:c>
      <x:c r="F744" s="153" t="n">
        <x:v>9249</x:v>
      </x:c>
      <x:c r="G744" s="153" t="n">
        <x:v>63</x:v>
      </x:c>
      <x:c r="H744" s="154" t="n">
        <x:v>0.0069</x:v>
      </x:c>
      <x:c r="I744" s="158" t="n">
        <x:v>9237</x:v>
      </x:c>
      <x:c r="J744" s="158" t="n">
        <x:v>347688</x:v>
      </x:c>
      <x:c r="K744" s="158" t="n">
        <x:v>3211784978</x:v>
      </x:c>
      <x:c r="L744" s="158" t="n">
        <x:v>3526850</x:v>
      </x:c>
      <x:c r="M744" s="141" t="str">
        <x:v>https://www.sge.com.cn/sjzx/quotation_daily_new?start_date=2025-08-01&amp;end_date=2025-08-31&amp;inst_ids=Ag%28T%2BD%29&amp;p=</x:v>
      </x:c>
    </x:row>
    <x:row r="745">
      <x:c r="A745" s="155" t="n">
        <x:v>45877</x:v>
      </x:c>
      <x:c r="B745" s="141" t="str">
        <x:v>Au99.99</x:v>
      </x:c>
      <x:c r="C745" s="153" t="n">
        <x:v>779.5</x:v>
      </x:c>
      <x:c r="D745" s="153" t="n">
        <x:v>784.5</x:v>
      </x:c>
      <x:c r="E745" s="153" t="n">
        <x:v>779.5</x:v>
      </x:c>
      <x:c r="F745" s="153" t="n">
        <x:v>783.18</x:v>
      </x:c>
      <x:c r="G745" s="153" t="n">
        <x:v>1.1</x:v>
      </x:c>
      <x:c r="H745" s="154" t="n">
        <x:v>0.0014000000000000002</x:v>
      </x:c>
      <x:c r="I745" s="158" t="n">
        <x:v>783.06</x:v>
      </x:c>
      <x:c r="J745" s="158" t="n">
        <x:v>5552.8</x:v>
      </x:c>
      <x:c r="K745" s="158" t="n">
        <x:v>4348225557.4</x:v>
      </x:c>
      <x:c r="L745" s="158"/>
      <x:c r="M745" s="141" t="str">
        <x:v>https://www.sge.com.cn/sjzx/quotation_daily_new?start_date=2025-08-01&amp;end_date=2025-08-31&amp;inst_ids=Au99.99&amp;p=</x:v>
      </x:c>
    </x:row>
    <x:row r="746">
      <x:c r="A746" s="155" t="n">
        <x:v>45880</x:v>
      </x:c>
      <x:c r="B746" s="141" t="str">
        <x:v>Ag(T+D)</x:v>
      </x:c>
      <x:c r="C746" s="153" t="n">
        <x:v>9220</x:v>
      </x:c>
      <x:c r="D746" s="153" t="n">
        <x:v>9258</x:v>
      </x:c>
      <x:c r="E746" s="153" t="n">
        <x:v>9156</x:v>
      </x:c>
      <x:c r="F746" s="153" t="n">
        <x:v>9173</x:v>
      </x:c>
      <x:c r="G746" s="153" t="n">
        <x:v>-64</x:v>
      </x:c>
      <x:c r="H746" s="154" t="n">
        <x:v>-0.0069</x:v>
      </x:c>
      <x:c r="I746" s="158" t="n">
        <x:v>9196</x:v>
      </x:c>
      <x:c r="J746" s="158" t="n">
        <x:v>317646</x:v>
      </x:c>
      <x:c r="K746" s="158" t="n">
        <x:v>2921369702</x:v>
      </x:c>
      <x:c r="L746" s="158" t="n">
        <x:v>3510456</x:v>
      </x:c>
      <x:c r="M746" s="141" t="str">
        <x:v>https://www.sge.com.cn/sjzx/quotation_daily_new?start_date=2025-08-01&amp;end_date=2025-08-31&amp;inst_ids=Ag%28T%2BD%29&amp;p=</x:v>
      </x:c>
    </x:row>
    <x:row r="747">
      <x:c r="A747" s="155" t="n">
        <x:v>45880</x:v>
      </x:c>
      <x:c r="B747" s="141" t="str">
        <x:v>Au99.99</x:v>
      </x:c>
      <x:c r="C747" s="153" t="n">
        <x:v>783</x:v>
      </x:c>
      <x:c r="D747" s="153" t="n">
        <x:v>790</x:v>
      </x:c>
      <x:c r="E747" s="153" t="n">
        <x:v>775.01</x:v>
      </x:c>
      <x:c r="F747" s="153" t="n">
        <x:v>775.54</x:v>
      </x:c>
      <x:c r="G747" s="153" t="n">
        <x:v>-7.64</x:v>
      </x:c>
      <x:c r="H747" s="154" t="n">
        <x:v>-0.0098</x:v>
      </x:c>
      <x:c r="I747" s="158" t="n">
        <x:v>777.7</x:v>
      </x:c>
      <x:c r="J747" s="158" t="n">
        <x:v>7368.06</x:v>
      </x:c>
      <x:c r="K747" s="158" t="n">
        <x:v>5730190928.6</x:v>
      </x:c>
      <x:c r="L747" s="158"/>
      <x:c r="M747" s="141" t="str">
        <x:v>https://www.sge.com.cn/sjzx/quotation_daily_new?start_date=2025-08-01&amp;end_date=2025-08-31&amp;inst_ids=Au99.99&amp;p=</x:v>
      </x:c>
    </x:row>
    <x:row r="748">
      <x:c r="A748" s="155" t="n">
        <x:v>45881</x:v>
      </x:c>
      <x:c r="B748" s="141" t="str">
        <x:v>Ag(T+D)</x:v>
      </x:c>
      <x:c r="C748" s="153" t="n">
        <x:v>9136</x:v>
      </x:c>
      <x:c r="D748" s="153" t="n">
        <x:v>9188</x:v>
      </x:c>
      <x:c r="E748" s="153" t="n">
        <x:v>9105</x:v>
      </x:c>
      <x:c r="F748" s="153" t="n">
        <x:v>9163</x:v>
      </x:c>
      <x:c r="G748" s="153" t="n">
        <x:v>-33</x:v>
      </x:c>
      <x:c r="H748" s="154" t="n">
        <x:v>-0.0036</x:v>
      </x:c>
      <x:c r="I748" s="158" t="n">
        <x:v>9149</x:v>
      </x:c>
      <x:c r="J748" s="158" t="n">
        <x:v>302236</x:v>
      </x:c>
      <x:c r="K748" s="158" t="n">
        <x:v>2765216690</x:v>
      </x:c>
      <x:c r="L748" s="158" t="n">
        <x:v>3511700</x:v>
      </x:c>
      <x:c r="M748" s="141" t="str">
        <x:v>https://www.sge.com.cn/sjzx/quotation_daily_new?start_date=2025-08-01&amp;end_date=2025-08-31&amp;inst_ids=Ag%28T%2BD%29&amp;p=</x:v>
      </x:c>
    </x:row>
    <x:row r="749">
      <x:c r="A749" s="155" t="n">
        <x:v>45881</x:v>
      </x:c>
      <x:c r="B749" s="141" t="str">
        <x:v>Au99.99</x:v>
      </x:c>
      <x:c r="C749" s="153" t="n">
        <x:v>775</x:v>
      </x:c>
      <x:c r="D749" s="153" t="n">
        <x:v>775</x:v>
      </x:c>
      <x:c r="E749" s="153" t="n">
        <x:v>772</x:v>
      </x:c>
      <x:c r="F749" s="153" t="n">
        <x:v>773.47</x:v>
      </x:c>
      <x:c r="G749" s="153" t="n">
        <x:v>-2.07</x:v>
      </x:c>
      <x:c r="H749" s="154" t="n">
        <x:v>-0.0027</x:v>
      </x:c>
      <x:c r="I749" s="158" t="n">
        <x:v>773.65</x:v>
      </x:c>
      <x:c r="J749" s="158" t="n">
        <x:v>7092.78</x:v>
      </x:c>
      <x:c r="K749" s="158" t="n">
        <x:v>5487347633.8</x:v>
      </x:c>
      <x:c r="L749" s="158"/>
      <x:c r="M749" s="141" t="str">
        <x:v>https://www.sge.com.cn/sjzx/quotation_daily_new?start_date=2025-08-01&amp;end_date=2025-08-31&amp;inst_ids=Au99.99&amp;p=</x:v>
      </x:c>
    </x:row>
    <x:row r="750">
      <x:c r="A750" s="155" t="n">
        <x:v>45882</x:v>
      </x:c>
      <x:c r="B750" s="141" t="str">
        <x:v>Ag(T+D)</x:v>
      </x:c>
      <x:c r="C750" s="153" t="n">
        <x:v>9148</x:v>
      </x:c>
      <x:c r="D750" s="153" t="n">
        <x:v>9279</x:v>
      </x:c>
      <x:c r="E750" s="153" t="n">
        <x:v>9110</x:v>
      </x:c>
      <x:c r="F750" s="153" t="n">
        <x:v>9278</x:v>
      </x:c>
      <x:c r="G750" s="153" t="n">
        <x:v>129</x:v>
      </x:c>
      <x:c r="H750" s="154" t="n">
        <x:v>0.0141</x:v>
      </x:c>
      <x:c r="I750" s="158" t="n">
        <x:v>9209</x:v>
      </x:c>
      <x:c r="J750" s="158" t="n">
        <x:v>376786</x:v>
      </x:c>
      <x:c r="K750" s="158" t="n">
        <x:v>3470003182</x:v>
      </x:c>
      <x:c r="L750" s="158" t="n">
        <x:v>3541500</x:v>
      </x:c>
      <x:c r="M750" s="141" t="str">
        <x:v>https://www.sge.com.cn/sjzx/quotation_daily_new?start_date=2025-08-01&amp;end_date=2025-08-31&amp;inst_ids=Ag%28T%2BD%29&amp;p=</x:v>
      </x:c>
    </x:row>
    <x:row r="751">
      <x:c r="A751" s="155" t="n">
        <x:v>45882</x:v>
      </x:c>
      <x:c r="B751" s="141" t="str">
        <x:v>Au99.99</x:v>
      </x:c>
      <x:c r="C751" s="153" t="n">
        <x:v>773</x:v>
      </x:c>
      <x:c r="D751" s="153" t="n">
        <x:v>775.48</x:v>
      </x:c>
      <x:c r="E751" s="153" t="n">
        <x:v>771</x:v>
      </x:c>
      <x:c r="F751" s="153" t="n">
        <x:v>774.96</x:v>
      </x:c>
      <x:c r="G751" s="153" t="n">
        <x:v>1.49</x:v>
      </x:c>
      <x:c r="H751" s="154" t="n">
        <x:v>0.0019</x:v>
      </x:c>
      <x:c r="I751" s="158" t="n">
        <x:v>773.59</x:v>
      </x:c>
      <x:c r="J751" s="158" t="n">
        <x:v>6510.36</x:v>
      </x:c>
      <x:c r="K751" s="158" t="n">
        <x:v>5036401099.4</x:v>
      </x:c>
      <x:c r="L751" s="158"/>
      <x:c r="M751" s="141" t="str">
        <x:v>https://www.sge.com.cn/sjzx/quotation_daily_new?start_date=2025-08-01&amp;end_date=2025-08-31&amp;inst_ids=Au99.99&amp;p=</x:v>
      </x:c>
    </x:row>
    <x:row r="752">
      <x:c r="A752" s="155" t="n">
        <x:v>45883</x:v>
      </x:c>
      <x:c r="B752" s="141" t="str">
        <x:v>Ag(T+D)</x:v>
      </x:c>
      <x:c r="C752" s="153" t="n">
        <x:v>9300</x:v>
      </x:c>
      <x:c r="D752" s="153" t="n">
        <x:v>9338</x:v>
      </x:c>
      <x:c r="E752" s="153" t="n">
        <x:v>9245</x:v>
      </x:c>
      <x:c r="F752" s="153" t="n">
        <x:v>9274</x:v>
      </x:c>
      <x:c r="G752" s="153" t="n">
        <x:v>65</x:v>
      </x:c>
      <x:c r="H752" s="154" t="n">
        <x:v>0.0070999999999999995</x:v>
      </x:c>
      <x:c r="I752" s="158" t="n">
        <x:v>9294</x:v>
      </x:c>
      <x:c r="J752" s="158" t="n">
        <x:v>465346</x:v>
      </x:c>
      <x:c r="K752" s="158" t="n">
        <x:v>4325038498</x:v>
      </x:c>
      <x:c r="L752" s="158" t="n">
        <x:v>3445818</x:v>
      </x:c>
      <x:c r="M752" s="141" t="str">
        <x:v>https://www.sge.com.cn/sjzx/quotation_daily_new?start_date=2025-08-01&amp;end_date=2025-08-31&amp;inst_ids=Ag%28T%2BD%29&amp;p=</x:v>
      </x:c>
    </x:row>
    <x:row r="753">
      <x:c r="A753" s="155" t="n">
        <x:v>45883</x:v>
      </x:c>
      <x:c r="B753" s="141" t="str">
        <x:v>Au99.99</x:v>
      </x:c>
      <x:c r="C753" s="153" t="n">
        <x:v>774.45</x:v>
      </x:c>
      <x:c r="D753" s="153" t="n">
        <x:v>776.98</x:v>
      </x:c>
      <x:c r="E753" s="153" t="n">
        <x:v>774</x:v>
      </x:c>
      <x:c r="F753" s="153" t="n">
        <x:v>775.05</x:v>
      </x:c>
      <x:c r="G753" s="153" t="n">
        <x:v>0.09</x:v>
      </x:c>
      <x:c r="H753" s="154" t="n">
        <x:v>0.0001</x:v>
      </x:c>
      <x:c r="I753" s="158" t="n">
        <x:v>775.5</x:v>
      </x:c>
      <x:c r="J753" s="158" t="n">
        <x:v>4725.12</x:v>
      </x:c>
      <x:c r="K753" s="158" t="n">
        <x:v>3664376706.8</x:v>
      </x:c>
      <x:c r="L753" s="158"/>
      <x:c r="M753" s="141" t="str">
        <x:v>https://www.sge.com.cn/sjzx/quotation_daily_new?start_date=2025-08-01&amp;end_date=2025-08-31&amp;inst_ids=Au99.99&amp;p=</x:v>
      </x:c>
    </x:row>
    <x:row r="754">
      <x:c r="A754" s="155" t="n">
        <x:v>45884</x:v>
      </x:c>
      <x:c r="B754" s="141" t="str">
        <x:v>Ag(T+D)</x:v>
      </x:c>
      <x:c r="C754" s="153" t="n">
        <x:v>9250</x:v>
      </x:c>
      <x:c r="D754" s="153" t="n">
        <x:v>9260</x:v>
      </x:c>
      <x:c r="E754" s="153" t="n">
        <x:v>9141</x:v>
      </x:c>
      <x:c r="F754" s="153" t="n">
        <x:v>9188</x:v>
      </x:c>
      <x:c r="G754" s="153" t="n">
        <x:v>-106</x:v>
      </x:c>
      <x:c r="H754" s="154" t="n">
        <x:v>-0.011399999999999999</x:v>
      </x:c>
      <x:c r="I754" s="158" t="n">
        <x:v>9182</x:v>
      </x:c>
      <x:c r="J754" s="158" t="n">
        <x:v>452542</x:v>
      </x:c>
      <x:c r="K754" s="158" t="n">
        <x:v>4155494122</x:v>
      </x:c>
      <x:c r="L754" s="158" t="n">
        <x:v>3447314</x:v>
      </x:c>
      <x:c r="M754" s="141" t="str">
        <x:v>https://www.sge.com.cn/sjzx/quotation_daily_new?start_date=2025-08-01&amp;end_date=2025-08-31&amp;inst_ids=Ag%28T%2BD%29&amp;p=</x:v>
      </x:c>
    </x:row>
    <x:row r="755">
      <x:c r="A755" s="155" t="n">
        <x:v>45884</x:v>
      </x:c>
      <x:c r="B755" s="141" t="str">
        <x:v>Au99.99</x:v>
      </x:c>
      <x:c r="C755" s="153" t="n">
        <x:v>775</x:v>
      </x:c>
      <x:c r="D755" s="153" t="n">
        <x:v>775</x:v>
      </x:c>
      <x:c r="E755" s="153" t="n">
        <x:v>770.2</x:v>
      </x:c>
      <x:c r="F755" s="153" t="n">
        <x:v>773.55</x:v>
      </x:c>
      <x:c r="G755" s="153" t="n">
        <x:v>-1.5</x:v>
      </x:c>
      <x:c r="H755" s="154" t="n">
        <x:v>-0.0019</x:v>
      </x:c>
      <x:c r="I755" s="158" t="n">
        <x:v>772.45</x:v>
      </x:c>
      <x:c r="J755" s="158" t="n">
        <x:v>5632.84</x:v>
      </x:c>
      <x:c r="K755" s="158" t="n">
        <x:v>4351108886.4</x:v>
      </x:c>
      <x:c r="L755" s="158"/>
      <x:c r="M755" s="141" t="str">
        <x:v>https://www.sge.com.cn/sjzx/quotation_daily_new?start_date=2025-08-01&amp;end_date=2025-08-31&amp;inst_ids=Au99.99&amp;p=</x:v>
      </x:c>
    </x:row>
    <x:row r="756">
      <x:c r="A756" s="155" t="n">
        <x:v>45887</x:v>
      </x:c>
      <x:c r="B756" s="141" t="str">
        <x:v>Ag(T+D)</x:v>
      </x:c>
      <x:c r="C756" s="153" t="n">
        <x:v>9153</x:v>
      </x:c>
      <x:c r="D756" s="153" t="n">
        <x:v>9230</x:v>
      </x:c>
      <x:c r="E756" s="153" t="n">
        <x:v>9128</x:v>
      </x:c>
      <x:c r="F756" s="153" t="n">
        <x:v>9227</x:v>
      </x:c>
      <x:c r="G756" s="153" t="n">
        <x:v>45</x:v>
      </x:c>
      <x:c r="H756" s="154" t="n">
        <x:v>0.0049</x:v>
      </x:c>
      <x:c r="I756" s="158" t="n">
        <x:v>9202</x:v>
      </x:c>
      <x:c r="J756" s="158" t="n">
        <x:v>272182</x:v>
      </x:c>
      <x:c r="K756" s="158" t="n">
        <x:v>2504890486</x:v>
      </x:c>
      <x:c r="L756" s="158" t="n">
        <x:v>3451636</x:v>
      </x:c>
      <x:c r="M756" s="141" t="str">
        <x:v>https://www.sge.com.cn/sjzx/quotation_daily_new?start_date=2025-08-01&amp;end_date=2025-08-31&amp;inst_ids=Ag%28T%2BD%29&amp;p=</x:v>
      </x:c>
    </x:row>
    <x:row r="757">
      <x:c r="A757" s="155" t="n">
        <x:v>45887</x:v>
      </x:c>
      <x:c r="B757" s="141" t="str">
        <x:v>Au99.99</x:v>
      </x:c>
      <x:c r="C757" s="153" t="n">
        <x:v>769</x:v>
      </x:c>
      <x:c r="D757" s="153" t="n">
        <x:v>781</x:v>
      </x:c>
      <x:c r="E757" s="153" t="n">
        <x:v>769</x:v>
      </x:c>
      <x:c r="F757" s="153" t="n">
        <x:v>774.46</x:v>
      </x:c>
      <x:c r="G757" s="153" t="n">
        <x:v>0.91</x:v>
      </x:c>
      <x:c r="H757" s="154" t="n">
        <x:v>0.0012</x:v>
      </x:c>
      <x:c r="I757" s="158" t="n">
        <x:v>773.94</x:v>
      </x:c>
      <x:c r="J757" s="158" t="n">
        <x:v>5614.56</x:v>
      </x:c>
      <x:c r="K757" s="158" t="n">
        <x:v>4345342934.6</x:v>
      </x:c>
      <x:c r="L757" s="158"/>
      <x:c r="M757" s="141" t="str">
        <x:v>https://www.sge.com.cn/sjzx/quotation_daily_new?start_date=2025-08-01&amp;end_date=2025-08-31&amp;inst_ids=Au99.99&amp;p=</x:v>
      </x:c>
    </x:row>
    <x:row r="758">
      <x:c r="A758" s="155" t="n">
        <x:v>45888</x:v>
      </x:c>
      <x:c r="B758" s="141" t="str">
        <x:v>Ag(T+D)</x:v>
      </x:c>
      <x:c r="C758" s="153" t="n">
        <x:v>9200</x:v>
      </x:c>
      <x:c r="D758" s="153" t="n">
        <x:v>9248</x:v>
      </x:c>
      <x:c r="E758" s="153" t="n">
        <x:v>9138</x:v>
      </x:c>
      <x:c r="F758" s="153" t="n">
        <x:v>9183</x:v>
      </x:c>
      <x:c r="G758" s="153" t="n">
        <x:v>-19</x:v>
      </x:c>
      <x:c r="H758" s="154" t="n">
        <x:v>-0.0021</x:v>
      </x:c>
      <x:c r="I758" s="158" t="n">
        <x:v>9172</x:v>
      </x:c>
      <x:c r="J758" s="158" t="n">
        <x:v>333308</x:v>
      </x:c>
      <x:c r="K758" s="158" t="n">
        <x:v>3057326364</x:v>
      </x:c>
      <x:c r="L758" s="158" t="n">
        <x:v>3433376</x:v>
      </x:c>
      <x:c r="M758" s="141" t="str">
        <x:v>https://www.sge.com.cn/sjzx/quotation_daily_new?start_date=2025-08-01&amp;end_date=2025-08-31&amp;inst_ids=Ag%28T%2BD%29&amp;p=</x:v>
      </x:c>
    </x:row>
    <x:row r="759">
      <x:c r="A759" s="155" t="n">
        <x:v>45888</x:v>
      </x:c>
      <x:c r="B759" s="141" t="str">
        <x:v>Au99.99</x:v>
      </x:c>
      <x:c r="C759" s="153" t="n">
        <x:v>774</x:v>
      </x:c>
      <x:c r="D759" s="153" t="n">
        <x:v>774.5</x:v>
      </x:c>
      <x:c r="E759" s="153" t="n">
        <x:v>771.2</x:v>
      </x:c>
      <x:c r="F759" s="153" t="n">
        <x:v>773.05</x:v>
      </x:c>
      <x:c r="G759" s="153" t="n">
        <x:v>-1.41</x:v>
      </x:c>
      <x:c r="H759" s="154" t="n">
        <x:v>-0.0018</x:v>
      </x:c>
      <x:c r="I759" s="158" t="n">
        <x:v>772.06</x:v>
      </x:c>
      <x:c r="J759" s="158" t="n">
        <x:v>8127.62</x:v>
      </x:c>
      <x:c r="K759" s="158" t="n">
        <x:v>6275063411.4</x:v>
      </x:c>
      <x:c r="L759" s="158"/>
      <x:c r="M759" s="141" t="str">
        <x:v>https://www.sge.com.cn/sjzx/quotation_daily_new?start_date=2025-08-01&amp;end_date=2025-08-31&amp;inst_ids=Au99.99&amp;p=</x:v>
      </x:c>
    </x:row>
    <x:row r="760">
      <x:c r="A760" s="155" t="n">
        <x:v>45889</x:v>
      </x:c>
      <x:c r="B760" s="141" t="str">
        <x:v>Ag(T+D)</x:v>
      </x:c>
      <x:c r="C760" s="153" t="n">
        <x:v>9181</x:v>
      </x:c>
      <x:c r="D760" s="153" t="n">
        <x:v>9205</x:v>
      </x:c>
      <x:c r="E760" s="153" t="n">
        <x:v>9008</x:v>
      </x:c>
      <x:c r="F760" s="153" t="n">
        <x:v>9022</x:v>
      </x:c>
      <x:c r="G760" s="153" t="n">
        <x:v>-150</x:v>
      </x:c>
      <x:c r="H760" s="154" t="n">
        <x:v>-0.016399999999999998</x:v>
      </x:c>
      <x:c r="I760" s="158" t="n">
        <x:v>9052</x:v>
      </x:c>
      <x:c r="J760" s="158" t="n">
        <x:v>487056</x:v>
      </x:c>
      <x:c r="K760" s="158" t="n">
        <x:v>4409304972</x:v>
      </x:c>
      <x:c r="L760" s="158" t="n">
        <x:v>3260920</x:v>
      </x:c>
      <x:c r="M760" s="141" t="str">
        <x:v>https://www.sge.com.cn/sjzx/quotation_daily_new?start_date=2025-08-01&amp;end_date=2025-08-31&amp;inst_ids=Ag%28T%2BD%29&amp;p=</x:v>
      </x:c>
    </x:row>
    <x:row r="761">
      <x:c r="A761" s="155" t="n">
        <x:v>45889</x:v>
      </x:c>
      <x:c r="B761" s="141" t="str">
        <x:v>Au99.99</x:v>
      </x:c>
      <x:c r="C761" s="153" t="n">
        <x:v>772</x:v>
      </x:c>
      <x:c r="D761" s="153" t="n">
        <x:v>774.49</x:v>
      </x:c>
      <x:c r="E761" s="153" t="n">
        <x:v>767.6</x:v>
      </x:c>
      <x:c r="F761" s="153" t="n">
        <x:v>770.24</x:v>
      </x:c>
      <x:c r="G761" s="153" t="n">
        <x:v>-2.81</x:v>
      </x:c>
      <x:c r="H761" s="154" t="n">
        <x:v>-0.0036</x:v>
      </x:c>
      <x:c r="I761" s="158" t="n">
        <x:v>768.82</x:v>
      </x:c>
      <x:c r="J761" s="158" t="n">
        <x:v>8045.9</x:v>
      </x:c>
      <x:c r="K761" s="158" t="n">
        <x:v>6185858594.2</x:v>
      </x:c>
      <x:c r="L761" s="158"/>
      <x:c r="M761" s="141" t="str">
        <x:v>https://www.sge.com.cn/sjzx/quotation_daily_new?start_date=2025-08-01&amp;end_date=2025-08-31&amp;inst_ids=Au99.99&amp;p=</x:v>
      </x:c>
    </x:row>
    <x:row r="762">
      <x:c r="A762" s="155" t="n">
        <x:v>45890</x:v>
      </x:c>
      <x:c r="B762" s="141" t="str">
        <x:v>Ag(T+D)</x:v>
      </x:c>
      <x:c r="C762" s="153" t="n">
        <x:v>9041</x:v>
      </x:c>
      <x:c r="D762" s="153" t="n">
        <x:v>9167</x:v>
      </x:c>
      <x:c r="E762" s="153" t="n">
        <x:v>9003</x:v>
      </x:c>
      <x:c r="F762" s="153" t="n">
        <x:v>9144</x:v>
      </x:c>
      <x:c r="G762" s="153" t="n">
        <x:v>92</x:v>
      </x:c>
      <x:c r="H762" s="154" t="n">
        <x:v>0.0102</x:v>
      </x:c>
      <x:c r="I762" s="158" t="n">
        <x:v>9132</x:v>
      </x:c>
      <x:c r="J762" s="158" t="n">
        <x:v>275676</x:v>
      </x:c>
      <x:c r="K762" s="158" t="n">
        <x:v>2517491182</x:v>
      </x:c>
      <x:c r="L762" s="158" t="n">
        <x:v>3269190</x:v>
      </x:c>
      <x:c r="M762" s="141" t="str">
        <x:v>https://www.sge.com.cn/sjzx/quotation_daily_new?start_date=2025-08-01&amp;end_date=2025-08-31&amp;inst_ids=Ag%28T%2BD%29&amp;p=</x:v>
      </x:c>
    </x:row>
    <x:row r="763">
      <x:c r="A763" s="155" t="n">
        <x:v>45890</x:v>
      </x:c>
      <x:c r="B763" s="141" t="str">
        <x:v>Au99.99</x:v>
      </x:c>
      <x:c r="C763" s="153" t="n">
        <x:v>773</x:v>
      </x:c>
      <x:c r="D763" s="153" t="n">
        <x:v>775</x:v>
      </x:c>
      <x:c r="E763" s="153" t="n">
        <x:v>771.2</x:v>
      </x:c>
      <x:c r="F763" s="153" t="n">
        <x:v>772</x:v>
      </x:c>
      <x:c r="G763" s="153" t="n">
        <x:v>1.76</x:v>
      </x:c>
      <x:c r="H763" s="154" t="n">
        <x:v>0.0023</x:v>
      </x:c>
      <x:c r="I763" s="158" t="n">
        <x:v>772.61</x:v>
      </x:c>
      <x:c r="J763" s="158" t="n">
        <x:v>4567.72</x:v>
      </x:c>
      <x:c r="K763" s="158" t="n">
        <x:v>3529075496.6</x:v>
      </x:c>
      <x:c r="L763" s="158"/>
      <x:c r="M763" s="141" t="str">
        <x:v>https://www.sge.com.cn/sjzx/quotation_daily_new?start_date=2025-08-01&amp;end_date=2025-08-31&amp;inst_ids=Au99.99&amp;p=</x:v>
      </x:c>
    </x:row>
    <x:row r="764">
      <x:c r="A764" s="155" t="n">
        <x:v>45891</x:v>
      </x:c>
      <x:c r="B764" s="141" t="str">
        <x:v>Ag(T+D)</x:v>
      </x:c>
      <x:c r="C764" s="153" t="n">
        <x:v>9144</x:v>
      </x:c>
      <x:c r="D764" s="153" t="n">
        <x:v>9224</x:v>
      </x:c>
      <x:c r="E764" s="153" t="n">
        <x:v>9124</x:v>
      </x:c>
      <x:c r="F764" s="153" t="n">
        <x:v>9182</x:v>
      </x:c>
      <x:c r="G764" s="153" t="n">
        <x:v>50</x:v>
      </x:c>
      <x:c r="H764" s="154" t="n">
        <x:v>0.0055000000000000005</x:v>
      </x:c>
      <x:c r="I764" s="158" t="n">
        <x:v>9188</x:v>
      </x:c>
      <x:c r="J764" s="158" t="n">
        <x:v>298922</x:v>
      </x:c>
      <x:c r="K764" s="158" t="n">
        <x:v>2746508894</x:v>
      </x:c>
      <x:c r="L764" s="158" t="n">
        <x:v>3280258</x:v>
      </x:c>
      <x:c r="M764" s="141" t="str">
        <x:v>https://www.sge.com.cn/sjzx/quotation_daily_new?start_date=2025-08-01&amp;end_date=2025-08-31&amp;inst_ids=Ag%28T%2BD%29&amp;p=</x:v>
      </x:c>
    </x:row>
    <x:row r="765">
      <x:c r="A765" s="155" t="n">
        <x:v>45891</x:v>
      </x:c>
      <x:c r="B765" s="141" t="str">
        <x:v>Au99.99</x:v>
      </x:c>
      <x:c r="C765" s="153" t="n">
        <x:v>772</x:v>
      </x:c>
      <x:c r="D765" s="153" t="n">
        <x:v>774</x:v>
      </x:c>
      <x:c r="E765" s="153" t="n">
        <x:v>770.01</x:v>
      </x:c>
      <x:c r="F765" s="153" t="n">
        <x:v>771.87</x:v>
      </x:c>
      <x:c r="G765" s="153" t="n">
        <x:v>-0.13</x:v>
      </x:c>
      <x:c r="H765" s="154" t="n">
        <x:v>-0.0002</x:v>
      </x:c>
      <x:c r="I765" s="158" t="n">
        <x:v>771.51</x:v>
      </x:c>
      <x:c r="J765" s="158" t="n">
        <x:v>5056.08</x:v>
      </x:c>
      <x:c r="K765" s="158" t="n">
        <x:v>3900823149</x:v>
      </x:c>
      <x:c r="L765" s="158"/>
      <x:c r="M765" s="141" t="str">
        <x:v>https://www.sge.com.cn/sjzx/quotation_daily_new?start_date=2025-08-01&amp;end_date=2025-08-31&amp;inst_ids=Au99.99&amp;p=</x:v>
      </x:c>
    </x:row>
    <x:row r="766">
      <x:c r="A766" s="155" t="n">
        <x:v>45894</x:v>
      </x:c>
      <x:c r="B766" s="141" t="str">
        <x:v>Ag(T+D)</x:v>
      </x:c>
      <x:c r="C766" s="153" t="n">
        <x:v>9170</x:v>
      </x:c>
      <x:c r="D766" s="153" t="n">
        <x:v>9381</x:v>
      </x:c>
      <x:c r="E766" s="153" t="n">
        <x:v>9122</x:v>
      </x:c>
      <x:c r="F766" s="153" t="n">
        <x:v>9364</x:v>
      </x:c>
      <x:c r="G766" s="153" t="n">
        <x:v>176</x:v>
      </x:c>
      <x:c r="H766" s="154" t="n">
        <x:v>0.0192</x:v>
      </x:c>
      <x:c r="I766" s="158" t="n">
        <x:v>9313</x:v>
      </x:c>
      <x:c r="J766" s="158" t="n">
        <x:v>454162</x:v>
      </x:c>
      <x:c r="K766" s="158" t="n">
        <x:v>4229963306</x:v>
      </x:c>
      <x:c r="L766" s="158" t="n">
        <x:v>3296160</x:v>
      </x:c>
      <x:c r="M766" s="141" t="str">
        <x:v>https://www.sge.com.cn/sjzx/quotation_daily_new?start_date=2025-08-01&amp;end_date=2025-08-31&amp;inst_ids=Ag%28T%2BD%29&amp;p=</x:v>
      </x:c>
    </x:row>
    <x:row r="767">
      <x:c r="A767" s="155" t="n">
        <x:v>45894</x:v>
      </x:c>
      <x:c r="B767" s="141" t="str">
        <x:v>Au99.99</x:v>
      </x:c>
      <x:c r="C767" s="153" t="n">
        <x:v>771.87</x:v>
      </x:c>
      <x:c r="D767" s="153" t="n">
        <x:v>778</x:v>
      </x:c>
      <x:c r="E767" s="153" t="n">
        <x:v>770</x:v>
      </x:c>
      <x:c r="F767" s="153" t="n">
        <x:v>775.85</x:v>
      </x:c>
      <x:c r="G767" s="153" t="n">
        <x:v>3.98</x:v>
      </x:c>
      <x:c r="H767" s="154" t="n">
        <x:v>0.0052</x:v>
      </x:c>
      <x:c r="I767" s="158" t="n">
        <x:v>775.69</x:v>
      </x:c>
      <x:c r="J767" s="158" t="n">
        <x:v>5843.94</x:v>
      </x:c>
      <x:c r="K767" s="158" t="n">
        <x:v>4533139690.4</x:v>
      </x:c>
      <x:c r="L767" s="158"/>
      <x:c r="M767" s="141" t="str">
        <x:v>https://www.sge.com.cn/sjzx/quotation_daily_new?start_date=2025-08-01&amp;end_date=2025-08-31&amp;inst_ids=Au99.99&amp;p=</x:v>
      </x:c>
    </x:row>
    <x:row r="768">
      <x:c r="A768" s="155" t="n">
        <x:v>45895</x:v>
      </x:c>
      <x:c r="B768" s="141" t="str">
        <x:v>Ag(T+D)</x:v>
      </x:c>
      <x:c r="C768" s="153" t="n">
        <x:v>9345</x:v>
      </x:c>
      <x:c r="D768" s="153" t="n">
        <x:v>9348</x:v>
      </x:c>
      <x:c r="E768" s="153" t="n">
        <x:v>9285</x:v>
      </x:c>
      <x:c r="F768" s="153" t="n">
        <x:v>9311</x:v>
      </x:c>
      <x:c r="G768" s="153" t="n">
        <x:v>-2</x:v>
      </x:c>
      <x:c r="H768" s="154" t="n">
        <x:v>-0.0002</x:v>
      </x:c>
      <x:c r="I768" s="158" t="n">
        <x:v>9327</x:v>
      </x:c>
      <x:c r="J768" s="158" t="n">
        <x:v>271534</x:v>
      </x:c>
      <x:c r="K768" s="158" t="n">
        <x:v>2532687534</x:v>
      </x:c>
      <x:c r="L768" s="158" t="n">
        <x:v>3293380</x:v>
      </x:c>
      <x:c r="M768" s="141" t="str">
        <x:v>https://www.sge.com.cn/sjzx/quotation_daily_new?start_date=2025-08-01&amp;end_date=2025-08-31&amp;inst_ids=Ag%28T%2BD%29&amp;p=</x:v>
      </x:c>
    </x:row>
    <x:row r="769">
      <x:c r="A769" s="155" t="n">
        <x:v>45895</x:v>
      </x:c>
      <x:c r="B769" s="141" t="str">
        <x:v>Au99.99</x:v>
      </x:c>
      <x:c r="C769" s="153" t="n">
        <x:v>776</x:v>
      </x:c>
      <x:c r="D769" s="153" t="n">
        <x:v>779.6</x:v>
      </x:c>
      <x:c r="E769" s="153" t="n">
        <x:v>775.5</x:v>
      </x:c>
      <x:c r="F769" s="153" t="n">
        <x:v>777.1</x:v>
      </x:c>
      <x:c r="G769" s="153" t="n">
        <x:v>1.25</x:v>
      </x:c>
      <x:c r="H769" s="154" t="n">
        <x:v>0.0016</x:v>
      </x:c>
      <x:c r="I769" s="158" t="n">
        <x:v>777.5</x:v>
      </x:c>
      <x:c r="J769" s="158" t="n">
        <x:v>7739.2</x:v>
      </x:c>
      <x:c r="K769" s="158" t="n">
        <x:v>6017283821.8</x:v>
      </x:c>
      <x:c r="L769" s="158"/>
      <x:c r="M769" s="141" t="str">
        <x:v>https://www.sge.com.cn/sjzx/quotation_daily_new?start_date=2025-08-01&amp;end_date=2025-08-31&amp;inst_ids=Au99.99&amp;p=</x:v>
      </x:c>
    </x:row>
    <x:row r="770">
      <x:c r="A770" s="155" t="n">
        <x:v>45896</x:v>
      </x:c>
      <x:c r="B770" s="141" t="str">
        <x:v>Ag(T+D)</x:v>
      </x:c>
      <x:c r="C770" s="153" t="n">
        <x:v>9306</x:v>
      </x:c>
      <x:c r="D770" s="153" t="n">
        <x:v>9317</x:v>
      </x:c>
      <x:c r="E770" s="153" t="n">
        <x:v>9255</x:v>
      </x:c>
      <x:c r="F770" s="153" t="n">
        <x:v>9261</x:v>
      </x:c>
      <x:c r="G770" s="153" t="n">
        <x:v>-66</x:v>
      </x:c>
      <x:c r="H770" s="154" t="n">
        <x:v>-0.0070999999999999995</x:v>
      </x:c>
      <x:c r="I770" s="158" t="n">
        <x:v>9287</x:v>
      </x:c>
      <x:c r="J770" s="158" t="n">
        <x:v>354762</x:v>
      </x:c>
      <x:c r="K770" s="158" t="n">
        <x:v>3294841230</x:v>
      </x:c>
      <x:c r="L770" s="158" t="n">
        <x:v>3354472</x:v>
      </x:c>
      <x:c r="M770" s="141" t="str">
        <x:v>https://www.sge.com.cn/sjzx/quotation_daily_new?start_date=2025-08-01&amp;end_date=2025-08-31&amp;inst_ids=Ag%28T%2BD%29&amp;p=</x:v>
      </x:c>
    </x:row>
    <x:row r="771">
      <x:c r="A771" s="155" t="n">
        <x:v>45896</x:v>
      </x:c>
      <x:c r="B771" s="141" t="str">
        <x:v>Au99.99</x:v>
      </x:c>
      <x:c r="C771" s="153" t="n">
        <x:v>779</x:v>
      </x:c>
      <x:c r="D771" s="153" t="n">
        <x:v>779.5</x:v>
      </x:c>
      <x:c r="E771" s="153" t="n">
        <x:v>777</x:v>
      </x:c>
      <x:c r="F771" s="153" t="n">
        <x:v>778.07</x:v>
      </x:c>
      <x:c r="G771" s="153" t="n">
        <x:v>0.97</x:v>
      </x:c>
      <x:c r="H771" s="154" t="n">
        <x:v>0.0012</x:v>
      </x:c>
      <x:c r="I771" s="158" t="n">
        <x:v>778.87</x:v>
      </x:c>
      <x:c r="J771" s="158" t="n">
        <x:v>7674.72</x:v>
      </x:c>
      <x:c r="K771" s="158" t="n">
        <x:v>5977629092</x:v>
      </x:c>
      <x:c r="L771" s="158"/>
      <x:c r="M771" s="141" t="str">
        <x:v>https://www.sge.com.cn/sjzx/quotation_daily_new?start_date=2025-08-01&amp;end_date=2025-08-31&amp;inst_ids=Au99.99&amp;p=</x:v>
      </x:c>
    </x:row>
    <x:row r="772">
      <x:c r="A772" s="155" t="n">
        <x:v>45897</x:v>
      </x:c>
      <x:c r="B772" s="141" t="str">
        <x:v>Ag(T+D)</x:v>
      </x:c>
      <x:c r="C772" s="153" t="n">
        <x:v>9261</x:v>
      </x:c>
      <x:c r="D772" s="153" t="n">
        <x:v>9357</x:v>
      </x:c>
      <x:c r="E772" s="153" t="n">
        <x:v>9228</x:v>
      </x:c>
      <x:c r="F772" s="153" t="n">
        <x:v>9347</x:v>
      </x:c>
      <x:c r="G772" s="153" t="n">
        <x:v>60</x:v>
      </x:c>
      <x:c r="H772" s="154" t="n">
        <x:v>0.006500000000000001</x:v>
      </x:c>
      <x:c r="I772" s="158" t="n">
        <x:v>9323</x:v>
      </x:c>
      <x:c r="J772" s="158" t="n">
        <x:v>475098</x:v>
      </x:c>
      <x:c r="K772" s="158" t="n">
        <x:v>4429805554</x:v>
      </x:c>
      <x:c r="L772" s="158" t="n">
        <x:v>3329106</x:v>
      </x:c>
      <x:c r="M772" s="141" t="str">
        <x:v>https://www.sge.com.cn/sjzx/quotation_daily_new?start_date=2025-08-01&amp;end_date=2025-08-31&amp;inst_ids=Ag%28T%2BD%29&amp;p=</x:v>
      </x:c>
    </x:row>
    <x:row r="773">
      <x:c r="A773" s="155" t="n">
        <x:v>45897</x:v>
      </x:c>
      <x:c r="B773" s="141" t="str">
        <x:v>Au99.99</x:v>
      </x:c>
      <x:c r="C773" s="153" t="n">
        <x:v>777.5</x:v>
      </x:c>
      <x:c r="D773" s="153" t="n">
        <x:v>780.7</x:v>
      </x:c>
      <x:c r="E773" s="153" t="n">
        <x:v>777.5</x:v>
      </x:c>
      <x:c r="F773" s="153" t="n">
        <x:v>779.85</x:v>
      </x:c>
      <x:c r="G773" s="153" t="n">
        <x:v>1.78</x:v>
      </x:c>
      <x:c r="H773" s="154" t="n">
        <x:v>0.0023</x:v>
      </x:c>
      <x:c r="I773" s="158" t="n">
        <x:v>779.94</x:v>
      </x:c>
      <x:c r="J773" s="158" t="n">
        <x:v>7167.9</x:v>
      </x:c>
      <x:c r="K773" s="158" t="n">
        <x:v>5590560167.6</x:v>
      </x:c>
      <x:c r="L773" s="158"/>
      <x:c r="M773" s="141" t="str">
        <x:v>https://www.sge.com.cn/sjzx/quotation_daily_new?start_date=2025-08-01&amp;end_date=2025-08-31&amp;inst_ids=Au99.99&amp;p=</x:v>
      </x:c>
    </x:row>
    <x:row r="774">
      <x:c r="A774" s="155" t="n">
        <x:v>45898</x:v>
      </x:c>
      <x:c r="B774" s="141" t="str">
        <x:v>Ag(T+D)</x:v>
      </x:c>
      <x:c r="C774" s="153" t="n">
        <x:v>9347</x:v>
      </x:c>
      <x:c r="D774" s="153" t="n">
        <x:v>9388</x:v>
      </x:c>
      <x:c r="E774" s="153" t="n">
        <x:v>9323</x:v>
      </x:c>
      <x:c r="F774" s="153" t="n">
        <x:v>9365</x:v>
      </x:c>
      <x:c r="G774" s="153" t="n">
        <x:v>42</x:v>
      </x:c>
      <x:c r="H774" s="154" t="n">
        <x:v>0.0045000000000000005</x:v>
      </x:c>
      <x:c r="I774" s="158" t="n">
        <x:v>9363</x:v>
      </x:c>
      <x:c r="J774" s="158" t="n">
        <x:v>409046</x:v>
      </x:c>
      <x:c r="K774" s="158" t="n">
        <x:v>3830169074</x:v>
      </x:c>
      <x:c r="L774" s="158" t="n">
        <x:v>3444504</x:v>
      </x:c>
      <x:c r="M774" s="141" t="str">
        <x:v>https://www.sge.com.cn/sjzx/quotation_daily_new?start_date=2025-08-01&amp;end_date=2025-08-31&amp;inst_ids=Ag%28T%2BD%29&amp;p=</x:v>
      </x:c>
    </x:row>
    <x:row r="775">
      <x:c r="A775" s="155" t="n">
        <x:v>45898</x:v>
      </x:c>
      <x:c r="B775" s="141" t="str">
        <x:v>Au99.99</x:v>
      </x:c>
      <x:c r="C775" s="153" t="n">
        <x:v>779</x:v>
      </x:c>
      <x:c r="D775" s="153" t="n">
        <x:v>782.59</x:v>
      </x:c>
      <x:c r="E775" s="153" t="n">
        <x:v>779</x:v>
      </x:c>
      <x:c r="F775" s="153" t="n">
        <x:v>781.71</x:v>
      </x:c>
      <x:c r="G775" s="153" t="n">
        <x:v>1.86</x:v>
      </x:c>
      <x:c r="H775" s="154" t="n">
        <x:v>0.0024</x:v>
      </x:c>
      <x:c r="I775" s="158" t="n">
        <x:v>781.98</x:v>
      </x:c>
      <x:c r="J775" s="158" t="n">
        <x:v>8369.78</x:v>
      </x:c>
      <x:c r="K775" s="158" t="n">
        <x:v>6545061087</x:v>
      </x:c>
      <x:c r="L775" s="158"/>
      <x:c r="M775" s="141" t="str">
        <x:v>https://www.sge.com.cn/sjzx/quotation_daily_new?start_date=2025-08-01&amp;end_date=2025-08-31&amp;inst_ids=Au99.99&amp;p=</x:v>
      </x:c>
    </x:row>
    <x:row r="776">
      <x:c r="A776" s="155" t="n">
        <x:v>45903</x:v>
      </x:c>
      <x:c r="B776" s="141" t="str">
        <x:v>Ag(T+D)</x:v>
      </x:c>
      <x:c r="C776" s="153" t="n">
        <x:v>9800</x:v>
      </x:c>
      <x:c r="D776" s="153" t="n">
        <x:v>9841</x:v>
      </x:c>
      <x:c r="E776" s="153" t="n">
        <x:v>9670</x:v>
      </x:c>
      <x:c r="F776" s="153" t="n">
        <x:v>9780</x:v>
      </x:c>
      <x:c r="G776" s="153" t="n">
        <x:v>-35</x:v>
      </x:c>
      <x:c r="H776" s="154" t="n">
        <x:v>-0.0036</x:v>
      </x:c>
      <x:c r="I776" s="158" t="n">
        <x:v>9771</x:v>
      </x:c>
      <x:c r="J776" s="158" t="n">
        <x:v>373924</x:v>
      </x:c>
      <x:c r="K776" s="158" t="n">
        <x:v>3653679880</x:v>
      </x:c>
      <x:c r="L776" s="158" t="n">
        <x:v>3489224</x:v>
      </x:c>
      <x:c r="M776" s="141" t="str">
        <x:v>https://www.sge.com.cn/sjzx/quotation_daily_new?start_date=2025-09-01&amp;end_date=2025-09-30&amp;inst_ids=Ag%28T%2BD%29&amp;p=</x:v>
      </x:c>
    </x:row>
    <x:row r="777">
      <x:c r="A777" s="155" t="n">
        <x:v>45903</x:v>
      </x:c>
      <x:c r="B777" s="141" t="str">
        <x:v>Au99.99</x:v>
      </x:c>
      <x:c r="C777" s="153" t="n">
        <x:v>800</x:v>
      </x:c>
      <x:c r="D777" s="153" t="n">
        <x:v>812.99</x:v>
      </x:c>
      <x:c r="E777" s="153" t="n">
        <x:v>800</x:v>
      </x:c>
      <x:c r="F777" s="153" t="n">
        <x:v>809</x:v>
      </x:c>
      <x:c r="G777" s="153" t="n">
        <x:v>9.05</x:v>
      </x:c>
      <x:c r="H777" s="154" t="n">
        <x:v>0.0113</x:v>
      </x:c>
      <x:c r="I777" s="158" t="n">
        <x:v>810.44</x:v>
      </x:c>
      <x:c r="J777" s="158" t="n">
        <x:v>13097.26</x:v>
      </x:c>
      <x:c r="K777" s="158" t="n">
        <x:v>10614619042</x:v>
      </x:c>
      <x:c r="L777" s="158"/>
      <x:c r="M777" s="141" t="str">
        <x:v>https://www.sge.com.cn/sjzx/quotation_daily_new?start_date=2025-09-01&amp;end_date=2025-09-30&amp;inst_ids=Au99.99&amp;p=</x:v>
      </x:c>
    </x:row>
    <x:row r="778">
      <x:c r="A778" s="155" t="n">
        <x:v>45904</x:v>
      </x:c>
      <x:c r="B778" s="141" t="str">
        <x:v>Ag(T+D)</x:v>
      </x:c>
      <x:c r="C778" s="153" t="n">
        <x:v>9810</x:v>
      </x:c>
      <x:c r="D778" s="153" t="n">
        <x:v>9945</x:v>
      </x:c>
      <x:c r="E778" s="153" t="n">
        <x:v>9686</x:v>
      </x:c>
      <x:c r="F778" s="153" t="n">
        <x:v>9770</x:v>
      </x:c>
      <x:c r="G778" s="153" t="n">
        <x:v>-1</x:v>
      </x:c>
      <x:c r="H778" s="154" t="n">
        <x:v>-0.0001</x:v>
      </x:c>
      <x:c r="I778" s="158" t="n">
        <x:v>9790</x:v>
      </x:c>
      <x:c r="J778" s="158" t="n">
        <x:v>580972</x:v>
      </x:c>
      <x:c r="K778" s="158" t="n">
        <x:v>5687948902</x:v>
      </x:c>
      <x:c r="L778" s="158" t="n">
        <x:v>3471898</x:v>
      </x:c>
      <x:c r="M778" s="141" t="str">
        <x:v>https://www.sge.com.cn/sjzx/quotation_daily_new?start_date=2025-09-01&amp;end_date=2025-09-30&amp;inst_ids=Ag%28T%2BD%29&amp;p=</x:v>
      </x:c>
    </x:row>
    <x:row r="779">
      <x:c r="A779" s="155" t="n">
        <x:v>45904</x:v>
      </x:c>
      <x:c r="B779" s="141" t="str">
        <x:v>Au99.99</x:v>
      </x:c>
      <x:c r="C779" s="153" t="n">
        <x:v>814</x:v>
      </x:c>
      <x:c r="D779" s="153" t="n">
        <x:v>817</x:v>
      </x:c>
      <x:c r="E779" s="153" t="n">
        <x:v>804</x:v>
      </x:c>
      <x:c r="F779" s="153" t="n">
        <x:v>809.19</x:v>
      </x:c>
      <x:c r="G779" s="153" t="n">
        <x:v>0.19</x:v>
      </x:c>
      <x:c r="H779" s="154" t="n">
        <x:v>0.0002</x:v>
      </x:c>
      <x:c r="I779" s="158" t="n">
        <x:v>809.52</x:v>
      </x:c>
      <x:c r="J779" s="158" t="n">
        <x:v>10463.1</x:v>
      </x:c>
      <x:c r="K779" s="158" t="n">
        <x:v>8470122577.2</x:v>
      </x:c>
      <x:c r="L779" s="158"/>
      <x:c r="M779" s="141" t="str">
        <x:v>https://www.sge.com.cn/sjzx/quotation_daily_new?start_date=2025-09-01&amp;end_date=2025-09-30&amp;inst_ids=Au99.99&amp;p=</x:v>
      </x:c>
    </x:row>
    <x:row r="780">
      <x:c r="A780" s="155" t="n">
        <x:v>45905</x:v>
      </x:c>
      <x:c r="B780" s="141" t="str">
        <x:v>Ag(T+D)</x:v>
      </x:c>
      <x:c r="C780" s="153" t="n">
        <x:v>9778</x:v>
      </x:c>
      <x:c r="D780" s="153" t="n">
        <x:v>9807</x:v>
      </x:c>
      <x:c r="E780" s="153" t="n">
        <x:v>9690</x:v>
      </x:c>
      <x:c r="F780" s="153" t="n">
        <x:v>9788</x:v>
      </x:c>
      <x:c r="G780" s="153" t="n">
        <x:v>-2</x:v>
      </x:c>
      <x:c r="H780" s="154" t="n">
        <x:v>-0.0002</x:v>
      </x:c>
      <x:c r="I780" s="158" t="n">
        <x:v>9767</x:v>
      </x:c>
      <x:c r="J780" s="158" t="n">
        <x:v>380552</x:v>
      </x:c>
      <x:c r="K780" s="158" t="n">
        <x:v>3716889094</x:v>
      </x:c>
      <x:c r="L780" s="158" t="n">
        <x:v>3533094</x:v>
      </x:c>
      <x:c r="M780" s="141" t="str">
        <x:v>https://www.sge.com.cn/sjzx/quotation_daily_new?start_date=2025-09-01&amp;end_date=2025-09-30&amp;inst_ids=Ag%28T%2BD%29&amp;p=</x:v>
      </x:c>
    </x:row>
    <x:row r="781">
      <x:c r="A781" s="155" t="n">
        <x:v>45905</x:v>
      </x:c>
      <x:c r="B781" s="141" t="str">
        <x:v>Au99.99</x:v>
      </x:c>
      <x:c r="C781" s="153" t="n">
        <x:v>809.19</x:v>
      </x:c>
      <x:c r="D781" s="153" t="n">
        <x:v>813</x:v>
      </x:c>
      <x:c r="E781" s="153" t="n">
        <x:v>809</x:v>
      </x:c>
      <x:c r="F781" s="153" t="n">
        <x:v>811.5</x:v>
      </x:c>
      <x:c r="G781" s="153" t="n">
        <x:v>2.31</x:v>
      </x:c>
      <x:c r="H781" s="154" t="n">
        <x:v>0.0029</x:v>
      </x:c>
      <x:c r="I781" s="158" t="n">
        <x:v>811.74</x:v>
      </x:c>
      <x:c r="J781" s="158" t="n">
        <x:v>9088.06</x:v>
      </x:c>
      <x:c r="K781" s="158" t="n">
        <x:v>7377171608.2</x:v>
      </x:c>
      <x:c r="L781" s="158"/>
      <x:c r="M781" s="141" t="str">
        <x:v>https://www.sge.com.cn/sjzx/quotation_daily_new?start_date=2025-09-01&amp;end_date=2025-09-30&amp;inst_ids=Au99.99&amp;p=</x:v>
      </x:c>
    </x:row>
    <x:row r="782">
      <x:c r="A782" s="155" t="n">
        <x:v>45908</x:v>
      </x:c>
      <x:c r="B782" s="141" t="str">
        <x:v>Ag(T+D)</x:v>
      </x:c>
      <x:c r="C782" s="153" t="n">
        <x:v>9770</x:v>
      </x:c>
      <x:c r="D782" s="153" t="n">
        <x:v>9898</x:v>
      </x:c>
      <x:c r="E782" s="153" t="n">
        <x:v>9696</x:v>
      </x:c>
      <x:c r="F782" s="153" t="n">
        <x:v>9798</x:v>
      </x:c>
      <x:c r="G782" s="153" t="n">
        <x:v>31</x:v>
      </x:c>
      <x:c r="H782" s="154" t="n">
        <x:v>0.0032</x:v>
      </x:c>
      <x:c r="I782" s="158" t="n">
        <x:v>9765</x:v>
      </x:c>
      <x:c r="J782" s="158" t="n">
        <x:v>604986</x:v>
      </x:c>
      <x:c r="K782" s="158" t="n">
        <x:v>5908177776</x:v>
      </x:c>
      <x:c r="L782" s="158" t="n">
        <x:v>3562474</x:v>
      </x:c>
      <x:c r="M782" s="141" t="str">
        <x:v>https://www.sge.com.cn/sjzx/quotation_daily_new?start_date=2025-09-01&amp;end_date=2025-09-30&amp;inst_ids=Ag%28T%2BD%29&amp;p=</x:v>
      </x:c>
    </x:row>
    <x:row r="783">
      <x:c r="A783" s="155" t="n">
        <x:v>45908</x:v>
      </x:c>
      <x:c r="B783" s="141" t="str">
        <x:v>Au99.99</x:v>
      </x:c>
      <x:c r="C783" s="153" t="n">
        <x:v>810.3</x:v>
      </x:c>
      <x:c r="D783" s="153" t="n">
        <x:v>822</x:v>
      </x:c>
      <x:c r="E783" s="153" t="n">
        <x:v>810.3</x:v>
      </x:c>
      <x:c r="F783" s="153" t="n">
        <x:v>821.2</x:v>
      </x:c>
      <x:c r="G783" s="153" t="n">
        <x:v>9.7</x:v>
      </x:c>
      <x:c r="H783" s="154" t="n">
        <x:v>0.012</x:v>
      </x:c>
      <x:c r="I783" s="158" t="n">
        <x:v>817.98</x:v>
      </x:c>
      <x:c r="J783" s="158" t="n">
        <x:v>10081.2</x:v>
      </x:c>
      <x:c r="K783" s="158" t="n">
        <x:v>8246285707</x:v>
      </x:c>
      <x:c r="L783" s="158"/>
      <x:c r="M783" s="141" t="str">
        <x:v>https://www.sge.com.cn/sjzx/quotation_daily_new?start_date=2025-09-01&amp;end_date=2025-09-30&amp;inst_ids=Au99.99&amp;p=</x:v>
      </x:c>
    </x:row>
    <x:row r="784">
      <x:c r="A784" s="155" t="n">
        <x:v>45909</x:v>
      </x:c>
      <x:c r="B784" s="141" t="str">
        <x:v>Ag(T+D)</x:v>
      </x:c>
      <x:c r="C784" s="153" t="n">
        <x:v>9828</x:v>
      </x:c>
      <x:c r="D784" s="153" t="n">
        <x:v>9906</x:v>
      </x:c>
      <x:c r="E784" s="153" t="n">
        <x:v>9805</x:v>
      </x:c>
      <x:c r="F784" s="153" t="n">
        <x:v>9847</x:v>
      </x:c>
      <x:c r="G784" s="153" t="n">
        <x:v>82</x:v>
      </x:c>
      <x:c r="H784" s="154" t="n">
        <x:v>0.0084</x:v>
      </x:c>
      <x:c r="I784" s="158" t="n">
        <x:v>9842</x:v>
      </x:c>
      <x:c r="J784" s="158" t="n">
        <x:v>384540</x:v>
      </x:c>
      <x:c r="K784" s="158" t="n">
        <x:v>3784823552</x:v>
      </x:c>
      <x:c r="L784" s="158" t="n">
        <x:v>3539200</x:v>
      </x:c>
      <x:c r="M784" s="141" t="str">
        <x:v>https://www.sge.com.cn/sjzx/quotation_daily_new?start_date=2025-09-01&amp;end_date=2025-09-30&amp;inst_ids=Ag%28T%2BD%29&amp;p=</x:v>
      </x:c>
    </x:row>
    <x:row r="785">
      <x:c r="A785" s="155" t="n">
        <x:v>45909</x:v>
      </x:c>
      <x:c r="B785" s="141" t="str">
        <x:v>Au99.99</x:v>
      </x:c>
      <x:c r="C785" s="153" t="n">
        <x:v>823</x:v>
      </x:c>
      <x:c r="D785" s="153" t="n">
        <x:v>833.99</x:v>
      </x:c>
      <x:c r="E785" s="153" t="n">
        <x:v>823</x:v>
      </x:c>
      <x:c r="F785" s="153" t="n">
        <x:v>832</x:v>
      </x:c>
      <x:c r="G785" s="153" t="n">
        <x:v>10.8</x:v>
      </x:c>
      <x:c r="H785" s="154" t="n">
        <x:v>0.0132</x:v>
      </x:c>
      <x:c r="I785" s="158" t="n">
        <x:v>831.02</x:v>
      </x:c>
      <x:c r="J785" s="158" t="n">
        <x:v>13667.52</x:v>
      </x:c>
      <x:c r="K785" s="158" t="n">
        <x:v>11358065606</x:v>
      </x:c>
      <x:c r="L785" s="158"/>
      <x:c r="M785" s="141" t="str">
        <x:v>https://www.sge.com.cn/sjzx/quotation_daily_new?start_date=2025-09-01&amp;end_date=2025-09-30&amp;inst_ids=Au99.99&amp;p=</x:v>
      </x:c>
    </x:row>
    <x:row r="786">
      <x:c r="A786" s="155" t="n">
        <x:v>45910</x:v>
      </x:c>
      <x:c r="B786" s="141" t="str">
        <x:v>Ag(T+D)</x:v>
      </x:c>
      <x:c r="C786" s="153" t="n">
        <x:v>9817</x:v>
      </x:c>
      <x:c r="D786" s="153" t="n">
        <x:v>9844</x:v>
      </x:c>
      <x:c r="E786" s="153" t="n">
        <x:v>9702</x:v>
      </x:c>
      <x:c r="F786" s="153" t="n">
        <x:v>9784</x:v>
      </x:c>
      <x:c r="G786" s="153" t="n">
        <x:v>-58</x:v>
      </x:c>
      <x:c r="H786" s="154" t="n">
        <x:v>-0.0059</x:v>
      </x:c>
      <x:c r="I786" s="158" t="n">
        <x:v>9764</x:v>
      </x:c>
      <x:c r="J786" s="158" t="n">
        <x:v>566582</x:v>
      </x:c>
      <x:c r="K786" s="158" t="n">
        <x:v>5532436584</x:v>
      </x:c>
      <x:c r="L786" s="158" t="n">
        <x:v>3455636</x:v>
      </x:c>
      <x:c r="M786" s="141" t="str">
        <x:v>https://www.sge.com.cn/sjzx/quotation_daily_new?start_date=2025-09-01&amp;end_date=2025-09-30&amp;inst_ids=Ag%28T%2BD%29&amp;p=</x:v>
      </x:c>
    </x:row>
    <x:row r="787">
      <x:c r="A787" s="155" t="n">
        <x:v>45910</x:v>
      </x:c>
      <x:c r="B787" s="141" t="str">
        <x:v>Au99.99</x:v>
      </x:c>
      <x:c r="C787" s="153" t="n">
        <x:v>832</x:v>
      </x:c>
      <x:c r="D787" s="153" t="n">
        <x:v>836</x:v>
      </x:c>
      <x:c r="E787" s="153" t="n">
        <x:v>824.5</x:v>
      </x:c>
      <x:c r="F787" s="153" t="n">
        <x:v>829.75</x:v>
      </x:c>
      <x:c r="G787" s="153" t="n">
        <x:v>-2.25</x:v>
      </x:c>
      <x:c r="H787" s="154" t="n">
        <x:v>-0.0027</x:v>
      </x:c>
      <x:c r="I787" s="158" t="n">
        <x:v>828.78</x:v>
      </x:c>
      <x:c r="J787" s="158" t="n">
        <x:v>9108.66</x:v>
      </x:c>
      <x:c r="K787" s="158" t="n">
        <x:v>7549163637.2</x:v>
      </x:c>
      <x:c r="L787" s="158"/>
      <x:c r="M787" s="141" t="str">
        <x:v>https://www.sge.com.cn/sjzx/quotation_daily_new?start_date=2025-09-01&amp;end_date=2025-09-30&amp;inst_ids=Au99.99&amp;p=</x:v>
      </x:c>
    </x:row>
    <x:row r="788">
      <x:c r="A788" s="155" t="n">
        <x:v>45911</x:v>
      </x:c>
      <x:c r="B788" s="141" t="str">
        <x:v>Ag(T+D)</x:v>
      </x:c>
      <x:c r="C788" s="153" t="n">
        <x:v>9771</x:v>
      </x:c>
      <x:c r="D788" s="153" t="n">
        <x:v>9824</x:v>
      </x:c>
      <x:c r="E788" s="153" t="n">
        <x:v>9730</x:v>
      </x:c>
      <x:c r="F788" s="153" t="n">
        <x:v>9772</x:v>
      </x:c>
      <x:c r="G788" s="153" t="n">
        <x:v>8</x:v>
      </x:c>
      <x:c r="H788" s="154" t="n">
        <x:v>0.0008</x:v>
      </x:c>
      <x:c r="I788" s="158" t="n">
        <x:v>9771</x:v>
      </x:c>
      <x:c r="J788" s="158" t="n">
        <x:v>304080</x:v>
      </x:c>
      <x:c r="K788" s="158" t="n">
        <x:v>2971358040</x:v>
      </x:c>
      <x:c r="L788" s="158" t="n">
        <x:v>3406854</x:v>
      </x:c>
      <x:c r="M788" s="141" t="str">
        <x:v>https://www.sge.com.cn/sjzx/quotation_daily_new?start_date=2025-09-01&amp;end_date=2025-09-30&amp;inst_ids=Ag%28T%2BD%29&amp;p=</x:v>
      </x:c>
    </x:row>
    <x:row r="789">
      <x:c r="A789" s="155" t="n">
        <x:v>45911</x:v>
      </x:c>
      <x:c r="B789" s="141" t="str">
        <x:v>Au99.99</x:v>
      </x:c>
      <x:c r="C789" s="153" t="n">
        <x:v>830</x:v>
      </x:c>
      <x:c r="D789" s="153" t="n">
        <x:v>832.8</x:v>
      </x:c>
      <x:c r="E789" s="153" t="n">
        <x:v>825.8</x:v>
      </x:c>
      <x:c r="F789" s="153" t="n">
        <x:v>826.52</x:v>
      </x:c>
      <x:c r="G789" s="153" t="n">
        <x:v>-3.23</x:v>
      </x:c>
      <x:c r="H789" s="154" t="n">
        <x:v>-0.0039000000000000003</x:v>
      </x:c>
      <x:c r="I789" s="158" t="n">
        <x:v>828.75</x:v>
      </x:c>
      <x:c r="J789" s="158" t="n">
        <x:v>7586.08</x:v>
      </x:c>
      <x:c r="K789" s="158" t="n">
        <x:v>6287029486.8</x:v>
      </x:c>
      <x:c r="L789" s="158"/>
      <x:c r="M789" s="141" t="str">
        <x:v>https://www.sge.com.cn/sjzx/quotation_daily_new?start_date=2025-09-01&amp;end_date=2025-09-30&amp;inst_ids=Au99.99&amp;p=</x:v>
      </x:c>
    </x:row>
    <x:row r="790">
      <x:c r="A790" s="155" t="n">
        <x:v>45912</x:v>
      </x:c>
      <x:c r="B790" s="141" t="str">
        <x:v>Ag(T+D)</x:v>
      </x:c>
      <x:c r="C790" s="153" t="n">
        <x:v>9770</x:v>
      </x:c>
      <x:c r="D790" s="153" t="n">
        <x:v>10048</x:v>
      </x:c>
      <x:c r="E790" s="153" t="n">
        <x:v>9760</x:v>
      </x:c>
      <x:c r="F790" s="153" t="n">
        <x:v>10034</x:v>
      </x:c>
      <x:c r="G790" s="153" t="n">
        <x:v>263</x:v>
      </x:c>
      <x:c r="H790" s="154" t="n">
        <x:v>0.0269</x:v>
      </x:c>
      <x:c r="I790" s="158" t="n">
        <x:v>9958</x:v>
      </x:c>
      <x:c r="J790" s="158" t="n">
        <x:v>640580</x:v>
      </x:c>
      <x:c r="K790" s="158" t="n">
        <x:v>6379485398</x:v>
      </x:c>
      <x:c r="L790" s="158" t="n">
        <x:v>3483754</x:v>
      </x:c>
      <x:c r="M790" s="141" t="str">
        <x:v>https://www.sge.com.cn/sjzx/quotation_daily_new?start_date=2025-09-01&amp;end_date=2025-09-30&amp;inst_ids=Ag%28T%2BD%29&amp;p=</x:v>
      </x:c>
    </x:row>
    <x:row r="791">
      <x:c r="A791" s="155" t="n">
        <x:v>45912</x:v>
      </x:c>
      <x:c r="B791" s="141" t="str">
        <x:v>Au99.99</x:v>
      </x:c>
      <x:c r="C791" s="153" t="n">
        <x:v>825</x:v>
      </x:c>
      <x:c r="D791" s="153" t="n">
        <x:v>831.7</x:v>
      </x:c>
      <x:c r="E791" s="153" t="n">
        <x:v>824.1</x:v>
      </x:c>
      <x:c r="F791" s="153" t="n">
        <x:v>830.41</x:v>
      </x:c>
      <x:c r="G791" s="153" t="n">
        <x:v>3.89</x:v>
      </x:c>
      <x:c r="H791" s="154" t="n">
        <x:v>0.004699999999999999</x:v>
      </x:c>
      <x:c r="I791" s="158" t="n">
        <x:v>830.1</x:v>
      </x:c>
      <x:c r="J791" s="158" t="n">
        <x:v>9450.58</x:v>
      </x:c>
      <x:c r="K791" s="158" t="n">
        <x:v>7844987695</x:v>
      </x:c>
      <x:c r="L791" s="158"/>
      <x:c r="M791" s="141" t="str">
        <x:v>https://www.sge.com.cn/sjzx/quotation_daily_new?start_date=2025-09-01&amp;end_date=2025-09-30&amp;inst_ids=Au99.99&amp;p=</x:v>
      </x:c>
    </x:row>
    <x:row r="792">
      <x:c r="A792" s="155" t="n">
        <x:v>45915</x:v>
      </x:c>
      <x:c r="B792" s="141" t="str">
        <x:v>Ag(T+D)</x:v>
      </x:c>
      <x:c r="C792" s="153" t="n">
        <x:v>10080</x:v>
      </x:c>
      <x:c r="D792" s="153" t="n">
        <x:v>10080</x:v>
      </x:c>
      <x:c r="E792" s="153" t="n">
        <x:v>9960</x:v>
      </x:c>
      <x:c r="F792" s="153" t="n">
        <x:v>9994</x:v>
      </x:c>
      <x:c r="G792" s="153" t="n">
        <x:v>36</x:v>
      </x:c>
      <x:c r="H792" s="154" t="n">
        <x:v>0.0036</x:v>
      </x:c>
      <x:c r="I792" s="158" t="n">
        <x:v>9994</x:v>
      </x:c>
      <x:c r="J792" s="158" t="n">
        <x:v>380008</x:v>
      </x:c>
      <x:c r="K792" s="158" t="n">
        <x:v>3798072544</x:v>
      </x:c>
      <x:c r="L792" s="158" t="n">
        <x:v>3477766</x:v>
      </x:c>
      <x:c r="M792" s="141" t="str">
        <x:v>https://www.sge.com.cn/sjzx/quotation_daily_new?start_date=2025-09-01&amp;end_date=2025-09-30&amp;inst_ids=Ag%28T%2BD%29&amp;p=</x:v>
      </x:c>
    </x:row>
    <x:row r="793">
      <x:c r="A793" s="155" t="n">
        <x:v>45915</x:v>
      </x:c>
      <x:c r="B793" s="141" t="str">
        <x:v>Au99.99</x:v>
      </x:c>
      <x:c r="C793" s="153" t="n">
        <x:v>830.2</x:v>
      </x:c>
      <x:c r="D793" s="153" t="n">
        <x:v>831</x:v>
      </x:c>
      <x:c r="E793" s="153" t="n">
        <x:v>826</x:v>
      </x:c>
      <x:c r="F793" s="153" t="n">
        <x:v>828.21</x:v>
      </x:c>
      <x:c r="G793" s="153" t="n">
        <x:v>-2.2</x:v>
      </x:c>
      <x:c r="H793" s="154" t="n">
        <x:v>-0.0026</x:v>
      </x:c>
      <x:c r="I793" s="158" t="n">
        <x:v>828.61</x:v>
      </x:c>
      <x:c r="J793" s="158" t="n">
        <x:v>9527.2</x:v>
      </x:c>
      <x:c r="K793" s="158" t="n">
        <x:v>7894413133.2</x:v>
      </x:c>
      <x:c r="L793" s="158"/>
      <x:c r="M793" s="141" t="str">
        <x:v>https://www.sge.com.cn/sjzx/quotation_daily_new?start_date=2025-09-01&amp;end_date=2025-09-30&amp;inst_ids=Au99.99&amp;p=</x:v>
      </x:c>
    </x:row>
    <x:row r="794">
      <x:c r="A794" s="155" t="n">
        <x:v>45916</x:v>
      </x:c>
      <x:c r="B794" s="141" t="str">
        <x:v>Ag(T+D)</x:v>
      </x:c>
      <x:c r="C794" s="153" t="n">
        <x:v>10033</x:v>
      </x:c>
      <x:c r="D794" s="153" t="n">
        <x:v>10125</x:v>
      </x:c>
      <x:c r="E794" s="153" t="n">
        <x:v>9982</x:v>
      </x:c>
      <x:c r="F794" s="153" t="n">
        <x:v>10099</x:v>
      </x:c>
      <x:c r="G794" s="153" t="n">
        <x:v>105</x:v>
      </x:c>
      <x:c r="H794" s="154" t="n">
        <x:v>0.0105</x:v>
      </x:c>
      <x:c r="I794" s="158" t="n">
        <x:v>10064</x:v>
      </x:c>
      <x:c r="J794" s="158" t="n">
        <x:v>508792</x:v>
      </x:c>
      <x:c r="K794" s="158" t="n">
        <x:v>5120551694</x:v>
      </x:c>
      <x:c r="L794" s="158" t="n">
        <x:v>3450054</x:v>
      </x:c>
      <x:c r="M794" s="141" t="str">
        <x:v>https://www.sge.com.cn/sjzx/quotation_daily_new?start_date=2025-09-01&amp;end_date=2025-09-30&amp;inst_ids=Ag%28T%2BD%29&amp;p=</x:v>
      </x:c>
    </x:row>
    <x:row r="795">
      <x:c r="A795" s="155" t="n">
        <x:v>45916</x:v>
      </x:c>
      <x:c r="B795" s="141" t="str">
        <x:v>Au99.99</x:v>
      </x:c>
      <x:c r="C795" s="153" t="n">
        <x:v>829</x:v>
      </x:c>
      <x:c r="D795" s="153" t="n">
        <x:v>839.99</x:v>
      </x:c>
      <x:c r="E795" s="153" t="n">
        <x:v>829</x:v>
      </x:c>
      <x:c r="F795" s="153" t="n">
        <x:v>838.73</x:v>
      </x:c>
      <x:c r="G795" s="153" t="n">
        <x:v>10.52</x:v>
      </x:c>
      <x:c r="H795" s="154" t="n">
        <x:v>0.0127</x:v>
      </x:c>
      <x:c r="I795" s="158" t="n">
        <x:v>836.71</x:v>
      </x:c>
      <x:c r="J795" s="158" t="n">
        <x:v>9667.46</x:v>
      </x:c>
      <x:c r="K795" s="158" t="n">
        <x:v>8088864867.6</x:v>
      </x:c>
      <x:c r="L795" s="158"/>
      <x:c r="M795" s="141" t="str">
        <x:v>https://www.sge.com.cn/sjzx/quotation_daily_new?start_date=2025-09-01&amp;end_date=2025-09-30&amp;inst_ids=Au99.99&amp;p=</x:v>
      </x:c>
    </x:row>
    <x:row r="796">
      <x:c r="A796" s="155" t="n">
        <x:v>45917</x:v>
      </x:c>
      <x:c r="B796" s="141" t="str">
        <x:v>Ag(T+D)</x:v>
      </x:c>
      <x:c r="C796" s="153" t="n">
        <x:v>10111</x:v>
      </x:c>
      <x:c r="D796" s="153" t="n">
        <x:v>10124</x:v>
      </x:c>
      <x:c r="E796" s="153" t="n">
        <x:v>9872</x:v>
      </x:c>
      <x:c r="F796" s="153" t="n">
        <x:v>9876</x:v>
      </x:c>
      <x:c r="G796" s="153" t="n">
        <x:v>-188</x:v>
      </x:c>
      <x:c r="H796" s="154" t="n">
        <x:v>-0.0187</x:v>
      </x:c>
      <x:c r="I796" s="158" t="n">
        <x:v>9941</x:v>
      </x:c>
      <x:c r="J796" s="158" t="n">
        <x:v>748504</x:v>
      </x:c>
      <x:c r="K796" s="158" t="n">
        <x:v>7441125406</x:v>
      </x:c>
      <x:c r="L796" s="158" t="n">
        <x:v>3346464</x:v>
      </x:c>
      <x:c r="M796" s="141" t="str">
        <x:v>https://www.sge.com.cn/sjzx/quotation_daily_new?start_date=2025-09-01&amp;end_date=2025-09-30&amp;inst_ids=Ag%28T%2BD%29&amp;p=</x:v>
      </x:c>
    </x:row>
    <x:row r="797">
      <x:c r="A797" s="155" t="n">
        <x:v>45917</x:v>
      </x:c>
      <x:c r="B797" s="141" t="str">
        <x:v>Au99.99</x:v>
      </x:c>
      <x:c r="C797" s="153" t="n">
        <x:v>838.7</x:v>
      </x:c>
      <x:c r="D797" s="153" t="n">
        <x:v>841</x:v>
      </x:c>
      <x:c r="E797" s="153" t="n">
        <x:v>831.4</x:v>
      </x:c>
      <x:c r="F797" s="153" t="n">
        <x:v>831.85</x:v>
      </x:c>
      <x:c r="G797" s="153" t="n">
        <x:v>-6.88</x:v>
      </x:c>
      <x:c r="H797" s="154" t="n">
        <x:v>-0.008199999999999999</x:v>
      </x:c>
      <x:c r="I797" s="158" t="n">
        <x:v>833.74</x:v>
      </x:c>
      <x:c r="J797" s="158" t="n">
        <x:v>8951.58</x:v>
      </x:c>
      <x:c r="K797" s="158" t="n">
        <x:v>7463355218.6</x:v>
      </x:c>
      <x:c r="L797" s="158"/>
      <x:c r="M797" s="141" t="str">
        <x:v>https://www.sge.com.cn/sjzx/quotation_daily_new?start_date=2025-09-01&amp;end_date=2025-09-30&amp;inst_ids=Au99.99&amp;p=</x:v>
      </x:c>
    </x:row>
    <x:row r="798">
      <x:c r="A798" s="155" t="n">
        <x:v>45918</x:v>
      </x:c>
      <x:c r="B798" s="141" t="str">
        <x:v>Ag(T+D)</x:v>
      </x:c>
      <x:c r="C798" s="153" t="n">
        <x:v>9847</x:v>
      </x:c>
      <x:c r="D798" s="153" t="n">
        <x:v>9956</x:v>
      </x:c>
      <x:c r="E798" s="153" t="n">
        <x:v>9753</x:v>
      </x:c>
      <x:c r="F798" s="153" t="n">
        <x:v>9811</x:v>
      </x:c>
      <x:c r="G798" s="153" t="n">
        <x:v>-130</x:v>
      </x:c>
      <x:c r="H798" s="154" t="n">
        <x:v>-0.0131</x:v>
      </x:c>
      <x:c r="I798" s="158" t="n">
        <x:v>9830</x:v>
      </x:c>
      <x:c r="J798" s="158" t="n">
        <x:v>547182</x:v>
      </x:c>
      <x:c r="K798" s="158" t="n">
        <x:v>5378927584</x:v>
      </x:c>
      <x:c r="L798" s="158" t="n">
        <x:v>3403660</x:v>
      </x:c>
      <x:c r="M798" s="141" t="str">
        <x:v>https://www.sge.com.cn/sjzx/quotation_daily_new?start_date=2025-09-01&amp;end_date=2025-09-30&amp;inst_ids=Ag%28T%2BD%29&amp;p=</x:v>
      </x:c>
    </x:row>
    <x:row r="799">
      <x:c r="A799" s="155" t="n">
        <x:v>45918</x:v>
      </x:c>
      <x:c r="B799" s="141" t="str">
        <x:v>Au99.99</x:v>
      </x:c>
      <x:c r="C799" s="153" t="n">
        <x:v>832.8</x:v>
      </x:c>
      <x:c r="D799" s="153" t="n">
        <x:v>837</x:v>
      </x:c>
      <x:c r="E799" s="153" t="n">
        <x:v>822</x:v>
      </x:c>
      <x:c r="F799" s="153" t="n">
        <x:v>824.59</x:v>
      </x:c>
      <x:c r="G799" s="153" t="n">
        <x:v>-7.26</x:v>
      </x:c>
      <x:c r="H799" s="154" t="n">
        <x:v>-0.0087</x:v>
      </x:c>
      <x:c r="I799" s="158" t="n">
        <x:v>827.3</x:v>
      </x:c>
      <x:c r="J799" s="158" t="n">
        <x:v>10499.96</x:v>
      </x:c>
      <x:c r="K799" s="158" t="n">
        <x:v>8686695383.8</x:v>
      </x:c>
      <x:c r="L799" s="158"/>
      <x:c r="M799" s="141" t="str">
        <x:v>https://www.sge.com.cn/sjzx/quotation_daily_new?start_date=2025-09-01&amp;end_date=2025-09-30&amp;inst_ids=Au99.99&amp;p=</x:v>
      </x:c>
    </x:row>
    <x:row r="800">
      <x:c r="A800" s="155" t="n">
        <x:v>45919</x:v>
      </x:c>
      <x:c r="B800" s="141" t="str">
        <x:v>Ag(T+D)</x:v>
      </x:c>
      <x:c r="C800" s="153" t="n">
        <x:v>9853</x:v>
      </x:c>
      <x:c r="D800" s="153" t="n">
        <x:v>9983</x:v>
      </x:c>
      <x:c r="E800" s="153" t="n">
        <x:v>9805</x:v>
      </x:c>
      <x:c r="F800" s="153" t="n">
        <x:v>9940</x:v>
      </x:c>
      <x:c r="G800" s="153" t="n">
        <x:v>110</x:v>
      </x:c>
      <x:c r="H800" s="154" t="n">
        <x:v>0.011200000000000002</x:v>
      </x:c>
      <x:c r="I800" s="158" t="n">
        <x:v>9902</x:v>
      </x:c>
      <x:c r="J800" s="158" t="n">
        <x:v>428604</x:v>
      </x:c>
      <x:c r="K800" s="158" t="n">
        <x:v>4244383846</x:v>
      </x:c>
      <x:c r="L800" s="158" t="n">
        <x:v>3435250</x:v>
      </x:c>
      <x:c r="M800" s="141" t="str">
        <x:v>https://www.sge.com.cn/sjzx/quotation_daily_new?start_date=2025-09-01&amp;end_date=2025-09-30&amp;inst_ids=Ag%28T%2BD%29&amp;p=</x:v>
      </x:c>
    </x:row>
    <x:row r="801">
      <x:c r="A801" s="155" t="n">
        <x:v>45919</x:v>
      </x:c>
      <x:c r="B801" s="141" t="str">
        <x:v>Au99.99</x:v>
      </x:c>
      <x:c r="C801" s="153" t="n">
        <x:v>830</x:v>
      </x:c>
      <x:c r="D801" s="153" t="n">
        <x:v>830</x:v>
      </x:c>
      <x:c r="E801" s="153" t="n">
        <x:v>823</x:v>
      </x:c>
      <x:c r="F801" s="153" t="n">
        <x:v>826.71</x:v>
      </x:c>
      <x:c r="G801" s="153" t="n">
        <x:v>2.12</x:v>
      </x:c>
      <x:c r="H801" s="154" t="n">
        <x:v>0.0026</x:v>
      </x:c>
      <x:c r="I801" s="158" t="n">
        <x:v>825.59</x:v>
      </x:c>
      <x:c r="J801" s="158" t="n">
        <x:v>7306.38</x:v>
      </x:c>
      <x:c r="K801" s="158" t="n">
        <x:v>6032086829.4</x:v>
      </x:c>
      <x:c r="L801" s="158"/>
      <x:c r="M801" s="141" t="str">
        <x:v>https://www.sge.com.cn/sjzx/quotation_daily_new?start_date=2025-09-01&amp;end_date=2025-09-30&amp;inst_ids=Au99.99&amp;p=</x:v>
      </x:c>
    </x:row>
    <x:row r="802">
      <x:c r="A802" s="155" t="n">
        <x:v>45922</x:v>
      </x:c>
      <x:c r="B802" s="141" t="str">
        <x:v>Ag(T+D)</x:v>
      </x:c>
      <x:c r="C802" s="153" t="n">
        <x:v>9902</x:v>
      </x:c>
      <x:c r="D802" s="153" t="n">
        <x:v>10265</x:v>
      </x:c>
      <x:c r="E802" s="153" t="n">
        <x:v>9902</x:v>
      </x:c>
      <x:c r="F802" s="153" t="n">
        <x:v>10243</x:v>
      </x:c>
      <x:c r="G802" s="153" t="n">
        <x:v>341</x:v>
      </x:c>
      <x:c r="H802" s="154" t="n">
        <x:v>0.0344</x:v>
      </x:c>
      <x:c r="I802" s="158" t="n">
        <x:v>10131</x:v>
      </x:c>
      <x:c r="J802" s="158" t="n">
        <x:v>606548</x:v>
      </x:c>
      <x:c r="K802" s="158" t="n">
        <x:v>6145516588</x:v>
      </x:c>
      <x:c r="L802" s="158" t="n">
        <x:v>3494158</x:v>
      </x:c>
      <x:c r="M802" s="141" t="str">
        <x:v>https://www.sge.com.cn/sjzx/quotation_daily_new?start_date=2025-09-01&amp;end_date=2025-09-30&amp;inst_ids=Ag%28T%2BD%29&amp;p=</x:v>
      </x:c>
    </x:row>
    <x:row r="803">
      <x:c r="A803" s="155" t="n">
        <x:v>45922</x:v>
      </x:c>
      <x:c r="B803" s="141" t="str">
        <x:v>Au99.99</x:v>
      </x:c>
      <x:c r="C803" s="153" t="n">
        <x:v>827</x:v>
      </x:c>
      <x:c r="D803" s="153" t="n">
        <x:v>845</x:v>
      </x:c>
      <x:c r="E803" s="153" t="n">
        <x:v>827</x:v>
      </x:c>
      <x:c r="F803" s="153" t="n">
        <x:v>839.5</x:v>
      </x:c>
      <x:c r="G803" s="153" t="n">
        <x:v>12.79</x:v>
      </x:c>
      <x:c r="H803" s="154" t="n">
        <x:v>0.0155</x:v>
      </x:c>
      <x:c r="I803" s="158" t="n">
        <x:v>837.35</x:v>
      </x:c>
      <x:c r="J803" s="158" t="n">
        <x:v>7301.9</x:v>
      </x:c>
      <x:c r="K803" s="158" t="n">
        <x:v>6114281183.4</x:v>
      </x:c>
      <x:c r="L803" s="158"/>
      <x:c r="M803" s="141" t="str">
        <x:v>https://www.sge.com.cn/sjzx/quotation_daily_new?start_date=2025-09-01&amp;end_date=2025-09-30&amp;inst_ids=Au99.99&amp;p=</x:v>
      </x:c>
    </x:row>
    <x:row r="804">
      <x:c r="A804" s="155" t="n">
        <x:v>45923</x:v>
      </x:c>
      <x:c r="B804" s="141" t="str">
        <x:v>Ag(T+D)</x:v>
      </x:c>
      <x:c r="C804" s="153" t="n">
        <x:v>10225</x:v>
      </x:c>
      <x:c r="D804" s="153" t="n">
        <x:v>10327</x:v>
      </x:c>
      <x:c r="E804" s="153" t="n">
        <x:v>10168</x:v>
      </x:c>
      <x:c r="F804" s="153" t="n">
        <x:v>10275</x:v>
      </x:c>
      <x:c r="G804" s="153" t="n">
        <x:v>144</x:v>
      </x:c>
      <x:c r="H804" s="154" t="n">
        <x:v>0.014199999999999999</x:v>
      </x:c>
      <x:c r="I804" s="158" t="n">
        <x:v>10256</x:v>
      </x:c>
      <x:c r="J804" s="158" t="n">
        <x:v>548328</x:v>
      </x:c>
      <x:c r="K804" s="158" t="n">
        <x:v>5623975984</x:v>
      </x:c>
      <x:c r="L804" s="158" t="n">
        <x:v>3499506</x:v>
      </x:c>
      <x:c r="M804" s="141" t="str">
        <x:v>https://www.sge.com.cn/sjzx/quotation_daily_new?start_date=2025-09-01&amp;end_date=2025-09-30&amp;inst_ids=Ag%28T%2BD%29&amp;p=</x:v>
      </x:c>
    </x:row>
    <x:row r="805">
      <x:c r="A805" s="155" t="n">
        <x:v>45923</x:v>
      </x:c>
      <x:c r="B805" s="141" t="str">
        <x:v>Au99.99</x:v>
      </x:c>
      <x:c r="C805" s="153" t="n">
        <x:v>843</x:v>
      </x:c>
      <x:c r="D805" s="153" t="n">
        <x:v>850.88</x:v>
      </x:c>
      <x:c r="E805" s="153" t="n">
        <x:v>840.1</x:v>
      </x:c>
      <x:c r="F805" s="153" t="n">
        <x:v>850.65</x:v>
      </x:c>
      <x:c r="G805" s="153" t="n">
        <x:v>11.15</x:v>
      </x:c>
      <x:c r="H805" s="154" t="n">
        <x:v>0.013300000000000001</x:v>
      </x:c>
      <x:c r="I805" s="158" t="n">
        <x:v>848.85</x:v>
      </x:c>
      <x:c r="J805" s="158" t="n">
        <x:v>7739.38</x:v>
      </x:c>
      <x:c r="K805" s="158" t="n">
        <x:v>6569637050.8</x:v>
      </x:c>
      <x:c r="L805" s="158"/>
      <x:c r="M805" s="141" t="str">
        <x:v>https://www.sge.com.cn/sjzx/quotation_daily_new?start_date=2025-09-01&amp;end_date=2025-09-30&amp;inst_ids=Au99.99&amp;p=</x:v>
      </x:c>
    </x:row>
    <x:row r="806">
      <x:c r="A806" s="155" t="n">
        <x:v>45924</x:v>
      </x:c>
      <x:c r="B806" s="141" t="str">
        <x:v>Ag(T+D)</x:v>
      </x:c>
      <x:c r="C806" s="153" t="n">
        <x:v>10349</x:v>
      </x:c>
      <x:c r="D806" s="153" t="n">
        <x:v>10412</x:v>
      </x:c>
      <x:c r="E806" s="153" t="n">
        <x:v>10239</x:v>
      </x:c>
      <x:c r="F806" s="153" t="n">
        <x:v>10349</x:v>
      </x:c>
      <x:c r="G806" s="153" t="n">
        <x:v>93</x:v>
      </x:c>
      <x:c r="H806" s="154" t="n">
        <x:v>0.0091</x:v>
      </x:c>
      <x:c r="I806" s="158" t="n">
        <x:v>10313</x:v>
      </x:c>
      <x:c r="J806" s="158" t="n">
        <x:v>631748</x:v>
      </x:c>
      <x:c r="K806" s="158" t="n">
        <x:v>6515539806</x:v>
      </x:c>
      <x:c r="L806" s="158" t="n">
        <x:v>3313040</x:v>
      </x:c>
      <x:c r="M806" s="141" t="str">
        <x:v>https://www.sge.com.cn/sjzx/quotation_daily_new?start_date=2025-09-01&amp;end_date=2025-09-30&amp;inst_ids=Ag%28T%2BD%29&amp;p=</x:v>
      </x:c>
    </x:row>
    <x:row r="807">
      <x:c r="A807" s="155" t="n">
        <x:v>45924</x:v>
      </x:c>
      <x:c r="B807" s="141" t="str">
        <x:v>Au99.99</x:v>
      </x:c>
      <x:c r="C807" s="153" t="n">
        <x:v>854</x:v>
      </x:c>
      <x:c r="D807" s="153" t="n">
        <x:v>856.8</x:v>
      </x:c>
      <x:c r="E807" s="153" t="n">
        <x:v>848.75</x:v>
      </x:c>
      <x:c r="F807" s="153" t="n">
        <x:v>856.63</x:v>
      </x:c>
      <x:c r="G807" s="153" t="n">
        <x:v>5.98</x:v>
      </x:c>
      <x:c r="H807" s="154" t="n">
        <x:v>0.006999999999999999</x:v>
      </x:c>
      <x:c r="I807" s="158" t="n">
        <x:v>854.33</x:v>
      </x:c>
      <x:c r="J807" s="158" t="n">
        <x:v>6892.16</x:v>
      </x:c>
      <x:c r="K807" s="158" t="n">
        <x:v>5888226695.4</x:v>
      </x:c>
      <x:c r="L807" s="158"/>
      <x:c r="M807" s="141" t="str">
        <x:v>https://www.sge.com.cn/sjzx/quotation_daily_new?start_date=2025-09-01&amp;end_date=2025-09-30&amp;inst_ids=Au99.99&amp;p=</x:v>
      </x:c>
    </x:row>
    <x:row r="808">
      <x:c r="A808" s="155" t="n">
        <x:v>45925</x:v>
      </x:c>
      <x:c r="B808" s="141" t="str">
        <x:v>Ag(T+D)</x:v>
      </x:c>
      <x:c r="C808" s="153" t="n">
        <x:v>10339</x:v>
      </x:c>
      <x:c r="D808" s="153" t="n">
        <x:v>10400</x:v>
      </x:c>
      <x:c r="E808" s="153" t="n">
        <x:v>10278</x:v>
      </x:c>
      <x:c r="F808" s="153" t="n">
        <x:v>10353</x:v>
      </x:c>
      <x:c r="G808" s="153" t="n">
        <x:v>40</x:v>
      </x:c>
      <x:c r="H808" s="154" t="n">
        <x:v>0.0039000000000000003</x:v>
      </x:c>
      <x:c r="I808" s="158" t="n">
        <x:v>10340</x:v>
      </x:c>
      <x:c r="J808" s="158" t="n">
        <x:v>485896</x:v>
      </x:c>
      <x:c r="K808" s="158" t="n">
        <x:v>5024538580</x:v>
      </x:c>
      <x:c r="L808" s="158" t="n">
        <x:v>3310104</x:v>
      </x:c>
      <x:c r="M808" s="141" t="str">
        <x:v>https://www.sge.com.cn/sjzx/quotation_daily_new?start_date=2025-09-01&amp;end_date=2025-09-30&amp;inst_ids=Ag%28T%2BD%29&amp;p=</x:v>
      </x:c>
    </x:row>
    <x:row r="809">
      <x:c r="A809" s="155" t="n">
        <x:v>45925</x:v>
      </x:c>
      <x:c r="B809" s="141" t="str">
        <x:v>Au99.99</x:v>
      </x:c>
      <x:c r="C809" s="153" t="n">
        <x:v>856.5</x:v>
      </x:c>
      <x:c r="D809" s="153" t="n">
        <x:v>857</x:v>
      </x:c>
      <x:c r="E809" s="153" t="n">
        <x:v>848</x:v>
      </x:c>
      <x:c r="F809" s="153" t="n">
        <x:v>851.74</x:v>
      </x:c>
      <x:c r="G809" s="153" t="n">
        <x:v>-4.89</x:v>
      </x:c>
      <x:c r="H809" s="154" t="n">
        <x:v>-0.005699999999999999</x:v>
      </x:c>
      <x:c r="I809" s="158" t="n">
        <x:v>850.1</x:v>
      </x:c>
      <x:c r="J809" s="158" t="n">
        <x:v>10303.38</x:v>
      </x:c>
      <x:c r="K809" s="158" t="n">
        <x:v>8758924676.6</x:v>
      </x:c>
      <x:c r="L809" s="158"/>
      <x:c r="M809" s="141" t="str">
        <x:v>https://www.sge.com.cn/sjzx/quotation_daily_new?start_date=2025-09-01&amp;end_date=2025-09-30&amp;inst_ids=Au99.99&amp;p=</x:v>
      </x:c>
    </x:row>
    <x:row r="810">
      <x:c r="A810" s="155" t="n">
        <x:v>45926</x:v>
      </x:c>
      <x:c r="B810" s="141" t="str">
        <x:v>Ag(T+D)</x:v>
      </x:c>
      <x:c r="C810" s="153" t="n">
        <x:v>10495</x:v>
      </x:c>
      <x:c r="D810" s="153" t="n">
        <x:v>10588</x:v>
      </x:c>
      <x:c r="E810" s="153" t="n">
        <x:v>10377</x:v>
      </x:c>
      <x:c r="F810" s="153" t="n">
        <x:v>10551</x:v>
      </x:c>
      <x:c r="G810" s="153" t="n">
        <x:v>211</x:v>
      </x:c>
      <x:c r="H810" s="154" t="n">
        <x:v>0.0204</x:v>
      </x:c>
      <x:c r="I810" s="158" t="n">
        <x:v>10493</x:v>
      </x:c>
      <x:c r="J810" s="158" t="n">
        <x:v>698132</x:v>
      </x:c>
      <x:c r="K810" s="158" t="n">
        <x:v>7325644448</x:v>
      </x:c>
      <x:c r="L810" s="158" t="n">
        <x:v>3354936</x:v>
      </x:c>
      <x:c r="M810" s="141" t="str">
        <x:v>https://www.sge.com.cn/sjzx/quotation_daily_new?start_date=2025-09-01&amp;end_date=2025-09-30&amp;inst_ids=Ag%28T%2BD%29&amp;p=</x:v>
      </x:c>
    </x:row>
    <x:row r="811">
      <x:c r="A811" s="155" t="n">
        <x:v>45926</x:v>
      </x:c>
      <x:c r="B811" s="141" t="str">
        <x:v>Au99.99</x:v>
      </x:c>
      <x:c r="C811" s="153" t="n">
        <x:v>853</x:v>
      </x:c>
      <x:c r="D811" s="153" t="n">
        <x:v>854.8</x:v>
      </x:c>
      <x:c r="E811" s="153" t="n">
        <x:v>847.6</x:v>
      </x:c>
      <x:c r="F811" s="153" t="n">
        <x:v>853</x:v>
      </x:c>
      <x:c r="G811" s="153" t="n">
        <x:v>1.26</x:v>
      </x:c>
      <x:c r="H811" s="154" t="n">
        <x:v>0.0015</x:v>
      </x:c>
      <x:c r="I811" s="158" t="n">
        <x:v>852.32</x:v>
      </x:c>
      <x:c r="J811" s="158" t="n">
        <x:v>9286.48</x:v>
      </x:c>
      <x:c r="K811" s="158" t="n">
        <x:v>7915076212.2</x:v>
      </x:c>
      <x:c r="L811" s="158"/>
      <x:c r="M811" s="141" t="str">
        <x:v>https://www.sge.com.cn/sjzx/quotation_daily_new?start_date=2025-09-01&amp;end_date=2025-09-30&amp;inst_ids=Au99.99&amp;p=</x:v>
      </x:c>
    </x:row>
    <x:row r="812">
      <x:c r="A812" s="155" t="n">
        <x:v>45929</x:v>
      </x:c>
      <x:c r="B812" s="141" t="str">
        <x:v>Ag(T+D)</x:v>
      </x:c>
      <x:c r="C812" s="153" t="n">
        <x:v>10573</x:v>
      </x:c>
      <x:c r="D812" s="153" t="n">
        <x:v>10949</x:v>
      </x:c>
      <x:c r="E812" s="153" t="n">
        <x:v>10552</x:v>
      </x:c>
      <x:c r="F812" s="153" t="n">
        <x:v>10878</x:v>
      </x:c>
      <x:c r="G812" s="153" t="n">
        <x:v>385</x:v>
      </x:c>
      <x:c r="H812" s="154" t="n">
        <x:v>0.036699999999999997</x:v>
      </x:c>
      <x:c r="I812" s="158" t="n">
        <x:v>10811</x:v>
      </x:c>
      <x:c r="J812" s="158" t="n">
        <x:v>538718</x:v>
      </x:c>
      <x:c r="K812" s="158" t="n">
        <x:v>5824551078</x:v>
      </x:c>
      <x:c r="L812" s="158" t="n">
        <x:v>3333912</x:v>
      </x:c>
      <x:c r="M812" s="141" t="str">
        <x:v>https://www.sge.com.cn/sjzx/quotation_daily_new?start_date=2025-09-01&amp;end_date=2025-09-30&amp;inst_ids=Ag%28T%2BD%29&amp;p=</x:v>
      </x:c>
    </x:row>
    <x:row r="813">
      <x:c r="A813" s="155" t="n">
        <x:v>45929</x:v>
      </x:c>
      <x:c r="B813" s="141" t="str">
        <x:v>Au99.99</x:v>
      </x:c>
      <x:c r="C813" s="153" t="n">
        <x:v>853.3</x:v>
      </x:c>
      <x:c r="D813" s="153" t="n">
        <x:v>864.99</x:v>
      </x:c>
      <x:c r="E813" s="153" t="n">
        <x:v>852.5</x:v>
      </x:c>
      <x:c r="F813" s="153" t="n">
        <x:v>862.9</x:v>
      </x:c>
      <x:c r="G813" s="153" t="n">
        <x:v>9.9</x:v>
      </x:c>
      <x:c r="H813" s="154" t="n">
        <x:v>0.0116</x:v>
      </x:c>
      <x:c r="I813" s="158" t="n">
        <x:v>859.03</x:v>
      </x:c>
      <x:c r="J813" s="158" t="n">
        <x:v>14795.68</x:v>
      </x:c>
      <x:c r="K813" s="158" t="n">
        <x:v>12709938729.2</x:v>
      </x:c>
      <x:c r="L813" s="158"/>
      <x:c r="M813" s="141" t="str">
        <x:v>https://www.sge.com.cn/sjzx/quotation_daily_new?start_date=2025-09-01&amp;end_date=2025-09-30&amp;inst_ids=Au99.99&amp;p=</x:v>
      </x:c>
    </x:row>
    <x:row r="814">
      <x:c r="A814" s="155" t="n">
        <x:v>45930</x:v>
      </x:c>
      <x:c r="B814" s="141" t="str">
        <x:v>Ag(T+D)</x:v>
      </x:c>
      <x:c r="C814" s="153" t="n">
        <x:v>10900</x:v>
      </x:c>
      <x:c r="D814" s="153" t="n">
        <x:v>10971</x:v>
      </x:c>
      <x:c r="E814" s="153" t="n">
        <x:v>10640</x:v>
      </x:c>
      <x:c r="F814" s="153" t="n">
        <x:v>10857</x:v>
      </x:c>
      <x:c r="G814" s="153" t="n">
        <x:v>46</x:v>
      </x:c>
      <x:c r="H814" s="154" t="n">
        <x:v>0.0043</x:v>
      </x:c>
      <x:c r="I814" s="158" t="n">
        <x:v>10863</x:v>
      </x:c>
      <x:c r="J814" s="158" t="n">
        <x:v>1206336</x:v>
      </x:c>
      <x:c r="K814" s="158" t="n">
        <x:v>13104999068</x:v>
      </x:c>
      <x:c r="L814" s="158" t="n">
        <x:v>3189502</x:v>
      </x:c>
      <x:c r="M814" s="141" t="str">
        <x:v>https://www.sge.com.cn/sjzx/quotation_daily_new?start_date=2025-09-01&amp;end_date=2025-09-30&amp;inst_ids=Ag%28T%2BD%29&amp;p=</x:v>
      </x:c>
    </x:row>
    <x:row r="815">
      <x:c r="A815" s="155" t="n">
        <x:v>45930</x:v>
      </x:c>
      <x:c r="B815" s="141" t="str">
        <x:v>Au99.99</x:v>
      </x:c>
      <x:c r="C815" s="153" t="n">
        <x:v>865</x:v>
      </x:c>
      <x:c r="D815" s="153" t="n">
        <x:v>880</x:v>
      </x:c>
      <x:c r="E815" s="153" t="n">
        <x:v>861</x:v>
      </x:c>
      <x:c r="F815" s="153" t="n">
        <x:v>871.86</x:v>
      </x:c>
      <x:c r="G815" s="153" t="n">
        <x:v>8.96</x:v>
      </x:c>
      <x:c r="H815" s="154" t="n">
        <x:v>0.0104</x:v>
      </x:c>
      <x:c r="I815" s="158" t="n">
        <x:v>872.9</x:v>
      </x:c>
      <x:c r="J815" s="158" t="n">
        <x:v>8471.24</x:v>
      </x:c>
      <x:c r="K815" s="158" t="n">
        <x:v>7394573848.6</x:v>
      </x:c>
      <x:c r="L815" s="158"/>
      <x:c r="M815" s="141" t="str">
        <x:v>https://www.sge.com.cn/sjzx/quotation_daily_new?start_date=2025-09-01&amp;end_date=2025-09-30&amp;inst_ids=Au99.99&amp;p=</x:v>
      </x:c>
    </x:row>
    <x:row r="816">
      <x:c r="A816" s="155" t="n">
        <x:v>45939</x:v>
      </x:c>
      <x:c r="B816" s="141" t="str">
        <x:v>Ag(T+D)</x:v>
      </x:c>
      <x:c r="C816" s="153" t="n">
        <x:v>11145</x:v>
      </x:c>
      <x:c r="D816" s="153" t="n">
        <x:v>11245</x:v>
      </x:c>
      <x:c r="E816" s="153" t="n">
        <x:v>11026</x:v>
      </x:c>
      <x:c r="F816" s="153" t="n">
        <x:v>11176</x:v>
      </x:c>
      <x:c r="G816" s="153" t="n">
        <x:v>313</x:v>
      </x:c>
      <x:c r="H816" s="154" t="n">
        <x:v>0.0288</x:v>
      </x:c>
      <x:c r="I816" s="158" t="n">
        <x:v>11155</x:v>
      </x:c>
      <x:c r="J816" s="158" t="n">
        <x:v>592680</x:v>
      </x:c>
      <x:c r="K816" s="158" t="n">
        <x:v>6611492702</x:v>
      </x:c>
      <x:c r="L816" s="158" t="n">
        <x:v>3102180</x:v>
      </x:c>
      <x:c r="M816" s="141" t="str">
        <x:v>https://www.sge.com.cn/sjzx/quotation_daily_new?start_date=2025-10-01&amp;end_date=2025-10-31&amp;inst_ids=Ag%28T%2BD%29&amp;p=</x:v>
      </x:c>
    </x:row>
    <x:row r="817">
      <x:c r="A817" s="155" t="n">
        <x:v>45939</x:v>
      </x:c>
      <x:c r="B817" s="141" t="str">
        <x:v>Au99.99</x:v>
      </x:c>
      <x:c r="C817" s="153" t="n">
        <x:v>917.9</x:v>
      </x:c>
      <x:c r="D817" s="153" t="n">
        <x:v>918.8</x:v>
      </x:c>
      <x:c r="E817" s="153" t="n">
        <x:v>902</x:v>
      </x:c>
      <x:c r="F817" s="153" t="n">
        <x:v>911.5</x:v>
      </x:c>
      <x:c r="G817" s="153" t="n">
        <x:v>39.64</x:v>
      </x:c>
      <x:c r="H817" s="154" t="n">
        <x:v>0.0455</x:v>
      </x:c>
      <x:c r="I817" s="158" t="n">
        <x:v>911.81</x:v>
      </x:c>
      <x:c r="J817" s="158" t="n">
        <x:v>15595.42</x:v>
      </x:c>
      <x:c r="K817" s="158" t="n">
        <x:v>14220162364.6</x:v>
      </x:c>
      <x:c r="L817" s="158"/>
      <x:c r="M817" s="141" t="str">
        <x:v>https://www.sge.com.cn/sjzx/quotation_daily_new?start_date=2025-10-01&amp;end_date=2025-10-31&amp;inst_ids=Au99.99&amp;p=</x:v>
      </x:c>
    </x:row>
    <x:row r="818">
      <x:c r="A818" s="155" t="n">
        <x:v>45940</x:v>
      </x:c>
      <x:c r="B818" s="141" t="str">
        <x:v>Ag(T+D)</x:v>
      </x:c>
      <x:c r="C818" s="153" t="n">
        <x:v>11230</x:v>
      </x:c>
      <x:c r="D818" s="153" t="n">
        <x:v>11435</x:v>
      </x:c>
      <x:c r="E818" s="153" t="n">
        <x:v>10866</x:v>
      </x:c>
      <x:c r="F818" s="153" t="n">
        <x:v>11059</x:v>
      </x:c>
      <x:c r="G818" s="153" t="n">
        <x:v>-96</x:v>
      </x:c>
      <x:c r="H818" s="154" t="n">
        <x:v>-0.0086</x:v>
      </x:c>
      <x:c r="I818" s="158" t="n">
        <x:v>11088</x:v>
      </x:c>
      <x:c r="J818" s="158" t="n">
        <x:v>711324</x:v>
      </x:c>
      <x:c r="K818" s="158" t="n">
        <x:v>7887245198</x:v>
      </x:c>
      <x:c r="L818" s="158" t="n">
        <x:v>3156570</x:v>
      </x:c>
      <x:c r="M818" s="141" t="str">
        <x:v>https://www.sge.com.cn/sjzx/quotation_daily_new?start_date=2025-10-01&amp;end_date=2025-10-31&amp;inst_ids=Ag%28T%2BD%29&amp;p=</x:v>
      </x:c>
    </x:row>
    <x:row r="819">
      <x:c r="A819" s="155" t="n">
        <x:v>45940</x:v>
      </x:c>
      <x:c r="B819" s="141" t="str">
        <x:v>Au99.99</x:v>
      </x:c>
      <x:c r="C819" s="153" t="n">
        <x:v>913.5</x:v>
      </x:c>
      <x:c r="D819" s="153" t="n">
        <x:v>917.8</x:v>
      </x:c>
      <x:c r="E819" s="153" t="n">
        <x:v>896.05</x:v>
      </x:c>
      <x:c r="F819" s="153" t="n">
        <x:v>897.63</x:v>
      </x:c>
      <x:c r="G819" s="153" t="n">
        <x:v>-13.87</x:v>
      </x:c>
      <x:c r="H819" s="154" t="n">
        <x:v>-0.0152</x:v>
      </x:c>
      <x:c r="I819" s="158" t="n">
        <x:v>900.7</x:v>
      </x:c>
      <x:c r="J819" s="158" t="n">
        <x:v>16002</x:v>
      </x:c>
      <x:c r="K819" s="158" t="n">
        <x:v>14413113037.2</x:v>
      </x:c>
      <x:c r="L819" s="158"/>
      <x:c r="M819" s="141" t="str">
        <x:v>https://www.sge.com.cn/sjzx/quotation_daily_new?start_date=2025-10-01&amp;end_date=2025-10-31&amp;inst_ids=Au99.99&amp;p=</x:v>
      </x:c>
    </x:row>
    <x:row r="820">
      <x:c r="A820" s="155" t="n">
        <x:v>45943</x:v>
      </x:c>
      <x:c r="B820" s="141" t="str">
        <x:v>Ag(T+D)</x:v>
      </x:c>
      <x:c r="C820" s="153" t="n">
        <x:v>11120</x:v>
      </x:c>
      <x:c r="D820" s="153" t="n">
        <x:v>11558</x:v>
      </x:c>
      <x:c r="E820" s="153" t="n">
        <x:v>10868</x:v>
      </x:c>
      <x:c r="F820" s="153" t="n">
        <x:v>11453</x:v>
      </x:c>
      <x:c r="G820" s="153" t="n">
        <x:v>365</x:v>
      </x:c>
      <x:c r="H820" s="154" t="n">
        <x:v>0.0329</x:v>
      </x:c>
      <x:c r="I820" s="158" t="n">
        <x:v>11379</x:v>
      </x:c>
      <x:c r="J820" s="158" t="n">
        <x:v>1573640</x:v>
      </x:c>
      <x:c r="K820" s="158" t="n">
        <x:v>17907121532</x:v>
      </x:c>
      <x:c r="L820" s="158" t="n">
        <x:v>3166696</x:v>
      </x:c>
      <x:c r="M820" s="141" t="str">
        <x:v>https://www.sge.com.cn/sjzx/quotation_daily_new?start_date=2025-10-01&amp;end_date=2025-10-31&amp;inst_ids=Ag%28T%2BD%29&amp;p=</x:v>
      </x:c>
    </x:row>
    <x:row r="821">
      <x:c r="A821" s="155" t="n">
        <x:v>45943</x:v>
      </x:c>
      <x:c r="B821" s="141" t="str">
        <x:v>Au99.99</x:v>
      </x:c>
      <x:c r="C821" s="153" t="n">
        <x:v>901</x:v>
      </x:c>
      <x:c r="D821" s="153" t="n">
        <x:v>927.9</x:v>
      </x:c>
      <x:c r="E821" s="153" t="n">
        <x:v>895</x:v>
      </x:c>
      <x:c r="F821" s="153" t="n">
        <x:v>926.73</x:v>
      </x:c>
      <x:c r="G821" s="153" t="n">
        <x:v>29.1</x:v>
      </x:c>
      <x:c r="H821" s="154" t="n">
        <x:v>0.032400000000000005</x:v>
      </x:c>
      <x:c r="I821" s="158" t="n">
        <x:v>921.88</x:v>
      </x:c>
      <x:c r="J821" s="158" t="n">
        <x:v>18575.14</x:v>
      </x:c>
      <x:c r="K821" s="158" t="n">
        <x:v>17124068728.6</x:v>
      </x:c>
      <x:c r="L821" s="158"/>
      <x:c r="M821" s="141" t="str">
        <x:v>https://www.sge.com.cn/sjzx/quotation_daily_new?start_date=2025-10-01&amp;end_date=2025-10-31&amp;inst_ids=Au99.99&amp;p=</x:v>
      </x:c>
    </x:row>
    <x:row r="822">
      <x:c r="A822" s="155" t="n">
        <x:v>45944</x:v>
      </x:c>
      <x:c r="B822" s="141" t="str">
        <x:v>Ag(T+D)</x:v>
      </x:c>
      <x:c r="C822" s="153" t="n">
        <x:v>11429</x:v>
      </x:c>
      <x:c r="D822" s="153" t="n">
        <x:v>12090</x:v>
      </x:c>
      <x:c r="E822" s="153" t="n">
        <x:v>11318</x:v>
      </x:c>
      <x:c r="F822" s="153" t="n">
        <x:v>11530</x:v>
      </x:c>
      <x:c r="G822" s="153" t="n">
        <x:v>151</x:v>
      </x:c>
      <x:c r="H822" s="154" t="n">
        <x:v>0.013300000000000001</x:v>
      </x:c>
      <x:c r="I822" s="158" t="n">
        <x:v>11694</x:v>
      </x:c>
      <x:c r="J822" s="158" t="n">
        <x:v>1249250</x:v>
      </x:c>
      <x:c r="K822" s="158" t="n">
        <x:v>14609730074</x:v>
      </x:c>
      <x:c r="L822" s="158" t="n">
        <x:v>3325914</x:v>
      </x:c>
      <x:c r="M822" s="141" t="str">
        <x:v>https://www.sge.com.cn/sjzx/quotation_daily_new?start_date=2025-10-01&amp;end_date=2025-10-31&amp;inst_ids=Ag%28T%2BD%29&amp;p=</x:v>
      </x:c>
    </x:row>
    <x:row r="823">
      <x:c r="A823" s="155" t="n">
        <x:v>45944</x:v>
      </x:c>
      <x:c r="B823" s="141" t="str">
        <x:v>Au99.99</x:v>
      </x:c>
      <x:c r="C823" s="153" t="n">
        <x:v>928</x:v>
      </x:c>
      <x:c r="D823" s="153" t="n">
        <x:v>957.8</x:v>
      </x:c>
      <x:c r="E823" s="153" t="n">
        <x:v>927</x:v>
      </x:c>
      <x:c r="F823" s="153" t="n">
        <x:v>940.72</x:v>
      </x:c>
      <x:c r="G823" s="153" t="n">
        <x:v>13.99</x:v>
      </x:c>
      <x:c r="H823" s="154" t="n">
        <x:v>0.0151</x:v>
      </x:c>
      <x:c r="I823" s="158" t="n">
        <x:v>943.87</x:v>
      </x:c>
      <x:c r="J823" s="158" t="n">
        <x:v>26900.24</x:v>
      </x:c>
      <x:c r="K823" s="158" t="n">
        <x:v>25390339743.4</x:v>
      </x:c>
      <x:c r="L823" s="158"/>
      <x:c r="M823" s="141" t="str">
        <x:v>https://www.sge.com.cn/sjzx/quotation_daily_new?start_date=2025-10-01&amp;end_date=2025-10-31&amp;inst_ids=Au99.99&amp;p=</x:v>
      </x:c>
    </x:row>
    <x:row r="824">
      <x:c r="A824" s="155" t="n">
        <x:v>45945</x:v>
      </x:c>
      <x:c r="B824" s="141" t="str">
        <x:v>Ag(T+D)</x:v>
      </x:c>
      <x:c r="C824" s="153" t="n">
        <x:v>11560</x:v>
      </x:c>
      <x:c r="D824" s="153" t="n">
        <x:v>11975</x:v>
      </x:c>
      <x:c r="E824" s="153" t="n">
        <x:v>11345</x:v>
      </x:c>
      <x:c r="F824" s="153" t="n">
        <x:v>11961</x:v>
      </x:c>
      <x:c r="G824" s="153" t="n">
        <x:v>267</x:v>
      </x:c>
      <x:c r="H824" s="154" t="n">
        <x:v>0.022799999999999997</x:v>
      </x:c>
      <x:c r="I824" s="158" t="n">
        <x:v>11759</x:v>
      </x:c>
      <x:c r="J824" s="158" t="n">
        <x:v>1699552</x:v>
      </x:c>
      <x:c r="K824" s="158" t="n">
        <x:v>19985846570</x:v>
      </x:c>
      <x:c r="L824" s="158" t="n">
        <x:v>3554962</x:v>
      </x:c>
      <x:c r="M824" s="141" t="str">
        <x:v>https://www.sge.com.cn/sjzx/quotation_daily_new?start_date=2025-10-01&amp;end_date=2025-10-31&amp;inst_ids=Ag%28T%2BD%29&amp;p=</x:v>
      </x:c>
    </x:row>
    <x:row r="825">
      <x:c r="A825" s="155" t="n">
        <x:v>45945</x:v>
      </x:c>
      <x:c r="B825" s="141" t="str">
        <x:v>Au99.99</x:v>
      </x:c>
      <x:c r="C825" s="153" t="n">
        <x:v>940</x:v>
      </x:c>
      <x:c r="D825" s="153" t="n">
        <x:v>960</x:v>
      </x:c>
      <x:c r="E825" s="153" t="n">
        <x:v>933.8</x:v>
      </x:c>
      <x:c r="F825" s="153" t="n">
        <x:v>959.04</x:v>
      </x:c>
      <x:c r="G825" s="153" t="n">
        <x:v>18.32</x:v>
      </x:c>
      <x:c r="H825" s="154" t="n">
        <x:v>0.0195</x:v>
      </x:c>
      <x:c r="I825" s="158" t="n">
        <x:v>954.84</x:v>
      </x:c>
      <x:c r="J825" s="158" t="n">
        <x:v>17322.68</x:v>
      </x:c>
      <x:c r="K825" s="158" t="n">
        <x:v>16540544487.8</x:v>
      </x:c>
      <x:c r="L825" s="158"/>
      <x:c r="M825" s="141" t="str">
        <x:v>https://www.sge.com.cn/sjzx/quotation_daily_new?start_date=2025-10-01&amp;end_date=2025-10-31&amp;inst_ids=Au99.99&amp;p=</x:v>
      </x:c>
    </x:row>
    <x:row r="826">
      <x:c r="A826" s="155" t="n">
        <x:v>45946</x:v>
      </x:c>
      <x:c r="B826" s="141" t="str">
        <x:v>Ag(T+D)</x:v>
      </x:c>
      <x:c r="C826" s="153" t="n">
        <x:v>11959</x:v>
      </x:c>
      <x:c r="D826" s="153" t="n">
        <x:v>12256</x:v>
      </x:c>
      <x:c r="E826" s="153" t="n">
        <x:v>11807</x:v>
      </x:c>
      <x:c r="F826" s="153" t="n">
        <x:v>11981</x:v>
      </x:c>
      <x:c r="G826" s="153" t="n">
        <x:v>222</x:v>
      </x:c>
      <x:c r="H826" s="154" t="n">
        <x:v>0.0189</x:v>
      </x:c>
      <x:c r="I826" s="158" t="n">
        <x:v>12042</x:v>
      </x:c>
      <x:c r="J826" s="158" t="n">
        <x:v>1365382</x:v>
      </x:c>
      <x:c r="K826" s="158" t="n">
        <x:v>16442811444</x:v>
      </x:c>
      <x:c r="L826" s="158" t="n">
        <x:v>3689574</x:v>
      </x:c>
      <x:c r="M826" s="141" t="str">
        <x:v>https://www.sge.com.cn/sjzx/quotation_daily_new?start_date=2025-10-01&amp;end_date=2025-10-31&amp;inst_ids=Ag%28T%2BD%29&amp;p=</x:v>
      </x:c>
    </x:row>
    <x:row r="827">
      <x:c r="A827" s="155" t="n">
        <x:v>45946</x:v>
      </x:c>
      <x:c r="B827" s="141" t="str">
        <x:v>Au99.99</x:v>
      </x:c>
      <x:c r="C827" s="153" t="n">
        <x:v>958</x:v>
      </x:c>
      <x:c r="D827" s="153" t="n">
        <x:v>970</x:v>
      </x:c>
      <x:c r="E827" s="153" t="n">
        <x:v>955</x:v>
      </x:c>
      <x:c r="F827" s="153" t="n">
        <x:v>968.14</x:v>
      </x:c>
      <x:c r="G827" s="153" t="n">
        <x:v>9.1</x:v>
      </x:c>
      <x:c r="H827" s="154" t="n">
        <x:v>0.0095</x:v>
      </x:c>
      <x:c r="I827" s="158" t="n">
        <x:v>966.35</x:v>
      </x:c>
      <x:c r="J827" s="158" t="n">
        <x:v>22388.04</x:v>
      </x:c>
      <x:c r="K827" s="158" t="n">
        <x:v>21634709899.6</x:v>
      </x:c>
      <x:c r="L827" s="158"/>
      <x:c r="M827" s="141" t="str">
        <x:v>https://www.sge.com.cn/sjzx/quotation_daily_new?start_date=2025-10-01&amp;end_date=2025-10-31&amp;inst_ids=Au99.99&amp;p=</x:v>
      </x:c>
    </x:row>
    <x:row r="828">
      <x:c r="A828" s="155" t="n">
        <x:v>45947</x:v>
      </x:c>
      <x:c r="B828" s="141" t="str">
        <x:v>Ag(T+D)</x:v>
      </x:c>
      <x:c r="C828" s="153" t="n">
        <x:v>12025</x:v>
      </x:c>
      <x:c r="D828" s="153" t="n">
        <x:v>12329</x:v>
      </x:c>
      <x:c r="E828" s="153" t="n">
        <x:v>11996</x:v>
      </x:c>
      <x:c r="F828" s="153" t="n">
        <x:v>12228</x:v>
      </x:c>
      <x:c r="G828" s="153" t="n">
        <x:v>186</x:v>
      </x:c>
      <x:c r="H828" s="154" t="n">
        <x:v>0.0154</x:v>
      </x:c>
      <x:c r="I828" s="158" t="n">
        <x:v>12191</x:v>
      </x:c>
      <x:c r="J828" s="158" t="n">
        <x:v>1451174</x:v>
      </x:c>
      <x:c r="K828" s="158" t="n">
        <x:v>17691697436</x:v>
      </x:c>
      <x:c r="L828" s="158" t="n">
        <x:v>3623146</x:v>
      </x:c>
      <x:c r="M828" s="141" t="str">
        <x:v>https://www.sge.com.cn/sjzx/quotation_daily_new?start_date=2025-10-01&amp;end_date=2025-10-31&amp;inst_ids=Ag%28T%2BD%29&amp;p=</x:v>
      </x:c>
    </x:row>
    <x:row r="829">
      <x:c r="A829" s="155" t="n">
        <x:v>45947</x:v>
      </x:c>
      <x:c r="B829" s="141" t="str">
        <x:v>Au99.99</x:v>
      </x:c>
      <x:c r="C829" s="153" t="n">
        <x:v>969</x:v>
      </x:c>
      <x:c r="D829" s="153" t="n">
        <x:v>1002</x:v>
      </x:c>
      <x:c r="E829" s="153" t="n">
        <x:v>965</x:v>
      </x:c>
      <x:c r="F829" s="153" t="n">
        <x:v>997.17</x:v>
      </x:c>
      <x:c r="G829" s="153" t="n">
        <x:v>29.03</x:v>
      </x:c>
      <x:c r="H829" s="154" t="n">
        <x:v>0.03</x:v>
      </x:c>
      <x:c r="I829" s="158" t="n">
        <x:v>994.79</x:v>
      </x:c>
      <x:c r="J829" s="158" t="n">
        <x:v>24473.98</x:v>
      </x:c>
      <x:c r="K829" s="158" t="n">
        <x:v>24346534308.2</x:v>
      </x:c>
      <x:c r="L829" s="158"/>
      <x:c r="M829" s="141" t="str">
        <x:v>https://www.sge.com.cn/sjzx/quotation_daily_new?start_date=2025-10-01&amp;end_date=2025-10-31&amp;inst_ids=Au99.99&amp;p=</x:v>
      </x:c>
    </x:row>
    <x:row r="830">
      <x:c r="A830" s="155" t="n">
        <x:v>45950</x:v>
      </x:c>
      <x:c r="B830" s="141" t="str">
        <x:v>Ag(T+D)</x:v>
      </x:c>
      <x:c r="C830" s="153" t="n">
        <x:v>12089</x:v>
      </x:c>
      <x:c r="D830" s="153" t="n">
        <x:v>12150</x:v>
      </x:c>
      <x:c r="E830" s="153" t="n">
        <x:v>11580</x:v>
      </x:c>
      <x:c r="F830" s="153" t="n">
        <x:v>11779</x:v>
      </x:c>
      <x:c r="G830" s="153" t="n">
        <x:v>-412</x:v>
      </x:c>
      <x:c r="H830" s="154" t="n">
        <x:v>-0.0338</x:v>
      </x:c>
      <x:c r="I830" s="158" t="n">
        <x:v>11783</x:v>
      </x:c>
      <x:c r="J830" s="158" t="n">
        <x:v>1658292</x:v>
      </x:c>
      <x:c r="K830" s="158" t="n">
        <x:v>19541300138</x:v>
      </x:c>
      <x:c r="L830" s="158" t="n">
        <x:v>3830738</x:v>
      </x:c>
      <x:c r="M830" s="141" t="str">
        <x:v>https://www.sge.com.cn/sjzx/quotation_daily_new?start_date=2025-10-01&amp;end_date=2025-10-31&amp;inst_ids=Ag%28T%2BD%29&amp;p=</x:v>
      </x:c>
    </x:row>
    <x:row r="831">
      <x:c r="A831" s="155" t="n">
        <x:v>45950</x:v>
      </x:c>
      <x:c r="B831" s="141" t="str">
        <x:v>Au99.99</x:v>
      </x:c>
      <x:c r="C831" s="153" t="n">
        <x:v>999.99</x:v>
      </x:c>
      <x:c r="D831" s="153" t="n">
        <x:v>999.99</x:v>
      </x:c>
      <x:c r="E831" s="153" t="n">
        <x:v>962</x:v>
      </x:c>
      <x:c r="F831" s="153" t="n">
        <x:v>974.3</x:v>
      </x:c>
      <x:c r="G831" s="153" t="n">
        <x:v>-22.87</x:v>
      </x:c>
      <x:c r="H831" s="154" t="n">
        <x:v>-0.0229</x:v>
      </x:c>
      <x:c r="I831" s="158" t="n">
        <x:v>974.16</x:v>
      </x:c>
      <x:c r="J831" s="158" t="n">
        <x:v>28444.44</x:v>
      </x:c>
      <x:c r="K831" s="158" t="n">
        <x:v>27709505856.6</x:v>
      </x:c>
      <x:c r="L831" s="158"/>
      <x:c r="M831" s="141" t="str">
        <x:v>https://www.sge.com.cn/sjzx/quotation_daily_new?start_date=2025-10-01&amp;end_date=2025-10-31&amp;inst_ids=Au99.99&amp;p=</x:v>
      </x:c>
    </x:row>
    <x:row r="832">
      <x:c r="A832" s="155" t="n">
        <x:v>45951</x:v>
      </x:c>
      <x:c r="B832" s="141" t="str">
        <x:v>Ag(T+D)</x:v>
      </x:c>
      <x:c r="C832" s="153" t="n">
        <x:v>11799</x:v>
      </x:c>
      <x:c r="D832" s="153" t="n">
        <x:v>12058</x:v>
      </x:c>
      <x:c r="E832" s="153" t="n">
        <x:v>11679</x:v>
      </x:c>
      <x:c r="F832" s="153" t="n">
        <x:v>11759</x:v>
      </x:c>
      <x:c r="G832" s="153" t="n">
        <x:v>-24</x:v>
      </x:c>
      <x:c r="H832" s="154" t="n">
        <x:v>-0.002</x:v>
      </x:c>
      <x:c r="I832" s="158" t="n">
        <x:v>11836</x:v>
      </x:c>
      <x:c r="J832" s="158" t="n">
        <x:v>2116166</x:v>
      </x:c>
      <x:c r="K832" s="158" t="n">
        <x:v>25047503190</x:v>
      </x:c>
      <x:c r="L832" s="158" t="n">
        <x:v>3977852</x:v>
      </x:c>
      <x:c r="M832" s="141" t="str">
        <x:v>https://www.sge.com.cn/sjzx/quotation_daily_new?start_date=2025-10-01&amp;end_date=2025-10-31&amp;inst_ids=Ag%28T%2BD%29&amp;p=</x:v>
      </x:c>
    </x:row>
    <x:row r="833">
      <x:c r="A833" s="155" t="n">
        <x:v>45951</x:v>
      </x:c>
      <x:c r="B833" s="141" t="str">
        <x:v>Au99.99</x:v>
      </x:c>
      <x:c r="C833" s="153" t="n">
        <x:v>977</x:v>
      </x:c>
      <x:c r="D833" s="153" t="n">
        <x:v>999</x:v>
      </x:c>
      <x:c r="E833" s="153" t="n">
        <x:v>977</x:v>
      </x:c>
      <x:c r="F833" s="153" t="n">
        <x:v>987.12</x:v>
      </x:c>
      <x:c r="G833" s="153" t="n">
        <x:v>12.82</x:v>
      </x:c>
      <x:c r="H833" s="154" t="n">
        <x:v>0.0132</x:v>
      </x:c>
      <x:c r="I833" s="158" t="n">
        <x:v>990.75</x:v>
      </x:c>
      <x:c r="J833" s="158" t="n">
        <x:v>15935.76</x:v>
      </x:c>
      <x:c r="K833" s="158" t="n">
        <x:v>15788512567.2</x:v>
      </x:c>
      <x:c r="L833" s="158"/>
      <x:c r="M833" s="141" t="str">
        <x:v>https://www.sge.com.cn/sjzx/quotation_daily_new?start_date=2025-10-01&amp;end_date=2025-10-31&amp;inst_ids=Au99.99&amp;p=</x:v>
      </x:c>
    </x:row>
    <x:row r="834">
      <x:c r="A834" s="155" t="n">
        <x:v>45952</x:v>
      </x:c>
      <x:c r="B834" s="141" t="str">
        <x:v>Ag(T+D)</x:v>
      </x:c>
      <x:c r="C834" s="153" t="n">
        <x:v>11490</x:v>
      </x:c>
      <x:c r="D834" s="153" t="n">
        <x:v>11500</x:v>
      </x:c>
      <x:c r="E834" s="153" t="n">
        <x:v>11191</x:v>
      </x:c>
      <x:c r="F834" s="153" t="n">
        <x:v>11381</x:v>
      </x:c>
      <x:c r="G834" s="153" t="n">
        <x:v>-455</x:v>
      </x:c>
      <x:c r="H834" s="154" t="n">
        <x:v>-0.0384</x:v>
      </x:c>
      <x:c r="I834" s="158" t="n">
        <x:v>11307</x:v>
      </x:c>
      <x:c r="J834" s="158" t="n">
        <x:v>2347356</x:v>
      </x:c>
      <x:c r="K834" s="158" t="n">
        <x:v>26542465988</x:v>
      </x:c>
      <x:c r="L834" s="158" t="n">
        <x:v>3795302</x:v>
      </x:c>
      <x:c r="M834" s="141" t="str">
        <x:v>https://www.sge.com.cn/sjzx/quotation_daily_new?start_date=2025-10-01&amp;end_date=2025-10-31&amp;inst_ids=Ag%28T%2BD%29&amp;p=</x:v>
      </x:c>
    </x:row>
    <x:row r="835">
      <x:c r="A835" s="155" t="n">
        <x:v>45952</x:v>
      </x:c>
      <x:c r="B835" s="141" t="str">
        <x:v>Au99.99</x:v>
      </x:c>
      <x:c r="C835" s="153" t="n">
        <x:v>976.8</x:v>
      </x:c>
      <x:c r="D835" s="153" t="n">
        <x:v>976.8</x:v>
      </x:c>
      <x:c r="E835" s="153" t="n">
        <x:v>932</x:v>
      </x:c>
      <x:c r="F835" s="153" t="n">
        <x:v>948.8</x:v>
      </x:c>
      <x:c r="G835" s="153" t="n">
        <x:v>-38.32</x:v>
      </x:c>
      <x:c r="H835" s="154" t="n">
        <x:v>-0.0388</x:v>
      </x:c>
      <x:c r="I835" s="158" t="n">
        <x:v>944.7</x:v>
      </x:c>
      <x:c r="J835" s="158" t="n">
        <x:v>22212.1</x:v>
      </x:c>
      <x:c r="K835" s="158" t="n">
        <x:v>20983916149.8</x:v>
      </x:c>
      <x:c r="L835" s="158"/>
      <x:c r="M835" s="141" t="str">
        <x:v>https://www.sge.com.cn/sjzx/quotation_daily_new?start_date=2025-10-01&amp;end_date=2025-10-31&amp;inst_ids=Au99.99&amp;p=</x:v>
      </x:c>
    </x:row>
    <x:row r="836">
      <x:c r="A836" s="155" t="n">
        <x:v>45953</x:v>
      </x:c>
      <x:c r="B836" s="141" t="str">
        <x:v>Ag(T+D)</x:v>
      </x:c>
      <x:c r="C836" s="153" t="n">
        <x:v>11111</x:v>
      </x:c>
      <x:c r="D836" s="153" t="n">
        <x:v>11465</x:v>
      </x:c>
      <x:c r="E836" s="153" t="n">
        <x:v>11111</x:v>
      </x:c>
      <x:c r="F836" s="153" t="n">
        <x:v>11463</x:v>
      </x:c>
      <x:c r="G836" s="153" t="n">
        <x:v>156</x:v>
      </x:c>
      <x:c r="H836" s="154" t="n">
        <x:v>0.0138</x:v>
      </x:c>
      <x:c r="I836" s="158" t="n">
        <x:v>11361</x:v>
      </x:c>
      <x:c r="J836" s="158" t="n">
        <x:v>985702</x:v>
      </x:c>
      <x:c r="K836" s="158" t="n">
        <x:v>11199168656</x:v>
      </x:c>
      <x:c r="L836" s="158" t="n">
        <x:v>3863514</x:v>
      </x:c>
      <x:c r="M836" s="141" t="str">
        <x:v>https://www.sge.com.cn/sjzx/quotation_daily_new?start_date=2025-10-01&amp;end_date=2025-10-31&amp;inst_ids=Ag%28T%2BD%29&amp;p=</x:v>
      </x:c>
    </x:row>
    <x:row r="837">
      <x:c r="A837" s="155" t="n">
        <x:v>45953</x:v>
      </x:c>
      <x:c r="B837" s="141" t="str">
        <x:v>Au99.99</x:v>
      </x:c>
      <x:c r="C837" s="153" t="n">
        <x:v>920</x:v>
      </x:c>
      <x:c r="D837" s="153" t="n">
        <x:v>946</x:v>
      </x:c>
      <x:c r="E837" s="153" t="n">
        <x:v>920</x:v>
      </x:c>
      <x:c r="F837" s="153" t="n">
        <x:v>941.21</x:v>
      </x:c>
      <x:c r="G837" s="153" t="n">
        <x:v>-7.59</x:v>
      </x:c>
      <x:c r="H837" s="154" t="n">
        <x:v>-0.008</x:v>
      </x:c>
      <x:c r="I837" s="158" t="n">
        <x:v>938.68</x:v>
      </x:c>
      <x:c r="J837" s="158" t="n">
        <x:v>9994.46</x:v>
      </x:c>
      <x:c r="K837" s="158" t="n">
        <x:v>9381642754</x:v>
      </x:c>
      <x:c r="L837" s="158"/>
      <x:c r="M837" s="141" t="str">
        <x:v>https://www.sge.com.cn/sjzx/quotation_daily_new?start_date=2025-10-01&amp;end_date=2025-10-31&amp;inst_ids=Au99.99&amp;p=</x:v>
      </x:c>
    </x:row>
    <x:row r="838">
      <x:c r="A838" s="155" t="n">
        <x:v>45954</x:v>
      </x:c>
      <x:c r="B838" s="141" t="str">
        <x:v>Ag(T+D)</x:v>
      </x:c>
      <x:c r="C838" s="153" t="n">
        <x:v>11485</x:v>
      </x:c>
      <x:c r="D838" s="153" t="n">
        <x:v>11550</x:v>
      </x:c>
      <x:c r="E838" s="153" t="n">
        <x:v>11262</x:v>
      </x:c>
      <x:c r="F838" s="153" t="n">
        <x:v>11317</x:v>
      </x:c>
      <x:c r="G838" s="153" t="n">
        <x:v>-44</x:v>
      </x:c>
      <x:c r="H838" s="154" t="n">
        <x:v>-0.0039000000000000003</x:v>
      </x:c>
      <x:c r="I838" s="158" t="n">
        <x:v>11350</x:v>
      </x:c>
      <x:c r="J838" s="158" t="n">
        <x:v>955860</x:v>
      </x:c>
      <x:c r="K838" s="158" t="n">
        <x:v>10849847992</x:v>
      </x:c>
      <x:c r="L838" s="158" t="n">
        <x:v>3645194</x:v>
      </x:c>
      <x:c r="M838" s="141" t="str">
        <x:v>https://www.sge.com.cn/sjzx/quotation_daily_new?start_date=2025-10-01&amp;end_date=2025-10-31&amp;inst_ids=Ag%28T%2BD%29&amp;p=</x:v>
      </x:c>
    </x:row>
    <x:row r="839">
      <x:c r="A839" s="155" t="n">
        <x:v>45954</x:v>
      </x:c>
      <x:c r="B839" s="141" t="str">
        <x:v>Au99.99</x:v>
      </x:c>
      <x:c r="C839" s="153" t="n">
        <x:v>945</x:v>
      </x:c>
      <x:c r="D839" s="153" t="n">
        <x:v>955</x:v>
      </x:c>
      <x:c r="E839" s="153" t="n">
        <x:v>934.3</x:v>
      </x:c>
      <x:c r="F839" s="153" t="n">
        <x:v>935.6</x:v>
      </x:c>
      <x:c r="G839" s="153" t="n">
        <x:v>-5.61</x:v>
      </x:c>
      <x:c r="H839" s="154" t="n">
        <x:v>-0.006</x:v>
      </x:c>
      <x:c r="I839" s="158" t="n">
        <x:v>940.19</x:v>
      </x:c>
      <x:c r="J839" s="158" t="n">
        <x:v>10507.48</x:v>
      </x:c>
      <x:c r="K839" s="158" t="n">
        <x:v>9879030401</x:v>
      </x:c>
      <x:c r="L839" s="158"/>
      <x:c r="M839" s="141" t="str">
        <x:v>https://www.sge.com.cn/sjzx/quotation_daily_new?start_date=2025-10-01&amp;end_date=2025-10-31&amp;inst_ids=Au99.99&amp;p=</x:v>
      </x:c>
    </x:row>
    <x:row r="840">
      <x:c r="A840" s="155" t="n">
        <x:v>45957</x:v>
      </x:c>
      <x:c r="B840" s="141" t="str">
        <x:v>Ag(T+D)</x:v>
      </x:c>
      <x:c r="C840" s="153" t="n">
        <x:v>11275</x:v>
      </x:c>
      <x:c r="D840" s="153" t="n">
        <x:v>11481</x:v>
      </x:c>
      <x:c r="E840" s="153" t="n">
        <x:v>11267</x:v>
      </x:c>
      <x:c r="F840" s="153" t="n">
        <x:v>11345</x:v>
      </x:c>
      <x:c r="G840" s="153" t="n">
        <x:v>-5</x:v>
      </x:c>
      <x:c r="H840" s="154" t="n">
        <x:v>-0.0004</x:v>
      </x:c>
      <x:c r="I840" s="158" t="n">
        <x:v>11384</x:v>
      </x:c>
      <x:c r="J840" s="158" t="n">
        <x:v>653624</x:v>
      </x:c>
      <x:c r="K840" s="158" t="n">
        <x:v>7441272754</x:v>
      </x:c>
      <x:c r="L840" s="158" t="n">
        <x:v>3710536</x:v>
      </x:c>
      <x:c r="M840" s="141" t="str">
        <x:v>https://www.sge.com.cn/sjzx/quotation_daily_new?start_date=2025-10-01&amp;end_date=2025-10-31&amp;inst_ids=Ag%28T%2BD%29&amp;p=</x:v>
      </x:c>
    </x:row>
    <x:row r="841">
      <x:c r="A841" s="155" t="n">
        <x:v>45957</x:v>
      </x:c>
      <x:c r="B841" s="141" t="str">
        <x:v>Au99.99</x:v>
      </x:c>
      <x:c r="C841" s="153" t="n">
        <x:v>928.6</x:v>
      </x:c>
      <x:c r="D841" s="153" t="n">
        <x:v>953</x:v>
      </x:c>
      <x:c r="E841" s="153" t="n">
        <x:v>928</x:v>
      </x:c>
      <x:c r="F841" s="153" t="n">
        <x:v>930.79</x:v>
      </x:c>
      <x:c r="G841" s="153" t="n">
        <x:v>-4.81</x:v>
      </x:c>
      <x:c r="H841" s="154" t="n">
        <x:v>-0.0051</x:v>
      </x:c>
      <x:c r="I841" s="158" t="n">
        <x:v>932.75</x:v>
      </x:c>
      <x:c r="J841" s="158" t="n">
        <x:v>11298.4</x:v>
      </x:c>
      <x:c r="K841" s="158" t="n">
        <x:v>10538653477.6</x:v>
      </x:c>
      <x:c r="L841" s="158"/>
      <x:c r="M841" s="141" t="str">
        <x:v>https://www.sge.com.cn/sjzx/quotation_daily_new?start_date=2025-10-01&amp;end_date=2025-10-31&amp;inst_ids=Au99.99&amp;p=</x:v>
      </x:c>
    </x:row>
    <x:row r="842">
      <x:c r="A842" s="155" t="n">
        <x:v>45958</x:v>
      </x:c>
      <x:c r="B842" s="141" t="str">
        <x:v>Ag(T+D)</x:v>
      </x:c>
      <x:c r="C842" s="153" t="n">
        <x:v>11178</x:v>
      </x:c>
      <x:c r="D842" s="153" t="n">
        <x:v>11290</x:v>
      </x:c>
      <x:c r="E842" s="153" t="n">
        <x:v>10985</x:v>
      </x:c>
      <x:c r="F842" s="153" t="n">
        <x:v>10996</x:v>
      </x:c>
      <x:c r="G842" s="153" t="n">
        <x:v>-388</x:v>
      </x:c>
      <x:c r="H842" s="154" t="n">
        <x:v>-0.0341</x:v>
      </x:c>
      <x:c r="I842" s="158" t="n">
        <x:v>11070</x:v>
      </x:c>
      <x:c r="J842" s="158" t="n">
        <x:v>765416</x:v>
      </x:c>
      <x:c r="K842" s="158" t="n">
        <x:v>8473493014</x:v>
      </x:c>
      <x:c r="L842" s="158" t="n">
        <x:v>3717770</x:v>
      </x:c>
      <x:c r="M842" s="141" t="str">
        <x:v>https://www.sge.com.cn/sjzx/quotation_daily_new?start_date=2025-10-01&amp;end_date=2025-10-31&amp;inst_ids=Ag%28T%2BD%29&amp;p=</x:v>
      </x:c>
    </x:row>
    <x:row r="843">
      <x:c r="A843" s="155" t="n">
        <x:v>45958</x:v>
      </x:c>
      <x:c r="B843" s="141" t="str">
        <x:v>Au99.99</x:v>
      </x:c>
      <x:c r="C843" s="153" t="n">
        <x:v>930.79</x:v>
      </x:c>
      <x:c r="D843" s="153" t="n">
        <x:v>930.79</x:v>
      </x:c>
      <x:c r="E843" s="153" t="n">
        <x:v>896.52</x:v>
      </x:c>
      <x:c r="F843" s="153" t="n">
        <x:v>896.6</x:v>
      </x:c>
      <x:c r="G843" s="153" t="n">
        <x:v>-34.19</x:v>
      </x:c>
      <x:c r="H843" s="154" t="n">
        <x:v>-0.036699999999999997</x:v>
      </x:c>
      <x:c r="I843" s="158" t="n">
        <x:v>907.42</x:v>
      </x:c>
      <x:c r="J843" s="158" t="n">
        <x:v>14745.96</x:v>
      </x:c>
      <x:c r="K843" s="158" t="n">
        <x:v>13380871515.8</x:v>
      </x:c>
      <x:c r="L843" s="158"/>
      <x:c r="M843" s="141" t="str">
        <x:v>https://www.sge.com.cn/sjzx/quotation_daily_new?start_date=2025-10-01&amp;end_date=2025-10-31&amp;inst_ids=Au99.99&amp;p=</x:v>
      </x:c>
    </x:row>
    <x:row r="844">
      <x:c r="A844" s="155" t="n">
        <x:v>45959</x:v>
      </x:c>
      <x:c r="B844" s="141" t="str">
        <x:v>Ag(T+D)</x:v>
      </x:c>
      <x:c r="C844" s="153" t="n">
        <x:v>11000</x:v>
      </x:c>
      <x:c r="D844" s="153" t="n">
        <x:v>11351</x:v>
      </x:c>
      <x:c r="E844" s="153" t="n">
        <x:v>10969</x:v>
      </x:c>
      <x:c r="F844" s="153" t="n">
        <x:v>11351</x:v>
      </x:c>
      <x:c r="G844" s="153" t="n">
        <x:v>281</x:v>
      </x:c>
      <x:c r="H844" s="154" t="n">
        <x:v>0.0254</x:v>
      </x:c>
      <x:c r="I844" s="158" t="n">
        <x:v>11207</x:v>
      </x:c>
      <x:c r="J844" s="158" t="n">
        <x:v>605454</x:v>
      </x:c>
      <x:c r="K844" s="158" t="n">
        <x:v>6785738220</x:v>
      </x:c>
      <x:c r="L844" s="158" t="n">
        <x:v>3609146</x:v>
      </x:c>
      <x:c r="M844" s="141" t="str">
        <x:v>https://www.sge.com.cn/sjzx/quotation_daily_new?start_date=2025-10-01&amp;end_date=2025-10-31&amp;inst_ids=Ag%28T%2BD%29&amp;p=</x:v>
      </x:c>
    </x:row>
    <x:row r="845">
      <x:c r="A845" s="155" t="n">
        <x:v>45959</x:v>
      </x:c>
      <x:c r="B845" s="141" t="str">
        <x:v>Au99.99</x:v>
      </x:c>
      <x:c r="C845" s="153" t="n">
        <x:v>895</x:v>
      </x:c>
      <x:c r="D845" s="153" t="n">
        <x:v>913.7</x:v>
      </x:c>
      <x:c r="E845" s="153" t="n">
        <x:v>895</x:v>
      </x:c>
      <x:c r="F845" s="153" t="n">
        <x:v>912.94</x:v>
      </x:c>
      <x:c r="G845" s="153" t="n">
        <x:v>16.34</x:v>
      </x:c>
      <x:c r="H845" s="154" t="n">
        <x:v>0.0182</x:v>
      </x:c>
      <x:c r="I845" s="158" t="n">
        <x:v>906.24</x:v>
      </x:c>
      <x:c r="J845" s="158" t="n">
        <x:v>14314.76</x:v>
      </x:c>
      <x:c r="K845" s="158" t="n">
        <x:v>12972616688.4</x:v>
      </x:c>
      <x:c r="L845" s="158"/>
      <x:c r="M845" s="141" t="str">
        <x:v>https://www.sge.com.cn/sjzx/quotation_daily_new?start_date=2025-10-01&amp;end_date=2025-10-31&amp;inst_ids=Au99.99&amp;p=</x:v>
      </x:c>
    </x:row>
    <x:row r="846">
      <x:c r="A846" s="155" t="n">
        <x:v>45960</x:v>
      </x:c>
      <x:c r="B846" s="141" t="str">
        <x:v>Ag(T+D)</x:v>
      </x:c>
      <x:c r="C846" s="153" t="n">
        <x:v>11375</x:v>
      </x:c>
      <x:c r="D846" s="153" t="n">
        <x:v>11450</x:v>
      </x:c>
      <x:c r="E846" s="153" t="n">
        <x:v>11091</x:v>
      </x:c>
      <x:c r="F846" s="153" t="n">
        <x:v>11197</x:v>
      </x:c>
      <x:c r="G846" s="153" t="n">
        <x:v>-10</x:v>
      </x:c>
      <x:c r="H846" s="154" t="n">
        <x:v>-0.0009</x:v>
      </x:c>
      <x:c r="I846" s="158" t="n">
        <x:v>11163</x:v>
      </x:c>
      <x:c r="J846" s="158" t="n">
        <x:v>1294530</x:v>
      </x:c>
      <x:c r="K846" s="158" t="n">
        <x:v>14451019440</x:v>
      </x:c>
      <x:c r="L846" s="158" t="n">
        <x:v>3995390</x:v>
      </x:c>
      <x:c r="M846" s="141" t="str">
        <x:v>https://www.sge.com.cn/sjzx/quotation_daily_new?start_date=2025-10-01&amp;end_date=2025-10-31&amp;inst_ids=Ag%28T%2BD%29&amp;p=</x:v>
      </x:c>
    </x:row>
    <x:row r="847">
      <x:c r="A847" s="155" t="n">
        <x:v>45960</x:v>
      </x:c>
      <x:c r="B847" s="141" t="str">
        <x:v>Au99.99</x:v>
      </x:c>
      <x:c r="C847" s="153" t="n">
        <x:v>917</x:v>
      </x:c>
      <x:c r="D847" s="153" t="n">
        <x:v>922</x:v>
      </x:c>
      <x:c r="E847" s="153" t="n">
        <x:v>894.01</x:v>
      </x:c>
      <x:c r="F847" s="153" t="n">
        <x:v>906.89</x:v>
      </x:c>
      <x:c r="G847" s="153" t="n">
        <x:v>-6.05</x:v>
      </x:c>
      <x:c r="H847" s="154" t="n">
        <x:v>-0.0066</x:v>
      </x:c>
      <x:c r="I847" s="158" t="n">
        <x:v>903.5</x:v>
      </x:c>
      <x:c r="J847" s="158" t="n">
        <x:v>11985.42</x:v>
      </x:c>
      <x:c r="K847" s="158" t="n">
        <x:v>10828891714.6</x:v>
      </x:c>
      <x:c r="L847" s="158"/>
      <x:c r="M847" s="141" t="str">
        <x:v>https://www.sge.com.cn/sjzx/quotation_daily_new?start_date=2025-10-01&amp;end_date=2025-10-31&amp;inst_ids=Au99.99&amp;p=</x:v>
      </x:c>
    </x:row>
    <x:row r="848">
      <x:c r="A848" s="155" t="n">
        <x:v>45961</x:v>
      </x:c>
      <x:c r="B848" s="141" t="str">
        <x:v>Ag(T+D)</x:v>
      </x:c>
      <x:c r="C848" s="153" t="n">
        <x:v>11260</x:v>
      </x:c>
      <x:c r="D848" s="153" t="n">
        <x:v>11495</x:v>
      </x:c>
      <x:c r="E848" s="153" t="n">
        <x:v>11209</x:v>
      </x:c>
      <x:c r="F848" s="153" t="n">
        <x:v>11410</x:v>
      </x:c>
      <x:c r="G848" s="153" t="n">
        <x:v>247</x:v>
      </x:c>
      <x:c r="H848" s="154" t="n">
        <x:v>0.022099999999999998</x:v>
      </x:c>
      <x:c r="I848" s="158" t="n">
        <x:v>11382</x:v>
      </x:c>
      <x:c r="J848" s="158" t="n">
        <x:v>1394914</x:v>
      </x:c>
      <x:c r="K848" s="158" t="n">
        <x:v>15877012586</x:v>
      </x:c>
      <x:c r="L848" s="158" t="n">
        <x:v>4355604</x:v>
      </x:c>
      <x:c r="M848" s="141" t="str">
        <x:v>https://www.sge.com.cn/sjzx/quotation_daily_new?start_date=2025-10-01&amp;end_date=2025-10-31&amp;inst_ids=Ag%28T%2BD%29&amp;p=</x:v>
      </x:c>
    </x:row>
    <x:row r="849">
      <x:c r="A849" s="155" t="n">
        <x:v>45961</x:v>
      </x:c>
      <x:c r="B849" s="141" t="str">
        <x:v>Au99.99</x:v>
      </x:c>
      <x:c r="C849" s="153" t="n">
        <x:v>910.5</x:v>
      </x:c>
      <x:c r="D849" s="153" t="n">
        <x:v>925</x:v>
      </x:c>
      <x:c r="E849" s="153" t="n">
        <x:v>909</x:v>
      </x:c>
      <x:c r="F849" s="153" t="n">
        <x:v>921.5</x:v>
      </x:c>
      <x:c r="G849" s="153" t="n">
        <x:v>14.61</x:v>
      </x:c>
      <x:c r="H849" s="154" t="n">
        <x:v>0.0161</x:v>
      </x:c>
      <x:c r="I849" s="158" t="n">
        <x:v>918.69</x:v>
      </x:c>
      <x:c r="J849" s="158" t="n">
        <x:v>8142.68</x:v>
      </x:c>
      <x:c r="K849" s="158" t="n">
        <x:v>7480651559.8</x:v>
      </x:c>
      <x:c r="L849" s="158"/>
      <x:c r="M849" s="141" t="str">
        <x:v>https://www.sge.com.cn/sjzx/quotation_daily_new?start_date=2025-10-01&amp;end_date=2025-10-31&amp;inst_ids=Au99.99&amp;p=</x:v>
      </x:c>
    </x:row>
    <x:row r="850">
      <x:c r="A850" s="155" t="n">
        <x:v>45964</x:v>
      </x:c>
      <x:c r="B850" s="141" t="str">
        <x:v>Ag(T+D)</x:v>
      </x:c>
      <x:c r="C850" s="153" t="n">
        <x:v>11410</x:v>
      </x:c>
      <x:c r="D850" s="153" t="n">
        <x:v>11448</x:v>
      </x:c>
      <x:c r="E850" s="153" t="n">
        <x:v>11211</x:v>
      </x:c>
      <x:c r="F850" s="153" t="n">
        <x:v>11442</x:v>
      </x:c>
      <x:c r="G850" s="153" t="n">
        <x:v>60</x:v>
      </x:c>
      <x:c r="H850" s="154" t="n">
        <x:v>0.0053</x:v>
      </x:c>
      <x:c r="I850" s="158" t="n">
        <x:v>11370</x:v>
      </x:c>
      <x:c r="J850" s="158" t="n">
        <x:v>525416</x:v>
      </x:c>
      <x:c r="K850" s="158" t="n">
        <x:v>5974475082</x:v>
      </x:c>
      <x:c r="L850" s="158" t="n">
        <x:v>4352308</x:v>
      </x:c>
      <x:c r="M850" s="141" t="str">
        <x:v>https://www.sge.com.cn/sjzx/quotation_daily_new?start_date=2025-11-01&amp;end_date=2025-11-30&amp;inst_ids=Ag%28T%2BD%29&amp;p=</x:v>
      </x:c>
    </x:row>
    <x:row r="851">
      <x:c r="A851" s="155" t="n">
        <x:v>45964</x:v>
      </x:c>
      <x:c r="B851" s="141" t="str">
        <x:v>Au99.99</x:v>
      </x:c>
      <x:c r="C851" s="153" t="n">
        <x:v>924</x:v>
      </x:c>
      <x:c r="D851" s="153" t="n">
        <x:v>925</x:v>
      </x:c>
      <x:c r="E851" s="153" t="n">
        <x:v>909</x:v>
      </x:c>
      <x:c r="F851" s="153" t="n">
        <x:v>920</x:v>
      </x:c>
      <x:c r="G851" s="153" t="n">
        <x:v>-1.5</x:v>
      </x:c>
      <x:c r="H851" s="154" t="n">
        <x:v>-0.0016</x:v>
      </x:c>
      <x:c r="I851" s="158" t="n">
        <x:v>917.37</x:v>
      </x:c>
      <x:c r="J851" s="158" t="n">
        <x:v>8788.62</x:v>
      </x:c>
      <x:c r="K851" s="158" t="n">
        <x:v>8062461334.2</x:v>
      </x:c>
      <x:c r="L851" s="158"/>
      <x:c r="M851" s="141" t="str">
        <x:v>https://www.sge.com.cn/sjzx/quotation_daily_new?start_date=2025-11-01&amp;end_date=2025-11-30&amp;inst_ids=Au99.99&amp;p=</x:v>
      </x:c>
    </x:row>
    <x:row r="852">
      <x:c r="A852" s="155" t="n">
        <x:v>45965</x:v>
      </x:c>
      <x:c r="B852" s="141" t="str">
        <x:v>Ag(T+D)</x:v>
      </x:c>
      <x:c r="C852" s="153" t="n">
        <x:v>11416</x:v>
      </x:c>
      <x:c r="D852" s="153" t="n">
        <x:v>11469</x:v>
      </x:c>
      <x:c r="E852" s="153" t="n">
        <x:v>11172</x:v>
      </x:c>
      <x:c r="F852" s="153" t="n">
        <x:v>11242</x:v>
      </x:c>
      <x:c r="G852" s="153" t="n">
        <x:v>-128</x:v>
      </x:c>
      <x:c r="H852" s="154" t="n">
        <x:v>-0.0113</x:v>
      </x:c>
      <x:c r="I852" s="158" t="n">
        <x:v>11270</x:v>
      </x:c>
      <x:c r="J852" s="158" t="n">
        <x:v>659480</x:v>
      </x:c>
      <x:c r="K852" s="158" t="n">
        <x:v>7432545422</x:v>
      </x:c>
      <x:c r="L852" s="158" t="n">
        <x:v>4270780</x:v>
      </x:c>
      <x:c r="M852" s="141" t="str">
        <x:v>https://www.sge.com.cn/sjzx/quotation_daily_new?start_date=2025-11-01&amp;end_date=2025-11-30&amp;inst_ids=Ag%28T%2BD%29&amp;p=</x:v>
      </x:c>
    </x:row>
    <x:row r="853">
      <x:c r="A853" s="155" t="n">
        <x:v>45965</x:v>
      </x:c>
      <x:c r="B853" s="141" t="str">
        <x:v>Au99.99</x:v>
      </x:c>
      <x:c r="C853" s="153" t="n">
        <x:v>918</x:v>
      </x:c>
      <x:c r="D853" s="153" t="n">
        <x:v>925</x:v>
      </x:c>
      <x:c r="E853" s="153" t="n">
        <x:v>910.5</x:v>
      </x:c>
      <x:c r="F853" s="153" t="n">
        <x:v>916.49</x:v>
      </x:c>
      <x:c r="G853" s="153" t="n">
        <x:v>-3.51</x:v>
      </x:c>
      <x:c r="H853" s="154" t="n">
        <x:v>-0.0038</x:v>
      </x:c>
      <x:c r="I853" s="158" t="n">
        <x:v>913.82</x:v>
      </x:c>
      <x:c r="J853" s="158" t="n">
        <x:v>7689.06</x:v>
      </x:c>
      <x:c r="K853" s="158" t="n">
        <x:v>7026420871.6</x:v>
      </x:c>
      <x:c r="L853" s="158"/>
      <x:c r="M853" s="141" t="str">
        <x:v>https://www.sge.com.cn/sjzx/quotation_daily_new?start_date=2025-11-01&amp;end_date=2025-11-30&amp;inst_ids=Au99.99&amp;p=</x:v>
      </x:c>
    </x:row>
    <x:row r="854">
      <x:c r="A854" s="155" t="n">
        <x:v>45966</x:v>
      </x:c>
      <x:c r="B854" s="141" t="str">
        <x:v>Ag(T+D)</x:v>
      </x:c>
      <x:c r="C854" s="153" t="n">
        <x:v>11258</x:v>
      </x:c>
      <x:c r="D854" s="153" t="n">
        <x:v>11301</x:v>
      </x:c>
      <x:c r="E854" s="153" t="n">
        <x:v>11093</x:v>
      </x:c>
      <x:c r="F854" s="153" t="n">
        <x:v>11240</x:v>
      </x:c>
      <x:c r="G854" s="153" t="n">
        <x:v>-30</x:v>
      </x:c>
      <x:c r="H854" s="154" t="n">
        <x:v>-0.0027</x:v>
      </x:c>
      <x:c r="I854" s="158" t="n">
        <x:v>11208</x:v>
      </x:c>
      <x:c r="J854" s="158" t="n">
        <x:v>508790</x:v>
      </x:c>
      <x:c r="K854" s="158" t="n">
        <x:v>5702593578</x:v>
      </x:c>
      <x:c r="L854" s="158" t="n">
        <x:v>4279586</x:v>
      </x:c>
      <x:c r="M854" s="141" t="str">
        <x:v>https://www.sge.com.cn/sjzx/quotation_daily_new?start_date=2025-11-01&amp;end_date=2025-11-30&amp;inst_ids=Ag%28T%2BD%29&amp;p=</x:v>
      </x:c>
    </x:row>
    <x:row r="855">
      <x:c r="A855" s="155" t="n">
        <x:v>45966</x:v>
      </x:c>
      <x:c r="B855" s="141" t="str">
        <x:v>Au99.99</x:v>
      </x:c>
      <x:c r="C855" s="153" t="n">
        <x:v>912</x:v>
      </x:c>
      <x:c r="D855" s="153" t="n">
        <x:v>916.5</x:v>
      </x:c>
      <x:c r="E855" s="153" t="n">
        <x:v>903</x:v>
      </x:c>
      <x:c r="F855" s="153" t="n">
        <x:v>910</x:v>
      </x:c>
      <x:c r="G855" s="153" t="n">
        <x:v>-6.49</x:v>
      </x:c>
      <x:c r="H855" s="154" t="n">
        <x:v>-0.0070999999999999995</x:v>
      </x:c>
      <x:c r="I855" s="158" t="n">
        <x:v>907.06</x:v>
      </x:c>
      <x:c r="J855" s="158" t="n">
        <x:v>8812.92</x:v>
      </x:c>
      <x:c r="K855" s="158" t="n">
        <x:v>7993879122.2</x:v>
      </x:c>
      <x:c r="L855" s="158"/>
      <x:c r="M855" s="141" t="str">
        <x:v>https://www.sge.com.cn/sjzx/quotation_daily_new?start_date=2025-11-01&amp;end_date=2025-11-30&amp;inst_ids=Au99.99&amp;p=</x:v>
      </x:c>
    </x:row>
    <x:row r="856">
      <x:c r="A856" s="155" t="n">
        <x:v>45967</x:v>
      </x:c>
      <x:c r="B856" s="141" t="str">
        <x:v>Ag(T+D)</x:v>
      </x:c>
      <x:c r="C856" s="153" t="n">
        <x:v>11240</x:v>
      </x:c>
      <x:c r="D856" s="153" t="n">
        <x:v>11435</x:v>
      </x:c>
      <x:c r="E856" s="153" t="n">
        <x:v>11220</x:v>
      </x:c>
      <x:c r="F856" s="153" t="n">
        <x:v>11421</x:v>
      </x:c>
      <x:c r="G856" s="153" t="n">
        <x:v>213</x:v>
      </x:c>
      <x:c r="H856" s="154" t="n">
        <x:v>0.019</x:v>
      </x:c>
      <x:c r="I856" s="158" t="n">
        <x:v>11346</x:v>
      </x:c>
      <x:c r="J856" s="158" t="n">
        <x:v>460064</x:v>
      </x:c>
      <x:c r="K856" s="158" t="n">
        <x:v>5220198770</x:v>
      </x:c>
      <x:c r="L856" s="158" t="n">
        <x:v>4303142</x:v>
      </x:c>
      <x:c r="M856" s="141" t="str">
        <x:v>https://www.sge.com.cn/sjzx/quotation_daily_new?start_date=2025-11-01&amp;end_date=2025-11-30&amp;inst_ids=Ag%28T%2BD%29&amp;p=</x:v>
      </x:c>
    </x:row>
    <x:row r="857">
      <x:c r="A857" s="155" t="n">
        <x:v>45967</x:v>
      </x:c>
      <x:c r="B857" s="141" t="str">
        <x:v>Au99.99</x:v>
      </x:c>
      <x:c r="C857" s="153" t="n">
        <x:v>910</x:v>
      </x:c>
      <x:c r="D857" s="153" t="n">
        <x:v>919.8</x:v>
      </x:c>
      <x:c r="E857" s="153" t="n">
        <x:v>910</x:v>
      </x:c>
      <x:c r="F857" s="153" t="n">
        <x:v>918</x:v>
      </x:c>
      <x:c r="G857" s="153" t="n">
        <x:v>8</x:v>
      </x:c>
      <x:c r="H857" s="154" t="n">
        <x:v>0.0088</x:v>
      </x:c>
      <x:c r="I857" s="158" t="n">
        <x:v>914.01</x:v>
      </x:c>
      <x:c r="J857" s="158" t="n">
        <x:v>5339.48</x:v>
      </x:c>
      <x:c r="K857" s="158" t="n">
        <x:v>4880354659.2</x:v>
      </x:c>
      <x:c r="L857" s="158"/>
      <x:c r="M857" s="141" t="str">
        <x:v>https://www.sge.com.cn/sjzx/quotation_daily_new?start_date=2025-11-01&amp;end_date=2025-11-30&amp;inst_ids=Au99.99&amp;p=</x:v>
      </x:c>
    </x:row>
    <x:row r="858">
      <x:c r="A858" s="155" t="n">
        <x:v>45968</x:v>
      </x:c>
      <x:c r="B858" s="141" t="str">
        <x:v>Ag(T+D)</x:v>
      </x:c>
      <x:c r="C858" s="153" t="n">
        <x:v>11465</x:v>
      </x:c>
      <x:c r="D858" s="153" t="n">
        <x:v>11485</x:v>
      </x:c>
      <x:c r="E858" s="153" t="n">
        <x:v>11260</x:v>
      </x:c>
      <x:c r="F858" s="153" t="n">
        <x:v>11480</x:v>
      </x:c>
      <x:c r="G858" s="153" t="n">
        <x:v>134</x:v>
      </x:c>
      <x:c r="H858" s="154" t="n">
        <x:v>0.0118</x:v>
      </x:c>
      <x:c r="I858" s="158" t="n">
        <x:v>11426</x:v>
      </x:c>
      <x:c r="J858" s="158" t="n">
        <x:v>619304</x:v>
      </x:c>
      <x:c r="K858" s="158" t="n">
        <x:v>7076560342</x:v>
      </x:c>
      <x:c r="L858" s="158" t="n">
        <x:v>4294018</x:v>
      </x:c>
      <x:c r="M858" s="141" t="str">
        <x:v>https://www.sge.com.cn/sjzx/quotation_daily_new?start_date=2025-11-01&amp;end_date=2025-11-30&amp;inst_ids=Ag%28T%2BD%29&amp;p=</x:v>
      </x:c>
    </x:row>
    <x:row r="859">
      <x:c r="A859" s="155" t="n">
        <x:v>45968</x:v>
      </x:c>
      <x:c r="B859" s="141" t="str">
        <x:v>Au99.99</x:v>
      </x:c>
      <x:c r="C859" s="153" t="n">
        <x:v>920</x:v>
      </x:c>
      <x:c r="D859" s="153" t="n">
        <x:v>924</x:v>
      </x:c>
      <x:c r="E859" s="153" t="n">
        <x:v>912</x:v>
      </x:c>
      <x:c r="F859" s="153" t="n">
        <x:v>918.03</x:v>
      </x:c>
      <x:c r="G859" s="153" t="n">
        <x:v>0.03</x:v>
      </x:c>
      <x:c r="H859" s="154" t="n">
        <x:v>0</x:v>
      </x:c>
      <x:c r="I859" s="158" t="n">
        <x:v>916.98</x:v>
      </x:c>
      <x:c r="J859" s="158" t="n">
        <x:v>5809.64</x:v>
      </x:c>
      <x:c r="K859" s="158" t="n">
        <x:v>5327342836</x:v>
      </x:c>
      <x:c r="L859" s="158"/>
      <x:c r="M859" s="141" t="str">
        <x:v>https://www.sge.com.cn/sjzx/quotation_daily_new?start_date=2025-11-01&amp;end_date=2025-11-30&amp;inst_ids=Au99.99&amp;p=</x:v>
      </x:c>
    </x:row>
    <x:row r="860">
      <x:c r="A860" s="155" t="n">
        <x:v>45971</x:v>
      </x:c>
      <x:c r="B860" s="141" t="str">
        <x:v>Ag(T+D)</x:v>
      </x:c>
      <x:c r="C860" s="153" t="n">
        <x:v>11480</x:v>
      </x:c>
      <x:c r="D860" s="153" t="n">
        <x:v>11731</x:v>
      </x:c>
      <x:c r="E860" s="153" t="n">
        <x:v>11363</x:v>
      </x:c>
      <x:c r="F860" s="153" t="n">
        <x:v>11726</x:v>
      </x:c>
      <x:c r="G860" s="153" t="n">
        <x:v>300</x:v>
      </x:c>
      <x:c r="H860" s="154" t="n">
        <x:v>0.0263</x:v>
      </x:c>
      <x:c r="I860" s="158" t="n">
        <x:v>11613</x:v>
      </x:c>
      <x:c r="J860" s="158" t="n">
        <x:v>712714</x:v>
      </x:c>
      <x:c r="K860" s="158" t="n">
        <x:v>8277279952</x:v>
      </x:c>
      <x:c r="L860" s="158" t="n">
        <x:v>4236766</x:v>
      </x:c>
      <x:c r="M860" s="141" t="str">
        <x:v>https://www.sge.com.cn/sjzx/quotation_daily_new?start_date=2025-11-01&amp;end_date=2025-11-30&amp;inst_ids=Ag%28T%2BD%29&amp;p=</x:v>
      </x:c>
    </x:row>
    <x:row r="861">
      <x:c r="A861" s="155" t="n">
        <x:v>45971</x:v>
      </x:c>
      <x:c r="B861" s="141" t="str">
        <x:v>Au99.99</x:v>
      </x:c>
      <x:c r="C861" s="153" t="n">
        <x:v>919</x:v>
      </x:c>
      <x:c r="D861" s="153" t="n">
        <x:v>935</x:v>
      </x:c>
      <x:c r="E861" s="153" t="n">
        <x:v>914</x:v>
      </x:c>
      <x:c r="F861" s="153" t="n">
        <x:v>934.81</x:v>
      </x:c>
      <x:c r="G861" s="153" t="n">
        <x:v>16.78</x:v>
      </x:c>
      <x:c r="H861" s="154" t="n">
        <x:v>0.0183</x:v>
      </x:c>
      <x:c r="I861" s="158" t="n">
        <x:v>930.1</x:v>
      </x:c>
      <x:c r="J861" s="158" t="n">
        <x:v>8082.38</x:v>
      </x:c>
      <x:c r="K861" s="158" t="n">
        <x:v>7517487367.2</x:v>
      </x:c>
      <x:c r="L861" s="158"/>
      <x:c r="M861" s="141" t="str">
        <x:v>https://www.sge.com.cn/sjzx/quotation_daily_new?start_date=2025-11-01&amp;end_date=2025-11-30&amp;inst_ids=Au99.99&amp;p=</x:v>
      </x:c>
    </x:row>
    <x:row r="862">
      <x:c r="A862" s="155" t="n">
        <x:v>45972</x:v>
      </x:c>
      <x:c r="B862" s="141" t="str">
        <x:v>Ag(T+D)</x:v>
      </x:c>
      <x:c r="C862" s="153" t="n">
        <x:v>11760</x:v>
      </x:c>
      <x:c r="D862" s="153" t="n">
        <x:v>11982</x:v>
      </x:c>
      <x:c r="E862" s="153" t="n">
        <x:v>11696</x:v>
      </x:c>
      <x:c r="F862" s="153" t="n">
        <x:v>11865</x:v>
      </x:c>
      <x:c r="G862" s="153" t="n">
        <x:v>252</x:v>
      </x:c>
      <x:c r="H862" s="154" t="n">
        <x:v>0.0217</x:v>
      </x:c>
      <x:c r="I862" s="158" t="n">
        <x:v>11895</x:v>
      </x:c>
      <x:c r="J862" s="158" t="n">
        <x:v>725114</x:v>
      </x:c>
      <x:c r="K862" s="158" t="n">
        <x:v>8625680258</x:v>
      </x:c>
      <x:c r="L862" s="158" t="n">
        <x:v>4243002</x:v>
      </x:c>
      <x:c r="M862" s="141" t="str">
        <x:v>https://www.sge.com.cn/sjzx/quotation_daily_new?start_date=2025-11-01&amp;end_date=2025-11-30&amp;inst_ids=Ag%28T%2BD%29&amp;p=</x:v>
      </x:c>
    </x:row>
    <x:row r="863">
      <x:c r="A863" s="155" t="n">
        <x:v>45972</x:v>
      </x:c>
      <x:c r="B863" s="141" t="str">
        <x:v>Au99.99</x:v>
      </x:c>
      <x:c r="C863" s="153" t="n">
        <x:v>938.9</x:v>
      </x:c>
      <x:c r="D863" s="153" t="n">
        <x:v>950.99</x:v>
      </x:c>
      <x:c r="E863" s="153" t="n">
        <x:v>935</x:v>
      </x:c>
      <x:c r="F863" s="153" t="n">
        <x:v>946.79</x:v>
      </x:c>
      <x:c r="G863" s="153" t="n">
        <x:v>11.98</x:v>
      </x:c>
      <x:c r="H863" s="154" t="n">
        <x:v>0.0128</x:v>
      </x:c>
      <x:c r="I863" s="158" t="n">
        <x:v>948.34</x:v>
      </x:c>
      <x:c r="J863" s="158" t="n">
        <x:v>11202.26</x:v>
      </x:c>
      <x:c r="K863" s="158" t="n">
        <x:v>10623625872.6</x:v>
      </x:c>
      <x:c r="L863" s="158"/>
      <x:c r="M863" s="141" t="str">
        <x:v>https://www.sge.com.cn/sjzx/quotation_daily_new?start_date=2025-11-01&amp;end_date=2025-11-30&amp;inst_ids=Au99.99&amp;p=</x:v>
      </x:c>
    </x:row>
    <x:row r="864">
      <x:c r="A864" s="155" t="n">
        <x:v>45973</x:v>
      </x:c>
      <x:c r="B864" s="141" t="str">
        <x:v>Ag(T+D)</x:v>
      </x:c>
      <x:c r="C864" s="153" t="n">
        <x:v>11970</x:v>
      </x:c>
      <x:c r="D864" s="153" t="n">
        <x:v>12095</x:v>
      </x:c>
      <x:c r="E864" s="153" t="n">
        <x:v>11820</x:v>
      </x:c>
      <x:c r="F864" s="153" t="n">
        <x:v>12092</x:v>
      </x:c>
      <x:c r="G864" s="153" t="n">
        <x:v>197</x:v>
      </x:c>
      <x:c r="H864" s="154" t="n">
        <x:v>0.0166</x:v>
      </x:c>
      <x:c r="I864" s="158" t="n">
        <x:v>11949</x:v>
      </x:c>
      <x:c r="J864" s="158" t="n">
        <x:v>870430</x:v>
      </x:c>
      <x:c r="K864" s="158" t="n">
        <x:v>10401237350</x:v>
      </x:c>
      <x:c r="L864" s="158" t="n">
        <x:v>4077296</x:v>
      </x:c>
      <x:c r="M864" s="141" t="str">
        <x:v>https://www.sge.com.cn/sjzx/quotation_daily_new?start_date=2025-11-01&amp;end_date=2025-11-30&amp;inst_ids=Ag%28T%2BD%29&amp;p=</x:v>
      </x:c>
    </x:row>
    <x:row r="865">
      <x:c r="A865" s="155" t="n">
        <x:v>45973</x:v>
      </x:c>
      <x:c r="B865" s="141" t="str">
        <x:v>Au99.99</x:v>
      </x:c>
      <x:c r="C865" s="153" t="n">
        <x:v>949</x:v>
      </x:c>
      <x:c r="D865" s="153" t="n">
        <x:v>949</x:v>
      </x:c>
      <x:c r="E865" s="153" t="n">
        <x:v>939</x:v>
      </x:c>
      <x:c r="F865" s="153" t="n">
        <x:v>944.84</x:v>
      </x:c>
      <x:c r="G865" s="153" t="n">
        <x:v>-1.95</x:v>
      </x:c>
      <x:c r="H865" s="154" t="n">
        <x:v>-0.0021</x:v>
      </x:c>
      <x:c r="I865" s="158" t="n">
        <x:v>944.44</x:v>
      </x:c>
      <x:c r="J865" s="158" t="n">
        <x:v>7978.8</x:v>
      </x:c>
      <x:c r="K865" s="158" t="n">
        <x:v>7535557357.2</x:v>
      </x:c>
      <x:c r="L865" s="158"/>
      <x:c r="M865" s="141" t="str">
        <x:v>https://www.sge.com.cn/sjzx/quotation_daily_new?start_date=2025-11-01&amp;end_date=2025-11-30&amp;inst_ids=Au99.99&amp;p=</x:v>
      </x:c>
    </x:row>
    <x:row r="866">
      <x:c r="A866" s="155" t="n">
        <x:v>45974</x:v>
      </x:c>
      <x:c r="B866" s="141" t="str">
        <x:v>Ag(T+D)</x:v>
      </x:c>
      <x:c r="C866" s="153" t="n">
        <x:v>12081</x:v>
      </x:c>
      <x:c r="D866" s="153" t="n">
        <x:v>12650</x:v>
      </x:c>
      <x:c r="E866" s="153" t="n">
        <x:v>12037</x:v>
      </x:c>
      <x:c r="F866" s="153" t="n">
        <x:v>12563</x:v>
      </x:c>
      <x:c r="G866" s="153" t="n">
        <x:v>614</x:v>
      </x:c>
      <x:c r="H866" s="154" t="n">
        <x:v>0.051399999999999994</x:v>
      </x:c>
      <x:c r="I866" s="158" t="n">
        <x:v>12469</x:v>
      </x:c>
      <x:c r="J866" s="158" t="n">
        <x:v>605638</x:v>
      </x:c>
      <x:c r="K866" s="158" t="n">
        <x:v>7552243376</x:v>
      </x:c>
      <x:c r="L866" s="158" t="n">
        <x:v>4076290</x:v>
      </x:c>
      <x:c r="M866" s="141" t="str">
        <x:v>https://www.sge.com.cn/sjzx/quotation_daily_new?start_date=2025-11-01&amp;end_date=2025-11-30&amp;inst_ids=Ag%28T%2BD%29&amp;p=</x:v>
      </x:c>
    </x:row>
    <x:row r="867">
      <x:c r="A867" s="155" t="n">
        <x:v>45974</x:v>
      </x:c>
      <x:c r="B867" s="141" t="str">
        <x:v>Au99.99</x:v>
      </x:c>
      <x:c r="C867" s="153" t="n">
        <x:v>946</x:v>
      </x:c>
      <x:c r="D867" s="153" t="n">
        <x:v>960</x:v>
      </x:c>
      <x:c r="E867" s="153" t="n">
        <x:v>940.1</x:v>
      </x:c>
      <x:c r="F867" s="153" t="n">
        <x:v>959.14</x:v>
      </x:c>
      <x:c r="G867" s="153" t="n">
        <x:v>14.3</x:v>
      </x:c>
      <x:c r="H867" s="154" t="n">
        <x:v>0.0151</x:v>
      </x:c>
      <x:c r="I867" s="158" t="n">
        <x:v>957.76</x:v>
      </x:c>
      <x:c r="J867" s="158" t="n">
        <x:v>8263.64</x:v>
      </x:c>
      <x:c r="K867" s="158" t="n">
        <x:v>7914661211.2</x:v>
      </x:c>
      <x:c r="L867" s="158"/>
      <x:c r="M867" s="141" t="str">
        <x:v>https://www.sge.com.cn/sjzx/quotation_daily_new?start_date=2025-11-01&amp;end_date=2025-11-30&amp;inst_ids=Au99.99&amp;p=</x:v>
      </x:c>
    </x:row>
    <x:row r="868">
      <x:c r="A868" s="155" t="n">
        <x:v>45975</x:v>
      </x:c>
      <x:c r="B868" s="141" t="str">
        <x:v>Ag(T+D)</x:v>
      </x:c>
      <x:c r="C868" s="153" t="n">
        <x:v>12520</x:v>
      </x:c>
      <x:c r="D868" s="153" t="n">
        <x:v>12575</x:v>
      </x:c>
      <x:c r="E868" s="153" t="n">
        <x:v>12313</x:v>
      </x:c>
      <x:c r="F868" s="153" t="n">
        <x:v>12326</x:v>
      </x:c>
      <x:c r="G868" s="153" t="n">
        <x:v>-143</x:v>
      </x:c>
      <x:c r="H868" s="154" t="n">
        <x:v>-0.0115</x:v>
      </x:c>
      <x:c r="I868" s="158" t="n">
        <x:v>12414</x:v>
      </x:c>
      <x:c r="J868" s="158" t="n">
        <x:v>800156</x:v>
      </x:c>
      <x:c r="K868" s="158" t="n">
        <x:v>9933724174</x:v>
      </x:c>
      <x:c r="L868" s="158" t="n">
        <x:v>4040198</x:v>
      </x:c>
      <x:c r="M868" s="141" t="str">
        <x:v>https://www.sge.com.cn/sjzx/quotation_daily_new?start_date=2025-11-01&amp;end_date=2025-11-30&amp;inst_ids=Ag%28T%2BD%29&amp;p=</x:v>
      </x:c>
    </x:row>
    <x:row r="869">
      <x:c r="A869" s="155" t="n">
        <x:v>45975</x:v>
      </x:c>
      <x:c r="B869" s="141" t="str">
        <x:v>Au99.99</x:v>
      </x:c>
      <x:c r="C869" s="153" t="n">
        <x:v>959.55</x:v>
      </x:c>
      <x:c r="D869" s="153" t="n">
        <x:v>968</x:v>
      </x:c>
      <x:c r="E869" s="153" t="n">
        <x:v>948</x:v>
      </x:c>
      <x:c r="F869" s="153" t="n">
        <x:v>948.03</x:v>
      </x:c>
      <x:c r="G869" s="153" t="n">
        <x:v>-11.11</x:v>
      </x:c>
      <x:c r="H869" s="154" t="n">
        <x:v>-0.0116</x:v>
      </x:c>
      <x:c r="I869" s="158" t="n">
        <x:v>954.73</x:v>
      </x:c>
      <x:c r="J869" s="158" t="n">
        <x:v>7413.22</x:v>
      </x:c>
      <x:c r="K869" s="158" t="n">
        <x:v>7077691693</x:v>
      </x:c>
      <x:c r="L869" s="158"/>
      <x:c r="M869" s="141" t="str">
        <x:v>https://www.sge.com.cn/sjzx/quotation_daily_new?start_date=2025-11-01&amp;end_date=2025-11-30&amp;inst_ids=Au99.99&amp;p=</x:v>
      </x:c>
    </x:row>
    <x:row r="870">
      <x:c r="A870" s="155" t="n">
        <x:v>45978</x:v>
      </x:c>
      <x:c r="B870" s="141" t="str">
        <x:v>Ag(T+D)</x:v>
      </x:c>
      <x:c r="C870" s="153" t="n">
        <x:v>12260</x:v>
      </x:c>
      <x:c r="D870" s="153" t="n">
        <x:v>12260</x:v>
      </x:c>
      <x:c r="E870" s="153" t="n">
        <x:v>11840</x:v>
      </x:c>
      <x:c r="F870" s="153" t="n">
        <x:v>11970</x:v>
      </x:c>
      <x:c r="G870" s="153" t="n">
        <x:v>-444</x:v>
      </x:c>
      <x:c r="H870" s="154" t="n">
        <x:v>-0.0358</x:v>
      </x:c>
      <x:c r="I870" s="158" t="n">
        <x:v>11958</x:v>
      </x:c>
      <x:c r="J870" s="158" t="n">
        <x:v>759026</x:v>
      </x:c>
      <x:c r="K870" s="158" t="n">
        <x:v>9076678922</x:v>
      </x:c>
      <x:c r="L870" s="158" t="n">
        <x:v>4091434</x:v>
      </x:c>
      <x:c r="M870" s="141" t="str">
        <x:v>https://www.sge.com.cn/sjzx/quotation_daily_new?start_date=2025-11-01&amp;end_date=2025-11-30&amp;inst_ids=Ag%28T%2BD%29&amp;p=</x:v>
      </x:c>
    </x:row>
    <x:row r="871">
      <x:c r="A871" s="155" t="n">
        <x:v>45978</x:v>
      </x:c>
      <x:c r="B871" s="141" t="str">
        <x:v>Au99.99</x:v>
      </x:c>
      <x:c r="C871" s="153" t="n">
        <x:v>942</x:v>
      </x:c>
      <x:c r="D871" s="153" t="n">
        <x:v>943</x:v>
      </x:c>
      <x:c r="E871" s="153" t="n">
        <x:v>921</x:v>
      </x:c>
      <x:c r="F871" s="153" t="n">
        <x:v>931.42</x:v>
      </x:c>
      <x:c r="G871" s="153" t="n">
        <x:v>-16.61</x:v>
      </x:c>
      <x:c r="H871" s="154" t="n">
        <x:v>-0.0175</x:v>
      </x:c>
      <x:c r="I871" s="158" t="n">
        <x:v>930.81</x:v>
      </x:c>
      <x:c r="J871" s="158" t="n">
        <x:v>9930.64</x:v>
      </x:c>
      <x:c r="K871" s="158" t="n">
        <x:v>9243600446.6</x:v>
      </x:c>
      <x:c r="L871" s="158"/>
      <x:c r="M871" s="141" t="str">
        <x:v>https://www.sge.com.cn/sjzx/quotation_daily_new?start_date=2025-11-01&amp;end_date=2025-11-30&amp;inst_ids=Au99.99&amp;p=</x:v>
      </x:c>
    </x:row>
    <x:row r="872">
      <x:c r="A872" s="155" t="n">
        <x:v>45979</x:v>
      </x:c>
      <x:c r="B872" s="141" t="str">
        <x:v>Ag(T+D)</x:v>
      </x:c>
      <x:c r="C872" s="153" t="n">
        <x:v>11980</x:v>
      </x:c>
      <x:c r="D872" s="153" t="n">
        <x:v>12012</x:v>
      </x:c>
      <x:c r="E872" s="153" t="n">
        <x:v>11686</x:v>
      </x:c>
      <x:c r="F872" s="153" t="n">
        <x:v>11697</x:v>
      </x:c>
      <x:c r="G872" s="153" t="n">
        <x:v>-261</x:v>
      </x:c>
      <x:c r="H872" s="154" t="n">
        <x:v>-0.0218</x:v>
      </x:c>
      <x:c r="I872" s="158" t="n">
        <x:v>11802</x:v>
      </x:c>
      <x:c r="J872" s="158" t="n">
        <x:v>623148</x:v>
      </x:c>
      <x:c r="K872" s="158" t="n">
        <x:v>7354470654</x:v>
      </x:c>
      <x:c r="L872" s="158" t="n">
        <x:v>4170070</x:v>
      </x:c>
      <x:c r="M872" s="141" t="str">
        <x:v>https://www.sge.com.cn/sjzx/quotation_daily_new?start_date=2025-11-01&amp;end_date=2025-11-30&amp;inst_ids=Ag%28T%2BD%29&amp;p=</x:v>
      </x:c>
    </x:row>
    <x:row r="873">
      <x:c r="A873" s="155" t="n">
        <x:v>45979</x:v>
      </x:c>
      <x:c r="B873" s="141" t="str">
        <x:v>Au99.99</x:v>
      </x:c>
      <x:c r="C873" s="153" t="n">
        <x:v>935.5</x:v>
      </x:c>
      <x:c r="D873" s="153" t="n">
        <x:v>938</x:v>
      </x:c>
      <x:c r="E873" s="153" t="n">
        <x:v>916.04</x:v>
      </x:c>
      <x:c r="F873" s="153" t="n">
        <x:v>916.96</x:v>
      </x:c>
      <x:c r="G873" s="153" t="n">
        <x:v>-14.46</x:v>
      </x:c>
      <x:c r="H873" s="154" t="n">
        <x:v>-0.0155</x:v>
      </x:c>
      <x:c r="I873" s="158" t="n">
        <x:v>919.43</x:v>
      </x:c>
      <x:c r="J873" s="158" t="n">
        <x:v>9662.46</x:v>
      </x:c>
      <x:c r="K873" s="158" t="n">
        <x:v>8884013918</x:v>
      </x:c>
      <x:c r="L873" s="158"/>
      <x:c r="M873" s="141" t="str">
        <x:v>https://www.sge.com.cn/sjzx/quotation_daily_new?start_date=2025-11-01&amp;end_date=2025-11-30&amp;inst_ids=Au99.99&amp;p=</x:v>
      </x:c>
    </x:row>
    <x:row r="874">
      <x:c r="A874" s="155" t="n">
        <x:v>45980</x:v>
      </x:c>
      <x:c r="B874" s="141" t="str">
        <x:v>Ag(T+D)</x:v>
      </x:c>
      <x:c r="C874" s="153" t="n">
        <x:v>11855</x:v>
      </x:c>
      <x:c r="D874" s="153" t="n">
        <x:v>12161</x:v>
      </x:c>
      <x:c r="E874" s="153" t="n">
        <x:v>11755</x:v>
      </x:c>
      <x:c r="F874" s="153" t="n">
        <x:v>12150</x:v>
      </x:c>
      <x:c r="G874" s="153" t="n">
        <x:v>348</x:v>
      </x:c>
      <x:c r="H874" s="154" t="n">
        <x:v>0.029500000000000002</x:v>
      </x:c>
      <x:c r="I874" s="158" t="n">
        <x:v>11999</x:v>
      </x:c>
      <x:c r="J874" s="158" t="n">
        <x:v>785682</x:v>
      </x:c>
      <x:c r="K874" s="158" t="n">
        <x:v>9427464950</x:v>
      </x:c>
      <x:c r="L874" s="158" t="n">
        <x:v>4107262</x:v>
      </x:c>
      <x:c r="M874" s="141" t="str">
        <x:v>https://www.sge.com.cn/sjzx/quotation_daily_new?start_date=2025-11-01&amp;end_date=2025-11-30&amp;inst_ids=Ag%28T%2BD%29&amp;p=</x:v>
      </x:c>
    </x:row>
    <x:row r="875">
      <x:c r="A875" s="155" t="n">
        <x:v>45980</x:v>
      </x:c>
      <x:c r="B875" s="141" t="str">
        <x:v>Au99.99</x:v>
      </x:c>
      <x:c r="C875" s="153" t="n">
        <x:v>923.5</x:v>
      </x:c>
      <x:c r="D875" s="153" t="n">
        <x:v>937.8</x:v>
      </x:c>
      <x:c r="E875" s="153" t="n">
        <x:v>921.05</x:v>
      </x:c>
      <x:c r="F875" s="153" t="n">
        <x:v>935.33</x:v>
      </x:c>
      <x:c r="G875" s="153" t="n">
        <x:v>18.37</x:v>
      </x:c>
      <x:c r="H875" s="154" t="n">
        <x:v>0.02</x:v>
      </x:c>
      <x:c r="I875" s="158" t="n">
        <x:v>932.77</x:v>
      </x:c>
      <x:c r="J875" s="158" t="n">
        <x:v>6310.06</x:v>
      </x:c>
      <x:c r="K875" s="158" t="n">
        <x:v>5885835317.2</x:v>
      </x:c>
      <x:c r="L875" s="158"/>
      <x:c r="M875" s="141" t="str">
        <x:v>https://www.sge.com.cn/sjzx/quotation_daily_new?start_date=2025-11-01&amp;end_date=2025-11-30&amp;inst_ids=Au99.99&amp;p=</x:v>
      </x:c>
    </x:row>
    <x:row r="876">
      <x:c r="A876" s="155" t="n">
        <x:v>45981</x:v>
      </x:c>
      <x:c r="B876" s="141" t="str">
        <x:v>Ag(T+D)</x:v>
      </x:c>
      <x:c r="C876" s="153" t="n">
        <x:v>12257</x:v>
      </x:c>
      <x:c r="D876" s="153" t="n">
        <x:v>12310</x:v>
      </x:c>
      <x:c r="E876" s="153" t="n">
        <x:v>11927</x:v>
      </x:c>
      <x:c r="F876" s="153" t="n">
        <x:v>12030</x:v>
      </x:c>
      <x:c r="G876" s="153" t="n">
        <x:v>31</x:v>
      </x:c>
      <x:c r="H876" s="154" t="n">
        <x:v>0.0026</x:v>
      </x:c>
      <x:c r="I876" s="158" t="n">
        <x:v>12098</x:v>
      </x:c>
      <x:c r="J876" s="158" t="n">
        <x:v>603732</x:v>
      </x:c>
      <x:c r="K876" s="158" t="n">
        <x:v>7304465722</x:v>
      </x:c>
      <x:c r="L876" s="158" t="n">
        <x:v>4118612</x:v>
      </x:c>
      <x:c r="M876" s="141" t="str">
        <x:v>https://www.sge.com.cn/sjzx/quotation_daily_new?start_date=2025-11-01&amp;end_date=2025-11-30&amp;inst_ids=Ag%28T%2BD%29&amp;p=</x:v>
      </x:c>
    </x:row>
    <x:row r="877">
      <x:c r="A877" s="155" t="n">
        <x:v>45981</x:v>
      </x:c>
      <x:c r="B877" s="141" t="str">
        <x:v>Au99.99</x:v>
      </x:c>
      <x:c r="C877" s="153" t="n">
        <x:v>940</x:v>
      </x:c>
      <x:c r="D877" s="153" t="n">
        <x:v>942.5</x:v>
      </x:c>
      <x:c r="E877" s="153" t="n">
        <x:v>927</x:v>
      </x:c>
      <x:c r="F877" s="153" t="n">
        <x:v>929.95</x:v>
      </x:c>
      <x:c r="G877" s="153" t="n">
        <x:v>-5.38</x:v>
      </x:c>
      <x:c r="H877" s="154" t="n">
        <x:v>-0.0058</x:v>
      </x:c>
      <x:c r="I877" s="158" t="n">
        <x:v>932.07</x:v>
      </x:c>
      <x:c r="J877" s="158" t="n">
        <x:v>5951.7</x:v>
      </x:c>
      <x:c r="K877" s="158" t="n">
        <x:v>5547450956.4</x:v>
      </x:c>
      <x:c r="L877" s="158"/>
      <x:c r="M877" s="141" t="str">
        <x:v>https://www.sge.com.cn/sjzx/quotation_daily_new?start_date=2025-11-01&amp;end_date=2025-11-30&amp;inst_ids=Au99.99&amp;p=</x:v>
      </x:c>
    </x:row>
    <x:row r="878">
      <x:c r="A878" s="155" t="n">
        <x:v>45982</x:v>
      </x:c>
      <x:c r="B878" s="141" t="str">
        <x:v>Ag(T+D)</x:v>
      </x:c>
      <x:c r="C878" s="153" t="n">
        <x:v>11999</x:v>
      </x:c>
      <x:c r="D878" s="153" t="n">
        <x:v>12150</x:v>
      </x:c>
      <x:c r="E878" s="153" t="n">
        <x:v>11666</x:v>
      </x:c>
      <x:c r="F878" s="153" t="n">
        <x:v>11697</x:v>
      </x:c>
      <x:c r="G878" s="153" t="n">
        <x:v>-401</x:v>
      </x:c>
      <x:c r="H878" s="154" t="n">
        <x:v>-0.0331</x:v>
      </x:c>
      <x:c r="I878" s="158" t="n">
        <x:v>11830</x:v>
      </x:c>
      <x:c r="J878" s="158" t="n">
        <x:v>1243994</x:v>
      </x:c>
      <x:c r="K878" s="158" t="n">
        <x:v>14717368830</x:v>
      </x:c>
      <x:c r="L878" s="158" t="n">
        <x:v>4030310</x:v>
      </x:c>
      <x:c r="M878" s="141" t="str">
        <x:v>https://www.sge.com.cn/sjzx/quotation_daily_new?start_date=2025-11-01&amp;end_date=2025-11-30&amp;inst_ids=Ag%28T%2BD%29&amp;p=</x:v>
      </x:c>
    </x:row>
    <x:row r="879">
      <x:c r="A879" s="155" t="n">
        <x:v>45982</x:v>
      </x:c>
      <x:c r="B879" s="141" t="str">
        <x:v>Au99.99</x:v>
      </x:c>
      <x:c r="C879" s="153" t="n">
        <x:v>933</x:v>
      </x:c>
      <x:c r="D879" s="153" t="n">
        <x:v>938</x:v>
      </x:c>
      <x:c r="E879" s="153" t="n">
        <x:v>918</x:v>
      </x:c>
      <x:c r="F879" s="153" t="n">
        <x:v>924.44</x:v>
      </x:c>
      <x:c r="G879" s="153" t="n">
        <x:v>-5.51</x:v>
      </x:c>
      <x:c r="H879" s="154" t="n">
        <x:v>-0.0059</x:v>
      </x:c>
      <x:c r="I879" s="158" t="n">
        <x:v>927.16</x:v>
      </x:c>
      <x:c r="J879" s="158" t="n">
        <x:v>5905.54</x:v>
      </x:c>
      <x:c r="K879" s="158" t="n">
        <x:v>5475389793.4</x:v>
      </x:c>
      <x:c r="L879" s="158"/>
      <x:c r="M879" s="141" t="str">
        <x:v>https://www.sge.com.cn/sjzx/quotation_daily_new?start_date=2025-11-01&amp;end_date=2025-11-30&amp;inst_ids=Au99.99&amp;p=</x:v>
      </x:c>
    </x:row>
    <x:row r="880">
      <x:c r="A880" s="155" t="n">
        <x:v>45985</x:v>
      </x:c>
      <x:c r="B880" s="141" t="str">
        <x:v>Ag(T+D)</x:v>
      </x:c>
      <x:c r="C880" s="153" t="n">
        <x:v>11613</x:v>
      </x:c>
      <x:c r="D880" s="153" t="n">
        <x:v>11960</x:v>
      </x:c>
      <x:c r="E880" s="153" t="n">
        <x:v>11553</x:v>
      </x:c>
      <x:c r="F880" s="153" t="n">
        <x:v>11827</x:v>
      </x:c>
      <x:c r="G880" s="153" t="n">
        <x:v>-3</x:v>
      </x:c>
      <x:c r="H880" s="154" t="n">
        <x:v>-0.0003</x:v>
      </x:c>
      <x:c r="I880" s="158" t="n">
        <x:v>11809</x:v>
      </x:c>
      <x:c r="J880" s="158" t="n">
        <x:v>724146</x:v>
      </x:c>
      <x:c r="K880" s="158" t="n">
        <x:v>8552157704</x:v>
      </x:c>
      <x:c r="L880" s="158" t="n">
        <x:v>4090494</x:v>
      </x:c>
      <x:c r="M880" s="141" t="str">
        <x:v>https://www.sge.com.cn/sjzx/quotation_daily_new?start_date=2025-11-01&amp;end_date=2025-11-30&amp;inst_ids=Ag%28T%2BD%29&amp;p=</x:v>
      </x:c>
    </x:row>
    <x:row r="881">
      <x:c r="A881" s="155" t="n">
        <x:v>45985</x:v>
      </x:c>
      <x:c r="B881" s="141" t="str">
        <x:v>Au99.99</x:v>
      </x:c>
      <x:c r="C881" s="153" t="n">
        <x:v>924</x:v>
      </x:c>
      <x:c r="D881" s="153" t="n">
        <x:v>935</x:v>
      </x:c>
      <x:c r="E881" s="153" t="n">
        <x:v>923.8</x:v>
      </x:c>
      <x:c r="F881" s="153" t="n">
        <x:v>926</x:v>
      </x:c>
      <x:c r="G881" s="153" t="n">
        <x:v>1.56</x:v>
      </x:c>
      <x:c r="H881" s="154" t="n">
        <x:v>0.0017000000000000001</x:v>
      </x:c>
      <x:c r="I881" s="158" t="n">
        <x:v>925.54</x:v>
      </x:c>
      <x:c r="J881" s="158" t="n">
        <x:v>6484.96</x:v>
      </x:c>
      <x:c r="K881" s="158" t="n">
        <x:v>6002095281.4</x:v>
      </x:c>
      <x:c r="L881" s="158"/>
      <x:c r="M881" s="141" t="str">
        <x:v>https://www.sge.com.cn/sjzx/quotation_daily_new?start_date=2025-11-01&amp;end_date=2025-11-30&amp;inst_ids=Au99.99&amp;p=</x:v>
      </x:c>
    </x:row>
    <x:row r="882">
      <x:c r="A882" s="155" t="n">
        <x:v>45986</x:v>
      </x:c>
      <x:c r="B882" s="141" t="str">
        <x:v>Ag(T+D)</x:v>
      </x:c>
      <x:c r="C882" s="153" t="n">
        <x:v>11855</x:v>
      </x:c>
      <x:c r="D882" s="153" t="n">
        <x:v>12205</x:v>
      </x:c>
      <x:c r="E882" s="153" t="n">
        <x:v>11813</x:v>
      </x:c>
      <x:c r="F882" s="153" t="n">
        <x:v>12132</x:v>
      </x:c>
      <x:c r="G882" s="153" t="n">
        <x:v>323</x:v>
      </x:c>
      <x:c r="H882" s="154" t="n">
        <x:v>0.0274</x:v>
      </x:c>
      <x:c r="I882" s="158" t="n">
        <x:v>12129</x:v>
      </x:c>
      <x:c r="J882" s="158" t="n">
        <x:v>1071092</x:v>
      </x:c>
      <x:c r="K882" s="158" t="n">
        <x:v>12991939650</x:v>
      </x:c>
      <x:c r="L882" s="158" t="n">
        <x:v>3987894</x:v>
      </x:c>
      <x:c r="M882" s="141" t="str">
        <x:v>https://www.sge.com.cn/sjzx/quotation_daily_new?start_date=2025-11-01&amp;end_date=2025-11-30&amp;inst_ids=Ag%28T%2BD%29&amp;p=</x:v>
      </x:c>
    </x:row>
    <x:row r="883">
      <x:c r="A883" s="155" t="n">
        <x:v>45986</x:v>
      </x:c>
      <x:c r="B883" s="141" t="str">
        <x:v>Au99.99</x:v>
      </x:c>
      <x:c r="C883" s="153" t="n">
        <x:v>930</x:v>
      </x:c>
      <x:c r="D883" s="153" t="n">
        <x:v>945</x:v>
      </x:c>
      <x:c r="E883" s="153" t="n">
        <x:v>930</x:v>
      </x:c>
      <x:c r="F883" s="153" t="n">
        <x:v>941.54</x:v>
      </x:c>
      <x:c r="G883" s="153" t="n">
        <x:v>15.54</x:v>
      </x:c>
      <x:c r="H883" s="154" t="n">
        <x:v>0.0168</x:v>
      </x:c>
      <x:c r="I883" s="158" t="n">
        <x:v>942.61</x:v>
      </x:c>
      <x:c r="J883" s="158" t="n">
        <x:v>5636.04</x:v>
      </x:c>
      <x:c r="K883" s="158" t="n">
        <x:v>5312635537.2</x:v>
      </x:c>
      <x:c r="L883" s="158"/>
      <x:c r="M883" s="141" t="str">
        <x:v>https://www.sge.com.cn/sjzx/quotation_daily_new?start_date=2025-11-01&amp;end_date=2025-11-30&amp;inst_ids=Au99.99&amp;p=</x:v>
      </x:c>
    </x:row>
    <x:row r="884">
      <x:c r="A884" s="155" t="n">
        <x:v>45987</x:v>
      </x:c>
      <x:c r="B884" s="141" t="str">
        <x:v>Ag(T+D)</x:v>
      </x:c>
      <x:c r="C884" s="153" t="n">
        <x:v>12080</x:v>
      </x:c>
      <x:c r="D884" s="153" t="n">
        <x:v>12255</x:v>
      </x:c>
      <x:c r="E884" s="153" t="n">
        <x:v>11939</x:v>
      </x:c>
      <x:c r="F884" s="153" t="n">
        <x:v>12209</x:v>
      </x:c>
      <x:c r="G884" s="153" t="n">
        <x:v>80</x:v>
      </x:c>
      <x:c r="H884" s="154" t="n">
        <x:v>0.0066</x:v>
      </x:c>
      <x:c r="I884" s="158" t="n">
        <x:v>12180</x:v>
      </x:c>
      <x:c r="J884" s="158" t="n">
        <x:v>668376</x:v>
      </x:c>
      <x:c r="K884" s="158" t="n">
        <x:v>8141201948</x:v>
      </x:c>
      <x:c r="L884" s="158" t="n">
        <x:v>3991986</x:v>
      </x:c>
      <x:c r="M884" s="141" t="str">
        <x:v>https://www.sge.com.cn/sjzx/quotation_daily_new?start_date=2025-11-01&amp;end_date=2025-11-30&amp;inst_ids=Ag%28T%2BD%29&amp;p=</x:v>
      </x:c>
    </x:row>
    <x:row r="885">
      <x:c r="A885" s="155" t="n">
        <x:v>45987</x:v>
      </x:c>
      <x:c r="B885" s="141" t="str">
        <x:v>Au99.99</x:v>
      </x:c>
      <x:c r="C885" s="153" t="n">
        <x:v>940</x:v>
      </x:c>
      <x:c r="D885" s="153" t="n">
        <x:v>945.9</x:v>
      </x:c>
      <x:c r="E885" s="153" t="n">
        <x:v>935</x:v>
      </x:c>
      <x:c r="F885" s="153" t="n">
        <x:v>941.16</x:v>
      </x:c>
      <x:c r="G885" s="153" t="n">
        <x:v>-0.38</x:v>
      </x:c>
      <x:c r="H885" s="154" t="n">
        <x:v>-0.0004</x:v>
      </x:c>
      <x:c r="I885" s="158" t="n">
        <x:v>943.78</x:v>
      </x:c>
      <x:c r="J885" s="158" t="n">
        <x:v>5591.84</x:v>
      </x:c>
      <x:c r="K885" s="158" t="n">
        <x:v>5277487508</x:v>
      </x:c>
      <x:c r="L885" s="158"/>
      <x:c r="M885" s="141" t="str">
        <x:v>https://www.sge.com.cn/sjzx/quotation_daily_new?start_date=2025-11-01&amp;end_date=2025-11-30&amp;inst_ids=Au99.99&amp;p=</x:v>
      </x:c>
    </x:row>
    <x:row r="886">
      <x:c r="A886" s="155" t="n">
        <x:v>45988</x:v>
      </x:c>
      <x:c r="B886" s="141" t="str">
        <x:v>Ag(T+D)</x:v>
      </x:c>
      <x:c r="C886" s="153" t="n">
        <x:v>12286</x:v>
      </x:c>
      <x:c r="D886" s="153" t="n">
        <x:v>12558</x:v>
      </x:c>
      <x:c r="E886" s="153" t="n">
        <x:v>12145</x:v>
      </x:c>
      <x:c r="F886" s="153" t="n">
        <x:v>12545</x:v>
      </x:c>
      <x:c r="G886" s="153" t="n">
        <x:v>365</x:v>
      </x:c>
      <x:c r="H886" s="154" t="n">
        <x:v>0.03</x:v>
      </x:c>
      <x:c r="I886" s="158" t="n">
        <x:v>12368</x:v>
      </x:c>
      <x:c r="J886" s="158" t="n">
        <x:v>864016</x:v>
      </x:c>
      <x:c r="K886" s="158" t="n">
        <x:v>10686484872</x:v>
      </x:c>
      <x:c r="L886" s="158" t="n">
        <x:v>3983000</x:v>
      </x:c>
      <x:c r="M886" s="141" t="str">
        <x:v>https://www.sge.com.cn/sjzx/quotation_daily_new?start_date=2025-11-01&amp;end_date=2025-11-30&amp;inst_ids=Ag%28T%2BD%29&amp;p=</x:v>
      </x:c>
    </x:row>
    <x:row r="887">
      <x:c r="A887" s="155" t="n">
        <x:v>45988</x:v>
      </x:c>
      <x:c r="B887" s="141" t="str">
        <x:v>Au99.99</x:v>
      </x:c>
      <x:c r="C887" s="153" t="n">
        <x:v>945.8</x:v>
      </x:c>
      <x:c r="D887" s="153" t="n">
        <x:v>945.8</x:v>
      </x:c>
      <x:c r="E887" s="153" t="n">
        <x:v>940</x:v>
      </x:c>
      <x:c r="F887" s="153" t="n">
        <x:v>943.98</x:v>
      </x:c>
      <x:c r="G887" s="153" t="n">
        <x:v>2.82</x:v>
      </x:c>
      <x:c r="H887" s="154" t="n">
        <x:v>0.003</x:v>
      </x:c>
      <x:c r="I887" s="158" t="n">
        <x:v>941.57</x:v>
      </x:c>
      <x:c r="J887" s="158" t="n">
        <x:v>3788.12</x:v>
      </x:c>
      <x:c r="K887" s="158" t="n">
        <x:v>3566812989.8</x:v>
      </x:c>
      <x:c r="L887" s="158"/>
      <x:c r="M887" s="141" t="str">
        <x:v>https://www.sge.com.cn/sjzx/quotation_daily_new?start_date=2025-11-01&amp;end_date=2025-11-30&amp;inst_ids=Au99.99&amp;p=</x:v>
      </x:c>
    </x:row>
    <x:row r="888">
      <x:c r="A888" s="155" t="n">
        <x:v>45989</x:v>
      </x:c>
      <x:c r="B888" s="141" t="str">
        <x:v>Ag(T+D)</x:v>
      </x:c>
      <x:c r="C888" s="153" t="n">
        <x:v>12469</x:v>
      </x:c>
      <x:c r="D888" s="153" t="n">
        <x:v>12707</x:v>
      </x:c>
      <x:c r="E888" s="153" t="n">
        <x:v>12360</x:v>
      </x:c>
      <x:c r="F888" s="153" t="n">
        <x:v>12669</x:v>
      </x:c>
      <x:c r="G888" s="153" t="n">
        <x:v>301</x:v>
      </x:c>
      <x:c r="H888" s="154" t="n">
        <x:v>0.024300000000000002</x:v>
      </x:c>
      <x:c r="I888" s="158" t="n">
        <x:v>12568</x:v>
      </x:c>
      <x:c r="J888" s="158" t="n">
        <x:v>1248782</x:v>
      </x:c>
      <x:c r="K888" s="158" t="n">
        <x:v>15695392748</x:v>
      </x:c>
      <x:c r="L888" s="158" t="n">
        <x:v>4008616</x:v>
      </x:c>
      <x:c r="M888" s="141" t="str">
        <x:v>https://www.sge.com.cn/sjzx/quotation_daily_new?start_date=2025-11-01&amp;end_date=2025-11-30&amp;inst_ids=Ag%28T%2BD%29&amp;p=</x:v>
      </x:c>
    </x:row>
    <x:row r="889">
      <x:c r="A889" s="155" t="n">
        <x:v>45989</x:v>
      </x:c>
      <x:c r="B889" s="141" t="str">
        <x:v>Au99.99</x:v>
      </x:c>
      <x:c r="C889" s="153" t="n">
        <x:v>942.5</x:v>
      </x:c>
      <x:c r="D889" s="153" t="n">
        <x:v>950.9</x:v>
      </x:c>
      <x:c r="E889" s="153" t="n">
        <x:v>942</x:v>
      </x:c>
      <x:c r="F889" s="153" t="n">
        <x:v>948.15</x:v>
      </x:c>
      <x:c r="G889" s="153" t="n">
        <x:v>4.17</x:v>
      </x:c>
      <x:c r="H889" s="154" t="n">
        <x:v>0.0044</x:v>
      </x:c>
      <x:c r="I889" s="158" t="n">
        <x:v>948.21</x:v>
      </x:c>
      <x:c r="J889" s="158" t="n">
        <x:v>5676.4</x:v>
      </x:c>
      <x:c r="K889" s="158" t="n">
        <x:v>5382430823.2</x:v>
      </x:c>
      <x:c r="L889" s="158"/>
      <x:c r="M889" s="141" t="str">
        <x:v>https://www.sge.com.cn/sjzx/quotation_daily_new?start_date=2025-11-01&amp;end_date=2025-11-30&amp;inst_ids=Au99.99&amp;p=</x:v>
      </x:c>
    </x:row>
    <x:row r="890">
      <x:c r="A890" s="155" t="n">
        <x:v>45995</x:v>
      </x:c>
      <x:c r="B890" s="141" t="str">
        <x:v>Ag(T+D)</x:v>
      </x:c>
      <x:c r="C890" s="153" t="n">
        <x:v>13602</x:v>
      </x:c>
      <x:c r="D890" s="153" t="n">
        <x:v>13799</x:v>
      </x:c>
      <x:c r="E890" s="153" t="n">
        <x:v>13304</x:v>
      </x:c>
      <x:c r="F890" s="153" t="n">
        <x:v>13425</x:v>
      </x:c>
      <x:c r="G890" s="153" t="n">
        <x:v>-217</x:v>
      </x:c>
      <x:c r="H890" s="154" t="n">
        <x:v>-0.0159</x:v>
      </x:c>
      <x:c r="I890" s="158" t="n">
        <x:v>13538</x:v>
      </x:c>
      <x:c r="J890" s="158" t="n">
        <x:v>848996</x:v>
      </x:c>
      <x:c r="K890" s="158" t="n">
        <x:v>11494358390</x:v>
      </x:c>
      <x:c r="L890" s="158" t="n">
        <x:v>3882626</x:v>
      </x:c>
      <x:c r="M890" s="141" t="str">
        <x:v>https://www.sge.com.cn/sjzx/quotation_daily_new?start_date=2025-12-01&amp;end_date=2025-12-31&amp;inst_ids=Ag%28T%2BD%29&amp;p=</x:v>
      </x:c>
    </x:row>
    <x:row r="891">
      <x:c r="A891" s="155" t="n">
        <x:v>45995</x:v>
      </x:c>
      <x:c r="B891" s="141" t="str">
        <x:v>Au99.99</x:v>
      </x:c>
      <x:c r="C891" s="153" t="n">
        <x:v>948.4</x:v>
      </x:c>
      <x:c r="D891" s="153" t="n">
        <x:v>958.88</x:v>
      </x:c>
      <x:c r="E891" s="153" t="n">
        <x:v>946</x:v>
      </x:c>
      <x:c r="F891" s="153" t="n">
        <x:v>949.32</x:v>
      </x:c>
      <x:c r="G891" s="153" t="n">
        <x:v>-0.74</x:v>
      </x:c>
      <x:c r="H891" s="154" t="n">
        <x:v>-0.0008</x:v>
      </x:c>
      <x:c r="I891" s="158" t="n">
        <x:v>949.82</x:v>
      </x:c>
      <x:c r="J891" s="158" t="n">
        <x:v>5272.56</x:v>
      </x:c>
      <x:c r="K891" s="158" t="n">
        <x:v>5008025051.2</x:v>
      </x:c>
      <x:c r="L891" s="158"/>
      <x:c r="M891" s="141" t="str">
        <x:v>https://www.sge.com.cn/sjzx/quotation_daily_new?start_date=2025-12-01&amp;end_date=2025-12-31&amp;inst_ids=Au99.99&amp;p=</x:v>
      </x:c>
    </x:row>
    <x:row r="892">
      <x:c r="A892" s="155" t="n">
        <x:v>45996</x:v>
      </x:c>
      <x:c r="B892" s="141" t="str">
        <x:v>Ag(T+D)</x:v>
      </x:c>
      <x:c r="C892" s="153" t="n">
        <x:v>13416</x:v>
      </x:c>
      <x:c r="D892" s="153" t="n">
        <x:v>13718</x:v>
      </x:c>
      <x:c r="E892" s="153" t="n">
        <x:v>13220</x:v>
      </x:c>
      <x:c r="F892" s="153" t="n">
        <x:v>13639</x:v>
      </x:c>
      <x:c r="G892" s="153" t="n">
        <x:v>101</x:v>
      </x:c>
      <x:c r="H892" s="154" t="n">
        <x:v>0.0075</x:v>
      </x:c>
      <x:c r="I892" s="158" t="n">
        <x:v>13498</x:v>
      </x:c>
      <x:c r="J892" s="158" t="n">
        <x:v>691674</x:v>
      </x:c>
      <x:c r="K892" s="158" t="n">
        <x:v>9336767260</x:v>
      </x:c>
      <x:c r="L892" s="158" t="n">
        <x:v>3895460</x:v>
      </x:c>
      <x:c r="M892" s="141" t="str">
        <x:v>https://www.sge.com.cn/sjzx/quotation_daily_new?start_date=2025-12-01&amp;end_date=2025-12-31&amp;inst_ids=Ag%28T%2BD%29&amp;p=</x:v>
      </x:c>
    </x:row>
    <x:row r="893">
      <x:c r="A893" s="155" t="n">
        <x:v>45996</x:v>
      </x:c>
      <x:c r="B893" s="141" t="str">
        <x:v>Au99.99</x:v>
      </x:c>
      <x:c r="C893" s="153" t="n">
        <x:v>951</x:v>
      </x:c>
      <x:c r="D893" s="153" t="n">
        <x:v>957</x:v>
      </x:c>
      <x:c r="E893" s="153" t="n">
        <x:v>950</x:v>
      </x:c>
      <x:c r="F893" s="153" t="n">
        <x:v>956.5</x:v>
      </x:c>
      <x:c r="G893" s="153" t="n">
        <x:v>7.18</x:v>
      </x:c>
      <x:c r="H893" s="154" t="n">
        <x:v>0.0076</x:v>
      </x:c>
      <x:c r="I893" s="158" t="n">
        <x:v>954.25</x:v>
      </x:c>
      <x:c r="J893" s="158" t="n">
        <x:v>6051.62</x:v>
      </x:c>
      <x:c r="K893" s="158" t="n">
        <x:v>5774797713</x:v>
      </x:c>
      <x:c r="L893" s="158"/>
      <x:c r="M893" s="141" t="str">
        <x:v>https://www.sge.com.cn/sjzx/quotation_daily_new?start_date=2025-12-01&amp;end_date=2025-12-31&amp;inst_ids=Au99.99&amp;p=</x:v>
      </x:c>
    </x:row>
    <x:row r="894">
      <x:c r="A894" s="155" t="n">
        <x:v>45999</x:v>
      </x:c>
      <x:c r="B894" s="141" t="str">
        <x:v>Ag(T+D)</x:v>
      </x:c>
      <x:c r="C894" s="153" t="n">
        <x:v>13631</x:v>
      </x:c>
      <x:c r="D894" s="153" t="n">
        <x:v>13882</x:v>
      </x:c>
      <x:c r="E894" s="153" t="n">
        <x:v>13450</x:v>
      </x:c>
      <x:c r="F894" s="153" t="n">
        <x:v>13649</x:v>
      </x:c>
      <x:c r="G894" s="153" t="n">
        <x:v>151</x:v>
      </x:c>
      <x:c r="H894" s="154" t="n">
        <x:v>0.011200000000000002</x:v>
      </x:c>
      <x:c r="I894" s="158" t="n">
        <x:v>13609</x:v>
      </x:c>
      <x:c r="J894" s="158" t="n">
        <x:v>889540</x:v>
      </x:c>
      <x:c r="K894" s="158" t="n">
        <x:v>12106589636</x:v>
      </x:c>
      <x:c r="L894" s="158" t="n">
        <x:v>3894722</x:v>
      </x:c>
      <x:c r="M894" s="141" t="str">
        <x:v>https://www.sge.com.cn/sjzx/quotation_daily_new?start_date=2025-12-01&amp;end_date=2025-12-31&amp;inst_ids=Ag%28T%2BD%29&amp;p=</x:v>
      </x:c>
    </x:row>
    <x:row r="895">
      <x:c r="A895" s="155" t="n">
        <x:v>45999</x:v>
      </x:c>
      <x:c r="B895" s="141" t="str">
        <x:v>Au99.99</x:v>
      </x:c>
      <x:c r="C895" s="153" t="n">
        <x:v>956</x:v>
      </x:c>
      <x:c r="D895" s="153" t="n">
        <x:v>961</x:v>
      </x:c>
      <x:c r="E895" s="153" t="n">
        <x:v>950.3</x:v>
      </x:c>
      <x:c r="F895" s="153" t="n">
        <x:v>954.1</x:v>
      </x:c>
      <x:c r="G895" s="153" t="n">
        <x:v>-2.4</x:v>
      </x:c>
      <x:c r="H895" s="154" t="n">
        <x:v>-0.0025</x:v>
      </x:c>
      <x:c r="I895" s="158" t="n">
        <x:v>952.62</x:v>
      </x:c>
      <x:c r="J895" s="158" t="n">
        <x:v>7447.92</x:v>
      </x:c>
      <x:c r="K895" s="158" t="n">
        <x:v>7095070203.2</x:v>
      </x:c>
      <x:c r="L895" s="158"/>
      <x:c r="M895" s="141" t="str">
        <x:v>https://www.sge.com.cn/sjzx/quotation_daily_new?start_date=2025-12-01&amp;end_date=2025-12-31&amp;inst_ids=Au99.99&amp;p=</x:v>
      </x:c>
    </x:row>
    <x:row r="896">
      <x:c r="A896" s="155" t="n">
        <x:v>46000</x:v>
      </x:c>
      <x:c r="B896" s="141" t="str">
        <x:v>Ag(T+D)</x:v>
      </x:c>
      <x:c r="C896" s="153" t="n">
        <x:v>13653</x:v>
      </x:c>
      <x:c r="D896" s="153" t="n">
        <x:v>13730</x:v>
      </x:c>
      <x:c r="E896" s="153" t="n">
        <x:v>13502</x:v>
      </x:c>
      <x:c r="F896" s="153" t="n">
        <x:v>13596</x:v>
      </x:c>
      <x:c r="G896" s="153" t="n">
        <x:v>-13</x:v>
      </x:c>
      <x:c r="H896" s="154" t="n">
        <x:v>-0.001</x:v>
      </x:c>
      <x:c r="I896" s="158" t="n">
        <x:v>13608</x:v>
      </x:c>
      <x:c r="J896" s="158" t="n">
        <x:v>775390</x:v>
      </x:c>
      <x:c r="K896" s="158" t="n">
        <x:v>10552006728</x:v>
      </x:c>
      <x:c r="L896" s="158" t="n">
        <x:v>3844778</x:v>
      </x:c>
      <x:c r="M896" s="141" t="str">
        <x:v>https://www.sge.com.cn/sjzx/quotation_daily_new?start_date=2025-12-01&amp;end_date=2025-12-31&amp;inst_ids=Ag%28T%2BD%29&amp;p=</x:v>
      </x:c>
    </x:row>
    <x:row r="897">
      <x:c r="A897" s="155" t="n">
        <x:v>46000</x:v>
      </x:c>
      <x:c r="B897" s="141" t="str">
        <x:v>Au99.99</x:v>
      </x:c>
      <x:c r="C897" s="153" t="n">
        <x:v>954.3</x:v>
      </x:c>
      <x:c r="D897" s="153" t="n">
        <x:v>954.3</x:v>
      </x:c>
      <x:c r="E897" s="153" t="n">
        <x:v>945</x:v>
      </x:c>
      <x:c r="F897" s="153" t="n">
        <x:v>947.13</x:v>
      </x:c>
      <x:c r="G897" s="153" t="n">
        <x:v>-6.97</x:v>
      </x:c>
      <x:c r="H897" s="154" t="n">
        <x:v>-0.0073</x:v>
      </x:c>
      <x:c r="I897" s="158" t="n">
        <x:v>948.2</x:v>
      </x:c>
      <x:c r="J897" s="158" t="n">
        <x:v>6100.88</x:v>
      </x:c>
      <x:c r="K897" s="158" t="n">
        <x:v>5784895501.4</x:v>
      </x:c>
      <x:c r="L897" s="158"/>
      <x:c r="M897" s="141" t="str">
        <x:v>https://www.sge.com.cn/sjzx/quotation_daily_new?start_date=2025-12-01&amp;end_date=2025-12-31&amp;inst_ids=Au99.99&amp;p=</x:v>
      </x:c>
    </x:row>
    <x:row r="898">
      <x:c r="A898" s="155" t="n">
        <x:v>46001</x:v>
      </x:c>
      <x:c r="B898" s="141" t="str">
        <x:v>Ag(T+D)</x:v>
      </x:c>
      <x:c r="C898" s="153" t="n">
        <x:v>13690</x:v>
      </x:c>
      <x:c r="D898" s="153" t="n">
        <x:v>14398</x:v>
      </x:c>
      <x:c r="E898" s="153" t="n">
        <x:v>13690</x:v>
      </x:c>
      <x:c r="F898" s="153" t="n">
        <x:v>14377</x:v>
      </x:c>
      <x:c r="G898" s="153" t="n">
        <x:v>769</x:v>
      </x:c>
      <x:c r="H898" s="154" t="n">
        <x:v>0.0565</x:v>
      </x:c>
      <x:c r="I898" s="158" t="n">
        <x:v>14218</x:v>
      </x:c>
      <x:c r="J898" s="158" t="n">
        <x:v>822474</x:v>
      </x:c>
      <x:c r="K898" s="158" t="n">
        <x:v>11694611550</x:v>
      </x:c>
      <x:c r="L898" s="158" t="n">
        <x:v>3833750</x:v>
      </x:c>
      <x:c r="M898" s="141" t="str">
        <x:v>https://www.sge.com.cn/sjzx/quotation_daily_new?start_date=2025-12-01&amp;end_date=2025-12-31&amp;inst_ids=Ag%28T%2BD%29&amp;p=</x:v>
      </x:c>
    </x:row>
    <x:row r="899">
      <x:c r="A899" s="155" t="n">
        <x:v>46001</x:v>
      </x:c>
      <x:c r="B899" s="141" t="str">
        <x:v>Au99.99</x:v>
      </x:c>
      <x:c r="C899" s="153" t="n">
        <x:v>950</x:v>
      </x:c>
      <x:c r="D899" s="153" t="n">
        <x:v>955.9</x:v>
      </x:c>
      <x:c r="E899" s="153" t="n">
        <x:v>948.5</x:v>
      </x:c>
      <x:c r="F899" s="153" t="n">
        <x:v>950.91</x:v>
      </x:c>
      <x:c r="G899" s="153" t="n">
        <x:v>3.78</x:v>
      </x:c>
      <x:c r="H899" s="154" t="n">
        <x:v>0.004</x:v>
      </x:c>
      <x:c r="I899" s="158" t="n">
        <x:v>952.38</x:v>
      </x:c>
      <x:c r="J899" s="158" t="n">
        <x:v>6329.82</x:v>
      </x:c>
      <x:c r="K899" s="158" t="n">
        <x:v>6028432715.2</x:v>
      </x:c>
      <x:c r="L899" s="158"/>
      <x:c r="M899" s="141" t="str">
        <x:v>https://www.sge.com.cn/sjzx/quotation_daily_new?start_date=2025-12-01&amp;end_date=2025-12-31&amp;inst_ids=Au99.99&amp;p=</x:v>
      </x:c>
    </x:row>
    <x:row r="900">
      <x:c r="A900" s="155" t="n">
        <x:v>46002</x:v>
      </x:c>
      <x:c r="B900" s="141" t="str">
        <x:v>Ag(T+D)</x:v>
      </x:c>
      <x:c r="C900" s="153" t="n">
        <x:v>14290</x:v>
      </x:c>
      <x:c r="D900" s="153" t="n">
        <x:v>14649</x:v>
      </x:c>
      <x:c r="E900" s="153" t="n">
        <x:v>14062</x:v>
      </x:c>
      <x:c r="F900" s="153" t="n">
        <x:v>14447</x:v>
      </x:c>
      <x:c r="G900" s="153" t="n">
        <x:v>229</x:v>
      </x:c>
      <x:c r="H900" s="154" t="n">
        <x:v>0.0161</x:v>
      </x:c>
      <x:c r="I900" s="158" t="n">
        <x:v>14472</x:v>
      </x:c>
      <x:c r="J900" s="158" t="n">
        <x:v>894426</x:v>
      </x:c>
      <x:c r="K900" s="158" t="n">
        <x:v>12944927266</x:v>
      </x:c>
      <x:c r="L900" s="158" t="n">
        <x:v>3823854</x:v>
      </x:c>
      <x:c r="M900" s="141" t="str">
        <x:v>https://www.sge.com.cn/sjzx/quotation_daily_new?start_date=2025-12-01&amp;end_date=2025-12-31&amp;inst_ids=Ag%28T%2BD%29&amp;p=</x:v>
      </x:c>
    </x:row>
    <x:row r="901">
      <x:c r="A901" s="155" t="n">
        <x:v>46002</x:v>
      </x:c>
      <x:c r="B901" s="141" t="str">
        <x:v>Au99.99</x:v>
      </x:c>
      <x:c r="C901" s="153" t="n">
        <x:v>950.91</x:v>
      </x:c>
      <x:c r="D901" s="153" t="n">
        <x:v>962</x:v>
      </x:c>
      <x:c r="E901" s="153" t="n">
        <x:v>950</x:v>
      </x:c>
      <x:c r="F901" s="153" t="n">
        <x:v>952.39</x:v>
      </x:c>
      <x:c r="G901" s="153" t="n">
        <x:v>1.48</x:v>
      </x:c>
      <x:c r="H901" s="154" t="n">
        <x:v>0.0016</x:v>
      </x:c>
      <x:c r="I901" s="158" t="n">
        <x:v>954.51</x:v>
      </x:c>
      <x:c r="J901" s="158" t="n">
        <x:v>4865.7</x:v>
      </x:c>
      <x:c r="K901" s="158" t="n">
        <x:v>4644403895.8</x:v>
      </x:c>
      <x:c r="L901" s="158"/>
      <x:c r="M901" s="141" t="str">
        <x:v>https://www.sge.com.cn/sjzx/quotation_daily_new?start_date=2025-12-01&amp;end_date=2025-12-31&amp;inst_ids=Au99.99&amp;p=</x:v>
      </x:c>
    </x:row>
    <x:row r="902">
      <x:c r="A902" s="155" t="n">
        <x:v>46003</x:v>
      </x:c>
      <x:c r="B902" s="141" t="str">
        <x:v>Ag(T+D)</x:v>
      </x:c>
      <x:c r="C902" s="153" t="n">
        <x:v>14482</x:v>
      </x:c>
      <x:c r="D902" s="153" t="n">
        <x:v>15010</x:v>
      </x:c>
      <x:c r="E902" s="153" t="n">
        <x:v>14464</x:v>
      </x:c>
      <x:c r="F902" s="153" t="n">
        <x:v>14921</x:v>
      </x:c>
      <x:c r="G902" s="153" t="n">
        <x:v>449</x:v>
      </x:c>
      <x:c r="H902" s="154" t="n">
        <x:v>0.031</x:v>
      </x:c>
      <x:c r="I902" s="158" t="n">
        <x:v>14845</x:v>
      </x:c>
      <x:c r="J902" s="158" t="n">
        <x:v>681542</x:v>
      </x:c>
      <x:c r="K902" s="158" t="n">
        <x:v>10117612110</x:v>
      </x:c>
      <x:c r="L902" s="158" t="n">
        <x:v>3775942</x:v>
      </x:c>
      <x:c r="M902" s="141" t="str">
        <x:v>https://www.sge.com.cn/sjzx/quotation_daily_new?start_date=2025-12-01&amp;end_date=2025-12-31&amp;inst_ids=Ag%28T%2BD%29&amp;p=</x:v>
      </x:c>
    </x:row>
    <x:row r="903">
      <x:c r="A903" s="155" t="n">
        <x:v>46003</x:v>
      </x:c>
      <x:c r="B903" s="141" t="str">
        <x:v>Au99.99</x:v>
      </x:c>
      <x:c r="C903" s="153" t="n">
        <x:v>955</x:v>
      </x:c>
      <x:c r="D903" s="153" t="n">
        <x:v>965.9</x:v>
      </x:c>
      <x:c r="E903" s="153" t="n">
        <x:v>951.5</x:v>
      </x:c>
      <x:c r="F903" s="153" t="n">
        <x:v>964.25</x:v>
      </x:c>
      <x:c r="G903" s="153" t="n">
        <x:v>11.86</x:v>
      </x:c>
      <x:c r="H903" s="154" t="n">
        <x:v>0.0125</x:v>
      </x:c>
      <x:c r="I903" s="158" t="n">
        <x:v>963.57</x:v>
      </x:c>
      <x:c r="J903" s="158" t="n">
        <x:v>6611.64</x:v>
      </x:c>
      <x:c r="K903" s="158" t="n">
        <x:v>6370782949.6</x:v>
      </x:c>
      <x:c r="L903" s="158"/>
      <x:c r="M903" s="141" t="str">
        <x:v>https://www.sge.com.cn/sjzx/quotation_daily_new?start_date=2025-12-01&amp;end_date=2025-12-31&amp;inst_ids=Au99.99&amp;p=</x:v>
      </x:c>
    </x:row>
    <x:row r="904">
      <x:c r="A904" s="155" t="n">
        <x:v>46006</x:v>
      </x:c>
      <x:c r="B904" s="141" t="str">
        <x:v>Ag(T+D)</x:v>
      </x:c>
      <x:c r="C904" s="153" t="n">
        <x:v>15078</x:v>
      </x:c>
      <x:c r="D904" s="153" t="n">
        <x:v>15175</x:v>
      </x:c>
      <x:c r="E904" s="153" t="n">
        <x:v>14239</x:v>
      </x:c>
      <x:c r="F904" s="153" t="n">
        <x:v>14795</x:v>
      </x:c>
      <x:c r="G904" s="153" t="n">
        <x:v>-50</x:v>
      </x:c>
      <x:c r="H904" s="154" t="n">
        <x:v>-0.0034000000000000002</x:v>
      </x:c>
      <x:c r="I904" s="158" t="n">
        <x:v>14669</x:v>
      </x:c>
      <x:c r="J904" s="158" t="n">
        <x:v>919052</x:v>
      </x:c>
      <x:c r="K904" s="158" t="n">
        <x:v>13481686564</x:v>
      </x:c>
      <x:c r="L904" s="158" t="n">
        <x:v>3820788</x:v>
      </x:c>
      <x:c r="M904" s="141" t="str">
        <x:v>https://www.sge.com.cn/sjzx/quotation_daily_new?start_date=2025-12-01&amp;end_date=2025-12-31&amp;inst_ids=Ag%28T%2BD%29&amp;p=</x:v>
      </x:c>
    </x:row>
    <x:row r="905">
      <x:c r="A905" s="155" t="n">
        <x:v>46006</x:v>
      </x:c>
      <x:c r="B905" s="141" t="str">
        <x:v>Au99.99</x:v>
      </x:c>
      <x:c r="C905" s="153" t="n">
        <x:v>978.9</x:v>
      </x:c>
      <x:c r="D905" s="153" t="n">
        <x:v>979</x:v>
      </x:c>
      <x:c r="E905" s="153" t="n">
        <x:v>960</x:v>
      </x:c>
      <x:c r="F905" s="153" t="n">
        <x:v>976.82</x:v>
      </x:c>
      <x:c r="G905" s="153" t="n">
        <x:v>12.57</x:v>
      </x:c>
      <x:c r="H905" s="154" t="n">
        <x:v>0.013000000000000001</x:v>
      </x:c>
      <x:c r="I905" s="158" t="n">
        <x:v>975.4</x:v>
      </x:c>
      <x:c r="J905" s="158" t="n">
        <x:v>7231.66</x:v>
      </x:c>
      <x:c r="K905" s="158" t="n">
        <x:v>7053824733.6</x:v>
      </x:c>
      <x:c r="L905" s="158"/>
      <x:c r="M905" s="141" t="str">
        <x:v>https://www.sge.com.cn/sjzx/quotation_daily_new?start_date=2025-12-01&amp;end_date=2025-12-31&amp;inst_ids=Au99.99&amp;p=</x:v>
      </x:c>
    </x:row>
    <x:row r="906">
      <x:c r="A906" s="155" t="n">
        <x:v>46007</x:v>
      </x:c>
      <x:c r="B906" s="141" t="str">
        <x:v>Ag(T+D)</x:v>
      </x:c>
      <x:c r="C906" s="153" t="n">
        <x:v>14887</x:v>
      </x:c>
      <x:c r="D906" s="153" t="n">
        <x:v>14941</x:v>
      </x:c>
      <x:c r="E906" s="153" t="n">
        <x:v>14450</x:v>
      </x:c>
      <x:c r="F906" s="153" t="n">
        <x:v>14649</x:v>
      </x:c>
      <x:c r="G906" s="153" t="n">
        <x:v>-20</x:v>
      </x:c>
      <x:c r="H906" s="154" t="n">
        <x:v>-0.0014000000000000002</x:v>
      </x:c>
      <x:c r="I906" s="158" t="n">
        <x:v>14674</x:v>
      </x:c>
      <x:c r="J906" s="158" t="n">
        <x:v>1064440</x:v>
      </x:c>
      <x:c r="K906" s="158" t="n">
        <x:v>15620019246</x:v>
      </x:c>
      <x:c r="L906" s="158" t="n">
        <x:v>3727118</x:v>
      </x:c>
      <x:c r="M906" s="141" t="str">
        <x:v>https://www.sge.com.cn/sjzx/quotation_daily_new?start_date=2025-12-01&amp;end_date=2025-12-31&amp;inst_ids=Ag%28T%2BD%29&amp;p=</x:v>
      </x:c>
    </x:row>
    <x:row r="907">
      <x:c r="A907" s="155" t="n">
        <x:v>46007</x:v>
      </x:c>
      <x:c r="B907" s="141" t="str">
        <x:v>Au99.99</x:v>
      </x:c>
      <x:c r="C907" s="153" t="n">
        <x:v>978</x:v>
      </x:c>
      <x:c r="D907" s="153" t="n">
        <x:v>978.5</x:v>
      </x:c>
      <x:c r="E907" s="153" t="n">
        <x:v>963</x:v>
      </x:c>
      <x:c r="F907" s="153" t="n">
        <x:v>964.89</x:v>
      </x:c>
      <x:c r="G907" s="153" t="n">
        <x:v>-11.93</x:v>
      </x:c>
      <x:c r="H907" s="154" t="n">
        <x:v>-0.012199999999999999</x:v>
      </x:c>
      <x:c r="I907" s="158" t="n">
        <x:v>967.45</x:v>
      </x:c>
      <x:c r="J907" s="158" t="n">
        <x:v>7457.02</x:v>
      </x:c>
      <x:c r="K907" s="158" t="n">
        <x:v>7214366900.2</x:v>
      </x:c>
      <x:c r="L907" s="158"/>
      <x:c r="M907" s="141" t="str">
        <x:v>https://www.sge.com.cn/sjzx/quotation_daily_new?start_date=2025-12-01&amp;end_date=2025-12-31&amp;inst_ids=Au99.99&amp;p=</x:v>
      </x:c>
    </x:row>
    <x:row r="908">
      <x:c r="A908" s="155" t="n">
        <x:v>46008</x:v>
      </x:c>
      <x:c r="B908" s="141" t="str">
        <x:v>Ag(T+D)</x:v>
      </x:c>
      <x:c r="C908" s="153" t="n">
        <x:v>14655</x:v>
      </x:c>
      <x:c r="D908" s="153" t="n">
        <x:v>15535</x:v>
      </x:c>
      <x:c r="E908" s="153" t="n">
        <x:v>14620</x:v>
      </x:c>
      <x:c r="F908" s="153" t="n">
        <x:v>15455</x:v>
      </x:c>
      <x:c r="G908" s="153" t="n">
        <x:v>781</x:v>
      </x:c>
      <x:c r="H908" s="154" t="n">
        <x:v>0.053200000000000004</x:v>
      </x:c>
      <x:c r="I908" s="158" t="n">
        <x:v>15289</x:v>
      </x:c>
      <x:c r="J908" s="158" t="n">
        <x:v>1320846</x:v>
      </x:c>
      <x:c r="K908" s="158" t="n">
        <x:v>20194525006</x:v>
      </x:c>
      <x:c r="L908" s="158" t="n">
        <x:v>3762134</x:v>
      </x:c>
      <x:c r="M908" s="141" t="str">
        <x:v>https://www.sge.com.cn/sjzx/quotation_daily_new?start_date=2025-12-01&amp;end_date=2025-12-31&amp;inst_ids=Ag%28T%2BD%29&amp;p=</x:v>
      </x:c>
    </x:row>
    <x:row r="909">
      <x:c r="A909" s="155" t="n">
        <x:v>46008</x:v>
      </x:c>
      <x:c r="B909" s="141" t="str">
        <x:v>Au99.99</x:v>
      </x:c>
      <x:c r="C909" s="153" t="n">
        <x:v>964</x:v>
      </x:c>
      <x:c r="D909" s="153" t="n">
        <x:v>977.94</x:v>
      </x:c>
      <x:c r="E909" s="153" t="n">
        <x:v>964</x:v>
      </x:c>
      <x:c r="F909" s="153" t="n">
        <x:v>972.71</x:v>
      </x:c>
      <x:c r="G909" s="153" t="n">
        <x:v>7.82</x:v>
      </x:c>
      <x:c r="H909" s="154" t="n">
        <x:v>0.008100000000000001</x:v>
      </x:c>
      <x:c r="I909" s="158" t="n">
        <x:v>973.75</x:v>
      </x:c>
      <x:c r="J909" s="158" t="n">
        <x:v>6947.48</x:v>
      </x:c>
      <x:c r="K909" s="158" t="n">
        <x:v>6765122642.4</x:v>
      </x:c>
      <x:c r="L909" s="158"/>
      <x:c r="M909" s="141" t="str">
        <x:v>https://www.sge.com.cn/sjzx/quotation_daily_new?start_date=2025-12-01&amp;end_date=2025-12-31&amp;inst_ids=Au99.99&amp;p=</x:v>
      </x:c>
    </x:row>
    <x:row r="910">
      <x:c r="A910" s="155" t="n">
        <x:v>46009</x:v>
      </x:c>
      <x:c r="B910" s="141" t="str">
        <x:v>Ag(T+D)</x:v>
      </x:c>
      <x:c r="C910" s="153" t="n">
        <x:v>15425</x:v>
      </x:c>
      <x:c r="D910" s="153" t="n">
        <x:v>15641</x:v>
      </x:c>
      <x:c r="E910" s="153" t="n">
        <x:v>15210</x:v>
      </x:c>
      <x:c r="F910" s="153" t="n">
        <x:v>15463</x:v>
      </x:c>
      <x:c r="G910" s="153" t="n">
        <x:v>174</x:v>
      </x:c>
      <x:c r="H910" s="154" t="n">
        <x:v>0.011399999999999999</x:v>
      </x:c>
      <x:c r="I910" s="158" t="n">
        <x:v>15464</x:v>
      </x:c>
      <x:c r="J910" s="158" t="n">
        <x:v>900984</x:v>
      </x:c>
      <x:c r="K910" s="158" t="n">
        <x:v>13933648374</x:v>
      </x:c>
      <x:c r="L910" s="158" t="n">
        <x:v>3622722</x:v>
      </x:c>
      <x:c r="M910" s="141" t="str">
        <x:v>https://www.sge.com.cn/sjzx/quotation_daily_new?start_date=2025-12-01&amp;end_date=2025-12-31&amp;inst_ids=Ag%28T%2BD%29&amp;p=</x:v>
      </x:c>
    </x:row>
    <x:row r="911">
      <x:c r="A911" s="155" t="n">
        <x:v>46009</x:v>
      </x:c>
      <x:c r="B911" s="141" t="str">
        <x:v>Au99.99</x:v>
      </x:c>
      <x:c r="C911" s="153" t="n">
        <x:v>972.6</x:v>
      </x:c>
      <x:c r="D911" s="153" t="n">
        <x:v>977.99</x:v>
      </x:c>
      <x:c r="E911" s="153" t="n">
        <x:v>971.5</x:v>
      </x:c>
      <x:c r="F911" s="153" t="n">
        <x:v>975.55</x:v>
      </x:c>
      <x:c r="G911" s="153" t="n">
        <x:v>2.84</x:v>
      </x:c>
      <x:c r="H911" s="154" t="n">
        <x:v>0.0029</x:v>
      </x:c>
      <x:c r="I911" s="158" t="n">
        <x:v>975.02</x:v>
      </x:c>
      <x:c r="J911" s="158" t="n">
        <x:v>4719.52</x:v>
      </x:c>
      <x:c r="K911" s="158" t="n">
        <x:v>4601653682</x:v>
      </x:c>
      <x:c r="L911" s="158"/>
      <x:c r="M911" s="141" t="str">
        <x:v>https://www.sge.com.cn/sjzx/quotation_daily_new?start_date=2025-12-01&amp;end_date=2025-12-31&amp;inst_ids=Au99.99&amp;p=</x:v>
      </x:c>
    </x:row>
    <x:row r="912">
      <x:c r="A912" s="155" t="n">
        <x:v>46010</x:v>
      </x:c>
      <x:c r="B912" s="141" t="str">
        <x:v>Ag(T+D)</x:v>
      </x:c>
      <x:c r="C912" s="153" t="n">
        <x:v>15420</x:v>
      </x:c>
      <x:c r="D912" s="153" t="n">
        <x:v>15499</x:v>
      </x:c>
      <x:c r="E912" s="153" t="n">
        <x:v>15030</x:v>
      </x:c>
      <x:c r="F912" s="153" t="n">
        <x:v>15385</x:v>
      </x:c>
      <x:c r="G912" s="153" t="n">
        <x:v>-79</x:v>
      </x:c>
      <x:c r="H912" s="154" t="n">
        <x:v>-0.0051</x:v>
      </x:c>
      <x:c r="I912" s="158" t="n">
        <x:v>15217</x:v>
      </x:c>
      <x:c r="J912" s="158" t="n">
        <x:v>905826</x:v>
      </x:c>
      <x:c r="K912" s="158" t="n">
        <x:v>13784808022</x:v>
      </x:c>
      <x:c r="L912" s="158" t="n">
        <x:v>3519090</x:v>
      </x:c>
      <x:c r="M912" s="141" t="str">
        <x:v>https://www.sge.com.cn/sjzx/quotation_daily_new?start_date=2025-12-01&amp;end_date=2025-12-31&amp;inst_ids=Ag%28T%2BD%29&amp;p=</x:v>
      </x:c>
    </x:row>
    <x:row r="913">
      <x:c r="A913" s="155" t="n">
        <x:v>46010</x:v>
      </x:c>
      <x:c r="B913" s="141" t="str">
        <x:v>Au99.99</x:v>
      </x:c>
      <x:c r="C913" s="153" t="n">
        <x:v>974.66</x:v>
      </x:c>
      <x:c r="D913" s="153" t="n">
        <x:v>980</x:v>
      </x:c>
      <x:c r="E913" s="153" t="n">
        <x:v>970</x:v>
      </x:c>
      <x:c r="F913" s="153" t="n">
        <x:v>975.51</x:v>
      </x:c>
      <x:c r="G913" s="153" t="n">
        <x:v>-0.04</x:v>
      </x:c>
      <x:c r="H913" s="154" t="n">
        <x:v>0</x:v>
      </x:c>
      <x:c r="I913" s="158" t="n">
        <x:v>974.04</x:v>
      </x:c>
      <x:c r="J913" s="158" t="n">
        <x:v>6643.58</x:v>
      </x:c>
      <x:c r="K913" s="158" t="n">
        <x:v>6471156869.4</x:v>
      </x:c>
      <x:c r="L913" s="158"/>
      <x:c r="M913" s="141" t="str">
        <x:v>https://www.sge.com.cn/sjzx/quotation_daily_new?start_date=2025-12-01&amp;end_date=2025-12-31&amp;inst_ids=Au99.99&amp;p=</x:v>
      </x:c>
    </x:row>
    <x:row r="914">
      <x:c r="A914" s="155" t="n">
        <x:v>46013</x:v>
      </x:c>
      <x:c r="B914" s="141" t="str">
        <x:v>Ag(T+D)</x:v>
      </x:c>
      <x:c r="C914" s="153" t="n">
        <x:v>15390</x:v>
      </x:c>
      <x:c r="D914" s="153" t="n">
        <x:v>16280</x:v>
      </x:c>
      <x:c r="E914" s="153" t="n">
        <x:v>15314</x:v>
      </x:c>
      <x:c r="F914" s="153" t="n">
        <x:v>16186</x:v>
      </x:c>
      <x:c r="G914" s="153" t="n">
        <x:v>969</x:v>
      </x:c>
      <x:c r="H914" s="154" t="n">
        <x:v>0.0637</x:v>
      </x:c>
      <x:c r="I914" s="158" t="n">
        <x:v>16070</x:v>
      </x:c>
      <x:c r="J914" s="158" t="n">
        <x:v>1056792</x:v>
      </x:c>
      <x:c r="K914" s="158" t="n">
        <x:v>16983491350</x:v>
      </x:c>
      <x:c r="L914" s="158" t="n">
        <x:v>3378318</x:v>
      </x:c>
      <x:c r="M914" s="141" t="str">
        <x:v>https://www.sge.com.cn/sjzx/quotation_daily_new?start_date=2025-12-01&amp;end_date=2025-12-31&amp;inst_ids=Ag%28T%2BD%29&amp;p=</x:v>
      </x:c>
    </x:row>
    <x:row r="915">
      <x:c r="A915" s="155" t="n">
        <x:v>46013</x:v>
      </x:c>
      <x:c r="B915" s="141" t="str">
        <x:v>Au99.99</x:v>
      </x:c>
      <x:c r="C915" s="153" t="n">
        <x:v>977</x:v>
      </x:c>
      <x:c r="D915" s="153" t="n">
        <x:v>995</x:v>
      </x:c>
      <x:c r="E915" s="153" t="n">
        <x:v>974</x:v>
      </x:c>
      <x:c r="F915" s="153" t="n">
        <x:v>992.79</x:v>
      </x:c>
      <x:c r="G915" s="153" t="n">
        <x:v>17.28</x:v>
      </x:c>
      <x:c r="H915" s="154" t="n">
        <x:v>0.0177</x:v>
      </x:c>
      <x:c r="I915" s="158" t="n">
        <x:v>987.13</x:v>
      </x:c>
      <x:c r="J915" s="158" t="n">
        <x:v>12609.88</x:v>
      </x:c>
      <x:c r="K915" s="158" t="n">
        <x:v>12447683167.2</x:v>
      </x:c>
      <x:c r="L915" s="158"/>
      <x:c r="M915" s="141" t="str">
        <x:v>https://www.sge.com.cn/sjzx/quotation_daily_new?start_date=2025-12-01&amp;end_date=2025-12-31&amp;inst_ids=Au99.99&amp;p=</x:v>
      </x:c>
    </x:row>
    <x:row r="916">
      <x:c r="A916" s="155" t="n">
        <x:v>46014</x:v>
      </x:c>
      <x:c r="B916" s="141" t="str">
        <x:v>Ag(T+D)</x:v>
      </x:c>
      <x:c r="C916" s="153" t="n">
        <x:v>16190</x:v>
      </x:c>
      <x:c r="D916" s="153" t="n">
        <x:v>16564</x:v>
      </x:c>
      <x:c r="E916" s="153" t="n">
        <x:v>16095</x:v>
      </x:c>
      <x:c r="F916" s="153" t="n">
        <x:v>16420</x:v>
      </x:c>
      <x:c r="G916" s="153" t="n">
        <x:v>350</x:v>
      </x:c>
      <x:c r="H916" s="154" t="n">
        <x:v>0.0218</x:v>
      </x:c>
      <x:c r="I916" s="158" t="n">
        <x:v>16409</x:v>
      </x:c>
      <x:c r="J916" s="158" t="n">
        <x:v>817112</x:v>
      </x:c>
      <x:c r="K916" s="158" t="n">
        <x:v>13408631526</x:v>
      </x:c>
      <x:c r="L916" s="158" t="n">
        <x:v>3283948</x:v>
      </x:c>
      <x:c r="M916" s="141" t="str">
        <x:v>https://www.sge.com.cn/sjzx/quotation_daily_new?start_date=2025-12-01&amp;end_date=2025-12-31&amp;inst_ids=Ag%28T%2BD%29&amp;p=</x:v>
      </x:c>
    </x:row>
    <x:row r="917">
      <x:c r="A917" s="155" t="n">
        <x:v>46014</x:v>
      </x:c>
      <x:c r="B917" s="141" t="str">
        <x:v>Au99.99</x:v>
      </x:c>
      <x:c r="C917" s="153" t="n">
        <x:v>985</x:v>
      </x:c>
      <x:c r="D917" s="153" t="n">
        <x:v>1014</x:v>
      </x:c>
      <x:c r="E917" s="153" t="n">
        <x:v>985</x:v>
      </x:c>
      <x:c r="F917" s="153" t="n">
        <x:v>1006.87</x:v>
      </x:c>
      <x:c r="G917" s="153" t="n">
        <x:v>14.08</x:v>
      </x:c>
      <x:c r="H917" s="154" t="n">
        <x:v>0.014199999999999999</x:v>
      </x:c>
      <x:c r="I917" s="158" t="n">
        <x:v>1009.22</x:v>
      </x:c>
      <x:c r="J917" s="158" t="n">
        <x:v>11494.44</x:v>
      </x:c>
      <x:c r="K917" s="158" t="n">
        <x:v>11600520069.8</x:v>
      </x:c>
      <x:c r="L917" s="158"/>
      <x:c r="M917" s="141" t="str">
        <x:v>https://www.sge.com.cn/sjzx/quotation_daily_new?start_date=2025-12-01&amp;end_date=2025-12-31&amp;inst_ids=Au99.99&amp;p=</x:v>
      </x:c>
    </x:row>
    <x:row r="918">
      <x:c r="A918" s="155" t="n">
        <x:v>46015</x:v>
      </x:c>
      <x:c r="B918" s="141" t="str">
        <x:v>Ag(T+D)</x:v>
      </x:c>
      <x:c r="C918" s="153" t="n">
        <x:v>16470</x:v>
      </x:c>
      <x:c r="D918" s="153" t="n">
        <x:v>17755</x:v>
      </x:c>
      <x:c r="E918" s="153" t="n">
        <x:v>16422</x:v>
      </x:c>
      <x:c r="F918" s="153" t="n">
        <x:v>17714</x:v>
      </x:c>
      <x:c r="G918" s="153" t="n">
        <x:v>1305</x:v>
      </x:c>
      <x:c r="H918" s="154" t="n">
        <x:v>0.0795</x:v>
      </x:c>
      <x:c r="I918" s="158" t="n">
        <x:v>17321</x:v>
      </x:c>
      <x:c r="J918" s="158" t="n">
        <x:v>1010776</x:v>
      </x:c>
      <x:c r="K918" s="158" t="n">
        <x:v>17507684054</x:v>
      </x:c>
      <x:c r="L918" s="158" t="n">
        <x:v>3184882</x:v>
      </x:c>
      <x:c r="M918" s="141" t="str">
        <x:v>https://www.sge.com.cn/sjzx/quotation_daily_new?start_date=2025-12-01&amp;end_date=2025-12-31&amp;inst_ids=Ag%28T%2BD%29&amp;p=</x:v>
      </x:c>
    </x:row>
    <x:row r="919">
      <x:c r="A919" s="155" t="n">
        <x:v>46015</x:v>
      </x:c>
      <x:c r="B919" s="141" t="str">
        <x:v>Au99.99</x:v>
      </x:c>
      <x:c r="C919" s="153" t="n">
        <x:v>1008.2</x:v>
      </x:c>
      <x:c r="D919" s="153" t="n">
        <x:v>1017.2</x:v>
      </x:c>
      <x:c r="E919" s="153" t="n">
        <x:v>995</x:v>
      </x:c>
      <x:c r="F919" s="153" t="n">
        <x:v>1007.69</x:v>
      </x:c>
      <x:c r="G919" s="153" t="n">
        <x:v>0.82</x:v>
      </x:c>
      <x:c r="H919" s="154" t="n">
        <x:v>0.0008</x:v>
      </x:c>
      <x:c r="I919" s="158" t="n">
        <x:v>1010.54</x:v>
      </x:c>
      <x:c r="J919" s="158" t="n">
        <x:v>9021.5</x:v>
      </x:c>
      <x:c r="K919" s="158" t="n">
        <x:v>9116643606.6</x:v>
      </x:c>
      <x:c r="L919" s="158"/>
      <x:c r="M919" s="141" t="str">
        <x:v>https://www.sge.com.cn/sjzx/quotation_daily_new?start_date=2025-12-01&amp;end_date=2025-12-31&amp;inst_ids=Au99.99&amp;p=</x:v>
      </x:c>
    </x:row>
    <x:row r="920">
      <x:c r="A920" s="155" t="n">
        <x:v>46016</x:v>
      </x:c>
      <x:c r="B920" s="141" t="str">
        <x:v>Ag(T+D)</x:v>
      </x:c>
      <x:c r="C920" s="153" t="n">
        <x:v>17670</x:v>
      </x:c>
      <x:c r="D920" s="153" t="n">
        <x:v>17750</x:v>
      </x:c>
      <x:c r="E920" s="153" t="n">
        <x:v>16800</x:v>
      </x:c>
      <x:c r="F920" s="153" t="n">
        <x:v>17414</x:v>
      </x:c>
      <x:c r="G920" s="153" t="n">
        <x:v>93</x:v>
      </x:c>
      <x:c r="H920" s="154" t="n">
        <x:v>0.0054</x:v>
      </x:c>
      <x:c r="I920" s="158" t="n">
        <x:v>17240</x:v>
      </x:c>
      <x:c r="J920" s="158" t="n">
        <x:v>502128</x:v>
      </x:c>
      <x:c r="K920" s="158" t="n">
        <x:v>8656981922</x:v>
      </x:c>
      <x:c r="L920" s="158" t="n">
        <x:v>3129440</x:v>
      </x:c>
      <x:c r="M920" s="141" t="str">
        <x:v>https://www.sge.com.cn/sjzx/quotation_daily_new?start_date=2025-12-01&amp;end_date=2025-12-31&amp;inst_ids=Ag%28T%2BD%29&amp;p=</x:v>
      </x:c>
    </x:row>
    <x:row r="921">
      <x:c r="A921" s="155" t="n">
        <x:v>46016</x:v>
      </x:c>
      <x:c r="B921" s="141" t="str">
        <x:v>Au99.99</x:v>
      </x:c>
      <x:c r="C921" s="153" t="n">
        <x:v>1009.5</x:v>
      </x:c>
      <x:c r="D921" s="153" t="n">
        <x:v>1009.5</x:v>
      </x:c>
      <x:c r="E921" s="153" t="n">
        <x:v>999.7</x:v>
      </x:c>
      <x:c r="F921" s="153" t="n">
        <x:v>1002.98</x:v>
      </x:c>
      <x:c r="G921" s="153" t="n">
        <x:v>-4.71</x:v>
      </x:c>
      <x:c r="H921" s="154" t="n">
        <x:v>-0.004699999999999999</x:v>
      </x:c>
      <x:c r="I921" s="158" t="n">
        <x:v>1002.01</x:v>
      </x:c>
      <x:c r="J921" s="158" t="n">
        <x:v>8305.14</x:v>
      </x:c>
      <x:c r="K921" s="158" t="n">
        <x:v>8321837111.4</x:v>
      </x:c>
      <x:c r="L921" s="158"/>
      <x:c r="M921" s="141" t="str">
        <x:v>https://www.sge.com.cn/sjzx/quotation_daily_new?start_date=2025-12-01&amp;end_date=2025-12-31&amp;inst_ids=Au99.99&amp;p=</x:v>
      </x:c>
    </x:row>
    <x:row r="922">
      <x:c r="A922" s="155" t="n">
        <x:v>46017</x:v>
      </x:c>
      <x:c r="B922" s="141" t="str">
        <x:v>Ag(T+D)</x:v>
      </x:c>
      <x:c r="C922" s="153" t="n">
        <x:v>17500</x:v>
      </x:c>
      <x:c r="D922" s="153" t="n">
        <x:v>18650</x:v>
      </x:c>
      <x:c r="E922" s="153" t="n">
        <x:v>17374</x:v>
      </x:c>
      <x:c r="F922" s="153" t="n">
        <x:v>18469</x:v>
      </x:c>
      <x:c r="G922" s="153" t="n">
        <x:v>1229</x:v>
      </x:c>
      <x:c r="H922" s="154" t="n">
        <x:v>0.0713</x:v>
      </x:c>
      <x:c r="I922" s="158" t="n">
        <x:v>18368</x:v>
      </x:c>
      <x:c r="J922" s="158" t="n">
        <x:v>1034370</x:v>
      </x:c>
      <x:c r="K922" s="158" t="n">
        <x:v>18999422478</x:v>
      </x:c>
      <x:c r="L922" s="158" t="n">
        <x:v>2713464</x:v>
      </x:c>
      <x:c r="M922" s="141" t="str">
        <x:v>https://www.sge.com.cn/sjzx/quotation_daily_new?start_date=2025-12-01&amp;end_date=2025-12-31&amp;inst_ids=Ag%28T%2BD%29&amp;p=</x:v>
      </x:c>
    </x:row>
    <x:row r="923">
      <x:c r="A923" s="155" t="n">
        <x:v>46017</x:v>
      </x:c>
      <x:c r="B923" s="141" t="str">
        <x:v>Au99.99</x:v>
      </x:c>
      <x:c r="C923" s="153" t="n">
        <x:v>1004</x:v>
      </x:c>
      <x:c r="D923" s="153" t="n">
        <x:v>1017</x:v>
      </x:c>
      <x:c r="E923" s="153" t="n">
        <x:v>1003.51</x:v>
      </x:c>
      <x:c r="F923" s="153" t="n">
        <x:v>1007</x:v>
      </x:c>
      <x:c r="G923" s="153" t="n">
        <x:v>4.02</x:v>
      </x:c>
      <x:c r="H923" s="154" t="n">
        <x:v>0.004</x:v>
      </x:c>
      <x:c r="I923" s="158" t="n">
        <x:v>1010.2</x:v>
      </x:c>
      <x:c r="J923" s="158" t="n">
        <x:v>14250.86</x:v>
      </x:c>
      <x:c r="K923" s="158" t="n">
        <x:v>14396327243.6</x:v>
      </x:c>
      <x:c r="L923" s="158"/>
      <x:c r="M923" s="141" t="str">
        <x:v>https://www.sge.com.cn/sjzx/quotation_daily_new?start_date=2025-12-01&amp;end_date=2025-12-31&amp;inst_ids=Au99.99&amp;p=</x:v>
      </x:c>
    </x:row>
    <x:row r="924">
      <x:c r="A924" s="155" t="n">
        <x:v>46020</x:v>
      </x:c>
      <x:c r="B924" s="141" t="str">
        <x:v>Ag(T+D)</x:v>
      </x:c>
      <x:c r="C924" s="153" t="n">
        <x:v>18364</x:v>
      </x:c>
      <x:c r="D924" s="153" t="n">
        <x:v>20150</x:v>
      </x:c>
      <x:c r="E924" s="153" t="n">
        <x:v>17800</x:v>
      </x:c>
      <x:c r="F924" s="153" t="n">
        <x:v>18797</x:v>
      </x:c>
      <x:c r="G924" s="153" t="n">
        <x:v>429</x:v>
      </x:c>
      <x:c r="H924" s="154" t="n">
        <x:v>0.023399999999999997</x:v>
      </x:c>
      <x:c r="I924" s="158" t="n">
        <x:v>19376</x:v>
      </x:c>
      <x:c r="J924" s="158" t="n">
        <x:v>1602424</x:v>
      </x:c>
      <x:c r="K924" s="158" t="n">
        <x:v>31049272174</x:v>
      </x:c>
      <x:c r="L924" s="158" t="n">
        <x:v>2872126</x:v>
      </x:c>
      <x:c r="M924" s="141" t="str">
        <x:v>https://www.sge.com.cn/sjzx/quotation_daily_new?start_date=2025-12-01&amp;end_date=2025-12-31&amp;inst_ids=Ag%28T%2BD%29&amp;p=</x:v>
      </x:c>
    </x:row>
    <x:row r="925">
      <x:c r="A925" s="155" t="n">
        <x:v>46020</x:v>
      </x:c>
      <x:c r="B925" s="141" t="str">
        <x:v>Au99.99</x:v>
      </x:c>
      <x:c r="C925" s="153" t="n">
        <x:v>1010</x:v>
      </x:c>
      <x:c r="D925" s="153" t="n">
        <x:v>1015</x:v>
      </x:c>
      <x:c r="E925" s="153" t="n">
        <x:v>1000.01</x:v>
      </x:c>
      <x:c r="F925" s="153" t="n">
        <x:v>1004</x:v>
      </x:c>
      <x:c r="G925" s="153" t="n">
        <x:v>-3</x:v>
      </x:c>
      <x:c r="H925" s="154" t="n">
        <x:v>-0.003</x:v>
      </x:c>
      <x:c r="I925" s="158" t="n">
        <x:v>1008.5</x:v>
      </x:c>
      <x:c r="J925" s="158" t="n">
        <x:v>22116.74</x:v>
      </x:c>
      <x:c r="K925" s="158" t="n">
        <x:v>22304861717</x:v>
      </x:c>
      <x:c r="L925" s="158"/>
      <x:c r="M925" s="141" t="str">
        <x:v>https://www.sge.com.cn/sjzx/quotation_daily_new?start_date=2025-12-01&amp;end_date=2025-12-31&amp;inst_ids=Au99.99&amp;p=</x:v>
      </x:c>
    </x:row>
    <x:row r="926">
      <x:c r="A926" s="155" t="n">
        <x:v>46021</x:v>
      </x:c>
      <x:c r="B926" s="141" t="str">
        <x:v>Ag(T+D)</x:v>
      </x:c>
      <x:c r="C926" s="153" t="n">
        <x:v>18050</x:v>
      </x:c>
      <x:c r="D926" s="153" t="n">
        <x:v>18779</x:v>
      </x:c>
      <x:c r="E926" s="153" t="n">
        <x:v>17350</x:v>
      </x:c>
      <x:c r="F926" s="153" t="n">
        <x:v>18119</x:v>
      </x:c>
      <x:c r="G926" s="153" t="n">
        <x:v>-1257</x:v>
      </x:c>
      <x:c r="H926" s="154" t="n">
        <x:v>-0.0649</x:v>
      </x:c>
      <x:c r="I926" s="158" t="n">
        <x:v>17962</x:v>
      </x:c>
      <x:c r="J926" s="158" t="n">
        <x:v>749908</x:v>
      </x:c>
      <x:c r="K926" s="158" t="n">
        <x:v>13469864886</x:v>
      </x:c>
      <x:c r="L926" s="158" t="n">
        <x:v>2873446</x:v>
      </x:c>
      <x:c r="M926" s="141" t="str">
        <x:v>https://www.sge.com.cn/sjzx/quotation_daily_new?start_date=2025-12-01&amp;end_date=2025-12-31&amp;inst_ids=Ag%28T%2BD%29&amp;p=</x:v>
      </x:c>
    </x:row>
    <x:row r="927">
      <x:c r="A927" s="155" t="n">
        <x:v>46021</x:v>
      </x:c>
      <x:c r="B927" s="141" t="str">
        <x:v>Au99.99</x:v>
      </x:c>
      <x:c r="C927" s="153" t="n">
        <x:v>1003.99</x:v>
      </x:c>
      <x:c r="D927" s="153" t="n">
        <x:v>1003.99</x:v>
      </x:c>
      <x:c r="E927" s="153" t="n">
        <x:v>970</x:v>
      </x:c>
      <x:c r="F927" s="153" t="n">
        <x:v>981.91</x:v>
      </x:c>
      <x:c r="G927" s="153" t="n">
        <x:v>-22.09</x:v>
      </x:c>
      <x:c r="H927" s="154" t="n">
        <x:v>-0.022000000000000002</x:v>
      </x:c>
      <x:c r="I927" s="158" t="n">
        <x:v>980.74</x:v>
      </x:c>
      <x:c r="J927" s="158" t="n">
        <x:v>19650.52</x:v>
      </x:c>
      <x:c r="K927" s="158" t="n">
        <x:v>19272244393</x:v>
      </x:c>
      <x:c r="L927" s="158"/>
      <x:c r="M927" s="141" t="str">
        <x:v>https://www.sge.com.cn/sjzx/quotation_daily_new?start_date=2025-12-01&amp;end_date=2025-12-31&amp;inst_ids=Au99.99&amp;p=</x:v>
      </x:c>
    </x:row>
    <x:row r="928">
      <x:c r="A928" s="155" t="n">
        <x:v>46022</x:v>
      </x:c>
      <x:c r="B928" s="141" t="str">
        <x:v>Ag(T+D)</x:v>
      </x:c>
      <x:c r="C928" s="153" t="n">
        <x:v>18200</x:v>
      </x:c>
      <x:c r="D928" s="153" t="n">
        <x:v>18881</x:v>
      </x:c>
      <x:c r="E928" s="153" t="n">
        <x:v>16900</x:v>
      </x:c>
      <x:c r="F928" s="153" t="n">
        <x:v>17059</x:v>
      </x:c>
      <x:c r="G928" s="153" t="n">
        <x:v>-903</x:v>
      </x:c>
      <x:c r="H928" s="154" t="n">
        <x:v>-0.050300000000000004</x:v>
      </x:c>
      <x:c r="I928" s="158" t="n">
        <x:v>17782</x:v>
      </x:c>
      <x:c r="J928" s="158" t="n">
        <x:v>728380</x:v>
      </x:c>
      <x:c r="K928" s="158" t="n">
        <x:v>12952686354</x:v>
      </x:c>
      <x:c r="L928" s="158" t="n">
        <x:v>2931198</x:v>
      </x:c>
      <x:c r="M928" s="141" t="str">
        <x:v>https://www.sge.com.cn/sjzx/quotation_daily_new?start_date=2025-12-01&amp;end_date=2025-12-31&amp;inst_ids=Ag%28T%2BD%29&amp;p=</x:v>
      </x:c>
    </x:row>
    <x:row r="929">
      <x:c r="A929" s="155" t="n">
        <x:v>46022</x:v>
      </x:c>
      <x:c r="B929" s="141" t="str">
        <x:v>Au99.99</x:v>
      </x:c>
      <x:c r="C929" s="153" t="n">
        <x:v>986</x:v>
      </x:c>
      <x:c r="D929" s="153" t="n">
        <x:v>990</x:v>
      </x:c>
      <x:c r="E929" s="153" t="n">
        <x:v>960</x:v>
      </x:c>
      <x:c r="F929" s="153" t="n">
        <x:v>974.9</x:v>
      </x:c>
      <x:c r="G929" s="153" t="n">
        <x:v>-7.01</x:v>
      </x:c>
      <x:c r="H929" s="154" t="n">
        <x:v>-0.0070999999999999995</x:v>
      </x:c>
      <x:c r="I929" s="158" t="n">
        <x:v>973.29</x:v>
      </x:c>
      <x:c r="J929" s="158" t="n">
        <x:v>16821.04</x:v>
      </x:c>
      <x:c r="K929" s="158" t="n">
        <x:v>16371913238</x:v>
      </x:c>
      <x:c r="L929" s="158"/>
      <x:c r="M929" s="141" t="str">
        <x:v>https://www.sge.com.cn/sjzx/quotation_daily_new?start_date=2025-12-01&amp;end_date=2025-12-31&amp;inst_ids=Au99.99&amp;p=</x:v>
      </x:c>
    </x:row>
    <x:row r="930">
      <x:c r="A930" s="155" t="n">
        <x:v>46027</x:v>
      </x:c>
      <x:c r="B930" s="141" t="str">
        <x:v>Ag(T+D)</x:v>
      </x:c>
      <x:c r="C930" s="153" t="n">
        <x:v>17850</x:v>
      </x:c>
      <x:c r="D930" s="153" t="n">
        <x:v>18338</x:v>
      </x:c>
      <x:c r="E930" s="153" t="n">
        <x:v>17850</x:v>
      </x:c>
      <x:c r="F930" s="153" t="n">
        <x:v>18319</x:v>
      </x:c>
      <x:c r="G930" s="153" t="n">
        <x:v>537</x:v>
      </x:c>
      <x:c r="H930" s="154" t="n">
        <x:v>0.0302</x:v>
      </x:c>
      <x:c r="I930" s="158" t="n">
        <x:v>18199</x:v>
      </x:c>
      <x:c r="J930" s="158" t="n">
        <x:v>657430</x:v>
      </x:c>
      <x:c r="K930" s="158" t="n">
        <x:v>11964992508</x:v>
      </x:c>
      <x:c r="L930" s="158" t="n">
        <x:v>2941532</x:v>
      </x:c>
      <x:c r="M930" s="141" t="str">
        <x:v>https://www.sge.com.cn/sjzx/quotation_daily_new?start_date=2026-01-01&amp;end_date=2026-01-31&amp;inst_ids=Ag%28T%2BD%29&amp;p=</x:v>
      </x:c>
    </x:row>
    <x:row r="931">
      <x:c r="A931" s="155" t="n">
        <x:v>46027</x:v>
      </x:c>
      <x:c r="B931" s="141" t="str">
        <x:v>Au99.99</x:v>
      </x:c>
      <x:c r="C931" s="153" t="n">
        <x:v>990</x:v>
      </x:c>
      <x:c r="D931" s="153" t="n">
        <x:v>996</x:v>
      </x:c>
      <x:c r="E931" s="153" t="n">
        <x:v>987.01</x:v>
      </x:c>
      <x:c r="F931" s="153" t="n">
        <x:v>993.57</x:v>
      </x:c>
      <x:c r="G931" s="153" t="n">
        <x:v>18.67</x:v>
      </x:c>
      <x:c r="H931" s="154" t="n">
        <x:v>0.0192</x:v>
      </x:c>
      <x:c r="I931" s="158" t="n">
        <x:v>990.83</x:v>
      </x:c>
      <x:c r="J931" s="158" t="n">
        <x:v>18720.08</x:v>
      </x:c>
      <x:c r="K931" s="158" t="n">
        <x:v>18548433439.2</x:v>
      </x:c>
      <x:c r="L931" s="158"/>
      <x:c r="M931" s="141" t="str">
        <x:v>https://www.sge.com.cn/sjzx/quotation_daily_new?start_date=2026-01-01&amp;end_date=2026-01-31&amp;inst_ids=Au99.99&amp;p=</x:v>
      </x:c>
    </x:row>
    <x:row r="932">
      <x:c r="A932" s="155" t="n">
        <x:v>46028</x:v>
      </x:c>
      <x:c r="B932" s="141" t="str">
        <x:v>Ag(T+D)</x:v>
      </x:c>
      <x:c r="C932" s="153" t="n">
        <x:v>18180</x:v>
      </x:c>
      <x:c r="D932" s="153" t="n">
        <x:v>19700</x:v>
      </x:c>
      <x:c r="E932" s="153" t="n">
        <x:v>18105</x:v>
      </x:c>
      <x:c r="F932" s="153" t="n">
        <x:v>19495</x:v>
      </x:c>
      <x:c r="G932" s="153" t="n">
        <x:v>1296</x:v>
      </x:c>
      <x:c r="H932" s="154" t="n">
        <x:v>0.0712</x:v>
      </x:c>
      <x:c r="I932" s="158" t="n">
        <x:v>19243</x:v>
      </x:c>
      <x:c r="J932" s="158" t="n">
        <x:v>876640</x:v>
      </x:c>
      <x:c r="K932" s="158" t="n">
        <x:v>16869526732</x:v>
      </x:c>
      <x:c r="L932" s="158" t="n">
        <x:v>2993510</x:v>
      </x:c>
      <x:c r="M932" s="141" t="str">
        <x:v>https://www.sge.com.cn/sjzx/quotation_daily_new?start_date=2026-01-01&amp;end_date=2026-01-31&amp;inst_ids=Ag%28T%2BD%29&amp;p=</x:v>
      </x:c>
    </x:row>
    <x:row r="933">
      <x:c r="A933" s="155" t="n">
        <x:v>46028</x:v>
      </x:c>
      <x:c r="B933" s="141" t="str">
        <x:v>Au99.99</x:v>
      </x:c>
      <x:c r="C933" s="153" t="n">
        <x:v>994</x:v>
      </x:c>
      <x:c r="D933" s="153" t="n">
        <x:v>1008</x:v>
      </x:c>
      <x:c r="E933" s="153" t="n">
        <x:v>990</x:v>
      </x:c>
      <x:c r="F933" s="153" t="n">
        <x:v>1003.01</x:v>
      </x:c>
      <x:c r="G933" s="153" t="n">
        <x:v>9.44</x:v>
      </x:c>
      <x:c r="H933" s="154" t="n">
        <x:v>0.0095</x:v>
      </x:c>
      <x:c r="I933" s="158" t="n">
        <x:v>1001.92</x:v>
      </x:c>
      <x:c r="J933" s="158" t="n">
        <x:v>10741.62</x:v>
      </x:c>
      <x:c r="K933" s="158" t="n">
        <x:v>10762337189.4</x:v>
      </x:c>
      <x:c r="L933" s="158"/>
      <x:c r="M933" s="141" t="str">
        <x:v>https://www.sge.com.cn/sjzx/quotation_daily_new?start_date=2026-01-01&amp;end_date=2026-01-31&amp;inst_ids=Au99.99&amp;p=</x:v>
      </x:c>
    </x:row>
    <x:row r="934">
      <x:c r="A934" s="155" t="n">
        <x:v>46029</x:v>
      </x:c>
      <x:c r="B934" s="141" t="str">
        <x:v>Ag(T+D)</x:v>
      </x:c>
      <x:c r="C934" s="153" t="n">
        <x:v>19465</x:v>
      </x:c>
      <x:c r="D934" s="153" t="n">
        <x:v>20209</x:v>
      </x:c>
      <x:c r="E934" s="153" t="n">
        <x:v>19051</x:v>
      </x:c>
      <x:c r="F934" s="153" t="n">
        <x:v>19365</x:v>
      </x:c>
      <x:c r="G934" s="153" t="n">
        <x:v>122</x:v>
      </x:c>
      <x:c r="H934" s="154" t="n">
        <x:v>0.0063</x:v>
      </x:c>
      <x:c r="I934" s="158" t="n">
        <x:v>19537</x:v>
      </x:c>
      <x:c r="J934" s="158" t="n">
        <x:v>823590</x:v>
      </x:c>
      <x:c r="K934" s="158" t="n">
        <x:v>16091214266</x:v>
      </x:c>
      <x:c r="L934" s="158" t="n">
        <x:v>3033278</x:v>
      </x:c>
      <x:c r="M934" s="141" t="str">
        <x:v>https://www.sge.com.cn/sjzx/quotation_daily_new?start_date=2026-01-01&amp;end_date=2026-01-31&amp;inst_ids=Ag%28T%2BD%29&amp;p=</x:v>
      </x:c>
    </x:row>
    <x:row r="935">
      <x:c r="A935" s="155" t="n">
        <x:v>46029</x:v>
      </x:c>
      <x:c r="B935" s="141" t="str">
        <x:v>Au99.99</x:v>
      </x:c>
      <x:c r="C935" s="153" t="n">
        <x:v>1002</x:v>
      </x:c>
      <x:c r="D935" s="153" t="n">
        <x:v>1007.3</x:v>
      </x:c>
      <x:c r="E935" s="153" t="n">
        <x:v>996.5</x:v>
      </x:c>
      <x:c r="F935" s="153" t="n">
        <x:v>999.68</x:v>
      </x:c>
      <x:c r="G935" s="153" t="n">
        <x:v>-3.33</x:v>
      </x:c>
      <x:c r="H935" s="154" t="n">
        <x:v>-0.0033</x:v>
      </x:c>
      <x:c r="I935" s="158" t="n">
        <x:v>1002.02</x:v>
      </x:c>
      <x:c r="J935" s="158" t="n">
        <x:v>9839.12</x:v>
      </x:c>
      <x:c r="K935" s="158" t="n">
        <x:v>9859033962.8</x:v>
      </x:c>
      <x:c r="L935" s="158"/>
      <x:c r="M935" s="141" t="str">
        <x:v>https://www.sge.com.cn/sjzx/quotation_daily_new?start_date=2026-01-01&amp;end_date=2026-01-31&amp;inst_ids=Au99.99&amp;p=</x:v>
      </x:c>
    </x:row>
    <x:row r="936">
      <x:c r="A936" s="155" t="n">
        <x:v>46030</x:v>
      </x:c>
      <x:c r="B936" s="141" t="str">
        <x:v>Ag(T+D)</x:v>
      </x:c>
      <x:c r="C936" s="153" t="n">
        <x:v>19206</x:v>
      </x:c>
      <x:c r="D936" s="153" t="n">
        <x:v>19420</x:v>
      </x:c>
      <x:c r="E936" s="153" t="n">
        <x:v>18330</x:v>
      </x:c>
      <x:c r="F936" s="153" t="n">
        <x:v>18338</x:v>
      </x:c>
      <x:c r="G936" s="153" t="n">
        <x:v>-1199</x:v>
      </x:c>
      <x:c r="H936" s="154" t="n">
        <x:v>-0.061399999999999996</x:v>
      </x:c>
      <x:c r="I936" s="158" t="n">
        <x:v>19081</x:v>
      </x:c>
      <x:c r="J936" s="158" t="n">
        <x:v>2833448</x:v>
      </x:c>
      <x:c r="K936" s="158" t="n">
        <x:v>54067450752</x:v>
      </x:c>
      <x:c r="L936" s="158" t="n">
        <x:v>3071944</x:v>
      </x:c>
      <x:c r="M936" s="141" t="str">
        <x:v>https://www.sge.com.cn/sjzx/quotation_daily_new?start_date=2026-01-01&amp;end_date=2026-01-31&amp;inst_ids=Ag%28T%2BD%29&amp;p=</x:v>
      </x:c>
    </x:row>
    <x:row r="937">
      <x:c r="A937" s="155" t="n">
        <x:v>46030</x:v>
      </x:c>
      <x:c r="B937" s="141" t="str">
        <x:v>Au99.99</x:v>
      </x:c>
      <x:c r="C937" s="153" t="n">
        <x:v>1005</x:v>
      </x:c>
      <x:c r="D937" s="153" t="n">
        <x:v>1005</x:v>
      </x:c>
      <x:c r="E937" s="153" t="n">
        <x:v>992.01</x:v>
      </x:c>
      <x:c r="F937" s="153" t="n">
        <x:v>996.21</x:v>
      </x:c>
      <x:c r="G937" s="153" t="n">
        <x:v>-3.47</x:v>
      </x:c>
      <x:c r="H937" s="154" t="n">
        <x:v>-0.0034999999999999996</x:v>
      </x:c>
      <x:c r="I937" s="158" t="n">
        <x:v>996.57</x:v>
      </x:c>
      <x:c r="J937" s="158" t="n">
        <x:v>9878.04</x:v>
      </x:c>
      <x:c r="K937" s="158" t="n">
        <x:v>9844228079.8</x:v>
      </x:c>
      <x:c r="L937" s="158"/>
      <x:c r="M937" s="141" t="str">
        <x:v>https://www.sge.com.cn/sjzx/quotation_daily_new?start_date=2026-01-01&amp;end_date=2026-01-31&amp;inst_ids=Au99.99&amp;p=</x:v>
      </x:c>
    </x:row>
    <x:row r="938">
      <x:c r="A938" s="155" t="n">
        <x:v>46031</x:v>
      </x:c>
      <x:c r="B938" s="141" t="str">
        <x:v>Ag(T+D)</x:v>
      </x:c>
      <x:c r="C938" s="153" t="n">
        <x:v>18245</x:v>
      </x:c>
      <x:c r="D938" s="153" t="n">
        <x:v>18872</x:v>
      </x:c>
      <x:c r="E938" s="153" t="n">
        <x:v>17830</x:v>
      </x:c>
      <x:c r="F938" s="153" t="n">
        <x:v>18759</x:v>
      </x:c>
      <x:c r="G938" s="153" t="n">
        <x:v>-322</x:v>
      </x:c>
      <x:c r="H938" s="154" t="n">
        <x:v>-0.0169</x:v>
      </x:c>
      <x:c r="I938" s="158" t="n">
        <x:v>18560</x:v>
      </x:c>
      <x:c r="J938" s="158" t="n">
        <x:v>308312</x:v>
      </x:c>
      <x:c r="K938" s="158" t="n">
        <x:v>5722377550</x:v>
      </x:c>
      <x:c r="L938" s="158" t="n">
        <x:v>3061282</x:v>
      </x:c>
      <x:c r="M938" s="141" t="str">
        <x:v>https://www.sge.com.cn/sjzx/quotation_daily_new?start_date=2026-01-01&amp;end_date=2026-01-31&amp;inst_ids=Ag%28T%2BD%29&amp;p=</x:v>
      </x:c>
    </x:row>
    <x:row r="939">
      <x:c r="A939" s="155" t="n">
        <x:v>46031</x:v>
      </x:c>
      <x:c r="B939" s="141" t="str">
        <x:v>Au99.99</x:v>
      </x:c>
      <x:c r="C939" s="153" t="n">
        <x:v>995</x:v>
      </x:c>
      <x:c r="D939" s="153" t="n">
        <x:v>1004.88</x:v>
      </x:c>
      <x:c r="E939" s="153" t="n">
        <x:v>992.05</x:v>
      </x:c>
      <x:c r="F939" s="153" t="n">
        <x:v>1003.49</x:v>
      </x:c>
      <x:c r="G939" s="153" t="n">
        <x:v>7.28</x:v>
      </x:c>
      <x:c r="H939" s="154" t="n">
        <x:v>0.0073</x:v>
      </x:c>
      <x:c r="I939" s="158" t="n">
        <x:v>1002.51</x:v>
      </x:c>
      <x:c r="J939" s="158" t="n">
        <x:v>7081.24</x:v>
      </x:c>
      <x:c r="K939" s="158" t="n">
        <x:v>7099043734.6</x:v>
      </x:c>
      <x:c r="L939" s="158"/>
      <x:c r="M939" s="141" t="str">
        <x:v>https://www.sge.com.cn/sjzx/quotation_daily_new?start_date=2026-01-01&amp;end_date=2026-01-31&amp;inst_ids=Au99.99&amp;p=</x:v>
      </x:c>
    </x:row>
    <x:row r="940">
      <x:c r="A940" s="155" t="n">
        <x:v>46034</x:v>
      </x:c>
      <x:c r="B940" s="141" t="str">
        <x:v>Ag(T+D)</x:v>
      </x:c>
      <x:c r="C940" s="153" t="n">
        <x:v>18920</x:v>
      </x:c>
      <x:c r="D940" s="153" t="n">
        <x:v>20997</x:v>
      </x:c>
      <x:c r="E940" s="153" t="n">
        <x:v>18760</x:v>
      </x:c>
      <x:c r="F940" s="153" t="n">
        <x:v>20902</x:v>
      </x:c>
      <x:c r="G940" s="153" t="n">
        <x:v>2342</x:v>
      </x:c>
      <x:c r="H940" s="154" t="n">
        <x:v>0.12619999999999998</x:v>
      </x:c>
      <x:c r="I940" s="158" t="n">
        <x:v>20310</x:v>
      </x:c>
      <x:c r="J940" s="158" t="n">
        <x:v>411208</x:v>
      </x:c>
      <x:c r="K940" s="158" t="n">
        <x:v>8351706350</x:v>
      </x:c>
      <x:c r="L940" s="158" t="n">
        <x:v>3042480</x:v>
      </x:c>
      <x:c r="M940" s="141" t="str">
        <x:v>https://www.sge.com.cn/sjzx/quotation_daily_new?start_date=2026-01-01&amp;end_date=2026-01-31&amp;inst_ids=Ag%28T%2BD%29&amp;p=</x:v>
      </x:c>
    </x:row>
    <x:row r="941">
      <x:c r="A941" s="155" t="n">
        <x:v>46034</x:v>
      </x:c>
      <x:c r="B941" s="141" t="str">
        <x:v>Au99.99</x:v>
      </x:c>
      <x:c r="C941" s="153" t="n">
        <x:v>1003.5</x:v>
      </x:c>
      <x:c r="D941" s="153" t="n">
        <x:v>1029</x:v>
      </x:c>
      <x:c r="E941" s="153" t="n">
        <x:v>1001.49</x:v>
      </x:c>
      <x:c r="F941" s="153" t="n">
        <x:v>1023.71</x:v>
      </x:c>
      <x:c r="G941" s="153" t="n">
        <x:v>20.22</x:v>
      </x:c>
      <x:c r="H941" s="154" t="n">
        <x:v>0.020099999999999996</x:v>
      </x:c>
      <x:c r="I941" s="158" t="n">
        <x:v>1022.57</x:v>
      </x:c>
      <x:c r="J941" s="158" t="n">
        <x:v>8996.42</x:v>
      </x:c>
      <x:c r="K941" s="158" t="n">
        <x:v>9199477588.2</x:v>
      </x:c>
      <x:c r="L941" s="158"/>
      <x:c r="M941" s="141" t="str">
        <x:v>https://www.sge.com.cn/sjzx/quotation_daily_new?start_date=2026-01-01&amp;end_date=2026-01-31&amp;inst_ids=Au99.99&amp;p=</x:v>
      </x:c>
    </x:row>
    <x:row r="942">
      <x:c r="A942" s="155" t="n">
        <x:v>46035</x:v>
      </x:c>
      <x:c r="B942" s="141" t="str">
        <x:v>Ag(T+D)</x:v>
      </x:c>
      <x:c r="C942" s="153" t="n">
        <x:v>20650</x:v>
      </x:c>
      <x:c r="D942" s="153" t="n">
        <x:v>21480</x:v>
      </x:c>
      <x:c r="E942" s="153" t="n">
        <x:v>20650</x:v>
      </x:c>
      <x:c r="F942" s="153" t="n">
        <x:v>21048</x:v>
      </x:c>
      <x:c r="G942" s="153" t="n">
        <x:v>738</x:v>
      </x:c>
      <x:c r="H942" s="154" t="n">
        <x:v>0.0363</x:v>
      </x:c>
      <x:c r="I942" s="158" t="n">
        <x:v>21060</x:v>
      </x:c>
      <x:c r="J942" s="158" t="n">
        <x:v>700304</x:v>
      </x:c>
      <x:c r="K942" s="158" t="n">
        <x:v>14748410218</x:v>
      </x:c>
      <x:c r="L942" s="158" t="n">
        <x:v>3081116</x:v>
      </x:c>
      <x:c r="M942" s="141" t="str">
        <x:v>https://www.sge.com.cn/sjzx/quotation_daily_new?start_date=2026-01-01&amp;end_date=2026-01-31&amp;inst_ids=Ag%28T%2BD%29&amp;p=</x:v>
      </x:c>
    </x:row>
    <x:row r="943">
      <x:c r="A943" s="155" t="n">
        <x:v>46035</x:v>
      </x:c>
      <x:c r="B943" s="141" t="str">
        <x:v>Au99.99</x:v>
      </x:c>
      <x:c r="C943" s="153" t="n">
        <x:v>1024</x:v>
      </x:c>
      <x:c r="D943" s="153" t="n">
        <x:v>1030.01</x:v>
      </x:c>
      <x:c r="E943" s="153" t="n">
        <x:v>1022.5</x:v>
      </x:c>
      <x:c r="F943" s="153" t="n">
        <x:v>1025.02</x:v>
      </x:c>
      <x:c r="G943" s="153" t="n">
        <x:v>1.31</x:v>
      </x:c>
      <x:c r="H943" s="154" t="n">
        <x:v>0.0013</x:v>
      </x:c>
      <x:c r="I943" s="158" t="n">
        <x:v>1025.84</x:v>
      </x:c>
      <x:c r="J943" s="158" t="n">
        <x:v>6099.56</x:v>
      </x:c>
      <x:c r="K943" s="158" t="n">
        <x:v>6257197771</x:v>
      </x:c>
      <x:c r="L943" s="158"/>
      <x:c r="M943" s="141" t="str">
        <x:v>https://www.sge.com.cn/sjzx/quotation_daily_new?start_date=2026-01-01&amp;end_date=2026-01-31&amp;inst_ids=Au99.99&amp;p=</x:v>
      </x:c>
    </x:row>
    <x:row r="944">
      <x:c r="A944" s="155" t="n">
        <x:v>46036</x:v>
      </x:c>
      <x:c r="B944" s="141" t="str">
        <x:v>Ag(T+D)</x:v>
      </x:c>
      <x:c r="C944" s="153" t="n">
        <x:v>21125</x:v>
      </x:c>
      <x:c r="D944" s="153" t="n">
        <x:v>23089</x:v>
      </x:c>
      <x:c r="E944" s="153" t="n">
        <x:v>21125</x:v>
      </x:c>
      <x:c r="F944" s="153" t="n">
        <x:v>22765</x:v>
      </x:c>
      <x:c r="G944" s="153" t="n">
        <x:v>1705</x:v>
      </x:c>
      <x:c r="H944" s="154" t="n">
        <x:v>0.081</x:v>
      </x:c>
      <x:c r="I944" s="158" t="n">
        <x:v>22343</x:v>
      </x:c>
      <x:c r="J944" s="158" t="n">
        <x:v>812282</x:v>
      </x:c>
      <x:c r="K944" s="158" t="n">
        <x:v>18149451994</x:v>
      </x:c>
      <x:c r="L944" s="158" t="n">
        <x:v>3079974</x:v>
      </x:c>
      <x:c r="M944" s="141" t="str">
        <x:v>https://www.sge.com.cn/sjzx/quotation_daily_new?start_date=2026-01-01&amp;end_date=2026-01-31&amp;inst_ids=Ag%28T%2BD%29&amp;p=</x:v>
      </x:c>
    </x:row>
    <x:row r="945">
      <x:c r="A945" s="155" t="n">
        <x:v>46036</x:v>
      </x:c>
      <x:c r="B945" s="141" t="str">
        <x:v>Au99.99</x:v>
      </x:c>
      <x:c r="C945" s="153" t="n">
        <x:v>1028</x:v>
      </x:c>
      <x:c r="D945" s="153" t="n">
        <x:v>1038.58</x:v>
      </x:c>
      <x:c r="E945" s="153" t="n">
        <x:v>1024</x:v>
      </x:c>
      <x:c r="F945" s="153" t="n">
        <x:v>1038</x:v>
      </x:c>
      <x:c r="G945" s="153" t="n">
        <x:v>12.98</x:v>
      </x:c>
      <x:c r="H945" s="154" t="n">
        <x:v>0.0127</x:v>
      </x:c>
      <x:c r="I945" s="158" t="n">
        <x:v>1035.39</x:v>
      </x:c>
      <x:c r="J945" s="158" t="n">
        <x:v>8032.7</x:v>
      </x:c>
      <x:c r="K945" s="158" t="n">
        <x:v>8316979603.6</x:v>
      </x:c>
      <x:c r="L945" s="158"/>
      <x:c r="M945" s="141" t="str">
        <x:v>https://www.sge.com.cn/sjzx/quotation_daily_new?start_date=2026-01-01&amp;end_date=2026-01-31&amp;inst_ids=Au99.99&amp;p=</x:v>
      </x:c>
    </x:row>
    <x:row r="946">
      <x:c r="A946" s="155" t="n">
        <x:v>46037</x:v>
      </x:c>
      <x:c r="B946" s="141" t="str">
        <x:v>Ag(T+D)</x:v>
      </x:c>
      <x:c r="C946" s="153" t="n">
        <x:v>22749</x:v>
      </x:c>
      <x:c r="D946" s="153" t="n">
        <x:v>23665</x:v>
      </x:c>
      <x:c r="E946" s="153" t="n">
        <x:v>21600</x:v>
      </x:c>
      <x:c r="F946" s="153" t="n">
        <x:v>22684</x:v>
      </x:c>
      <x:c r="G946" s="153" t="n">
        <x:v>341</x:v>
      </x:c>
      <x:c r="H946" s="154" t="n">
        <x:v>0.015300000000000001</x:v>
      </x:c>
      <x:c r="I946" s="158" t="n">
        <x:v>22604</x:v>
      </x:c>
      <x:c r="J946" s="158" t="n">
        <x:v>657202</x:v>
      </x:c>
      <x:c r="K946" s="158" t="n">
        <x:v>14855842336</x:v>
      </x:c>
      <x:c r="L946" s="158" t="n">
        <x:v>3125288</x:v>
      </x:c>
      <x:c r="M946" s="141" t="str">
        <x:v>https://www.sge.com.cn/sjzx/quotation_daily_new?start_date=2026-01-01&amp;end_date=2026-01-31&amp;inst_ids=Ag%28T%2BD%29&amp;p=</x:v>
      </x:c>
    </x:row>
    <x:row r="947">
      <x:c r="A947" s="155" t="n">
        <x:v>46037</x:v>
      </x:c>
      <x:c r="B947" s="141" t="str">
        <x:v>Au99.99</x:v>
      </x:c>
      <x:c r="C947" s="153" t="n">
        <x:v>1040</x:v>
      </x:c>
      <x:c r="D947" s="153" t="n">
        <x:v>1040</x:v>
      </x:c>
      <x:c r="E947" s="153" t="n">
        <x:v>1027.5</x:v>
      </x:c>
      <x:c r="F947" s="153" t="n">
        <x:v>1034.27</x:v>
      </x:c>
      <x:c r="G947" s="153" t="n">
        <x:v>-3.73</x:v>
      </x:c>
      <x:c r="H947" s="154" t="n">
        <x:v>-0.0036</x:v>
      </x:c>
      <x:c r="I947" s="158" t="n">
        <x:v>1031.07</x:v>
      </x:c>
      <x:c r="J947" s="158" t="n">
        <x:v>10278.2</x:v>
      </x:c>
      <x:c r="K947" s="158" t="n">
        <x:v>10597644337.2</x:v>
      </x:c>
      <x:c r="L947" s="158"/>
      <x:c r="M947" s="141" t="str">
        <x:v>https://www.sge.com.cn/sjzx/quotation_daily_new?start_date=2026-01-01&amp;end_date=2026-01-31&amp;inst_ids=Au99.99&amp;p=</x:v>
      </x:c>
    </x:row>
    <x:row r="948">
      <x:c r="A948" s="155" t="n">
        <x:v>46038</x:v>
      </x:c>
      <x:c r="B948" s="141" t="str">
        <x:v>Ag(T+D)</x:v>
      </x:c>
      <x:c r="C948" s="153" t="n">
        <x:v>22900</x:v>
      </x:c>
      <x:c r="D948" s="153" t="n">
        <x:v>23110</x:v>
      </x:c>
      <x:c r="E948" s="153" t="n">
        <x:v>22040</x:v>
      </x:c>
      <x:c r="F948" s="153" t="n">
        <x:v>22641</x:v>
      </x:c>
      <x:c r="G948" s="153" t="n">
        <x:v>37</x:v>
      </x:c>
      <x:c r="H948" s="154" t="n">
        <x:v>0.0016</x:v>
      </x:c>
      <x:c r="I948" s="158" t="n">
        <x:v>22707</x:v>
      </x:c>
      <x:c r="J948" s="158" t="n">
        <x:v>538580</x:v>
      </x:c>
      <x:c r="K948" s="158" t="n">
        <x:v>12229764738</x:v>
      </x:c>
      <x:c r="L948" s="158" t="n">
        <x:v>3156550</x:v>
      </x:c>
      <x:c r="M948" s="141" t="str">
        <x:v>https://www.sge.com.cn/sjzx/quotation_daily_new?start_date=2026-01-01&amp;end_date=2026-01-31&amp;inst_ids=Ag%28T%2BD%29&amp;p=</x:v>
      </x:c>
    </x:row>
    <x:row r="949">
      <x:c r="A949" s="155" t="n">
        <x:v>46038</x:v>
      </x:c>
      <x:c r="B949" s="141" t="str">
        <x:v>Au99.99</x:v>
      </x:c>
      <x:c r="C949" s="153" t="n">
        <x:v>1036</x:v>
      </x:c>
      <x:c r="D949" s="153" t="n">
        <x:v>1036</x:v>
      </x:c>
      <x:c r="E949" s="153" t="n">
        <x:v>1028</x:v>
      </x:c>
      <x:c r="F949" s="153" t="n">
        <x:v>1032.63</x:v>
      </x:c>
      <x:c r="G949" s="153" t="n">
        <x:v>-1.64</x:v>
      </x:c>
      <x:c r="H949" s="154" t="n">
        <x:v>-0.0016</x:v>
      </x:c>
      <x:c r="I949" s="158" t="n">
        <x:v>1030.91</x:v>
      </x:c>
      <x:c r="J949" s="158" t="n">
        <x:v>9432.52</x:v>
      </x:c>
      <x:c r="K949" s="158" t="n">
        <x:v>9724096698.4</x:v>
      </x:c>
      <x:c r="L949" s="158"/>
      <x:c r="M949" s="141" t="str">
        <x:v>https://www.sge.com.cn/sjzx/quotation_daily_new?start_date=2026-01-01&amp;end_date=2026-01-31&amp;inst_ids=Au99.99&amp;p=</x:v>
      </x:c>
    </x:row>
    <x:row r="950">
      <x:c r="A950" s="155" t="n">
        <x:v>46041</x:v>
      </x:c>
      <x:c r="B950" s="141" t="str">
        <x:v>Ag(T+D)</x:v>
      </x:c>
      <x:c r="C950" s="153" t="n">
        <x:v>22702</x:v>
      </x:c>
      <x:c r="D950" s="153" t="n">
        <x:v>23535</x:v>
      </x:c>
      <x:c r="E950" s="153" t="n">
        <x:v>21525</x:v>
      </x:c>
      <x:c r="F950" s="153" t="n">
        <x:v>23136</x:v>
      </x:c>
      <x:c r="G950" s="153" t="n">
        <x:v>429</x:v>
      </x:c>
      <x:c r="H950" s="154" t="n">
        <x:v>0.0189</x:v>
      </x:c>
      <x:c r="I950" s="158" t="n">
        <x:v>22706</x:v>
      </x:c>
      <x:c r="J950" s="158" t="n">
        <x:v>462472</x:v>
      </x:c>
      <x:c r="K950" s="158" t="n">
        <x:v>10501265914</x:v>
      </x:c>
      <x:c r="L950" s="158" t="n">
        <x:v>3144664</x:v>
      </x:c>
      <x:c r="M950" s="141" t="str">
        <x:v>https://www.sge.com.cn/sjzx/quotation_daily_new?start_date=2026-01-01&amp;end_date=2026-01-31&amp;inst_ids=Ag%28T%2BD%29&amp;p=</x:v>
      </x:c>
    </x:row>
    <x:row r="951">
      <x:c r="A951" s="155" t="n">
        <x:v>46041</x:v>
      </x:c>
      <x:c r="B951" s="141" t="str">
        <x:v>Au99.99</x:v>
      </x:c>
      <x:c r="C951" s="153" t="n">
        <x:v>1033</x:v>
      </x:c>
      <x:c r="D951" s="153" t="n">
        <x:v>1049.99</x:v>
      </x:c>
      <x:c r="E951" s="153" t="n">
        <x:v>1020</x:v>
      </x:c>
      <x:c r="F951" s="153" t="n">
        <x:v>1045.72</x:v>
      </x:c>
      <x:c r="G951" s="153" t="n">
        <x:v>13.09</x:v>
      </x:c>
      <x:c r="H951" s="154" t="n">
        <x:v>0.0127</x:v>
      </x:c>
      <x:c r="I951" s="158" t="n">
        <x:v>1044.06</x:v>
      </x:c>
      <x:c r="J951" s="158" t="n">
        <x:v>11766.16</x:v>
      </x:c>
      <x:c r="K951" s="158" t="n">
        <x:v>12284658302.2</x:v>
      </x:c>
      <x:c r="L951" s="158"/>
      <x:c r="M951" s="141" t="str">
        <x:v>https://www.sge.com.cn/sjzx/quotation_daily_new?start_date=2026-01-01&amp;end_date=2026-01-31&amp;inst_ids=Au99.99&amp;p=</x:v>
      </x:c>
    </x:row>
    <x:row r="952">
      <x:c r="A952" s="155" t="n">
        <x:v>46042</x:v>
      </x:c>
      <x:c r="B952" s="141" t="str">
        <x:v>Ag(T+D)</x:v>
      </x:c>
      <x:c r="C952" s="153" t="n">
        <x:v>23100</x:v>
      </x:c>
      <x:c r="D952" s="153" t="n">
        <x:v>23574</x:v>
      </x:c>
      <x:c r="E952" s="153" t="n">
        <x:v>22831</x:v>
      </x:c>
      <x:c r="F952" s="153" t="n">
        <x:v>23149</x:v>
      </x:c>
      <x:c r="G952" s="153" t="n">
        <x:v>443</x:v>
      </x:c>
      <x:c r="H952" s="154" t="n">
        <x:v>0.0195</x:v>
      </x:c>
      <x:c r="I952" s="158" t="n">
        <x:v>23135</x:v>
      </x:c>
      <x:c r="J952" s="158" t="n">
        <x:v>428876</x:v>
      </x:c>
      <x:c r="K952" s="158" t="n">
        <x:v>9922066288</x:v>
      </x:c>
      <x:c r="L952" s="158" t="n">
        <x:v>3176742</x:v>
      </x:c>
      <x:c r="M952" s="141" t="str">
        <x:v>https://www.sge.com.cn/sjzx/quotation_daily_new?start_date=2026-01-01&amp;end_date=2026-01-31&amp;inst_ids=Ag%28T%2BD%29&amp;p=</x:v>
      </x:c>
    </x:row>
    <x:row r="953">
      <x:c r="A953" s="155" t="n">
        <x:v>46042</x:v>
      </x:c>
      <x:c r="B953" s="141" t="str">
        <x:v>Au99.99</x:v>
      </x:c>
      <x:c r="C953" s="153" t="n">
        <x:v>1046</x:v>
      </x:c>
      <x:c r="D953" s="153" t="n">
        <x:v>1056.8</x:v>
      </x:c>
      <x:c r="E953" s="153" t="n">
        <x:v>1044.5</x:v>
      </x:c>
      <x:c r="F953" s="153" t="n">
        <x:v>1056.43</x:v>
      </x:c>
      <x:c r="G953" s="153" t="n">
        <x:v>10.71</x:v>
      </x:c>
      <x:c r="H953" s="154" t="n">
        <x:v>0.0102</x:v>
      </x:c>
      <x:c r="I953" s="158" t="n">
        <x:v>1051.07</x:v>
      </x:c>
      <x:c r="J953" s="158" t="n">
        <x:v>13502.2</x:v>
      </x:c>
      <x:c r="K953" s="158" t="n">
        <x:v>14191880424.2</x:v>
      </x:c>
      <x:c r="L953" s="158"/>
      <x:c r="M953" s="141" t="str">
        <x:v>https://www.sge.com.cn/sjzx/quotation_daily_new?start_date=2026-01-01&amp;end_date=2026-01-31&amp;inst_ids=Au99.99&amp;p=</x:v>
      </x:c>
    </x:row>
    <x:row r="954">
      <x:c r="A954" s="155" t="n">
        <x:v>46043</x:v>
      </x:c>
      <x:c r="B954" s="141" t="str">
        <x:v>Ag(T+D)</x:v>
      </x:c>
      <x:c r="C954" s="153" t="n">
        <x:v>23598</x:v>
      </x:c>
      <x:c r="D954" s="153" t="n">
        <x:v>23700</x:v>
      </x:c>
      <x:c r="E954" s="153" t="n">
        <x:v>22760</x:v>
      </x:c>
      <x:c r="F954" s="153" t="n">
        <x:v>23228</x:v>
      </x:c>
      <x:c r="G954" s="153" t="n">
        <x:v>93</x:v>
      </x:c>
      <x:c r="H954" s="154" t="n">
        <x:v>0.004</x:v>
      </x:c>
      <x:c r="I954" s="158" t="n">
        <x:v>23052</x:v>
      </x:c>
      <x:c r="J954" s="158" t="n">
        <x:v>422976</x:v>
      </x:c>
      <x:c r="K954" s="158" t="n">
        <x:v>9750458776</x:v>
      </x:c>
      <x:c r="L954" s="158" t="n">
        <x:v>3188754</x:v>
      </x:c>
      <x:c r="M954" s="141" t="str">
        <x:v>https://www.sge.com.cn/sjzx/quotation_daily_new?start_date=2026-01-01&amp;end_date=2026-01-31&amp;inst_ids=Ag%28T%2BD%29&amp;p=</x:v>
      </x:c>
    </x:row>
    <x:row r="955">
      <x:c r="A955" s="155" t="n">
        <x:v>46043</x:v>
      </x:c>
      <x:c r="B955" s="141" t="str">
        <x:v>Au99.99</x:v>
      </x:c>
      <x:c r="C955" s="153" t="n">
        <x:v>1058.99</x:v>
      </x:c>
      <x:c r="D955" s="153" t="n">
        <x:v>1099.99</x:v>
      </x:c>
      <x:c r="E955" s="153" t="n">
        <x:v>1055</x:v>
      </x:c>
      <x:c r="F955" s="153" t="n">
        <x:v>1087.81</x:v>
      </x:c>
      <x:c r="G955" s="153" t="n">
        <x:v>31.38</x:v>
      </x:c>
      <x:c r="H955" s="154" t="n">
        <x:v>0.0297</x:v>
      </x:c>
      <x:c r="I955" s="158" t="n">
        <x:v>1085.99</x:v>
      </x:c>
      <x:c r="J955" s="158" t="n">
        <x:v>15974.12</x:v>
      </x:c>
      <x:c r="K955" s="158" t="n">
        <x:v>17347787044</x:v>
      </x:c>
      <x:c r="L955" s="158"/>
      <x:c r="M955" s="141" t="str">
        <x:v>https://www.sge.com.cn/sjzx/quotation_daily_new?start_date=2026-01-01&amp;end_date=2026-01-31&amp;inst_ids=Au99.99&amp;p=</x:v>
      </x:c>
    </x:row>
    <x:row r="956">
      <x:c r="A956" s="155" t="n">
        <x:v>46044</x:v>
      </x:c>
      <x:c r="B956" s="141" t="str">
        <x:v>Ag(T+D)</x:v>
      </x:c>
      <x:c r="C956" s="153" t="n">
        <x:v>23220</x:v>
      </x:c>
      <x:c r="D956" s="153" t="n">
        <x:v>23404</x:v>
      </x:c>
      <x:c r="E956" s="153" t="n">
        <x:v>22500</x:v>
      </x:c>
      <x:c r="F956" s="153" t="n">
        <x:v>23366</x:v>
      </x:c>
      <x:c r="G956" s="153" t="n">
        <x:v>314</x:v>
      </x:c>
      <x:c r="H956" s="154" t="n">
        <x:v>0.013600000000000001</x:v>
      </x:c>
      <x:c r="I956" s="158" t="n">
        <x:v>23038</x:v>
      </x:c>
      <x:c r="J956" s="158" t="n">
        <x:v>417564</x:v>
      </x:c>
      <x:c r="K956" s="158" t="n">
        <x:v>9620051184</x:v>
      </x:c>
      <x:c r="L956" s="158" t="n">
        <x:v>3201484</x:v>
      </x:c>
      <x:c r="M956" s="141" t="str">
        <x:v>https://www.sge.com.cn/sjzx/quotation_daily_new?start_date=2026-01-01&amp;end_date=2026-01-31&amp;inst_ids=Ag%28T%2BD%29&amp;p=</x:v>
      </x:c>
    </x:row>
    <x:row r="957">
      <x:c r="A957" s="155" t="n">
        <x:v>46044</x:v>
      </x:c>
      <x:c r="B957" s="141" t="str">
        <x:v>Au99.99</x:v>
      </x:c>
      <x:c r="C957" s="153" t="n">
        <x:v>1090</x:v>
      </x:c>
      <x:c r="D957" s="153" t="n">
        <x:v>1098</x:v>
      </x:c>
      <x:c r="E957" s="153" t="n">
        <x:v>1066.01</x:v>
      </x:c>
      <x:c r="F957" s="153" t="n">
        <x:v>1083.69</x:v>
      </x:c>
      <x:c r="G957" s="153" t="n">
        <x:v>-4.12</x:v>
      </x:c>
      <x:c r="H957" s="154" t="n">
        <x:v>-0.0038</x:v>
      </x:c>
      <x:c r="I957" s="158" t="n">
        <x:v>1077</x:v>
      </x:c>
      <x:c r="J957" s="158" t="n">
        <x:v>11766.08</x:v>
      </x:c>
      <x:c r="K957" s="158" t="n">
        <x:v>12672072455.2</x:v>
      </x:c>
      <x:c r="L957" s="158"/>
      <x:c r="M957" s="141" t="str">
        <x:v>https://www.sge.com.cn/sjzx/quotation_daily_new?start_date=2026-01-01&amp;end_date=2026-01-31&amp;inst_ids=Au99.99&amp;p=</x:v>
      </x:c>
    </x:row>
    <x:row r="958">
      <x:c r="A958" s="155" t="n">
        <x:v>46045</x:v>
      </x:c>
      <x:c r="B958" s="141" t="str">
        <x:v>Ag(T+D)</x:v>
      </x:c>
      <x:c r="C958" s="153" t="n">
        <x:v>23203</x:v>
      </x:c>
      <x:c r="D958" s="153" t="n">
        <x:v>25080</x:v>
      </x:c>
      <x:c r="E958" s="153" t="n">
        <x:v>23120</x:v>
      </x:c>
      <x:c r="F958" s="153" t="n">
        <x:v>24988</x:v>
      </x:c>
      <x:c r="G958" s="153" t="n">
        <x:v>1950</x:v>
      </x:c>
      <x:c r="H958" s="154" t="n">
        <x:v>0.08460000000000001</x:v>
      </x:c>
      <x:c r="I958" s="158" t="n">
        <x:v>24673</x:v>
      </x:c>
      <x:c r="J958" s="158" t="n">
        <x:v>436090</x:v>
      </x:c>
      <x:c r="K958" s="158" t="n">
        <x:v>10759759550</x:v>
      </x:c>
      <x:c r="L958" s="158" t="n">
        <x:v>3292636</x:v>
      </x:c>
      <x:c r="M958" s="141" t="str">
        <x:v>https://www.sge.com.cn/sjzx/quotation_daily_new?start_date=2026-01-01&amp;end_date=2026-01-31&amp;inst_ids=Ag%28T%2BD%29&amp;p=</x:v>
      </x:c>
    </x:row>
    <x:row r="959">
      <x:c r="A959" s="155" t="n">
        <x:v>46045</x:v>
      </x:c>
      <x:c r="B959" s="141" t="str">
        <x:v>Au99.99</x:v>
      </x:c>
      <x:c r="C959" s="153" t="n">
        <x:v>1083.77</x:v>
      </x:c>
      <x:c r="D959" s="153" t="n">
        <x:v>1114</x:v>
      </x:c>
      <x:c r="E959" s="153" t="n">
        <x:v>1081</x:v>
      </x:c>
      <x:c r="F959" s="153" t="n">
        <x:v>1110.3</x:v>
      </x:c>
      <x:c r="G959" s="153" t="n">
        <x:v>26.61</x:v>
      </x:c>
      <x:c r="H959" s="154" t="n">
        <x:v>0.0246</x:v>
      </x:c>
      <x:c r="I959" s="158" t="n">
        <x:v>1110.37</x:v>
      </x:c>
      <x:c r="J959" s="158" t="n">
        <x:v>16342.62</x:v>
      </x:c>
      <x:c r="K959" s="158" t="n">
        <x:v>18146515838.6</x:v>
      </x:c>
      <x:c r="L959" s="158"/>
      <x:c r="M959" s="141" t="str">
        <x:v>https://www.sge.com.cn/sjzx/quotation_daily_new?start_date=2026-01-01&amp;end_date=2026-01-31&amp;inst_ids=Au99.99&amp;p=</x:v>
      </x:c>
    </x:row>
    <x:row r="960">
      <x:c r="A960" s="155" t="n">
        <x:v>46048</x:v>
      </x:c>
      <x:c r="B960" s="141" t="str">
        <x:v>Ag(T+D)</x:v>
      </x:c>
      <x:c r="C960" s="153" t="n">
        <x:v>24888</x:v>
      </x:c>
      <x:c r="D960" s="153" t="n">
        <x:v>27766</x:v>
      </x:c>
      <x:c r="E960" s="153" t="n">
        <x:v>24888</x:v>
      </x:c>
      <x:c r="F960" s="153" t="n">
        <x:v>27513</x:v>
      </x:c>
      <x:c r="G960" s="153" t="n">
        <x:v>2840</x:v>
      </x:c>
      <x:c r="H960" s="154" t="n">
        <x:v>0.1151</x:v>
      </x:c>
      <x:c r="I960" s="158" t="n">
        <x:v>26956</x:v>
      </x:c>
      <x:c r="J960" s="158" t="n">
        <x:v>702202</x:v>
      </x:c>
      <x:c r="K960" s="158" t="n">
        <x:v>18928942760</x:v>
      </x:c>
      <x:c r="L960" s="158" t="n">
        <x:v>3360232</x:v>
      </x:c>
      <x:c r="M960" s="141" t="str">
        <x:v>https://www.sge.com.cn/sjzx/quotation_daily_new?start_date=2026-01-01&amp;end_date=2026-01-31&amp;inst_ids=Ag%28T%2BD%29&amp;p=</x:v>
      </x:c>
    </x:row>
    <x:row r="961">
      <x:c r="A961" s="155" t="n">
        <x:v>46048</x:v>
      </x:c>
      <x:c r="B961" s="141" t="str">
        <x:v>Au99.99</x:v>
      </x:c>
      <x:c r="C961" s="153" t="n">
        <x:v>1107</x:v>
      </x:c>
      <x:c r="D961" s="153" t="n">
        <x:v>1147</x:v>
      </x:c>
      <x:c r="E961" s="153" t="n">
        <x:v>1105</x:v>
      </x:c>
      <x:c r="F961" s="153" t="n">
        <x:v>1144.45</x:v>
      </x:c>
      <x:c r="G961" s="153" t="n">
        <x:v>34.15</x:v>
      </x:c>
      <x:c r="H961" s="154" t="n">
        <x:v>0.0308</x:v>
      </x:c>
      <x:c r="I961" s="158" t="n">
        <x:v>1138.79</x:v>
      </x:c>
      <x:c r="J961" s="158" t="n">
        <x:v>29490.6</x:v>
      </x:c>
      <x:c r="K961" s="158" t="n">
        <x:v>33583663981</x:v>
      </x:c>
      <x:c r="L961" s="158"/>
      <x:c r="M961" s="141" t="str">
        <x:v>https://www.sge.com.cn/sjzx/quotation_daily_new?start_date=2026-01-01&amp;end_date=2026-01-31&amp;inst_ids=Au99.99&amp;p=</x:v>
      </x:c>
    </x:row>
    <x:row r="962">
      <x:c r="A962" s="155" t="n">
        <x:v>46049</x:v>
      </x:c>
      <x:c r="B962" s="141" t="str">
        <x:v>Ag(T+D)</x:v>
      </x:c>
      <x:c r="C962" s="153" t="n">
        <x:v>27800</x:v>
      </x:c>
      <x:c r="D962" s="153" t="n">
        <x:v>30091</x:v>
      </x:c>
      <x:c r="E962" s="153" t="n">
        <x:v>27311</x:v>
      </x:c>
      <x:c r="F962" s="153" t="n">
        <x:v>28732</x:v>
      </x:c>
      <x:c r="G962" s="153" t="n">
        <x:v>1776</x:v>
      </x:c>
      <x:c r="H962" s="154" t="n">
        <x:v>0.0659</x:v>
      </x:c>
      <x:c r="I962" s="158" t="n">
        <x:v>28195</x:v>
      </x:c>
      <x:c r="J962" s="158" t="n">
        <x:v>627160</x:v>
      </x:c>
      <x:c r="K962" s="158" t="n">
        <x:v>17682870644</x:v>
      </x:c>
      <x:c r="L962" s="158" t="n">
        <x:v>3346130</x:v>
      </x:c>
      <x:c r="M962" s="141" t="str">
        <x:v>https://www.sge.com.cn/sjzx/quotation_daily_new?start_date=2026-01-01&amp;end_date=2026-01-31&amp;inst_ids=Ag%28T%2BD%29&amp;p=</x:v>
      </x:c>
    </x:row>
    <x:row r="963">
      <x:c r="A963" s="155" t="n">
        <x:v>46049</x:v>
      </x:c>
      <x:c r="B963" s="141" t="str">
        <x:v>Au99.99</x:v>
      </x:c>
      <x:c r="C963" s="153" t="n">
        <x:v>1143.5</x:v>
      </x:c>
      <x:c r="D963" s="153" t="n">
        <x:v>1150</x:v>
      </x:c>
      <x:c r="E963" s="153" t="n">
        <x:v>1126</x:v>
      </x:c>
      <x:c r="F963" s="153" t="n">
        <x:v>1144.14</x:v>
      </x:c>
      <x:c r="G963" s="153" t="n">
        <x:v>-0.31</x:v>
      </x:c>
      <x:c r="H963" s="154" t="n">
        <x:v>-0.0003</x:v>
      </x:c>
      <x:c r="I963" s="158" t="n">
        <x:v>1139.45</x:v>
      </x:c>
      <x:c r="J963" s="158" t="n">
        <x:v>23996.76</x:v>
      </x:c>
      <x:c r="K963" s="158" t="n">
        <x:v>27343290747</x:v>
      </x:c>
      <x:c r="L963" s="158"/>
      <x:c r="M963" s="141" t="str">
        <x:v>https://www.sge.com.cn/sjzx/quotation_daily_new?start_date=2026-01-01&amp;end_date=2026-01-31&amp;inst_ids=Au99.99&amp;p=</x:v>
      </x:c>
    </x:row>
    <x:row r="964">
      <x:c r="A964" s="155" t="n">
        <x:v>46050</x:v>
      </x:c>
      <x:c r="B964" s="141" t="str">
        <x:v>Ag(T+D)</x:v>
      </x:c>
      <x:c r="C964" s="153" t="n">
        <x:v>28881</x:v>
      </x:c>
      <x:c r="D964" s="153" t="n">
        <x:v>29600</x:v>
      </x:c>
      <x:c r="E964" s="153" t="n">
        <x:v>27195</x:v>
      </x:c>
      <x:c r="F964" s="153" t="n">
        <x:v>29310</x:v>
      </x:c>
      <x:c r="G964" s="153" t="n">
        <x:v>1115</x:v>
      </x:c>
      <x:c r="H964" s="154" t="n">
        <x:v>0.0395</x:v>
      </x:c>
      <x:c r="I964" s="158" t="n">
        <x:v>29019</x:v>
      </x:c>
      <x:c r="J964" s="158" t="n">
        <x:v>609036</x:v>
      </x:c>
      <x:c r="K964" s="158" t="n">
        <x:v>17673958256</x:v>
      </x:c>
      <x:c r="L964" s="158" t="n">
        <x:v>3335610</x:v>
      </x:c>
      <x:c r="M964" s="141" t="str">
        <x:v>https://www.sge.com.cn/sjzx/quotation_daily_new?start_date=2026-01-01&amp;end_date=2026-01-31&amp;inst_ids=Ag%28T%2BD%29&amp;p=</x:v>
      </x:c>
    </x:row>
    <x:row r="965">
      <x:c r="A965" s="155" t="n">
        <x:v>46050</x:v>
      </x:c>
      <x:c r="B965" s="141" t="str">
        <x:v>Au99.99</x:v>
      </x:c>
      <x:c r="C965" s="153" t="n">
        <x:v>1142</x:v>
      </x:c>
      <x:c r="D965" s="153" t="n">
        <x:v>1185.9</x:v>
      </x:c>
      <x:c r="E965" s="153" t="n">
        <x:v>1030</x:v>
      </x:c>
      <x:c r="F965" s="153" t="n">
        <x:v>1184.96</x:v>
      </x:c>
      <x:c r="G965" s="153" t="n">
        <x:v>40.82</x:v>
      </x:c>
      <x:c r="H965" s="154" t="n">
        <x:v>0.035699999999999996</x:v>
      </x:c>
      <x:c r="I965" s="158" t="n">
        <x:v>1174.09</x:v>
      </x:c>
      <x:c r="J965" s="158" t="n">
        <x:v>24859.42</x:v>
      </x:c>
      <x:c r="K965" s="158" t="n">
        <x:v>29187389604</x:v>
      </x:c>
      <x:c r="L965" s="158"/>
      <x:c r="M965" s="141" t="str">
        <x:v>https://www.sge.com.cn/sjzx/quotation_daily_new?start_date=2026-01-01&amp;end_date=2026-01-31&amp;inst_ids=Au99.99&amp;p=</x:v>
      </x:c>
    </x:row>
    <x:row r="966">
      <x:c r="A966" s="155" t="n">
        <x:v>46051</x:v>
      </x:c>
      <x:c r="B966" s="141" t="str">
        <x:v>Ag(T+D)</x:v>
      </x:c>
      <x:c r="C966" s="153" t="n">
        <x:v>29018</x:v>
      </x:c>
      <x:c r="D966" s="153" t="n">
        <x:v>30280</x:v>
      </x:c>
      <x:c r="E966" s="153" t="n">
        <x:v>28750</x:v>
      </x:c>
      <x:c r="F966" s="153" t="n">
        <x:v>29998</x:v>
      </x:c>
      <x:c r="G966" s="153" t="n">
        <x:v>979</x:v>
      </x:c>
      <x:c r="H966" s="154" t="n">
        <x:v>0.0337</x:v>
      </x:c>
      <x:c r="I966" s="158" t="n">
        <x:v>29797</x:v>
      </x:c>
      <x:c r="J966" s="158" t="n">
        <x:v>687950</x:v>
      </x:c>
      <x:c r="K966" s="158" t="n">
        <x:v>20499319100</x:v>
      </x:c>
      <x:c r="L966" s="158" t="n">
        <x:v>3275288</x:v>
      </x:c>
      <x:c r="M966" s="141" t="str">
        <x:v>https://www.sge.com.cn/sjzx/quotation_daily_new?start_date=2026-01-01&amp;end_date=2026-01-31&amp;inst_ids=Ag%28T%2BD%29&amp;p=</x:v>
      </x:c>
    </x:row>
    <x:row r="967">
      <x:c r="A967" s="155" t="n">
        <x:v>46051</x:v>
      </x:c>
      <x:c r="B967" s="141" t="str">
        <x:v>Au99.99</x:v>
      </x:c>
      <x:c r="C967" s="153" t="n">
        <x:v>1180.5</x:v>
      </x:c>
      <x:c r="D967" s="153" t="n">
        <x:v>1256</x:v>
      </x:c>
      <x:c r="E967" s="153" t="n">
        <x:v>1178</x:v>
      </x:c>
      <x:c r="F967" s="153" t="n">
        <x:v>1243.02</x:v>
      </x:c>
      <x:c r="G967" s="153" t="n">
        <x:v>58.06</x:v>
      </x:c>
      <x:c r="H967" s="154" t="n">
        <x:v>0.049</x:v>
      </x:c>
      <x:c r="I967" s="158" t="n">
        <x:v>1243.19</x:v>
      </x:c>
      <x:c r="J967" s="158" t="n">
        <x:v>28722.02</x:v>
      </x:c>
      <x:c r="K967" s="158" t="n">
        <x:v>35707179139.4</x:v>
      </x:c>
      <x:c r="L967" s="158"/>
      <x:c r="M967" s="141" t="str">
        <x:v>https://www.sge.com.cn/sjzx/quotation_daily_new?start_date=2026-01-01&amp;end_date=2026-01-31&amp;inst_ids=Au99.99&amp;p=</x:v>
      </x:c>
    </x:row>
    <x:row r="968">
      <x:c r="A968" s="155" t="n">
        <x:v>46052</x:v>
      </x:c>
      <x:c r="B968" s="141" t="str">
        <x:v>Ag(T+D)</x:v>
      </x:c>
      <x:c r="C968" s="153" t="n">
        <x:v>30179</x:v>
      </x:c>
      <x:c r="D968" s="153" t="n">
        <x:v>31000</x:v>
      </x:c>
      <x:c r="E968" s="153" t="n">
        <x:v>27151</x:v>
      </x:c>
      <x:c r="F968" s="153" t="n">
        <x:v>27530</x:v>
      </x:c>
      <x:c r="G968" s="153" t="n">
        <x:v>-2267</x:v>
      </x:c>
      <x:c r="H968" s="154" t="n">
        <x:v>-0.0761</x:v>
      </x:c>
      <x:c r="I968" s="158" t="n">
        <x:v>28914</x:v>
      </x:c>
      <x:c r="J968" s="158" t="n">
        <x:v>531280</x:v>
      </x:c>
      <x:c r="K968" s="158" t="n">
        <x:v>15361612382</x:v>
      </x:c>
      <x:c r="L968" s="158" t="n">
        <x:v>3240738</x:v>
      </x:c>
      <x:c r="M968" s="141" t="str">
        <x:v>https://www.sge.com.cn/sjzx/quotation_daily_new?start_date=2026-01-01&amp;end_date=2026-01-31&amp;inst_ids=Ag%28T%2BD%29&amp;p=</x:v>
      </x:c>
    </x:row>
    <x:row r="969">
      <x:c r="A969" s="155" t="n">
        <x:v>46052</x:v>
      </x:c>
      <x:c r="B969" s="141" t="str">
        <x:v>Au99.99</x:v>
      </x:c>
      <x:c r="C969" s="153" t="n">
        <x:v>1247.9</x:v>
      </x:c>
      <x:c r="D969" s="153" t="n">
        <x:v>1248.5</x:v>
      </x:c>
      <x:c r="E969" s="153" t="n">
        <x:v>1148.01</x:v>
      </x:c>
      <x:c r="F969" s="153" t="n">
        <x:v>1163.95</x:v>
      </x:c>
      <x:c r="G969" s="153" t="n">
        <x:v>-79.07</x:v>
      </x:c>
      <x:c r="H969" s="154" t="n">
        <x:v>-0.0636</x:v>
      </x:c>
      <x:c r="I969" s="158" t="n">
        <x:v>1175.03</x:v>
      </x:c>
      <x:c r="J969" s="158" t="n">
        <x:v>22073.98</x:v>
      </x:c>
      <x:c r="K969" s="158" t="n">
        <x:v>25937645879.6</x:v>
      </x:c>
      <x:c r="L969" s="158"/>
      <x:c r="M969" s="141" t="str">
        <x:v>https://www.sge.com.cn/sjzx/quotation_daily_new?start_date=2026-01-01&amp;end_date=2026-01-31&amp;inst_ids=Au99.99&amp;p=</x:v>
      </x:c>
    </x:row>
    <x:row r="970">
      <x:c r="A970" s="155" t="n">
        <x:v>46055</x:v>
      </x:c>
      <x:c r="B970" s="141" t="str">
        <x:v>Ag(T+D)</x:v>
      </x:c>
      <x:c r="C970" s="153" t="n">
        <x:v>26671</x:v>
      </x:c>
      <x:c r="D970" s="153" t="n">
        <x:v>26780</x:v>
      </x:c>
      <x:c r="E970" s="153" t="n">
        <x:v>23420</x:v>
      </x:c>
      <x:c r="F970" s="153" t="n">
        <x:v>23420</x:v>
      </x:c>
      <x:c r="G970" s="153" t="n">
        <x:v>-5494</x:v>
      </x:c>
      <x:c r="H970" s="154" t="n">
        <x:v>-0.19</x:v>
      </x:c>
      <x:c r="I970" s="158" t="n">
        <x:v>25104</x:v>
      </x:c>
      <x:c r="J970" s="158" t="n">
        <x:v>211926</x:v>
      </x:c>
      <x:c r="K970" s="158" t="n">
        <x:v>5320291684</x:v>
      </x:c>
      <x:c r="L970" s="158" t="n">
        <x:v>3228388</x:v>
      </x:c>
      <x:c r="M970" s="141" t="str">
        <x:v>https://www.sge.com.cn/sjzx/quotation_daily_new?start_date=2026-02-01&amp;end_date=2026-02-28&amp;inst_ids=Ag%28T%2BD%29&amp;p=</x:v>
      </x:c>
    </x:row>
    <x:row r="971">
      <x:c r="A971" s="155" t="n">
        <x:v>46055</x:v>
      </x:c>
      <x:c r="B971" s="141" t="str">
        <x:v>Au99.99</x:v>
      </x:c>
      <x:c r="C971" s="153" t="n">
        <x:v>1153</x:v>
      </x:c>
      <x:c r="D971" s="153" t="n">
        <x:v>1157</x:v>
      </x:c>
      <x:c r="E971" s="153" t="n">
        <x:v>998</x:v>
      </x:c>
      <x:c r="F971" s="153" t="n">
        <x:v>1030</x:v>
      </x:c>
      <x:c r="G971" s="153" t="n">
        <x:v>-133.95</x:v>
      </x:c>
      <x:c r="H971" s="154" t="n">
        <x:v>-0.1151</x:v>
      </x:c>
      <x:c r="I971" s="158" t="n">
        <x:v>1044.39</x:v>
      </x:c>
      <x:c r="J971" s="158" t="n">
        <x:v>27136.52</x:v>
      </x:c>
      <x:c r="K971" s="158" t="n">
        <x:v>28341252699.4</x:v>
      </x:c>
      <x:c r="L971" s="158"/>
      <x:c r="M971" s="141" t="str">
        <x:v>https://www.sge.com.cn/sjzx/quotation_daily_new?start_date=2026-02-01&amp;end_date=2026-02-28&amp;inst_ids=Au99.99&amp;p=</x:v>
      </x:c>
    </x:row>
    <x:row r="972">
      <x:c r="A972" s="155" t="n">
        <x:v>46056</x:v>
      </x:c>
      <x:c r="B972" s="141" t="str">
        <x:v>Ag(T+D)</x:v>
      </x:c>
      <x:c r="C972" s="153" t="n">
        <x:v>21122</x:v>
      </x:c>
      <x:c r="D972" s="153" t="n">
        <x:v>21850</x:v>
      </x:c>
      <x:c r="E972" s="153" t="n">
        <x:v>19500</x:v>
      </x:c>
      <x:c r="F972" s="153" t="n">
        <x:v>21600</x:v>
      </x:c>
      <x:c r="G972" s="153" t="n">
        <x:v>-3504</x:v>
      </x:c>
      <x:c r="H972" s="154" t="n">
        <x:v>-0.1396</x:v>
      </x:c>
      <x:c r="I972" s="158" t="n">
        <x:v>20915</x:v>
      </x:c>
      <x:c r="J972" s="158" t="n">
        <x:v>686290</x:v>
      </x:c>
      <x:c r="K972" s="158" t="n">
        <x:v>14354011602</x:v>
      </x:c>
      <x:c r="L972" s="158" t="n">
        <x:v>3130860</x:v>
      </x:c>
      <x:c r="M972" s="141" t="str">
        <x:v>https://www.sge.com.cn/sjzx/quotation_daily_new?start_date=2026-02-01&amp;end_date=2026-02-28&amp;inst_ids=Ag%28T%2BD%29&amp;p=</x:v>
      </x:c>
    </x:row>
    <x:row r="973">
      <x:c r="A973" s="155" t="n">
        <x:v>46056</x:v>
      </x:c>
      <x:c r="B973" s="141" t="str">
        <x:v>Au99.99</x:v>
      </x:c>
      <x:c r="C973" s="153" t="n">
        <x:v>1070</x:v>
      </x:c>
      <x:c r="D973" s="153" t="n">
        <x:v>1100</x:v>
      </x:c>
      <x:c r="E973" s="153" t="n">
        <x:v>1040</x:v>
      </x:c>
      <x:c r="F973" s="153" t="n">
        <x:v>1097.89</x:v>
      </x:c>
      <x:c r="G973" s="153" t="n">
        <x:v>67.89</x:v>
      </x:c>
      <x:c r="H973" s="154" t="n">
        <x:v>0.0659</x:v>
      </x:c>
      <x:c r="I973" s="158" t="n">
        <x:v>1076.22</x:v>
      </x:c>
      <x:c r="J973" s="158" t="n">
        <x:v>24874.16</x:v>
      </x:c>
      <x:c r="K973" s="158" t="n">
        <x:v>26770167466.6</x:v>
      </x:c>
      <x:c r="L973" s="158"/>
      <x:c r="M973" s="141" t="str">
        <x:v>https://www.sge.com.cn/sjzx/quotation_daily_new?start_date=2026-02-01&amp;end_date=2026-02-28&amp;inst_ids=Au99.99&amp;p=</x:v>
      </x:c>
    </x:row>
    <x:row r="974">
      <x:c r="A974" s="155" t="n">
        <x:v>46057</x:v>
      </x:c>
      <x:c r="B974" s="141" t="str">
        <x:v>Ag(T+D)</x:v>
      </x:c>
      <x:c r="C974" s="153" t="n">
        <x:v>21550</x:v>
      </x:c>
      <x:c r="D974" s="153" t="n">
        <x:v>23561</x:v>
      </x:c>
      <x:c r="E974" s="153" t="n">
        <x:v>21550</x:v>
      </x:c>
      <x:c r="F974" s="153" t="n">
        <x:v>23560</x:v>
      </x:c>
      <x:c r="G974" s="153" t="n">
        <x:v>2645</x:v>
      </x:c>
      <x:c r="H974" s="154" t="n">
        <x:v>0.1265</x:v>
      </x:c>
      <x:c r="I974" s="158" t="n">
        <x:v>22443</x:v>
      </x:c>
      <x:c r="J974" s="158" t="n">
        <x:v>523996</x:v>
      </x:c>
      <x:c r="K974" s="158" t="n">
        <x:v>11760231640</x:v>
      </x:c>
      <x:c r="L974" s="158" t="n">
        <x:v>3167552</x:v>
      </x:c>
      <x:c r="M974" s="141" t="str">
        <x:v>https://www.sge.com.cn/sjzx/quotation_daily_new?start_date=2026-02-01&amp;end_date=2026-02-28&amp;inst_ids=Ag%28T%2BD%29&amp;p=</x:v>
      </x:c>
    </x:row>
    <x:row r="975">
      <x:c r="A975" s="155" t="n">
        <x:v>46057</x:v>
      </x:c>
      <x:c r="B975" s="141" t="str">
        <x:v>Au99.99</x:v>
      </x:c>
      <x:c r="C975" s="153" t="n">
        <x:v>1100</x:v>
      </x:c>
      <x:c r="D975" s="153" t="n">
        <x:v>1198.5</x:v>
      </x:c>
      <x:c r="E975" s="153" t="n">
        <x:v>1090</x:v>
      </x:c>
      <x:c r="F975" s="153" t="n">
        <x:v>1140.3</x:v>
      </x:c>
      <x:c r="G975" s="153" t="n">
        <x:v>42.41</x:v>
      </x:c>
      <x:c r="H975" s="154" t="n">
        <x:v>0.038599999999999995</x:v>
      </x:c>
      <x:c r="I975" s="158" t="n">
        <x:v>1133.54</x:v>
      </x:c>
      <x:c r="J975" s="158" t="n">
        <x:v>18882.84</x:v>
      </x:c>
      <x:c r="K975" s="158" t="n">
        <x:v>21404627980.8</x:v>
      </x:c>
      <x:c r="L975" s="158"/>
      <x:c r="M975" s="141" t="str">
        <x:v>https://www.sge.com.cn/sjzx/quotation_daily_new?start_date=2026-02-01&amp;end_date=2026-02-28&amp;inst_ids=Au99.99&amp;p=</x:v>
      </x:c>
    </x:row>
    <x:row r="976">
      <x:c r="A976" s="155" t="n">
        <x:v>46058</x:v>
      </x:c>
      <x:c r="B976" s="141" t="str">
        <x:v>Ag(T+D)</x:v>
      </x:c>
      <x:c r="C976" s="153" t="n">
        <x:v>23493</x:v>
      </x:c>
      <x:c r="D976" s="153" t="n">
        <x:v>23968</x:v>
      </x:c>
      <x:c r="E976" s="153" t="n">
        <x:v>18000</x:v>
      </x:c>
      <x:c r="F976" s="153" t="n">
        <x:v>19885</x:v>
      </x:c>
      <x:c r="G976" s="153" t="n">
        <x:v>-2558</x:v>
      </x:c>
      <x:c r="H976" s="154" t="n">
        <x:v>-0.114</x:v>
      </x:c>
      <x:c r="I976" s="158" t="n">
        <x:v>20538</x:v>
      </x:c>
      <x:c r="J976" s="158" t="n">
        <x:v>790380</x:v>
      </x:c>
      <x:c r="K976" s="158" t="n">
        <x:v>16233570170</x:v>
      </x:c>
      <x:c r="L976" s="158" t="n">
        <x:v>3220842</x:v>
      </x:c>
      <x:c r="M976" s="141" t="str">
        <x:v>https://www.sge.com.cn/sjzx/quotation_daily_new?start_date=2026-02-01&amp;end_date=2026-02-28&amp;inst_ids=Ag%28T%2BD%29&amp;p=</x:v>
      </x:c>
    </x:row>
    <x:row r="977">
      <x:c r="A977" s="155" t="n">
        <x:v>46058</x:v>
      </x:c>
      <x:c r="B977" s="141" t="str">
        <x:v>Au99.99</x:v>
      </x:c>
      <x:c r="C977" s="153" t="n">
        <x:v>1139</x:v>
      </x:c>
      <x:c r="D977" s="153" t="n">
        <x:v>1140</x:v>
      </x:c>
      <x:c r="E977" s="153" t="n">
        <x:v>1078</x:v>
      </x:c>
      <x:c r="F977" s="153" t="n">
        <x:v>1105.47</x:v>
      </x:c>
      <x:c r="G977" s="153" t="n">
        <x:v>-34.83</x:v>
      </x:c>
      <x:c r="H977" s="154" t="n">
        <x:v>-0.0305</x:v>
      </x:c>
      <x:c r="I977" s="158" t="n">
        <x:v>1102.93</x:v>
      </x:c>
      <x:c r="J977" s="158" t="n">
        <x:v>14487.78</x:v>
      </x:c>
      <x:c r="K977" s="158" t="n">
        <x:v>15979015073</x:v>
      </x:c>
      <x:c r="L977" s="158"/>
      <x:c r="M977" s="141" t="str">
        <x:v>https://www.sge.com.cn/sjzx/quotation_daily_new?start_date=2026-02-01&amp;end_date=2026-02-28&amp;inst_ids=Au99.99&amp;p=</x:v>
      </x:c>
    </x:row>
    <x:row r="978">
      <x:c r="A978" s="155" t="n">
        <x:v>46059</x:v>
      </x:c>
      <x:c r="B978" s="141" t="str">
        <x:v>Ag(T+D)</x:v>
      </x:c>
      <x:c r="C978" s="153" t="n">
        <x:v>19700</x:v>
      </x:c>
      <x:c r="D978" s="153" t="n">
        <x:v>19700</x:v>
      </x:c>
      <x:c r="E978" s="153" t="n">
        <x:v>17000</x:v>
      </x:c>
      <x:c r="F978" s="153" t="n">
        <x:v>18197</x:v>
      </x:c>
      <x:c r="G978" s="153" t="n">
        <x:v>-2341</x:v>
      </x:c>
      <x:c r="H978" s="154" t="n">
        <x:v>-0.114</x:v>
      </x:c>
      <x:c r="I978" s="158" t="n">
        <x:v>18129</x:v>
      </x:c>
      <x:c r="J978" s="158" t="n">
        <x:v>786230</x:v>
      </x:c>
      <x:c r="K978" s="158" t="n">
        <x:v>14253845726</x:v>
      </x:c>
      <x:c r="L978" s="158" t="n">
        <x:v>3334864</x:v>
      </x:c>
      <x:c r="M978" s="141" t="str">
        <x:v>https://www.sge.com.cn/sjzx/quotation_daily_new?start_date=2026-02-01&amp;end_date=2026-02-28&amp;inst_ids=Ag%28T%2BD%29&amp;p=</x:v>
      </x:c>
    </x:row>
    <x:row r="979">
      <x:c r="A979" s="155" t="n">
        <x:v>46059</x:v>
      </x:c>
      <x:c r="B979" s="141" t="str">
        <x:v>Au99.99</x:v>
      </x:c>
      <x:c r="C979" s="153" t="n">
        <x:v>1094</x:v>
      </x:c>
      <x:c r="D979" s="153" t="n">
        <x:v>1102.95</x:v>
      </x:c>
      <x:c r="E979" s="153" t="n">
        <x:v>1049.01</x:v>
      </x:c>
      <x:c r="F979" s="153" t="n">
        <x:v>1093.85</x:v>
      </x:c>
      <x:c r="G979" s="153" t="n">
        <x:v>-11.62</x:v>
      </x:c>
      <x:c r="H979" s="154" t="n">
        <x:v>-0.0105</x:v>
      </x:c>
      <x:c r="I979" s="158" t="n">
        <x:v>1082.47</x:v>
      </x:c>
      <x:c r="J979" s="158" t="n">
        <x:v>16914.04</x:v>
      </x:c>
      <x:c r="K979" s="158" t="n">
        <x:v>18308998248.8</x:v>
      </x:c>
      <x:c r="L979" s="158"/>
      <x:c r="M979" s="141" t="str">
        <x:v>https://www.sge.com.cn/sjzx/quotation_daily_new?start_date=2026-02-01&amp;end_date=2026-02-28&amp;inst_ids=Au99.99&amp;p=</x:v>
      </x:c>
    </x:row>
    <x:row r="980">
      <x:c r="A980" s="155" t="n">
        <x:v>46062</x:v>
      </x:c>
      <x:c r="B980" s="141" t="str">
        <x:v>Ag(T+D)</x:v>
      </x:c>
      <x:c r="C980" s="153" t="n">
        <x:v>18500</x:v>
      </x:c>
      <x:c r="D980" s="153" t="n">
        <x:v>20100</x:v>
      </x:c>
      <x:c r="E980" s="153" t="n">
        <x:v>17829</x:v>
      </x:c>
      <x:c r="F980" s="153" t="n">
        <x:v>19503</x:v>
      </x:c>
      <x:c r="G980" s="153" t="n">
        <x:v>1374</x:v>
      </x:c>
      <x:c r="H980" s="154" t="n">
        <x:v>0.0758</x:v>
      </x:c>
      <x:c r="I980" s="158" t="n">
        <x:v>19173</x:v>
      </x:c>
      <x:c r="J980" s="158" t="n">
        <x:v>327768</x:v>
      </x:c>
      <x:c r="K980" s="158" t="n">
        <x:v>6284411260</x:v>
      </x:c>
      <x:c r="L980" s="158" t="n">
        <x:v>3259846</x:v>
      </x:c>
      <x:c r="M980" s="141" t="str">
        <x:v>https://www.sge.com.cn/sjzx/quotation_daily_new?start_date=2026-02-01&amp;end_date=2026-02-28&amp;inst_ids=Ag%28T%2BD%29&amp;p=</x:v>
      </x:c>
    </x:row>
    <x:row r="981">
      <x:c r="A981" s="155" t="n">
        <x:v>46062</x:v>
      </x:c>
      <x:c r="B981" s="141" t="str">
        <x:v>Au99.99</x:v>
      </x:c>
      <x:c r="C981" s="153" t="n">
        <x:v>1090</x:v>
      </x:c>
      <x:c r="D981" s="153" t="n">
        <x:v>1132</x:v>
      </x:c>
      <x:c r="E981" s="153" t="n">
        <x:v>1050</x:v>
      </x:c>
      <x:c r="F981" s="153" t="n">
        <x:v>1116.02</x:v>
      </x:c>
      <x:c r="G981" s="153" t="n">
        <x:v>22.17</x:v>
      </x:c>
      <x:c r="H981" s="154" t="n">
        <x:v>0.0203</x:v>
      </x:c>
      <x:c r="I981" s="158" t="n">
        <x:v>1120.65</x:v>
      </x:c>
      <x:c r="J981" s="158" t="n">
        <x:v>9656.54</x:v>
      </x:c>
      <x:c r="K981" s="158" t="n">
        <x:v>10821683169.6</x:v>
      </x:c>
      <x:c r="L981" s="158"/>
      <x:c r="M981" s="141" t="str">
        <x:v>https://www.sge.com.cn/sjzx/quotation_daily_new?start_date=2026-02-01&amp;end_date=2026-02-28&amp;inst_ids=Au99.99&amp;p=</x:v>
      </x:c>
    </x:row>
    <x:row r="982">
      <x:c r="A982" s="155" t="n">
        <x:v>46063</x:v>
      </x:c>
      <x:c r="B982" s="141" t="str">
        <x:v>Ag(T+D)</x:v>
      </x:c>
      <x:c r="C982" s="153" t="n">
        <x:v>19260</x:v>
      </x:c>
      <x:c r="D982" s="153" t="n">
        <x:v>19720</x:v>
      </x:c>
      <x:c r="E982" s="153" t="n">
        <x:v>18986</x:v>
      </x:c>
      <x:c r="F982" s="153" t="n">
        <x:v>19268</x:v>
      </x:c>
      <x:c r="G982" s="153" t="n">
        <x:v>95</x:v>
      </x:c>
      <x:c r="H982" s="154" t="n">
        <x:v>0.005</x:v>
      </x:c>
      <x:c r="I982" s="158" t="n">
        <x:v>19300</x:v>
      </x:c>
      <x:c r="J982" s="158" t="n">
        <x:v>288342</x:v>
      </x:c>
      <x:c r="K982" s="158" t="n">
        <x:v>5565215168</x:v>
      </x:c>
      <x:c r="L982" s="158" t="n">
        <x:v>3215594</x:v>
      </x:c>
      <x:c r="M982" s="141" t="str">
        <x:v>https://www.sge.com.cn/sjzx/quotation_daily_new?start_date=2026-02-01&amp;end_date=2026-02-28&amp;inst_ids=Ag%28T%2BD%29&amp;p=</x:v>
      </x:c>
    </x:row>
    <x:row r="983">
      <x:c r="A983" s="155" t="n">
        <x:v>46063</x:v>
      </x:c>
      <x:c r="B983" s="141" t="str">
        <x:v>Au99.99</x:v>
      </x:c>
      <x:c r="C983" s="153" t="n">
        <x:v>1121</x:v>
      </x:c>
      <x:c r="D983" s="153" t="n">
        <x:v>1130.5</x:v>
      </x:c>
      <x:c r="E983" s="153" t="n">
        <x:v>1115</x:v>
      </x:c>
      <x:c r="F983" s="153" t="n">
        <x:v>1116.69</x:v>
      </x:c>
      <x:c r="G983" s="153" t="n">
        <x:v>0.67</x:v>
      </x:c>
      <x:c r="H983" s="154" t="n">
        <x:v>0.0006</x:v>
      </x:c>
      <x:c r="I983" s="158" t="n">
        <x:v>1119.97</x:v>
      </x:c>
      <x:c r="J983" s="158" t="n">
        <x:v>6148.78</x:v>
      </x:c>
      <x:c r="K983" s="158" t="n">
        <x:v>6886504657.2</x:v>
      </x:c>
      <x:c r="L983" s="158"/>
      <x:c r="M983" s="141" t="str">
        <x:v>https://www.sge.com.cn/sjzx/quotation_daily_new?start_date=2026-02-01&amp;end_date=2026-02-28&amp;inst_ids=Au99.99&amp;p=</x:v>
      </x:c>
    </x:row>
    <x:row r="984">
      <x:c r="A984" s="155" t="n">
        <x:v>46064</x:v>
      </x:c>
      <x:c r="B984" s="141" t="str">
        <x:v>Ag(T+D)</x:v>
      </x:c>
      <x:c r="C984" s="153" t="n">
        <x:v>19370</x:v>
      </x:c>
      <x:c r="D984" s="153" t="n">
        <x:v>20000</x:v>
      </x:c>
      <x:c r="E984" s="153" t="n">
        <x:v>19195</x:v>
      </x:c>
      <x:c r="F984" s="153" t="n">
        <x:v>19899</x:v>
      </x:c>
      <x:c r="G984" s="153" t="n">
        <x:v>599</x:v>
      </x:c>
      <x:c r="H984" s="154" t="n">
        <x:v>0.031</x:v>
      </x:c>
      <x:c r="I984" s="158" t="n">
        <x:v>19609</x:v>
      </x:c>
      <x:c r="J984" s="158" t="n">
        <x:v>232512</x:v>
      </x:c>
      <x:c r="K984" s="158" t="n">
        <x:v>4559373100</x:v>
      </x:c>
      <x:c r="L984" s="158" t="n">
        <x:v>3188668</x:v>
      </x:c>
      <x:c r="M984" s="141" t="str">
        <x:v>https://www.sge.com.cn/sjzx/quotation_daily_new?start_date=2026-02-01&amp;end_date=2026-02-28&amp;inst_ids=Ag%28T%2BD%29&amp;p=</x:v>
      </x:c>
    </x:row>
    <x:row r="985">
      <x:c r="A985" s="155" t="n">
        <x:v>46064</x:v>
      </x:c>
      <x:c r="B985" s="141" t="str">
        <x:v>Au99.99</x:v>
      </x:c>
      <x:c r="C985" s="153" t="n">
        <x:v>1120</x:v>
      </x:c>
      <x:c r="D985" s="153" t="n">
        <x:v>1128</x:v>
      </x:c>
      <x:c r="E985" s="153" t="n">
        <x:v>1115</x:v>
      </x:c>
      <x:c r="F985" s="153" t="n">
        <x:v>1123.02</x:v>
      </x:c>
      <x:c r="G985" s="153" t="n">
        <x:v>6.33</x:v>
      </x:c>
      <x:c r="H985" s="154" t="n">
        <x:v>0.005699999999999999</x:v>
      </x:c>
      <x:c r="I985" s="158" t="n">
        <x:v>1124.12</x:v>
      </x:c>
      <x:c r="J985" s="158" t="n">
        <x:v>5623.78</x:v>
      </x:c>
      <x:c r="K985" s="158" t="n">
        <x:v>6321831666</x:v>
      </x:c>
      <x:c r="L985" s="158"/>
      <x:c r="M985" s="141" t="str">
        <x:v>https://www.sge.com.cn/sjzx/quotation_daily_new?start_date=2026-02-01&amp;end_date=2026-02-28&amp;inst_ids=Au99.99&amp;p=</x:v>
      </x:c>
    </x:row>
    <x:row r="986">
      <x:c r="A986" s="155" t="n">
        <x:v>46065</x:v>
      </x:c>
      <x:c r="B986" s="141" t="str">
        <x:v>Ag(T+D)</x:v>
      </x:c>
      <x:c r="C986" s="153" t="n">
        <x:v>20559</x:v>
      </x:c>
      <x:c r="D986" s="153" t="n">
        <x:v>20600</x:v>
      </x:c>
      <x:c r="E986" s="153" t="n">
        <x:v>19400</x:v>
      </x:c>
      <x:c r="F986" s="153" t="n">
        <x:v>19670</x:v>
      </x:c>
      <x:c r="G986" s="153" t="n">
        <x:v>61</x:v>
      </x:c>
      <x:c r="H986" s="154" t="n">
        <x:v>0.0031</x:v>
      </x:c>
      <x:c r="I986" s="158" t="n">
        <x:v>19919</x:v>
      </x:c>
      <x:c r="J986" s="158" t="n">
        <x:v>220352</x:v>
      </x:c>
      <x:c r="K986" s="158" t="n">
        <x:v>4389327604</x:v>
      </x:c>
      <x:c r="L986" s="158" t="n">
        <x:v>3143492</x:v>
      </x:c>
      <x:c r="M986" s="141" t="str">
        <x:v>https://www.sge.com.cn/sjzx/quotation_daily_new?start_date=2026-02-01&amp;end_date=2026-02-28&amp;inst_ids=Ag%28T%2BD%29&amp;p=</x:v>
      </x:c>
    </x:row>
    <x:row r="987">
      <x:c r="A987" s="155" t="n">
        <x:v>46065</x:v>
      </x:c>
      <x:c r="B987" s="141" t="str">
        <x:v>Au99.99</x:v>
      </x:c>
      <x:c r="C987" s="153" t="n">
        <x:v>1136</x:v>
      </x:c>
      <x:c r="D987" s="153" t="n">
        <x:v>1137</x:v>
      </x:c>
      <x:c r="E987" s="153" t="n">
        <x:v>1120</x:v>
      </x:c>
      <x:c r="F987" s="153" t="n">
        <x:v>1122.52</x:v>
      </x:c>
      <x:c r="G987" s="153" t="n">
        <x:v>-0.5</x:v>
      </x:c>
      <x:c r="H987" s="154" t="n">
        <x:v>-0.0004</x:v>
      </x:c>
      <x:c r="I987" s="158" t="n">
        <x:v>1123.87</x:v>
      </x:c>
      <x:c r="J987" s="158" t="n">
        <x:v>3972.68</x:v>
      </x:c>
      <x:c r="K987" s="158" t="n">
        <x:v>4464777105</x:v>
      </x:c>
      <x:c r="L987" s="158"/>
      <x:c r="M987" s="141" t="str">
        <x:v>https://www.sge.com.cn/sjzx/quotation_daily_new?start_date=2026-02-01&amp;end_date=2026-02-28&amp;inst_ids=Au99.99&amp;p=</x:v>
      </x:c>
    </x:row>
    <x:row r="988">
      <x:c r="A988" s="155" t="n">
        <x:v>46066</x:v>
      </x:c>
      <x:c r="B988" s="141" t="str">
        <x:v>Ag(T+D)</x:v>
      </x:c>
      <x:c r="C988" s="153" t="n">
        <x:v>19722</x:v>
      </x:c>
      <x:c r="D988" s="153" t="n">
        <x:v>19850</x:v>
      </x:c>
      <x:c r="E988" s="153" t="n">
        <x:v>18005</x:v>
      </x:c>
      <x:c r="F988" s="153" t="n">
        <x:v>19270</x:v>
      </x:c>
      <x:c r="G988" s="153" t="n">
        <x:v>-649</x:v>
      </x:c>
      <x:c r="H988" s="154" t="n">
        <x:v>-0.0326</x:v>
      </x:c>
      <x:c r="I988" s="158" t="n">
        <x:v>18852</x:v>
      </x:c>
      <x:c r="J988" s="158" t="n">
        <x:v>305026</x:v>
      </x:c>
      <x:c r="K988" s="158" t="n">
        <x:v>5750576832</x:v>
      </x:c>
      <x:c r="L988" s="158" t="n">
        <x:v>3080150</x:v>
      </x:c>
      <x:c r="M988" s="141" t="str">
        <x:v>https://www.sge.com.cn/sjzx/quotation_daily_new?start_date=2026-02-01&amp;end_date=2026-02-28&amp;inst_ids=Ag%28T%2BD%29&amp;p=</x:v>
      </x:c>
    </x:row>
    <x:row r="989">
      <x:c r="A989" s="155" t="n">
        <x:v>46066</x:v>
      </x:c>
      <x:c r="B989" s="141" t="str">
        <x:v>Au99.99</x:v>
      </x:c>
      <x:c r="C989" s="153" t="n">
        <x:v>1124</x:v>
      </x:c>
      <x:c r="D989" s="153" t="n">
        <x:v>1127</x:v>
      </x:c>
      <x:c r="E989" s="153" t="n">
        <x:v>1092</x:v>
      </x:c>
      <x:c r="F989" s="153" t="n">
        <x:v>1108.92</x:v>
      </x:c>
      <x:c r="G989" s="153" t="n">
        <x:v>-13.6</x:v>
      </x:c>
      <x:c r="H989" s="154" t="n">
        <x:v>-0.0121</x:v>
      </x:c>
      <x:c r="I989" s="158" t="n">
        <x:v>1107.14</x:v>
      </x:c>
      <x:c r="J989" s="158" t="n">
        <x:v>5943.38</x:v>
      </x:c>
      <x:c r="K989" s="158" t="n">
        <x:v>6580159001.4</x:v>
      </x:c>
      <x:c r="L989" s="158"/>
      <x:c r="M989" s="141" t="str">
        <x:v>https://www.sge.com.cn/sjzx/quotation_daily_new?start_date=2026-02-01&amp;end_date=2026-02-28&amp;inst_ids=Au99.99&amp;p=</x:v>
      </x:c>
    </x:row>
    <x:row r="990">
      <x:c r="A990" s="155" t="n">
        <x:v>46077</x:v>
      </x:c>
      <x:c r="B990" s="141" t="str">
        <x:v>Ag(T+D)</x:v>
      </x:c>
      <x:c r="C990" s="153" t="n">
        <x:v>21970</x:v>
      </x:c>
      <x:c r="D990" s="153" t="n">
        <x:v>22000</x:v>
      </x:c>
      <x:c r="E990" s="153" t="n">
        <x:v>20768</x:v>
      </x:c>
      <x:c r="F990" s="153" t="n">
        <x:v>21486</x:v>
      </x:c>
      <x:c r="G990" s="153" t="n">
        <x:v>2634</x:v>
      </x:c>
      <x:c r="H990" s="154" t="n">
        <x:v>0.13970000000000002</x:v>
      </x:c>
      <x:c r="I990" s="158" t="n">
        <x:v>21361</x:v>
      </x:c>
      <x:c r="J990" s="158" t="n">
        <x:v>200612</x:v>
      </x:c>
      <x:c r="K990" s="158" t="n">
        <x:v>4285341562</x:v>
      </x:c>
      <x:c r="L990" s="158" t="n">
        <x:v>3078878</x:v>
      </x:c>
      <x:c r="M990" s="141" t="str">
        <x:v>https://www.sge.com.cn/sjzx/quotation_daily_new?start_date=2026-02-01&amp;end_date=2026-02-28&amp;inst_ids=Ag%28T%2BD%29&amp;p=</x:v>
      </x:c>
    </x:row>
    <x:row r="991">
      <x:c r="A991" s="155" t="n">
        <x:v>46077</x:v>
      </x:c>
      <x:c r="B991" s="141" t="str">
        <x:v>Au99.99</x:v>
      </x:c>
      <x:c r="C991" s="153" t="n">
        <x:v>1155</x:v>
      </x:c>
      <x:c r="D991" s="153" t="n">
        <x:v>1158</x:v>
      </x:c>
      <x:c r="E991" s="153" t="n">
        <x:v>1138.3</x:v>
      </x:c>
      <x:c r="F991" s="153" t="n">
        <x:v>1147.66</x:v>
      </x:c>
      <x:c r="G991" s="153" t="n">
        <x:v>38.74</x:v>
      </x:c>
      <x:c r="H991" s="154" t="n">
        <x:v>0.0349</x:v>
      </x:c>
      <x:c r="I991" s="158" t="n">
        <x:v>1147.89</x:v>
      </x:c>
      <x:c r="J991" s="158" t="n">
        <x:v>8654.14</x:v>
      </x:c>
      <x:c r="K991" s="158" t="n">
        <x:v>9934034450.2</x:v>
      </x:c>
      <x:c r="L991" s="158"/>
      <x:c r="M991" s="141" t="str">
        <x:v>https://www.sge.com.cn/sjzx/quotation_daily_new?start_date=2026-02-01&amp;end_date=2026-02-28&amp;inst_ids=Au99.99&amp;p=</x:v>
      </x:c>
    </x:row>
    <x:row r="992">
      <x:c r="A992" s="155" t="n">
        <x:v>46078</x:v>
      </x:c>
      <x:c r="B992" s="141" t="str">
        <x:v>Ag(T+D)</x:v>
      </x:c>
      <x:c r="C992" s="153" t="n">
        <x:v>21499</x:v>
      </x:c>
      <x:c r="D992" s="153" t="n">
        <x:v>22400</x:v>
      </x:c>
      <x:c r="E992" s="153" t="n">
        <x:v>21123</x:v>
      </x:c>
      <x:c r="F992" s="153" t="n">
        <x:v>22131</x:v>
      </x:c>
      <x:c r="G992" s="153" t="n">
        <x:v>770</x:v>
      </x:c>
      <x:c r="H992" s="154" t="n">
        <x:v>0.036000000000000004</x:v>
      </x:c>
      <x:c r="I992" s="158" t="n">
        <x:v>21846</x:v>
      </x:c>
      <x:c r="J992" s="158" t="n">
        <x:v>244086</x:v>
      </x:c>
      <x:c r="K992" s="158" t="n">
        <x:v>5332526122</x:v>
      </x:c>
      <x:c r="L992" s="158" t="n">
        <x:v>3087676</x:v>
      </x:c>
      <x:c r="M992" s="141" t="str">
        <x:v>https://www.sge.com.cn/sjzx/quotation_daily_new?start_date=2026-02-01&amp;end_date=2026-02-28&amp;inst_ids=Ag%28T%2BD%29&amp;p=</x:v>
      </x:c>
    </x:row>
    <x:row r="993">
      <x:c r="A993" s="155" t="n">
        <x:v>46078</x:v>
      </x:c>
      <x:c r="B993" s="141" t="str">
        <x:v>Au99.99</x:v>
      </x:c>
      <x:c r="C993" s="153" t="n">
        <x:v>1146.1</x:v>
      </x:c>
      <x:c r="D993" s="153" t="n">
        <x:v>1155</x:v>
      </x:c>
      <x:c r="E993" s="153" t="n">
        <x:v>1136</x:v>
      </x:c>
      <x:c r="F993" s="153" t="n">
        <x:v>1145.64</x:v>
      </x:c>
      <x:c r="G993" s="153" t="n">
        <x:v>-2.02</x:v>
      </x:c>
      <x:c r="H993" s="154" t="n">
        <x:v>-0.0018</x:v>
      </x:c>
      <x:c r="I993" s="158" t="n">
        <x:v>1147.48</x:v>
      </x:c>
      <x:c r="J993" s="158" t="n">
        <x:v>5667.06</x:v>
      </x:c>
      <x:c r="K993" s="158" t="n">
        <x:v>6502884922.6</x:v>
      </x:c>
      <x:c r="L993" s="158"/>
      <x:c r="M993" s="141" t="str">
        <x:v>https://www.sge.com.cn/sjzx/quotation_daily_new?start_date=2026-02-01&amp;end_date=2026-02-28&amp;inst_ids=Au99.99&amp;p=</x:v>
      </x:c>
    </x:row>
    <x:row r="994">
      <x:c r="A994" s="155" t="n">
        <x:v>46079</x:v>
      </x:c>
      <x:c r="B994" s="141" t="str">
        <x:v>Ag(T+D)</x:v>
      </x:c>
      <x:c r="C994" s="153" t="n">
        <x:v>22165</x:v>
      </x:c>
      <x:c r="D994" s="153" t="n">
        <x:v>22418</x:v>
      </x:c>
      <x:c r="E994" s="153" t="n">
        <x:v>21570</x:v>
      </x:c>
      <x:c r="F994" s="153" t="n">
        <x:v>21600</x:v>
      </x:c>
      <x:c r="G994" s="153" t="n">
        <x:v>-246</x:v>
      </x:c>
      <x:c r="H994" s="154" t="n">
        <x:v>-0.0113</x:v>
      </x:c>
      <x:c r="I994" s="158" t="n">
        <x:v>21911</x:v>
      </x:c>
      <x:c r="J994" s="158" t="n">
        <x:v>226742</x:v>
      </x:c>
      <x:c r="K994" s="158" t="n">
        <x:v>4968332338</x:v>
      </x:c>
      <x:c r="L994" s="158" t="n">
        <x:v>3074428</x:v>
      </x:c>
      <x:c r="M994" s="141" t="str">
        <x:v>https://www.sge.com.cn/sjzx/quotation_daily_new?start_date=2026-02-01&amp;end_date=2026-02-28&amp;inst_ids=Ag%28T%2BD%29&amp;p=</x:v>
      </x:c>
    </x:row>
    <x:row r="995">
      <x:c r="A995" s="155" t="n">
        <x:v>46079</x:v>
      </x:c>
      <x:c r="B995" s="141" t="str">
        <x:v>Au99.99</x:v>
      </x:c>
      <x:c r="C995" s="153" t="n">
        <x:v>1145.1</x:v>
      </x:c>
      <x:c r="D995" s="153" t="n">
        <x:v>1150</x:v>
      </x:c>
      <x:c r="E995" s="153" t="n">
        <x:v>1141.51</x:v>
      </x:c>
      <x:c r="F995" s="153" t="n">
        <x:v>1144.51</x:v>
      </x:c>
      <x:c r="G995" s="153" t="n">
        <x:v>-1.13</x:v>
      </x:c>
      <x:c r="H995" s="154" t="n">
        <x:v>-0.001</x:v>
      </x:c>
      <x:c r="I995" s="158" t="n">
        <x:v>1143.86</x:v>
      </x:c>
      <x:c r="J995" s="158" t="n">
        <x:v>5349.96</x:v>
      </x:c>
      <x:c r="K995" s="158" t="n">
        <x:v>6119650269.8</x:v>
      </x:c>
      <x:c r="L995" s="158"/>
      <x:c r="M995" s="141" t="str">
        <x:v>https://www.sge.com.cn/sjzx/quotation_daily_new?start_date=2026-02-01&amp;end_date=2026-02-28&amp;inst_ids=Au99.99&amp;p=</x:v>
      </x:c>
    </x:row>
    <x:row r="996">
      <x:c r="A996" s="155" t="n">
        <x:v>46080</x:v>
      </x:c>
      <x:c r="B996" s="141" t="str">
        <x:v>Ag(T+D)</x:v>
      </x:c>
      <x:c r="C996" s="153" t="n">
        <x:v>21280</x:v>
      </x:c>
      <x:c r="D996" s="153" t="n">
        <x:v>22418</x:v>
      </x:c>
      <x:c r="E996" s="153" t="n">
        <x:v>21015</x:v>
      </x:c>
      <x:c r="F996" s="153" t="n">
        <x:v>22369</x:v>
      </x:c>
      <x:c r="G996" s="153" t="n">
        <x:v>458</x:v>
      </x:c>
      <x:c r="H996" s="154" t="n">
        <x:v>0.0209</x:v>
      </x:c>
      <x:c r="I996" s="158" t="n">
        <x:v>22045</x:v>
      </x:c>
      <x:c r="J996" s="158" t="n">
        <x:v>498864</x:v>
      </x:c>
      <x:c r="K996" s="158" t="n">
        <x:v>10997898918</x:v>
      </x:c>
      <x:c r="L996" s="158" t="n">
        <x:v>2988126</x:v>
      </x:c>
      <x:c r="M996" s="141" t="str">
        <x:v>https://www.sge.com.cn/sjzx/quotation_daily_new?start_date=2026-02-01&amp;end_date=2026-02-28&amp;inst_ids=Ag%28T%2BD%29&amp;p=</x:v>
      </x:c>
    </x:row>
    <x:row r="997">
      <x:c r="A997" s="155" t="n">
        <x:v>46080</x:v>
      </x:c>
      <x:c r="B997" s="141" t="str">
        <x:v>Au99.99</x:v>
      </x:c>
      <x:c r="C997" s="153" t="n">
        <x:v>1144.99</x:v>
      </x:c>
      <x:c r="D997" s="153" t="n">
        <x:v>1147.9</x:v>
      </x:c>
      <x:c r="E997" s="153" t="n">
        <x:v>1135</x:v>
      </x:c>
      <x:c r="F997" s="153" t="n">
        <x:v>1142.97</x:v>
      </x:c>
      <x:c r="G997" s="153" t="n">
        <x:v>-1.54</x:v>
      </x:c>
      <x:c r="H997" s="154" t="n">
        <x:v>-0.0013</x:v>
      </x:c>
      <x:c r="I997" s="158" t="n">
        <x:v>1144.92</x:v>
      </x:c>
      <x:c r="J997" s="158" t="n">
        <x:v>4762.58</x:v>
      </x:c>
      <x:c r="K997" s="158" t="n">
        <x:v>5452813276.4</x:v>
      </x:c>
      <x:c r="L997" s="158"/>
      <x:c r="M997" s="141" t="str">
        <x:v>https://www.sge.com.cn/sjzx/quotation_daily_new?start_date=2026-02-01&amp;end_date=2026-02-28&amp;inst_ids=Au99.99&amp;p=</x:v>
      </x:c>
    </x:row>
    <x:row r="998">
      <x:c r="A998" s="155" t="n">
        <x:v>46085</x:v>
      </x:c>
      <x:c r="B998" s="141" t="str">
        <x:v>Ag(T+D)</x:v>
      </x:c>
      <x:c r="C998" s="153" t="n">
        <x:v>20301</x:v>
      </x:c>
      <x:c r="D998" s="153" t="n">
        <x:v>21680</x:v>
      </x:c>
      <x:c r="E998" s="153" t="n">
        <x:v>20022</x:v>
      </x:c>
      <x:c r="F998" s="153" t="n">
        <x:v>21561</x:v>
      </x:c>
      <x:c r="G998" s="153" t="n">
        <x:v>-703</x:v>
      </x:c>
      <x:c r="H998" s="154" t="n">
        <x:v>-0.0316</x:v>
      </x:c>
      <x:c r="I998" s="158" t="n">
        <x:v>21215</x:v>
      </x:c>
      <x:c r="J998" s="158" t="n">
        <x:v>546706</x:v>
      </x:c>
      <x:c r="K998" s="158" t="n">
        <x:v>11598737144</x:v>
      </x:c>
      <x:c r="L998" s="158" t="n">
        <x:v>2977650</x:v>
      </x:c>
      <x:c r="M998" s="141" t="str">
        <x:v>https://www.sge.com.cn/sjzx/quotation_daily_new?start_date=2026-03-01&amp;end_date=2026-03-31&amp;inst_ids=Ag%28T%2BD%29&amp;p=</x:v>
      </x:c>
    </x:row>
    <x:row r="999">
      <x:c r="A999" s="155" t="n">
        <x:v>46085</x:v>
      </x:c>
      <x:c r="B999" s="141" t="str">
        <x:v>Au99.99</x:v>
      </x:c>
      <x:c r="C999" s="153" t="n">
        <x:v>1149</x:v>
      </x:c>
      <x:c r="D999" s="153" t="n">
        <x:v>1169</x:v>
      </x:c>
      <x:c r="E999" s="153" t="n">
        <x:v>1125</x:v>
      </x:c>
      <x:c r="F999" s="153" t="n">
        <x:v>1153.18</x:v>
      </x:c>
      <x:c r="G999" s="153" t="n">
        <x:v>-28.82</x:v>
      </x:c>
      <x:c r="H999" s="154" t="n">
        <x:v>-0.024399999999999998</x:v>
      </x:c>
      <x:c r="I999" s="158" t="n">
        <x:v>1153.11</x:v>
      </x:c>
      <x:c r="J999" s="158" t="n">
        <x:v>14920.22</x:v>
      </x:c>
      <x:c r="K999" s="158" t="n">
        <x:v>17204738616.4</x:v>
      </x:c>
      <x:c r="L999" s="158"/>
      <x:c r="M999" s="141" t="str">
        <x:v>https://www.sge.com.cn/sjzx/quotation_daily_new?start_date=2026-03-01&amp;end_date=2026-03-31&amp;inst_ids=Au99.99&amp;p=</x:v>
      </x:c>
    </x:row>
    <x:row r="1000">
      <x:c r="A1000" s="155" t="n">
        <x:v>46086</x:v>
      </x:c>
      <x:c r="B1000" s="141" t="str">
        <x:v>Ag(T+D)</x:v>
      </x:c>
      <x:c r="C1000" s="153" t="n">
        <x:v>21820</x:v>
      </x:c>
      <x:c r="D1000" s="153" t="n">
        <x:v>21935</x:v>
      </x:c>
      <x:c r="E1000" s="153" t="n">
        <x:v>20400</x:v>
      </x:c>
      <x:c r="F1000" s="153" t="n">
        <x:v>21068</x:v>
      </x:c>
      <x:c r="G1000" s="153" t="n">
        <x:v>-147</x:v>
      </x:c>
      <x:c r="H1000" s="154" t="n">
        <x:v>-0.0069</x:v>
      </x:c>
      <x:c r="I1000" s="158" t="n">
        <x:v>21187</x:v>
      </x:c>
      <x:c r="J1000" s="158" t="n">
        <x:v>431928</x:v>
      </x:c>
      <x:c r="K1000" s="158" t="n">
        <x:v>9151578430</x:v>
      </x:c>
      <x:c r="L1000" s="158" t="n">
        <x:v>2966324</x:v>
      </x:c>
      <x:c r="M1000" s="141" t="str">
        <x:v>https://www.sge.com.cn/sjzx/quotation_daily_new?start_date=2026-03-01&amp;end_date=2026-03-31&amp;inst_ids=Ag%28T%2BD%29&amp;p=</x:v>
      </x:c>
    </x:row>
    <x:row r="1001">
      <x:c r="A1001" s="155" t="n">
        <x:v>46086</x:v>
      </x:c>
      <x:c r="B1001" s="141" t="str">
        <x:v>Au99.99</x:v>
      </x:c>
      <x:c r="C1001" s="153" t="n">
        <x:v>1154</x:v>
      </x:c>
      <x:c r="D1001" s="153" t="n">
        <x:v>1158</x:v>
      </x:c>
      <x:c r="E1001" s="153" t="n">
        <x:v>1140.38</x:v>
      </x:c>
      <x:c r="F1001" s="153" t="n">
        <x:v>1149.61</x:v>
      </x:c>
      <x:c r="G1001" s="153" t="n">
        <x:v>-3.57</x:v>
      </x:c>
      <x:c r="H1001" s="154" t="n">
        <x:v>-0.0031</x:v>
      </x:c>
      <x:c r="I1001" s="158" t="n">
        <x:v>1148.93</x:v>
      </x:c>
      <x:c r="J1001" s="158" t="n">
        <x:v>11192.04</x:v>
      </x:c>
      <x:c r="K1001" s="158" t="n">
        <x:v>12858909990.2</x:v>
      </x:c>
      <x:c r="L1001" s="158"/>
      <x:c r="M1001" s="141" t="str">
        <x:v>https://www.sge.com.cn/sjzx/quotation_daily_new?start_date=2026-03-01&amp;end_date=2026-03-31&amp;inst_ids=Au99.99&amp;p=</x:v>
      </x:c>
    </x:row>
    <x:row r="1002">
      <x:c r="A1002" s="155" t="n">
        <x:v>46087</x:v>
      </x:c>
      <x:c r="B1002" s="141" t="str">
        <x:v>Ag(T+D)</x:v>
      </x:c>
      <x:c r="C1002" s="153" t="n">
        <x:v>21370</x:v>
      </x:c>
      <x:c r="D1002" s="153" t="n">
        <x:v>21427</x:v>
      </x:c>
      <x:c r="E1002" s="153" t="n">
        <x:v>20719</x:v>
      </x:c>
      <x:c r="F1002" s="153" t="n">
        <x:v>21350</x:v>
      </x:c>
      <x:c r="G1002" s="153" t="n">
        <x:v>163</x:v>
      </x:c>
      <x:c r="H1002" s="154" t="n">
        <x:v>0.0077</x:v>
      </x:c>
      <x:c r="I1002" s="158" t="n">
        <x:v>21205</x:v>
      </x:c>
      <x:c r="J1002" s="158" t="n">
        <x:v>311098</x:v>
      </x:c>
      <x:c r="K1002" s="158" t="n">
        <x:v>6597074248</x:v>
      </x:c>
      <x:c r="L1002" s="158" t="n">
        <x:v>2941700</x:v>
      </x:c>
      <x:c r="M1002" s="141" t="str">
        <x:v>https://www.sge.com.cn/sjzx/quotation_daily_new?start_date=2026-03-01&amp;end_date=2026-03-31&amp;inst_ids=Ag%28T%2BD%29&amp;p=</x:v>
      </x:c>
    </x:row>
    <x:row r="1003">
      <x:c r="A1003" s="155" t="n">
        <x:v>46087</x:v>
      </x:c>
      <x:c r="B1003" s="141" t="str">
        <x:v>Au99.99</x:v>
      </x:c>
      <x:c r="C1003" s="153" t="n">
        <x:v>1151</x:v>
      </x:c>
      <x:c r="D1003" s="153" t="n">
        <x:v>1151</x:v>
      </x:c>
      <x:c r="E1003" s="153" t="n">
        <x:v>1132</x:v>
      </x:c>
      <x:c r="F1003" s="153" t="n">
        <x:v>1139.33</x:v>
      </x:c>
      <x:c r="G1003" s="153" t="n">
        <x:v>-10.28</x:v>
      </x:c>
      <x:c r="H1003" s="154" t="n">
        <x:v>-0.0089</x:v>
      </x:c>
      <x:c r="I1003" s="158" t="n">
        <x:v>1140.96</x:v>
      </x:c>
      <x:c r="J1003" s="158" t="n">
        <x:v>8829.76</x:v>
      </x:c>
      <x:c r="K1003" s="158" t="n">
        <x:v>10074425128.8</x:v>
      </x:c>
      <x:c r="L1003" s="158"/>
      <x:c r="M1003" s="141" t="str">
        <x:v>https://www.sge.com.cn/sjzx/quotation_daily_new?start_date=2026-03-01&amp;end_date=2026-03-31&amp;inst_ids=Au99.99&amp;p=</x:v>
      </x:c>
    </x:row>
    <x:row r="1004">
      <x:c r="A1004" s="155" t="n">
        <x:v>46090</x:v>
      </x:c>
      <x:c r="B1004" s="141" t="str">
        <x:v>Ag(T+D)</x:v>
      </x:c>
      <x:c r="C1004" s="153" t="n">
        <x:v>21000</x:v>
      </x:c>
      <x:c r="D1004" s="153" t="n">
        <x:v>21564</x:v>
      </x:c>
      <x:c r="E1004" s="153" t="n">
        <x:v>20300</x:v>
      </x:c>
      <x:c r="F1004" s="153" t="n">
        <x:v>21290</x:v>
      </x:c>
      <x:c r="G1004" s="153" t="n">
        <x:v>85</x:v>
      </x:c>
      <x:c r="H1004" s="154" t="n">
        <x:v>0.004</x:v>
      </x:c>
      <x:c r="I1004" s="158" t="n">
        <x:v>21104</x:v>
      </x:c>
      <x:c r="J1004" s="158" t="n">
        <x:v>466374</x:v>
      </x:c>
      <x:c r="K1004" s="158" t="n">
        <x:v>9842466460</x:v>
      </x:c>
      <x:c r="L1004" s="158" t="n">
        <x:v>2930272</x:v>
      </x:c>
      <x:c r="M1004" s="141" t="str">
        <x:v>https://www.sge.com.cn/sjzx/quotation_daily_new?start_date=2026-03-01&amp;end_date=2026-03-31&amp;inst_ids=Ag%28T%2BD%29&amp;p=</x:v>
      </x:c>
    </x:row>
    <x:row r="1005">
      <x:c r="A1005" s="155" t="n">
        <x:v>46090</x:v>
      </x:c>
      <x:c r="B1005" s="141" t="str">
        <x:v>Au99.99</x:v>
      </x:c>
      <x:c r="C1005" s="153" t="n">
        <x:v>1135</x:v>
      </x:c>
      <x:c r="D1005" s="153" t="n">
        <x:v>1160</x:v>
      </x:c>
      <x:c r="E1005" s="153" t="n">
        <x:v>1120</x:v>
      </x:c>
      <x:c r="F1005" s="153" t="n">
        <x:v>1140.38</x:v>
      </x:c>
      <x:c r="G1005" s="153" t="n">
        <x:v>1.05</x:v>
      </x:c>
      <x:c r="H1005" s="154" t="n">
        <x:v>0.0009</x:v>
      </x:c>
      <x:c r="I1005" s="158" t="n">
        <x:v>1138.44</x:v>
      </x:c>
      <x:c r="J1005" s="158" t="n">
        <x:v>8365</x:v>
      </x:c>
      <x:c r="K1005" s="158" t="n">
        <x:v>9523073459</x:v>
      </x:c>
      <x:c r="L1005" s="158"/>
      <x:c r="M1005" s="141" t="str">
        <x:v>https://www.sge.com.cn/sjzx/quotation_daily_new?start_date=2026-03-01&amp;end_date=2026-03-31&amp;inst_ids=Au99.99&amp;p=</x:v>
      </x:c>
    </x:row>
    <x:row r="1006">
      <x:c r="A1006" s="155" t="n">
        <x:v>46091</x:v>
      </x:c>
      <x:c r="B1006" s="141" t="str">
        <x:v>Ag(T+D)</x:v>
      </x:c>
      <x:c r="C1006" s="153" t="n">
        <x:v>21300</x:v>
      </x:c>
      <x:c r="D1006" s="153" t="n">
        <x:v>22575</x:v>
      </x:c>
      <x:c r="E1006" s="153" t="n">
        <x:v>21185</x:v>
      </x:c>
      <x:c r="F1006" s="153" t="n">
        <x:v>22290</x:v>
      </x:c>
      <x:c r="G1006" s="153" t="n">
        <x:v>1186</x:v>
      </x:c>
      <x:c r="H1006" s="154" t="n">
        <x:v>0.0562</x:v>
      </x:c>
      <x:c r="I1006" s="158" t="n">
        <x:v>22262</x:v>
      </x:c>
      <x:c r="J1006" s="158" t="n">
        <x:v>346662</x:v>
      </x:c>
      <x:c r="K1006" s="158" t="n">
        <x:v>7717421460</x:v>
      </x:c>
      <x:c r="L1006" s="158" t="n">
        <x:v>2892498</x:v>
      </x:c>
      <x:c r="M1006" s="141" t="str">
        <x:v>https://www.sge.com.cn/sjzx/quotation_daily_new?start_date=2026-03-01&amp;end_date=2026-03-31&amp;inst_ids=Ag%28T%2BD%29&amp;p=</x:v>
      </x:c>
    </x:row>
    <x:row r="1007">
      <x:c r="A1007" s="155" t="n">
        <x:v>46091</x:v>
      </x:c>
      <x:c r="B1007" s="141" t="str">
        <x:v>Au99.99</x:v>
      </x:c>
      <x:c r="C1007" s="153" t="n">
        <x:v>1139.1</x:v>
      </x:c>
      <x:c r="D1007" s="153" t="n">
        <x:v>1151.6</x:v>
      </x:c>
      <x:c r="E1007" s="153" t="n">
        <x:v>1132.1</x:v>
      </x:c>
      <x:c r="F1007" s="153" t="n">
        <x:v>1144.78</x:v>
      </x:c>
      <x:c r="G1007" s="153" t="n">
        <x:v>4.4</x:v>
      </x:c>
      <x:c r="H1007" s="154" t="n">
        <x:v>0.0039000000000000003</x:v>
      </x:c>
      <x:c r="I1007" s="158" t="n">
        <x:v>1148.29</x:v>
      </x:c>
      <x:c r="J1007" s="158" t="n">
        <x:v>6847.34</x:v>
      </x:c>
      <x:c r="K1007" s="158" t="n">
        <x:v>7862766636.8</x:v>
      </x:c>
      <x:c r="L1007" s="158"/>
      <x:c r="M1007" s="141" t="str">
        <x:v>https://www.sge.com.cn/sjzx/quotation_daily_new?start_date=2026-03-01&amp;end_date=2026-03-31&amp;inst_ids=Au99.99&amp;p=</x:v>
      </x:c>
    </x:row>
    <x:row r="1008">
      <x:c r="A1008" s="155" t="n">
        <x:v>46092</x:v>
      </x:c>
      <x:c r="B1008" s="141" t="str">
        <x:v>Ag(T+D)</x:v>
      </x:c>
      <x:c r="C1008" s="153" t="n">
        <x:v>22270</x:v>
      </x:c>
      <x:c r="D1008" s="153" t="n">
        <x:v>22530</x:v>
      </x:c>
      <x:c r="E1008" s="153" t="n">
        <x:v>21923</x:v>
      </x:c>
      <x:c r="F1008" s="153" t="n">
        <x:v>21999</x:v>
      </x:c>
      <x:c r="G1008" s="153" t="n">
        <x:v>-263</x:v>
      </x:c>
      <x:c r="H1008" s="154" t="n">
        <x:v>-0.0118</x:v>
      </x:c>
      <x:c r="I1008" s="158" t="n">
        <x:v>22215</x:v>
      </x:c>
      <x:c r="J1008" s="158" t="n">
        <x:v>195490</x:v>
      </x:c>
      <x:c r="K1008" s="158" t="n">
        <x:v>4342831342</x:v>
      </x:c>
      <x:c r="L1008" s="158" t="n">
        <x:v>2860266</x:v>
      </x:c>
      <x:c r="M1008" s="141" t="str">
        <x:v>https://www.sge.com.cn/sjzx/quotation_daily_new?start_date=2026-03-01&amp;end_date=2026-03-31&amp;inst_ids=Ag%28T%2BD%29&amp;p=</x:v>
      </x:c>
    </x:row>
    <x:row r="1009">
      <x:c r="A1009" s="155" t="n">
        <x:v>46092</x:v>
      </x:c>
      <x:c r="B1009" s="141" t="str">
        <x:v>Au99.99</x:v>
      </x:c>
      <x:c r="C1009" s="153" t="n">
        <x:v>1148.5</x:v>
      </x:c>
      <x:c r="D1009" s="153" t="n">
        <x:v>1158</x:v>
      </x:c>
      <x:c r="E1009" s="153" t="n">
        <x:v>1142.5</x:v>
      </x:c>
      <x:c r="F1009" s="153" t="n">
        <x:v>1150.42</x:v>
      </x:c>
      <x:c r="G1009" s="153" t="n">
        <x:v>5.64</x:v>
      </x:c>
      <x:c r="H1009" s="154" t="n">
        <x:v>0.0049</x:v>
      </x:c>
      <x:c r="I1009" s="158" t="n">
        <x:v>1151.83</x:v>
      </x:c>
      <x:c r="J1009" s="158" t="n">
        <x:v>5314.24</x:v>
      </x:c>
      <x:c r="K1009" s="158" t="n">
        <x:v>6121117725.2</x:v>
      </x:c>
      <x:c r="L1009" s="158"/>
      <x:c r="M1009" s="141" t="str">
        <x:v>https://www.sge.com.cn/sjzx/quotation_daily_new?start_date=2026-03-01&amp;end_date=2026-03-31&amp;inst_ids=Au99.99&amp;p=</x:v>
      </x:c>
    </x:row>
    <x:row r="1010">
      <x:c r="A1010" s="155" t="n">
        <x:v>46093</x:v>
      </x:c>
      <x:c r="B1010" s="141" t="str">
        <x:v>Ag(T+D)</x:v>
      </x:c>
      <x:c r="C1010" s="153" t="n">
        <x:v>21750</x:v>
      </x:c>
      <x:c r="D1010" s="153" t="n">
        <x:v>22000</x:v>
      </x:c>
      <x:c r="E1010" s="153" t="n">
        <x:v>21341</x:v>
      </x:c>
      <x:c r="F1010" s="153" t="n">
        <x:v>21851</x:v>
      </x:c>
      <x:c r="G1010" s="153" t="n">
        <x:v>-364</x:v>
      </x:c>
      <x:c r="H1010" s="154" t="n">
        <x:v>-0.016399999999999998</x:v>
      </x:c>
      <x:c r="I1010" s="158" t="n">
        <x:v>21589</x:v>
      </x:c>
      <x:c r="J1010" s="158" t="n">
        <x:v>415788</x:v>
      </x:c>
      <x:c r="K1010" s="158" t="n">
        <x:v>8976652222</x:v>
      </x:c>
      <x:c r="L1010" s="158" t="n">
        <x:v>2871008</x:v>
      </x:c>
      <x:c r="M1010" s="141" t="str">
        <x:v>https://www.sge.com.cn/sjzx/quotation_daily_new?start_date=2026-03-01&amp;end_date=2026-03-31&amp;inst_ids=Ag%28T%2BD%29&amp;p=</x:v>
      </x:c>
    </x:row>
    <x:row r="1011">
      <x:c r="A1011" s="155" t="n">
        <x:v>46093</x:v>
      </x:c>
      <x:c r="B1011" s="141" t="str">
        <x:v>Au99.99</x:v>
      </x:c>
      <x:c r="C1011" s="153" t="n">
        <x:v>1149</x:v>
      </x:c>
      <x:c r="D1011" s="153" t="n">
        <x:v>1152</x:v>
      </x:c>
      <x:c r="E1011" s="153" t="n">
        <x:v>1141.5</x:v>
      </x:c>
      <x:c r="F1011" s="153" t="n">
        <x:v>1146.45</x:v>
      </x:c>
      <x:c r="G1011" s="153" t="n">
        <x:v>-3.97</x:v>
      </x:c>
      <x:c r="H1011" s="154" t="n">
        <x:v>-0.0034999999999999996</x:v>
      </x:c>
      <x:c r="I1011" s="158" t="n">
        <x:v>1144.79</x:v>
      </x:c>
      <x:c r="J1011" s="158" t="n">
        <x:v>6855.94</x:v>
      </x:c>
      <x:c r="K1011" s="158" t="n">
        <x:v>7848676772.8</x:v>
      </x:c>
      <x:c r="L1011" s="158"/>
      <x:c r="M1011" s="141" t="str">
        <x:v>https://www.sge.com.cn/sjzx/quotation_daily_new?start_date=2026-03-01&amp;end_date=2026-03-31&amp;inst_ids=Au99.99&amp;p=</x:v>
      </x:c>
    </x:row>
    <x:row r="1012">
      <x:c r="A1012" s="155" t="n">
        <x:v>46094</x:v>
      </x:c>
      <x:c r="B1012" s="141" t="str">
        <x:v>Ag(T+D)</x:v>
      </x:c>
      <x:c r="C1012" s="153" t="n">
        <x:v>21950</x:v>
      </x:c>
      <x:c r="D1012" s="153" t="n">
        <x:v>22200</x:v>
      </x:c>
      <x:c r="E1012" s="153" t="n">
        <x:v>20753</x:v>
      </x:c>
      <x:c r="F1012" s="153" t="n">
        <x:v>20887</x:v>
      </x:c>
      <x:c r="G1012" s="153" t="n">
        <x:v>-702</x:v>
      </x:c>
      <x:c r="H1012" s="154" t="n">
        <x:v>-0.0325</x:v>
      </x:c>
      <x:c r="I1012" s="158" t="n">
        <x:v>21320</x:v>
      </x:c>
      <x:c r="J1012" s="158" t="n">
        <x:v>226134</x:v>
      </x:c>
      <x:c r="K1012" s="158" t="n">
        <x:v>4821238800</x:v>
      </x:c>
      <x:c r="L1012" s="158" t="n">
        <x:v>2886170</x:v>
      </x:c>
      <x:c r="M1012" s="141" t="str">
        <x:v>https://www.sge.com.cn/sjzx/quotation_daily_new?start_date=2026-03-01&amp;end_date=2026-03-31&amp;inst_ids=Ag%28T%2BD%29&amp;p=</x:v>
      </x:c>
    </x:row>
    <x:row r="1013">
      <x:c r="A1013" s="155" t="n">
        <x:v>46094</x:v>
      </x:c>
      <x:c r="B1013" s="141" t="str">
        <x:v>Au99.99</x:v>
      </x:c>
      <x:c r="C1013" s="153" t="n">
        <x:v>1147</x:v>
      </x:c>
      <x:c r="D1013" s="153" t="n">
        <x:v>1150.8</x:v>
      </x:c>
      <x:c r="E1013" s="153" t="n">
        <x:v>1129.65</x:v>
      </x:c>
      <x:c r="F1013" s="153" t="n">
        <x:v>1131.09</x:v>
      </x:c>
      <x:c r="G1013" s="153" t="n">
        <x:v>-15.36</x:v>
      </x:c>
      <x:c r="H1013" s="154" t="n">
        <x:v>-0.0134</x:v>
      </x:c>
      <x:c r="I1013" s="158" t="n">
        <x:v>1135.27</x:v>
      </x:c>
      <x:c r="J1013" s="158" t="n">
        <x:v>7567.84</x:v>
      </x:c>
      <x:c r="K1013" s="158" t="n">
        <x:v>8591607665.4</x:v>
      </x:c>
      <x:c r="L1013" s="158"/>
      <x:c r="M1013" s="141" t="str">
        <x:v>https://www.sge.com.cn/sjzx/quotation_daily_new?start_date=2026-03-01&amp;end_date=2026-03-31&amp;inst_ids=Au99.99&amp;p=</x:v>
      </x:c>
    </x:row>
    <x:row r="1014">
      <x:c r="A1014" s="155" t="n">
        <x:v>46097</x:v>
      </x:c>
      <x:c r="B1014" s="141" t="str">
        <x:v>Ag(T+D)</x:v>
      </x:c>
      <x:c r="C1014" s="153" t="n">
        <x:v>21150</x:v>
      </x:c>
      <x:c r="D1014" s="153" t="n">
        <x:v>21334</x:v>
      </x:c>
      <x:c r="E1014" s="153" t="n">
        <x:v>19800</x:v>
      </x:c>
      <x:c r="F1014" s="153" t="n">
        <x:v>20077</x:v>
      </x:c>
      <x:c r="G1014" s="153" t="n">
        <x:v>-1243</x:v>
      </x:c>
      <x:c r="H1014" s="154" t="n">
        <x:v>-0.0583</x:v>
      </x:c>
      <x:c r="I1014" s="158" t="n">
        <x:v>20214</x:v>
      </x:c>
      <x:c r="J1014" s="158" t="n">
        <x:v>288302</x:v>
      </x:c>
      <x:c r="K1014" s="158" t="n">
        <x:v>5827842746</x:v>
      </x:c>
      <x:c r="L1014" s="158" t="n">
        <x:v>2886542</x:v>
      </x:c>
      <x:c r="M1014" s="141" t="str">
        <x:v>https://www.sge.com.cn/sjzx/quotation_daily_new?start_date=2026-03-01&amp;end_date=2026-03-31&amp;inst_ids=Ag%28T%2BD%29&amp;p=</x:v>
      </x:c>
    </x:row>
    <x:row r="1015">
      <x:c r="A1015" s="155" t="n">
        <x:v>46097</x:v>
      </x:c>
      <x:c r="B1015" s="141" t="str">
        <x:v>Au99.99</x:v>
      </x:c>
      <x:c r="C1015" s="153" t="n">
        <x:v>1138</x:v>
      </x:c>
      <x:c r="D1015" s="153" t="n">
        <x:v>1140</x:v>
      </x:c>
      <x:c r="E1015" s="153" t="n">
        <x:v>1110.01</x:v>
      </x:c>
      <x:c r="F1015" s="153" t="n">
        <x:v>1114.61</x:v>
      </x:c>
      <x:c r="G1015" s="153" t="n">
        <x:v>-16.48</x:v>
      </x:c>
      <x:c r="H1015" s="154" t="n">
        <x:v>-0.0146</x:v>
      </x:c>
      <x:c r="I1015" s="158" t="n">
        <x:v>1116.28</x:v>
      </x:c>
      <x:c r="J1015" s="158" t="n">
        <x:v>7972.66</x:v>
      </x:c>
      <x:c r="K1015" s="158" t="n">
        <x:v>8899772104.6</x:v>
      </x:c>
      <x:c r="L1015" s="158"/>
      <x:c r="M1015" s="141" t="str">
        <x:v>https://www.sge.com.cn/sjzx/quotation_daily_new?start_date=2026-03-01&amp;end_date=2026-03-31&amp;inst_ids=Au99.99&amp;p=</x:v>
      </x:c>
    </x:row>
    <x:row r="1016">
      <x:c r="A1016" s="155" t="n">
        <x:v>46098</x:v>
      </x:c>
      <x:c r="B1016" s="141" t="str">
        <x:v>Ag(T+D)</x:v>
      </x:c>
      <x:c r="C1016" s="153" t="n">
        <x:v>20010</x:v>
      </x:c>
      <x:c r="D1016" s="153" t="n">
        <x:v>20709</x:v>
      </x:c>
      <x:c r="E1016" s="153" t="n">
        <x:v>20010</x:v>
      </x:c>
      <x:c r="F1016" s="153" t="n">
        <x:v>20330</x:v>
      </x:c>
      <x:c r="G1016" s="153" t="n">
        <x:v>116</x:v>
      </x:c>
      <x:c r="H1016" s="154" t="n">
        <x:v>0.005699999999999999</x:v>
      </x:c>
      <x:c r="I1016" s="158" t="n">
        <x:v>20404</x:v>
      </x:c>
      <x:c r="J1016" s="158" t="n">
        <x:v>172512</x:v>
      </x:c>
      <x:c r="K1016" s="158" t="n">
        <x:v>3519942440</x:v>
      </x:c>
      <x:c r="L1016" s="158" t="n">
        <x:v>2887258</x:v>
      </x:c>
      <x:c r="M1016" s="141" t="str">
        <x:v>https://www.sge.com.cn/sjzx/quotation_daily_new?start_date=2026-03-01&amp;end_date=2026-03-31&amp;inst_ids=Ag%28T%2BD%29&amp;p=</x:v>
      </x:c>
    </x:row>
    <x:row r="1017">
      <x:c r="A1017" s="155" t="n">
        <x:v>46098</x:v>
      </x:c>
      <x:c r="B1017" s="141" t="str">
        <x:v>Au99.99</x:v>
      </x:c>
      <x:c r="C1017" s="153" t="n">
        <x:v>1117.8</x:v>
      </x:c>
      <x:c r="D1017" s="153" t="n">
        <x:v>1121</x:v>
      </x:c>
      <x:c r="E1017" s="153" t="n">
        <x:v>1109</x:v>
      </x:c>
      <x:c r="F1017" s="153" t="n">
        <x:v>1115.97</x:v>
      </x:c>
      <x:c r="G1017" s="153" t="n">
        <x:v>1.36</x:v>
      </x:c>
      <x:c r="H1017" s="154" t="n">
        <x:v>0.0012</x:v>
      </x:c>
      <x:c r="I1017" s="158" t="n">
        <x:v>1116.3</x:v>
      </x:c>
      <x:c r="J1017" s="158" t="n">
        <x:v>6053.96</x:v>
      </x:c>
      <x:c r="K1017" s="158" t="n">
        <x:v>6758089661</x:v>
      </x:c>
      <x:c r="L1017" s="158"/>
      <x:c r="M1017" s="141" t="str">
        <x:v>https://www.sge.com.cn/sjzx/quotation_daily_new?start_date=2026-03-01&amp;end_date=2026-03-31&amp;inst_ids=Au99.99&amp;p=</x:v>
      </x:c>
    </x:row>
    <x:row r="1018">
      <x:c r="A1018" s="155" t="n">
        <x:v>46099</x:v>
      </x:c>
      <x:c r="B1018" s="141" t="str">
        <x:v>Ag(T+D)</x:v>
      </x:c>
      <x:c r="C1018" s="153" t="n">
        <x:v>20110</x:v>
      </x:c>
      <x:c r="D1018" s="153" t="n">
        <x:v>20378</x:v>
      </x:c>
      <x:c r="E1018" s="153" t="n">
        <x:v>19559</x:v>
      </x:c>
      <x:c r="F1018" s="153" t="n">
        <x:v>19966</x:v>
      </x:c>
      <x:c r="G1018" s="153" t="n">
        <x:v>-438</x:v>
      </x:c>
      <x:c r="H1018" s="154" t="n">
        <x:v>-0.0215</x:v>
      </x:c>
      <x:c r="I1018" s="158" t="n">
        <x:v>19867</x:v>
      </x:c>
      <x:c r="J1018" s="158" t="n">
        <x:v>1668560</x:v>
      </x:c>
      <x:c r="K1018" s="158" t="n">
        <x:v>33150682290</x:v>
      </x:c>
      <x:c r="L1018" s="158" t="n">
        <x:v>2900004</x:v>
      </x:c>
      <x:c r="M1018" s="141" t="str">
        <x:v>https://www.sge.com.cn/sjzx/quotation_daily_new?start_date=2026-03-01&amp;end_date=2026-03-31&amp;inst_ids=Ag%28T%2BD%29&amp;p=</x:v>
      </x:c>
    </x:row>
    <x:row r="1019">
      <x:c r="A1019" s="155" t="n">
        <x:v>46099</x:v>
      </x:c>
      <x:c r="B1019" s="141" t="str">
        <x:v>Au99.99</x:v>
      </x:c>
      <x:c r="C1019" s="153" t="n">
        <x:v>1115</x:v>
      </x:c>
      <x:c r="D1019" s="153" t="n">
        <x:v>1117</x:v>
      </x:c>
      <x:c r="E1019" s="153" t="n">
        <x:v>1108</x:v>
      </x:c>
      <x:c r="F1019" s="153" t="n">
        <x:v>1111.89</x:v>
      </x:c>
      <x:c r="G1019" s="153" t="n">
        <x:v>-4.08</x:v>
      </x:c>
      <x:c r="H1019" s="154" t="n">
        <x:v>-0.0037</x:v>
      </x:c>
      <x:c r="I1019" s="158" t="n">
        <x:v>1111.39</x:v>
      </x:c>
      <x:c r="J1019" s="158" t="n">
        <x:v>7440.34</x:v>
      </x:c>
      <x:c r="K1019" s="158" t="n">
        <x:v>8269170260.8</x:v>
      </x:c>
      <x:c r="L1019" s="158"/>
      <x:c r="M1019" s="141" t="str">
        <x:v>https://www.sge.com.cn/sjzx/quotation_daily_new?start_date=2026-03-01&amp;end_date=2026-03-31&amp;inst_ids=Au99.99&amp;p=</x:v>
      </x:c>
    </x:row>
    <x:row r="1020">
      <x:c r="A1020" s="155" t="n">
        <x:v>46100</x:v>
      </x:c>
      <x:c r="B1020" s="141" t="str">
        <x:v>Ag(T+D)</x:v>
      </x:c>
      <x:c r="C1020" s="153" t="n">
        <x:v>19716</x:v>
      </x:c>
      <x:c r="D1020" s="153" t="n">
        <x:v>19716</x:v>
      </x:c>
      <x:c r="E1020" s="153" t="n">
        <x:v>17636</x:v>
      </x:c>
      <x:c r="F1020" s="153" t="n">
        <x:v>17990</x:v>
      </x:c>
      <x:c r="G1020" s="153" t="n">
        <x:v>-1877</x:v>
      </x:c>
      <x:c r="H1020" s="154" t="n">
        <x:v>-0.09449999999999999</x:v>
      </x:c>
      <x:c r="I1020" s="158" t="n">
        <x:v>18820</x:v>
      </x:c>
      <x:c r="J1020" s="158" t="n">
        <x:v>448610</x:v>
      </x:c>
      <x:c r="K1020" s="158" t="n">
        <x:v>8442963722</x:v>
      </x:c>
      <x:c r="L1020" s="158" t="n">
        <x:v>2902818</x:v>
      </x:c>
      <x:c r="M1020" s="141" t="str">
        <x:v>https://www.sge.com.cn/sjzx/quotation_daily_new?start_date=2026-03-01&amp;end_date=2026-03-31&amp;inst_ids=Ag%28T%2BD%29&amp;p=</x:v>
      </x:c>
    </x:row>
    <x:row r="1021">
      <x:c r="A1021" s="155" t="n">
        <x:v>46100</x:v>
      </x:c>
      <x:c r="B1021" s="141" t="str">
        <x:v>Au99.99</x:v>
      </x:c>
      <x:c r="C1021" s="153" t="n">
        <x:v>1095</x:v>
      </x:c>
      <x:c r="D1021" s="153" t="n">
        <x:v>1181</x:v>
      </x:c>
      <x:c r="E1021" s="153" t="n">
        <x:v>1057</x:v>
      </x:c>
      <x:c r="F1021" s="153" t="n">
        <x:v>1061</x:v>
      </x:c>
      <x:c r="G1021" s="153" t="n">
        <x:v>-50.89</x:v>
      </x:c>
      <x:c r="H1021" s="154" t="n">
        <x:v>-0.0458</x:v>
      </x:c>
      <x:c r="I1021" s="158" t="n">
        <x:v>1078.48</x:v>
      </x:c>
      <x:c r="J1021" s="158" t="n">
        <x:v>9683.54</x:v>
      </x:c>
      <x:c r="K1021" s="158" t="n">
        <x:v>10443576839.2</x:v>
      </x:c>
      <x:c r="L1021" s="158"/>
      <x:c r="M1021" s="141" t="str">
        <x:v>https://www.sge.com.cn/sjzx/quotation_daily_new?start_date=2026-03-01&amp;end_date=2026-03-31&amp;inst_ids=Au99.99&amp;p=</x:v>
      </x:c>
    </x:row>
    <x:row r="1022">
      <x:c r="A1022" s="155" t="n">
        <x:v>46101</x:v>
      </x:c>
      <x:c r="B1022" s="141" t="str">
        <x:v>Ag(T+D)</x:v>
      </x:c>
      <x:c r="C1022" s="153" t="n">
        <x:v>17505</x:v>
      </x:c>
      <x:c r="D1022" s="153" t="n">
        <x:v>18550</x:v>
      </x:c>
      <x:c r="E1022" s="153" t="n">
        <x:v>16119</x:v>
      </x:c>
      <x:c r="F1022" s="153" t="n">
        <x:v>17780</x:v>
      </x:c>
      <x:c r="G1022" s="153" t="n">
        <x:v>-1040</x:v>
      </x:c>
      <x:c r="H1022" s="154" t="n">
        <x:v>-0.0553</x:v>
      </x:c>
      <x:c r="I1022" s="158" t="n">
        <x:v>17851</x:v>
      </x:c>
      <x:c r="J1022" s="158" t="n">
        <x:v>519902</x:v>
      </x:c>
      <x:c r="K1022" s="158" t="n">
        <x:v>9280854426</x:v>
      </x:c>
      <x:c r="L1022" s="158" t="n">
        <x:v>2918764</x:v>
      </x:c>
      <x:c r="M1022" s="141" t="str">
        <x:v>https://www.sge.com.cn/sjzx/quotation_daily_new?start_date=2026-03-01&amp;end_date=2026-03-31&amp;inst_ids=Ag%28T%2BD%29&amp;p=</x:v>
      </x:c>
    </x:row>
    <x:row r="1023">
      <x:c r="A1023" s="155" t="n">
        <x:v>46101</x:v>
      </x:c>
      <x:c r="B1023" s="141" t="str">
        <x:v>Au99.99</x:v>
      </x:c>
      <x:c r="C1023" s="153" t="n">
        <x:v>1140</x:v>
      </x:c>
      <x:c r="D1023" s="153" t="n">
        <x:v>1140</x:v>
      </x:c>
      <x:c r="E1023" s="153" t="n">
        <x:v>1007</x:v>
      </x:c>
      <x:c r="F1023" s="153" t="n">
        <x:v>1041.59</x:v>
      </x:c>
      <x:c r="G1023" s="153" t="n">
        <x:v>-19.41</x:v>
      </x:c>
      <x:c r="H1023" s="154" t="n">
        <x:v>-0.0183</x:v>
      </x:c>
      <x:c r="I1023" s="158" t="n">
        <x:v>1043.96</x:v>
      </x:c>
      <x:c r="J1023" s="158" t="n">
        <x:v>13377.44</x:v>
      </x:c>
      <x:c r="K1023" s="158" t="n">
        <x:v>13965644146.8</x:v>
      </x:c>
      <x:c r="L1023" s="158"/>
      <x:c r="M1023" s="141" t="str">
        <x:v>https://www.sge.com.cn/sjzx/quotation_daily_new?start_date=2026-03-01&amp;end_date=2026-03-31&amp;inst_ids=Au99.99&amp;p=</x:v>
      </x:c>
    </x:row>
    <x:row r="1024">
      <x:c r="A1024" s="155" t="n">
        <x:v>46104</x:v>
      </x:c>
      <x:c r="B1024" s="141" t="str">
        <x:v>Ag(T+D)</x:v>
      </x:c>
      <x:c r="C1024" s="153" t="n">
        <x:v>17877</x:v>
      </x:c>
      <x:c r="D1024" s="153" t="n">
        <x:v>17895</x:v>
      </x:c>
      <x:c r="E1024" s="153" t="n">
        <x:v>15060</x:v>
      </x:c>
      <x:c r="F1024" s="153" t="n">
        <x:v>15269</x:v>
      </x:c>
      <x:c r="G1024" s="153" t="n">
        <x:v>-2582</x:v>
      </x:c>
      <x:c r="H1024" s="154" t="n">
        <x:v>-0.1446</x:v>
      </x:c>
      <x:c r="I1024" s="158" t="n">
        <x:v>16307</x:v>
      </x:c>
      <x:c r="J1024" s="158" t="n">
        <x:v>478842</x:v>
      </x:c>
      <x:c r="K1024" s="158" t="n">
        <x:v>7808594698</x:v>
      </x:c>
      <x:c r="L1024" s="158" t="n">
        <x:v>2916420</x:v>
      </x:c>
      <x:c r="M1024" s="141" t="str">
        <x:v>https://www.sge.com.cn/sjzx/quotation_daily_new?start_date=2026-03-01&amp;end_date=2026-03-31&amp;inst_ids=Ag%28T%2BD%29&amp;p=</x:v>
      </x:c>
    </x:row>
    <x:row r="1025">
      <x:c r="A1025" s="155" t="n">
        <x:v>46104</x:v>
      </x:c>
      <x:c r="B1025" s="141" t="str">
        <x:v>Au99.99</x:v>
      </x:c>
      <x:c r="C1025" s="153" t="n">
        <x:v>1040</x:v>
      </x:c>
      <x:c r="D1025" s="153" t="n">
        <x:v>1046</x:v>
      </x:c>
      <x:c r="E1025" s="153" t="n">
        <x:v>911</x:v>
      </x:c>
      <x:c r="F1025" s="153" t="n">
        <x:v>924.65</x:v>
      </x:c>
      <x:c r="G1025" s="153" t="n">
        <x:v>-116.94</x:v>
      </x:c>
      <x:c r="H1025" s="154" t="n">
        <x:v>-0.11230000000000001</x:v>
      </x:c>
      <x:c r="I1025" s="158" t="n">
        <x:v>962.54</x:v>
      </x:c>
      <x:c r="J1025" s="158" t="n">
        <x:v>17189.5</x:v>
      </x:c>
      <x:c r="K1025" s="158" t="n">
        <x:v>16545614345.2</x:v>
      </x:c>
      <x:c r="L1025" s="158"/>
      <x:c r="M1025" s="141" t="str">
        <x:v>https://www.sge.com.cn/sjzx/quotation_daily_new?start_date=2026-03-01&amp;end_date=2026-03-31&amp;inst_ids=Au99.99&amp;p=</x:v>
      </x:c>
    </x:row>
    <x:row r="1026">
      <x:c r="A1026" s="155" t="n">
        <x:v>46105</x:v>
      </x:c>
      <x:c r="B1026" s="141" t="str">
        <x:v>Ag(T+D)</x:v>
      </x:c>
      <x:c r="C1026" s="153" t="n">
        <x:v>16200</x:v>
      </x:c>
      <x:c r="D1026" s="153" t="n">
        <x:v>17479</x:v>
      </x:c>
      <x:c r="E1026" s="153" t="n">
        <x:v>16180</x:v>
      </x:c>
      <x:c r="F1026" s="153" t="n">
        <x:v>17166</x:v>
      </x:c>
      <x:c r="G1026" s="153" t="n">
        <x:v>859</x:v>
      </x:c>
      <x:c r="H1026" s="154" t="n">
        <x:v>0.0527</x:v>
      </x:c>
      <x:c r="I1026" s="158" t="n">
        <x:v>16657</x:v>
      </x:c>
      <x:c r="J1026" s="158" t="n">
        <x:v>534268</x:v>
      </x:c>
      <x:c r="K1026" s="158" t="n">
        <x:v>8899782306</x:v>
      </x:c>
      <x:c r="L1026" s="158" t="n">
        <x:v>2912056</x:v>
      </x:c>
      <x:c r="M1026" s="141" t="str">
        <x:v>https://www.sge.com.cn/sjzx/quotation_daily_new?start_date=2026-03-01&amp;end_date=2026-03-31&amp;inst_ids=Ag%28T%2BD%29&amp;p=</x:v>
      </x:c>
    </x:row>
    <x:row r="1027">
      <x:c r="A1027" s="155" t="n">
        <x:v>46105</x:v>
      </x:c>
      <x:c r="B1027" s="141" t="str">
        <x:v>Au99.99</x:v>
      </x:c>
      <x:c r="C1027" s="153" t="n">
        <x:v>965</x:v>
      </x:c>
      <x:c r="D1027" s="153" t="n">
        <x:v>999</x:v>
      </x:c>
      <x:c r="E1027" s="153" t="n">
        <x:v>953.2</x:v>
      </x:c>
      <x:c r="F1027" s="153" t="n">
        <x:v>979.56</x:v>
      </x:c>
      <x:c r="G1027" s="153" t="n">
        <x:v>54.91</x:v>
      </x:c>
      <x:c r="H1027" s="154" t="n">
        <x:v>0.0594</x:v>
      </x:c>
      <x:c r="I1027" s="158" t="n">
        <x:v>966.13</x:v>
      </x:c>
      <x:c r="J1027" s="158" t="n">
        <x:v>18123.16</x:v>
      </x:c>
      <x:c r="K1027" s="158" t="n">
        <x:v>17509448344.6</x:v>
      </x:c>
      <x:c r="L1027" s="158"/>
      <x:c r="M1027" s="141" t="str">
        <x:v>https://www.sge.com.cn/sjzx/quotation_daily_new?start_date=2026-03-01&amp;end_date=2026-03-31&amp;inst_ids=Au99.99&amp;p=</x:v>
      </x:c>
    </x:row>
    <x:row r="1028">
      <x:c r="A1028" s="155" t="n">
        <x:v>46106</x:v>
      </x:c>
      <x:c r="B1028" s="141" t="str">
        <x:v>Ag(T+D)</x:v>
      </x:c>
      <x:c r="C1028" s="153" t="n">
        <x:v>17299</x:v>
      </x:c>
      <x:c r="D1028" s="153" t="n">
        <x:v>18508</x:v>
      </x:c>
      <x:c r="E1028" s="153" t="n">
        <x:v>16740</x:v>
      </x:c>
      <x:c r="F1028" s="153" t="n">
        <x:v>18121</x:v>
      </x:c>
      <x:c r="G1028" s="153" t="n">
        <x:v>1464</x:v>
      </x:c>
      <x:c r="H1028" s="154" t="n">
        <x:v>0.08789999999999999</x:v>
      </x:c>
      <x:c r="I1028" s="158" t="n">
        <x:v>18016</x:v>
      </x:c>
      <x:c r="J1028" s="158" t="n">
        <x:v>456886</x:v>
      </x:c>
      <x:c r="K1028" s="158" t="n">
        <x:v>8231344992</x:v>
      </x:c>
      <x:c r="L1028" s="158" t="n">
        <x:v>2890428</x:v>
      </x:c>
      <x:c r="M1028" s="141" t="str">
        <x:v>https://www.sge.com.cn/sjzx/quotation_daily_new?start_date=2026-03-01&amp;end_date=2026-03-31&amp;inst_ids=Ag%28T%2BD%29&amp;p=</x:v>
      </x:c>
    </x:row>
    <x:row r="1029">
      <x:c r="A1029" s="155" t="n">
        <x:v>46106</x:v>
      </x:c>
      <x:c r="B1029" s="141" t="str">
        <x:v>Au99.99</x:v>
      </x:c>
      <x:c r="C1029" s="153" t="n">
        <x:v>980</x:v>
      </x:c>
      <x:c r="D1029" s="153" t="n">
        <x:v>1028.99</x:v>
      </x:c>
      <x:c r="E1029" s="153" t="n">
        <x:v>965.1</x:v>
      </x:c>
      <x:c r="F1029" s="153" t="n">
        <x:v>1015.45</x:v>
      </x:c>
      <x:c r="G1029" s="153" t="n">
        <x:v>35.89</x:v>
      </x:c>
      <x:c r="H1029" s="154" t="n">
        <x:v>0.0366</x:v>
      </x:c>
      <x:c r="I1029" s="158" t="n">
        <x:v>1017.3</x:v>
      </x:c>
      <x:c r="J1029" s="158" t="n">
        <x:v>13543.72</x:v>
      </x:c>
      <x:c r="K1029" s="158" t="n">
        <x:v>13778028880</x:v>
      </x:c>
      <x:c r="L1029" s="158"/>
      <x:c r="M1029" s="141" t="str">
        <x:v>https://www.sge.com.cn/sjzx/quotation_daily_new?start_date=2026-03-01&amp;end_date=2026-03-31&amp;inst_ids=Au99.99&amp;p=</x:v>
      </x:c>
    </x:row>
    <x:row r="1030">
      <x:c r="A1030" s="155" t="n">
        <x:v>46107</x:v>
      </x:c>
      <x:c r="B1030" s="141" t="str">
        <x:v>Ag(T+D)</x:v>
      </x:c>
      <x:c r="C1030" s="153" t="n">
        <x:v>18144</x:v>
      </x:c>
      <x:c r="D1030" s="153" t="n">
        <x:v>18200</x:v>
      </x:c>
      <x:c r="E1030" s="153" t="n">
        <x:v>17228</x:v>
      </x:c>
      <x:c r="F1030" s="153" t="n">
        <x:v>17292</x:v>
      </x:c>
      <x:c r="G1030" s="153" t="n">
        <x:v>-724</x:v>
      </x:c>
      <x:c r="H1030" s="154" t="n">
        <x:v>-0.04019999999999999</x:v>
      </x:c>
      <x:c r="I1030" s="158" t="n">
        <x:v>17725</x:v>
      </x:c>
      <x:c r="J1030" s="158" t="n">
        <x:v>429700</x:v>
      </x:c>
      <x:c r="K1030" s="158" t="n">
        <x:v>7616436638</x:v>
      </x:c>
      <x:c r="L1030" s="158" t="n">
        <x:v>2872224</x:v>
      </x:c>
      <x:c r="M1030" s="141" t="str">
        <x:v>https://www.sge.com.cn/sjzx/quotation_daily_new?start_date=2026-03-01&amp;end_date=2026-03-31&amp;inst_ids=Ag%28T%2BD%29&amp;p=</x:v>
      </x:c>
    </x:row>
    <x:row r="1031">
      <x:c r="A1031" s="155" t="n">
        <x:v>46107</x:v>
      </x:c>
      <x:c r="B1031" s="141" t="str">
        <x:v>Au99.99</x:v>
      </x:c>
      <x:c r="C1031" s="153" t="n">
        <x:v>1015.45</x:v>
      </x:c>
      <x:c r="D1031" s="153" t="n">
        <x:v>1022.5</x:v>
      </x:c>
      <x:c r="E1031" s="153" t="n">
        <x:v>982</x:v>
      </x:c>
      <x:c r="F1031" s="153" t="n">
        <x:v>991.36</x:v>
      </x:c>
      <x:c r="G1031" s="153" t="n">
        <x:v>-24.09</x:v>
      </x:c>
      <x:c r="H1031" s="154" t="n">
        <x:v>-0.023700000000000002</x:v>
      </x:c>
      <x:c r="I1031" s="158" t="n">
        <x:v>1000.48</x:v>
      </x:c>
      <x:c r="J1031" s="158" t="n">
        <x:v>13363.36</x:v>
      </x:c>
      <x:c r="K1031" s="158" t="n">
        <x:v>13369783155.2</x:v>
      </x:c>
      <x:c r="L1031" s="158"/>
      <x:c r="M1031" s="141" t="str">
        <x:v>https://www.sge.com.cn/sjzx/quotation_daily_new?start_date=2026-03-01&amp;end_date=2026-03-31&amp;inst_ids=Au99.99&amp;p=</x:v>
      </x:c>
    </x:row>
    <x:row r="1032">
      <x:c r="A1032" s="155" t="n">
        <x:v>46108</x:v>
      </x:c>
      <x:c r="B1032" s="141" t="str">
        <x:v>Ag(T+D)</x:v>
      </x:c>
      <x:c r="C1032" s="153" t="n">
        <x:v>16830</x:v>
      </x:c>
      <x:c r="D1032" s="153" t="n">
        <x:v>17650</x:v>
      </x:c>
      <x:c r="E1032" s="153" t="n">
        <x:v>16800</x:v>
      </x:c>
      <x:c r="F1032" s="153" t="n">
        <x:v>17467</x:v>
      </x:c>
      <x:c r="G1032" s="153" t="n">
        <x:v>-258</x:v>
      </x:c>
      <x:c r="H1032" s="154" t="n">
        <x:v>-0.0146</x:v>
      </x:c>
      <x:c r="I1032" s="158" t="n">
        <x:v>17288</x:v>
      </x:c>
      <x:c r="J1032" s="158" t="n">
        <x:v>293094</x:v>
      </x:c>
      <x:c r="K1032" s="158" t="n">
        <x:v>5067156202</x:v>
      </x:c>
      <x:c r="L1032" s="158" t="n">
        <x:v>2849646</x:v>
      </x:c>
      <x:c r="M1032" s="141" t="str">
        <x:v>https://www.sge.com.cn/sjzx/quotation_daily_new?start_date=2026-03-01&amp;end_date=2026-03-31&amp;inst_ids=Ag%28T%2BD%29&amp;p=</x:v>
      </x:c>
    </x:row>
    <x:row r="1033">
      <x:c r="A1033" s="155" t="n">
        <x:v>46108</x:v>
      </x:c>
      <x:c r="B1033" s="141" t="str">
        <x:v>Au99.99</x:v>
      </x:c>
      <x:c r="C1033" s="153" t="n">
        <x:v>988</x:v>
      </x:c>
      <x:c r="D1033" s="153" t="n">
        <x:v>999.5</x:v>
      </x:c>
      <x:c r="E1033" s="153" t="n">
        <x:v>977</x:v>
      </x:c>
      <x:c r="F1033" s="153" t="n">
        <x:v>993.9</x:v>
      </x:c>
      <x:c r="G1033" s="153" t="n">
        <x:v>2.54</x:v>
      </x:c>
      <x:c r="H1033" s="154" t="n">
        <x:v>0.0026</x:v>
      </x:c>
      <x:c r="I1033" s="158" t="n">
        <x:v>990.16</x:v>
      </x:c>
      <x:c r="J1033" s="158" t="n">
        <x:v>10391.86</x:v>
      </x:c>
      <x:c r="K1033" s="158" t="n">
        <x:v>10289638034</x:v>
      </x:c>
      <x:c r="L1033" s="158"/>
      <x:c r="M1033" s="141" t="str">
        <x:v>https://www.sge.com.cn/sjzx/quotation_daily_new?start_date=2026-03-01&amp;end_date=2026-03-31&amp;inst_ids=Au99.99&amp;p=</x:v>
      </x:c>
    </x:row>
    <x:row r="1034">
      <x:c r="A1034" s="155" t="n">
        <x:v>46111</x:v>
      </x:c>
      <x:c r="B1034" s="141" t="str">
        <x:v>Ag(T+D)</x:v>
      </x:c>
      <x:c r="C1034" s="153" t="n">
        <x:v>17080</x:v>
      </x:c>
      <x:c r="D1034" s="153" t="n">
        <x:v>17940</x:v>
      </x:c>
      <x:c r="E1034" s="153" t="n">
        <x:v>16956</x:v>
      </x:c>
      <x:c r="F1034" s="153" t="n">
        <x:v>17560</x:v>
      </x:c>
      <x:c r="G1034" s="153" t="n">
        <x:v>272</x:v>
      </x:c>
      <x:c r="H1034" s="154" t="n">
        <x:v>0.015700000000000002</x:v>
      </x:c>
      <x:c r="I1034" s="158" t="n">
        <x:v>17520</x:v>
      </x:c>
      <x:c r="J1034" s="158" t="n">
        <x:v>294236</x:v>
      </x:c>
      <x:c r="K1034" s="158" t="n">
        <x:v>5155247412</x:v>
      </x:c>
      <x:c r="L1034" s="158" t="n">
        <x:v>2839936</x:v>
      </x:c>
      <x:c r="M1034" s="141" t="str">
        <x:v>https://www.sge.com.cn/sjzx/quotation_daily_new?start_date=2026-03-01&amp;end_date=2026-03-31&amp;inst_ids=Ag%28T%2BD%29&amp;p=</x:v>
      </x:c>
    </x:row>
    <x:row r="1035">
      <x:c r="A1035" s="155" t="n">
        <x:v>46111</x:v>
      </x:c>
      <x:c r="B1035" s="141" t="str">
        <x:v>Au99.99</x:v>
      </x:c>
      <x:c r="C1035" s="153" t="n">
        <x:v>990</x:v>
      </x:c>
      <x:c r="D1035" s="153" t="n">
        <x:v>1015</x:v>
      </x:c>
      <x:c r="E1035" s="153" t="n">
        <x:v>986</x:v>
      </x:c>
      <x:c r="F1035" s="153" t="n">
        <x:v>1008.75</x:v>
      </x:c>
      <x:c r="G1035" s="153" t="n">
        <x:v>14.85</x:v>
      </x:c>
      <x:c r="H1035" s="154" t="n">
        <x:v>0.0149</x:v>
      </x:c>
      <x:c r="I1035" s="158" t="n">
        <x:v>1005.43</x:v>
      </x:c>
      <x:c r="J1035" s="158" t="n">
        <x:v>11089.54</x:v>
      </x:c>
      <x:c r="K1035" s="158" t="n">
        <x:v>11149836990</x:v>
      </x:c>
      <x:c r="L1035" s="158"/>
      <x:c r="M1035" s="141" t="str">
        <x:v>https://www.sge.com.cn/sjzx/quotation_daily_new?start_date=2026-03-01&amp;end_date=2026-03-31&amp;inst_ids=Au99.99&amp;p=</x:v>
      </x:c>
    </x:row>
    <x:row r="1036">
      <x:c r="A1036" s="155" t="n">
        <x:v>46112</x:v>
      </x:c>
      <x:c r="B1036" s="141" t="str">
        <x:v>Ag(T+D)</x:v>
      </x:c>
      <x:c r="C1036" s="153" t="n">
        <x:v>17860</x:v>
      </x:c>
      <x:c r="D1036" s="153" t="n">
        <x:v>18508</x:v>
      </x:c>
      <x:c r="E1036" s="153" t="n">
        <x:v>17559</x:v>
      </x:c>
      <x:c r="F1036" s="153" t="n">
        <x:v>18031</x:v>
      </x:c>
      <x:c r="G1036" s="153" t="n">
        <x:v>511</x:v>
      </x:c>
      <x:c r="H1036" s="154" t="n">
        <x:v>0.0292</x:v>
      </x:c>
      <x:c r="I1036" s="158" t="n">
        <x:v>18114</x:v>
      </x:c>
      <x:c r="J1036" s="158" t="n">
        <x:v>345804</x:v>
      </x:c>
      <x:c r="K1036" s="158" t="n">
        <x:v>6264032482</x:v>
      </x:c>
      <x:c r="L1036" s="158" t="n">
        <x:v>2818488</x:v>
      </x:c>
      <x:c r="M1036" s="141" t="str">
        <x:v>https://www.sge.com.cn/sjzx/quotation_daily_new?start_date=2026-03-01&amp;end_date=2026-03-31&amp;inst_ids=Ag%28T%2BD%29&amp;p=</x:v>
      </x:c>
    </x:row>
    <x:row r="1037">
      <x:c r="A1037" s="155" t="n">
        <x:v>46112</x:v>
      </x:c>
      <x:c r="B1037" s="141" t="str">
        <x:v>Au99.99</x:v>
      </x:c>
      <x:c r="C1037" s="153" t="n">
        <x:v>1015</x:v>
      </x:c>
      <x:c r="D1037" s="153" t="n">
        <x:v>1029.99</x:v>
      </x:c>
      <x:c r="E1037" s="153" t="n">
        <x:v>1008</x:v>
      </x:c>
      <x:c r="F1037" s="153" t="n">
        <x:v>1018.9</x:v>
      </x:c>
      <x:c r="G1037" s="153" t="n">
        <x:v>10.15</x:v>
      </x:c>
      <x:c r="H1037" s="154" t="n">
        <x:v>0.0101</x:v>
      </x:c>
      <x:c r="I1037" s="158" t="n">
        <x:v>1020.33</x:v>
      </x:c>
      <x:c r="J1037" s="158" t="n">
        <x:v>7108.74</x:v>
      </x:c>
      <x:c r="K1037" s="158" t="n">
        <x:v>7253284710.4</x:v>
      </x:c>
      <x:c r="L1037" s="158"/>
      <x:c r="M1037" s="141" t="str">
        <x:v>https://www.sge.com.cn/sjzx/quotation_daily_new?start_date=2026-03-01&amp;end_date=2026-03-31&amp;inst_ids=Au99.99&amp;p=</x:v>
      </x:c>
    </x:row>
    <x:row r="1038">
      <x:c r="A1038" s="155" t="n">
        <x:v>46114</x:v>
      </x:c>
      <x:c r="B1038" s="141" t="str">
        <x:v>Ag(T+D)</x:v>
      </x:c>
      <x:c r="C1038" s="153" t="n">
        <x:v>18786</x:v>
      </x:c>
      <x:c r="D1038" s="153" t="n">
        <x:v>18916</x:v>
      </x:c>
      <x:c r="E1038" s="153" t="n">
        <x:v>17304</x:v>
      </x:c>
      <x:c r="F1038" s="153" t="n">
        <x:v>17680</x:v>
      </x:c>
      <x:c r="G1038" s="153" t="n">
        <x:v>-975</x:v>
      </x:c>
      <x:c r="H1038" s="154" t="n">
        <x:v>-0.052300000000000006</x:v>
      </x:c>
      <x:c r="I1038" s="158" t="n">
        <x:v>17856</x:v>
      </x:c>
      <x:c r="J1038" s="158" t="n">
        <x:v>382260</x:v>
      </x:c>
      <x:c r="K1038" s="158" t="n">
        <x:v>6825964114</x:v>
      </x:c>
      <x:c r="L1038" s="158" t="n">
        <x:v>2794400</x:v>
      </x:c>
      <x:c r="M1038" s="141" t="str">
        <x:v>https://www.sge.com.cn/sjzx/quotation_daily_new?start_date=2026-04-01&amp;end_date=2026-04-30&amp;inst_ids=Ag%28T%2BD%29&amp;p=</x:v>
      </x:c>
    </x:row>
    <x:row r="1039">
      <x:c r="A1039" s="155" t="n">
        <x:v>46114</x:v>
      </x:c>
      <x:c r="B1039" s="141" t="str">
        <x:v>Au99.99</x:v>
      </x:c>
      <x:c r="C1039" s="153" t="n">
        <x:v>1060</x:v>
      </x:c>
      <x:c r="D1039" s="153" t="n">
        <x:v>1095</x:v>
      </x:c>
      <x:c r="E1039" s="153" t="n">
        <x:v>1010</x:v>
      </x:c>
      <x:c r="F1039" s="153" t="n">
        <x:v>1027.5</x:v>
      </x:c>
      <x:c r="G1039" s="153" t="n">
        <x:v>-20.39</x:v>
      </x:c>
      <x:c r="H1039" s="154" t="n">
        <x:v>-0.0195</x:v>
      </x:c>
      <x:c r="I1039" s="158" t="n">
        <x:v>1033.06</x:v>
      </x:c>
      <x:c r="J1039" s="158" t="n">
        <x:v>7345.4</x:v>
      </x:c>
      <x:c r="K1039" s="158" t="n">
        <x:v>7588270156.8</x:v>
      </x:c>
      <x:c r="L1039" s="158"/>
      <x:c r="M1039" s="141" t="str">
        <x:v>https://www.sge.com.cn/sjzx/quotation_daily_new?start_date=2026-04-01&amp;end_date=2026-04-30&amp;inst_ids=Au99.99&amp;p=</x:v>
      </x:c>
    </x:row>
    <x:row r="1040">
      <x:c r="A1040" s="155" t="n">
        <x:v>46115</x:v>
      </x:c>
      <x:c r="B1040" s="141" t="str">
        <x:v>Ag(T+D)</x:v>
      </x:c>
      <x:c r="C1040" s="153" t="n">
        <x:v>17619</x:v>
      </x:c>
      <x:c r="D1040" s="153" t="n">
        <x:v>18280</x:v>
      </x:c>
      <x:c r="E1040" s="153" t="n">
        <x:v>17270</x:v>
      </x:c>
      <x:c r="F1040" s="153" t="n">
        <x:v>17803</x:v>
      </x:c>
      <x:c r="G1040" s="153" t="n">
        <x:v>-53</x:v>
      </x:c>
      <x:c r="H1040" s="154" t="n">
        <x:v>-0.003</x:v>
      </x:c>
      <x:c r="I1040" s="158" t="n">
        <x:v>17907</x:v>
      </x:c>
      <x:c r="J1040" s="158" t="n">
        <x:v>250724</x:v>
      </x:c>
      <x:c r="K1040" s="158" t="n">
        <x:v>4489905196</x:v>
      </x:c>
      <x:c r="L1040" s="158" t="n">
        <x:v>2815220</x:v>
      </x:c>
      <x:c r="M1040" s="141" t="str">
        <x:v>https://www.sge.com.cn/sjzx/quotation_daily_new?start_date=2026-04-01&amp;end_date=2026-04-30&amp;inst_ids=Ag%28T%2BD%29&amp;p=</x:v>
      </x:c>
    </x:row>
    <x:row r="1041">
      <x:c r="A1041" s="155" t="n">
        <x:v>46115</x:v>
      </x:c>
      <x:c r="B1041" s="141" t="str">
        <x:v>Au99.99</x:v>
      </x:c>
      <x:c r="C1041" s="153" t="n">
        <x:v>1022</x:v>
      </x:c>
      <x:c r="D1041" s="153" t="n">
        <x:v>1042</x:v>
      </x:c>
      <x:c r="E1041" s="153" t="n">
        <x:v>1020</x:v>
      </x:c>
      <x:c r="F1041" s="153" t="n">
        <x:v>1034.42</x:v>
      </x:c>
      <x:c r="G1041" s="153" t="n">
        <x:v>6.92</x:v>
      </x:c>
      <x:c r="H1041" s="154" t="n">
        <x:v>0.0067</x:v>
      </x:c>
      <x:c r="I1041" s="158" t="n">
        <x:v>1032.36</x:v>
      </x:c>
      <x:c r="J1041" s="158" t="n">
        <x:v>4251.04</x:v>
      </x:c>
      <x:c r="K1041" s="158" t="n">
        <x:v>4388633819</x:v>
      </x:c>
      <x:c r="L1041" s="158"/>
      <x:c r="M1041" s="141" t="str">
        <x:v>https://www.sge.com.cn/sjzx/quotation_daily_new?start_date=2026-04-01&amp;end_date=2026-04-30&amp;inst_ids=Au99.99&amp;p=</x:v>
      </x:c>
    </x:row>
    <x:row r="1042">
      <x:c r="A1042" s="155" t="n">
        <x:v>46119</x:v>
      </x:c>
      <x:c r="B1042" s="141" t="str">
        <x:v>Ag(T+D)</x:v>
      </x:c>
      <x:c r="C1042" s="153" t="n">
        <x:v>17849</x:v>
      </x:c>
      <x:c r="D1042" s="153" t="n">
        <x:v>18150</x:v>
      </x:c>
      <x:c r="E1042" s="153" t="n">
        <x:v>17688</x:v>
      </x:c>
      <x:c r="F1042" s="153" t="n">
        <x:v>17820</x:v>
      </x:c>
      <x:c r="G1042" s="153" t="n">
        <x:v>-87</x:v>
      </x:c>
      <x:c r="H1042" s="154" t="n">
        <x:v>-0.0049</x:v>
      </x:c>
      <x:c r="I1042" s="158" t="n">
        <x:v>17916</x:v>
      </x:c>
      <x:c r="J1042" s="158" t="n">
        <x:v>221000</x:v>
      </x:c>
      <x:c r="K1042" s="158" t="n">
        <x:v>3959573514</x:v>
      </x:c>
      <x:c r="L1042" s="158" t="n">
        <x:v>2838616</x:v>
      </x:c>
      <x:c r="M1042" s="141" t="str">
        <x:v>https://www.sge.com.cn/sjzx/quotation_daily_new?start_date=2026-04-01&amp;end_date=2026-04-30&amp;inst_ids=Ag%28T%2BD%29&amp;p=</x:v>
      </x:c>
    </x:row>
    <x:row r="1043">
      <x:c r="A1043" s="155" t="n">
        <x:v>46119</x:v>
      </x:c>
      <x:c r="B1043" s="141" t="str">
        <x:v>Au99.99</x:v>
      </x:c>
      <x:c r="C1043" s="153" t="n">
        <x:v>1032</x:v>
      </x:c>
      <x:c r="D1043" s="153" t="n">
        <x:v>1035</x:v>
      </x:c>
      <x:c r="E1043" s="153" t="n">
        <x:v>1026</x:v>
      </x:c>
      <x:c r="F1043" s="153" t="n">
        <x:v>1028</x:v>
      </x:c>
      <x:c r="G1043" s="153" t="n">
        <x:v>-6.42</x:v>
      </x:c>
      <x:c r="H1043" s="154" t="n">
        <x:v>-0.0062</x:v>
      </x:c>
      <x:c r="I1043" s="158" t="n">
        <x:v>1030.03</x:v>
      </x:c>
      <x:c r="J1043" s="158" t="n">
        <x:v>5812.18</x:v>
      </x:c>
      <x:c r="K1043" s="158" t="n">
        <x:v>5986753166</x:v>
      </x:c>
      <x:c r="L1043" s="158"/>
      <x:c r="M1043" s="141" t="str">
        <x:v>https://www.sge.com.cn/sjzx/quotation_daily_new?start_date=2026-04-01&amp;end_date=2026-04-30&amp;inst_ids=Au99.99&amp;p=</x:v>
      </x:c>
    </x:row>
    <x:row r="1044">
      <x:c r="A1044" s="155" t="n">
        <x:v>46120</x:v>
      </x:c>
      <x:c r="B1044" s="141" t="str">
        <x:v>Ag(T+D)</x:v>
      </x:c>
      <x:c r="C1044" s="153" t="n">
        <x:v>17848</x:v>
      </x:c>
      <x:c r="D1044" s="153" t="n">
        <x:v>19015</x:v>
      </x:c>
      <x:c r="E1044" s="153" t="n">
        <x:v>17280</x:v>
      </x:c>
      <x:c r="F1044" s="153" t="n">
        <x:v>18854</x:v>
      </x:c>
      <x:c r="G1044" s="153" t="n">
        <x:v>938</x:v>
      </x:c>
      <x:c r="H1044" s="154" t="n">
        <x:v>0.0524</x:v>
      </x:c>
      <x:c r="I1044" s="158" t="n">
        <x:v>18719</x:v>
      </x:c>
      <x:c r="J1044" s="158" t="n">
        <x:v>302928</x:v>
      </x:c>
      <x:c r="K1044" s="158" t="n">
        <x:v>5670657008</x:v>
      </x:c>
      <x:c r="L1044" s="158" t="n">
        <x:v>2873562</x:v>
      </x:c>
      <x:c r="M1044" s="141" t="str">
        <x:v>https://www.sge.com.cn/sjzx/quotation_daily_new?start_date=2026-04-01&amp;end_date=2026-04-30&amp;inst_ids=Ag%28T%2BD%29&amp;p=</x:v>
      </x:c>
    </x:row>
    <x:row r="1045">
      <x:c r="A1045" s="155" t="n">
        <x:v>46120</x:v>
      </x:c>
      <x:c r="B1045" s="141" t="str">
        <x:v>Au99.99</x:v>
      </x:c>
      <x:c r="C1045" s="153" t="n">
        <x:v>1033</x:v>
      </x:c>
      <x:c r="D1045" s="153" t="n">
        <x:v>1065</x:v>
      </x:c>
      <x:c r="E1045" s="153" t="n">
        <x:v>1021</x:v>
      </x:c>
      <x:c r="F1045" s="153" t="n">
        <x:v>1059.91</x:v>
      </x:c>
      <x:c r="G1045" s="153" t="n">
        <x:v>31.91</x:v>
      </x:c>
      <x:c r="H1045" s="154" t="n">
        <x:v>0.031</x:v>
      </x:c>
      <x:c r="I1045" s="158" t="n">
        <x:v>1059.09</x:v>
      </x:c>
      <x:c r="J1045" s="158" t="n">
        <x:v>6060.8</x:v>
      </x:c>
      <x:c r="K1045" s="158" t="n">
        <x:v>6418976276</x:v>
      </x:c>
      <x:c r="L1045" s="158"/>
      <x:c r="M1045" s="141" t="str">
        <x:v>https://www.sge.com.cn/sjzx/quotation_daily_new?start_date=2026-04-01&amp;end_date=2026-04-30&amp;inst_ids=Au99.99&amp;p=</x:v>
      </x:c>
    </x:row>
    <x:row r="1046">
      <x:c r="A1046" s="155" t="n">
        <x:v>46121</x:v>
      </x:c>
      <x:c r="B1046" s="141" t="str">
        <x:v>Ag(T+D)</x:v>
      </x:c>
      <x:c r="C1046" s="153" t="n">
        <x:v>18947</x:v>
      </x:c>
      <x:c r="D1046" s="153" t="n">
        <x:v>19014</x:v>
      </x:c>
      <x:c r="E1046" s="153" t="n">
        <x:v>17961</x:v>
      </x:c>
      <x:c r="F1046" s="153" t="n">
        <x:v>18130</x:v>
      </x:c>
      <x:c r="G1046" s="153" t="n">
        <x:v>-589</x:v>
      </x:c>
      <x:c r="H1046" s="154" t="n">
        <x:v>-0.0315</x:v>
      </x:c>
      <x:c r="I1046" s="158" t="n">
        <x:v>18271</x:v>
      </x:c>
      <x:c r="J1046" s="158" t="n">
        <x:v>255442</x:v>
      </x:c>
      <x:c r="K1046" s="158" t="n">
        <x:v>4667392594</x:v>
      </x:c>
      <x:c r="L1046" s="158" t="n">
        <x:v>2874324</x:v>
      </x:c>
      <x:c r="M1046" s="141" t="str">
        <x:v>https://www.sge.com.cn/sjzx/quotation_daily_new?start_date=2026-04-01&amp;end_date=2026-04-30&amp;inst_ids=Ag%28T%2BD%29&amp;p=</x:v>
      </x:c>
    </x:row>
    <x:row r="1047">
      <x:c r="A1047" s="155" t="n">
        <x:v>46121</x:v>
      </x:c>
      <x:c r="B1047" s="141" t="str">
        <x:v>Au99.99</x:v>
      </x:c>
      <x:c r="C1047" s="153" t="n">
        <x:v>1060</x:v>
      </x:c>
      <x:c r="D1047" s="153" t="n">
        <x:v>1060</x:v>
      </x:c>
      <x:c r="E1047" s="153" t="n">
        <x:v>1036</x:v>
      </x:c>
      <x:c r="F1047" s="153" t="n">
        <x:v>1036</x:v>
      </x:c>
      <x:c r="G1047" s="153" t="n">
        <x:v>-23.91</x:v>
      </x:c>
      <x:c r="H1047" s="154" t="n">
        <x:v>-0.0226</x:v>
      </x:c>
      <x:c r="I1047" s="158" t="n">
        <x:v>1040.27</x:v>
      </x:c>
      <x:c r="J1047" s="158" t="n">
        <x:v>4562.36</x:v>
      </x:c>
      <x:c r="K1047" s="158" t="n">
        <x:v>4746116489.6</x:v>
      </x:c>
      <x:c r="L1047" s="158"/>
      <x:c r="M1047" s="141" t="str">
        <x:v>https://www.sge.com.cn/sjzx/quotation_daily_new?start_date=2026-04-01&amp;end_date=2026-04-30&amp;inst_ids=Au99.99&amp;p=</x:v>
      </x:c>
    </x:row>
    <x:row r="1048">
      <x:c r="A1048" s="155" t="n">
        <x:v>46122</x:v>
      </x:c>
      <x:c r="B1048" s="141" t="str">
        <x:v>Ag(T+D)</x:v>
      </x:c>
      <x:c r="C1048" s="153" t="n">
        <x:v>18350</x:v>
      </x:c>
      <x:c r="D1048" s="153" t="n">
        <x:v>18802</x:v>
      </x:c>
      <x:c r="E1048" s="153" t="n">
        <x:v>18211</x:v>
      </x:c>
      <x:c r="F1048" s="153" t="n">
        <x:v>18560</x:v>
      </x:c>
      <x:c r="G1048" s="153" t="n">
        <x:v>289</x:v>
      </x:c>
      <x:c r="H1048" s="154" t="n">
        <x:v>0.0158</x:v>
      </x:c>
      <x:c r="I1048" s="158" t="n">
        <x:v>18562</x:v>
      </x:c>
      <x:c r="J1048" s="158" t="n">
        <x:v>239398</x:v>
      </x:c>
      <x:c r="K1048" s="158" t="n">
        <x:v>4443936724</x:v>
      </x:c>
      <x:c r="L1048" s="158" t="n">
        <x:v>2884610</x:v>
      </x:c>
      <x:c r="M1048" s="141" t="str">
        <x:v>https://www.sge.com.cn/sjzx/quotation_daily_new?start_date=2026-04-01&amp;end_date=2026-04-30&amp;inst_ids=Ag%28T%2BD%29&amp;p=</x:v>
      </x:c>
    </x:row>
    <x:row r="1049">
      <x:c r="A1049" s="155" t="n">
        <x:v>46122</x:v>
      </x:c>
      <x:c r="B1049" s="141" t="str">
        <x:v>Au99.99</x:v>
      </x:c>
      <x:c r="C1049" s="153" t="n">
        <x:v>1047</x:v>
      </x:c>
      <x:c r="D1049" s="153" t="n">
        <x:v>1055</x:v>
      </x:c>
      <x:c r="E1049" s="153" t="n">
        <x:v>1043</x:v>
      </x:c>
      <x:c r="F1049" s="153" t="n">
        <x:v>1047.23</x:v>
      </x:c>
      <x:c r="G1049" s="153" t="n">
        <x:v>11.23</x:v>
      </x:c>
      <x:c r="H1049" s="154" t="n">
        <x:v>0.0108</x:v>
      </x:c>
      <x:c r="I1049" s="158" t="n">
        <x:v>1047.87</x:v>
      </x:c>
      <x:c r="J1049" s="158" t="n">
        <x:v>4954.58</x:v>
      </x:c>
      <x:c r="K1049" s="158" t="n">
        <x:v>5191782038.2</x:v>
      </x:c>
      <x:c r="L1049" s="158"/>
      <x:c r="M1049" s="141" t="str">
        <x:v>https://www.sge.com.cn/sjzx/quotation_daily_new?start_date=2026-04-01&amp;end_date=2026-04-30&amp;inst_ids=Au99.99&amp;p=</x:v>
      </x:c>
    </x:row>
    <x:row r="1050">
      <x:c r="A1050" s="155" t="n">
        <x:v>46125</x:v>
      </x:c>
      <x:c r="B1050" s="141" t="str">
        <x:v>Ag(T+D)</x:v>
      </x:c>
      <x:c r="C1050" s="153" t="n">
        <x:v>18560</x:v>
      </x:c>
      <x:c r="D1050" s="153" t="n">
        <x:v>18900</x:v>
      </x:c>
      <x:c r="E1050" s="153" t="n">
        <x:v>18279</x:v>
      </x:c>
      <x:c r="F1050" s="153" t="n">
        <x:v>18379</x:v>
      </x:c>
      <x:c r="G1050" s="153" t="n">
        <x:v>-183</x:v>
      </x:c>
      <x:c r="H1050" s="154" t="n">
        <x:v>-0.009899999999999999</x:v>
      </x:c>
      <x:c r="I1050" s="158" t="n">
        <x:v>18447</x:v>
      </x:c>
      <x:c r="J1050" s="158" t="n">
        <x:v>310744</x:v>
      </x:c>
      <x:c r="K1050" s="158" t="n">
        <x:v>5732547010</x:v>
      </x:c>
      <x:c r="L1050" s="158" t="n">
        <x:v>2840100</x:v>
      </x:c>
      <x:c r="M1050" s="141" t="str">
        <x:v>https://www.sge.com.cn/sjzx/quotation_daily_new?start_date=2026-04-01&amp;end_date=2026-04-30&amp;inst_ids=Ag%28T%2BD%29&amp;p=</x:v>
      </x:c>
    </x:row>
    <x:row r="1051">
      <x:c r="A1051" s="155" t="n">
        <x:v>46125</x:v>
      </x:c>
      <x:c r="B1051" s="141" t="str">
        <x:v>Au99.99</x:v>
      </x:c>
      <x:c r="C1051" s="153" t="n">
        <x:v>1048.5</x:v>
      </x:c>
      <x:c r="D1051" s="153" t="n">
        <x:v>1055</x:v>
      </x:c>
      <x:c r="E1051" s="153" t="n">
        <x:v>1035</x:v>
      </x:c>
      <x:c r="F1051" s="153" t="n">
        <x:v>1042.3</x:v>
      </x:c>
      <x:c r="G1051" s="153" t="n">
        <x:v>-4.93</x:v>
      </x:c>
      <x:c r="H1051" s="154" t="n">
        <x:v>-0.004699999999999999</x:v>
      </x:c>
      <x:c r="I1051" s="158" t="n">
        <x:v>1040.19</x:v>
      </x:c>
      <x:c r="J1051" s="158" t="n">
        <x:v>6591.96</x:v>
      </x:c>
      <x:c r="K1051" s="158" t="n">
        <x:v>6856921759.4</x:v>
      </x:c>
      <x:c r="L1051" s="158"/>
      <x:c r="M1051" s="141" t="str">
        <x:v>https://www.sge.com.cn/sjzx/quotation_daily_new?start_date=2026-04-01&amp;end_date=2026-04-30&amp;inst_ids=Au99.99&amp;p=</x:v>
      </x:c>
    </x:row>
    <x:row r="1052">
      <x:c r="A1052" s="155" t="n">
        <x:v>46126</x:v>
      </x:c>
      <x:c r="B1052" s="141" t="str">
        <x:v>Ag(T+D)</x:v>
      </x:c>
      <x:c r="C1052" s="153" t="n">
        <x:v>18379</x:v>
      </x:c>
      <x:c r="D1052" s="153" t="n">
        <x:v>19220</x:v>
      </x:c>
      <x:c r="E1052" s="153" t="n">
        <x:v>18228</x:v>
      </x:c>
      <x:c r="F1052" s="153" t="n">
        <x:v>19148</x:v>
      </x:c>
      <x:c r="G1052" s="153" t="n">
        <x:v>701</x:v>
      </x:c>
      <x:c r="H1052" s="154" t="n">
        <x:v>0.038</x:v>
      </x:c>
      <x:c r="I1052" s="158" t="n">
        <x:v>18818</x:v>
      </x:c>
      <x:c r="J1052" s="158" t="n">
        <x:v>273386</x:v>
      </x:c>
      <x:c r="K1052" s="158" t="n">
        <x:v>5144711594</x:v>
      </x:c>
      <x:c r="L1052" s="158" t="n">
        <x:v>2860580</x:v>
      </x:c>
      <x:c r="M1052" s="141" t="str">
        <x:v>https://www.sge.com.cn/sjzx/quotation_daily_new?start_date=2026-04-01&amp;end_date=2026-04-30&amp;inst_ids=Ag%28T%2BD%29&amp;p=</x:v>
      </x:c>
    </x:row>
    <x:row r="1053">
      <x:c r="A1053" s="155" t="n">
        <x:v>46126</x:v>
      </x:c>
      <x:c r="B1053" s="141" t="str">
        <x:v>Au99.99</x:v>
      </x:c>
      <x:c r="C1053" s="153" t="n">
        <x:v>1040</x:v>
      </x:c>
      <x:c r="D1053" s="153" t="n">
        <x:v>1052</x:v>
      </x:c>
      <x:c r="E1053" s="153" t="n">
        <x:v>1035.1</x:v>
      </x:c>
      <x:c r="F1053" s="153" t="n">
        <x:v>1048.35</x:v>
      </x:c>
      <x:c r="G1053" s="153" t="n">
        <x:v>6.05</x:v>
      </x:c>
      <x:c r="H1053" s="154" t="n">
        <x:v>0.0058</x:v>
      </x:c>
      <x:c r="I1053" s="158" t="n">
        <x:v>1047.95</x:v>
      </x:c>
      <x:c r="J1053" s="158" t="n">
        <x:v>6784.58</x:v>
      </x:c>
      <x:c r="K1053" s="158" t="n">
        <x:v>7109932426.8</x:v>
      </x:c>
      <x:c r="L1053" s="158"/>
      <x:c r="M1053" s="141" t="str">
        <x:v>https://www.sge.com.cn/sjzx/quotation_daily_new?start_date=2026-04-01&amp;end_date=2026-04-30&amp;inst_ids=Au99.99&amp;p=</x:v>
      </x:c>
    </x:row>
    <x:row r="1054">
      <x:c r="A1054" s="155" t="n">
        <x:v>46127</x:v>
      </x:c>
      <x:c r="B1054" s="141" t="str">
        <x:v>Ag(T+D)</x:v>
      </x:c>
      <x:c r="C1054" s="153" t="n">
        <x:v>19150</x:v>
      </x:c>
      <x:c r="D1054" s="153" t="n">
        <x:v>20061</x:v>
      </x:c>
      <x:c r="E1054" s="153" t="n">
        <x:v>19070</x:v>
      </x:c>
      <x:c r="F1054" s="153" t="n">
        <x:v>19560</x:v>
      </x:c>
      <x:c r="G1054" s="153" t="n">
        <x:v>742</x:v>
      </x:c>
      <x:c r="H1054" s="154" t="n">
        <x:v>0.0394</x:v>
      </x:c>
      <x:c r="I1054" s="158" t="n">
        <x:v>19675</x:v>
      </x:c>
      <x:c r="J1054" s="158" t="n">
        <x:v>357302</x:v>
      </x:c>
      <x:c r="K1054" s="158" t="n">
        <x:v>7030152396</x:v>
      </x:c>
      <x:c r="L1054" s="158" t="n">
        <x:v>2854006</x:v>
      </x:c>
      <x:c r="M1054" s="141" t="str">
        <x:v>https://www.sge.com.cn/sjzx/quotation_daily_new?start_date=2026-04-01&amp;end_date=2026-04-30&amp;inst_ids=Ag%28T%2BD%29&amp;p=</x:v>
      </x:c>
    </x:row>
    <x:row r="1055">
      <x:c r="A1055" s="155" t="n">
        <x:v>46127</x:v>
      </x:c>
      <x:c r="B1055" s="141" t="str">
        <x:v>Au99.99</x:v>
      </x:c>
      <x:c r="C1055" s="153" t="n">
        <x:v>1047.1</x:v>
      </x:c>
      <x:c r="D1055" s="153" t="n">
        <x:v>1067.8</x:v>
      </x:c>
      <x:c r="E1055" s="153" t="n">
        <x:v>1046</x:v>
      </x:c>
      <x:c r="F1055" s="153" t="n">
        <x:v>1055.19</x:v>
      </x:c>
      <x:c r="G1055" s="153" t="n">
        <x:v>6.84</x:v>
      </x:c>
      <x:c r="H1055" s="154" t="n">
        <x:v>0.006500000000000001</x:v>
      </x:c>
      <x:c r="I1055" s="158" t="n">
        <x:v>1058.03</x:v>
      </x:c>
      <x:c r="J1055" s="158" t="n">
        <x:v>4595.3</x:v>
      </x:c>
      <x:c r="K1055" s="158" t="n">
        <x:v>4862004159.4</x:v>
      </x:c>
      <x:c r="L1055" s="158"/>
      <x:c r="M1055" s="141" t="str">
        <x:v>https://www.sge.com.cn/sjzx/quotation_daily_new?start_date=2026-04-01&amp;end_date=2026-04-30&amp;inst_ids=Au99.99&amp;p=</x:v>
      </x:c>
    </x:row>
    <x:row r="1056">
      <x:c r="A1056" s="155" t="n">
        <x:v>46128</x:v>
      </x:c>
      <x:c r="B1056" s="141" t="str">
        <x:v>Ag(T+D)</x:v>
      </x:c>
      <x:c r="C1056" s="153" t="n">
        <x:v>19556</x:v>
      </x:c>
      <x:c r="D1056" s="153" t="n">
        <x:v>20000</x:v>
      </x:c>
      <x:c r="E1056" s="153" t="n">
        <x:v>19409</x:v>
      </x:c>
      <x:c r="F1056" s="153" t="n">
        <x:v>19853</x:v>
      </x:c>
      <x:c r="G1056" s="153" t="n">
        <x:v>178</x:v>
      </x:c>
      <x:c r="H1056" s="154" t="n">
        <x:v>0.009000000000000001</x:v>
      </x:c>
      <x:c r="I1056" s="158" t="n">
        <x:v>19869</x:v>
      </x:c>
      <x:c r="J1056" s="158" t="n">
        <x:v>303812</x:v>
      </x:c>
      <x:c r="K1056" s="158" t="n">
        <x:v>6036711404</x:v>
      </x:c>
      <x:c r="L1056" s="158" t="n">
        <x:v>2842140</x:v>
      </x:c>
      <x:c r="M1056" s="141" t="str">
        <x:v>https://www.sge.com.cn/sjzx/quotation_daily_new?start_date=2026-04-01&amp;end_date=2026-04-30&amp;inst_ids=Ag%28T%2BD%29&amp;p=</x:v>
      </x:c>
    </x:row>
    <x:row r="1057">
      <x:c r="A1057" s="155" t="n">
        <x:v>46128</x:v>
      </x:c>
      <x:c r="B1057" s="141" t="str">
        <x:v>Au99.99</x:v>
      </x:c>
      <x:c r="C1057" s="153" t="n">
        <x:v>1050</x:v>
      </x:c>
      <x:c r="D1057" s="153" t="n">
        <x:v>1060.2</x:v>
      </x:c>
      <x:c r="E1057" s="153" t="n">
        <x:v>1050</x:v>
      </x:c>
      <x:c r="F1057" s="153" t="n">
        <x:v>1058.36</x:v>
      </x:c>
      <x:c r="G1057" s="153" t="n">
        <x:v>3.17</x:v>
      </x:c>
      <x:c r="H1057" s="154" t="n">
        <x:v>0.003</x:v>
      </x:c>
      <x:c r="I1057" s="158" t="n">
        <x:v>1058.1</x:v>
      </x:c>
      <x:c r="J1057" s="158" t="n">
        <x:v>4279.78</x:v>
      </x:c>
      <x:c r="K1057" s="158" t="n">
        <x:v>4528475139.6</x:v>
      </x:c>
      <x:c r="L1057" s="158"/>
      <x:c r="M1057" s="141" t="str">
        <x:v>https://www.sge.com.cn/sjzx/quotation_daily_new?start_date=2026-04-01&amp;end_date=2026-04-30&amp;inst_ids=Au99.99&amp;p=</x:v>
      </x:c>
    </x:row>
    <x:row r="1058">
      <x:c r="A1058" s="155" t="n">
        <x:v>46129</x:v>
      </x:c>
      <x:c r="B1058" s="141" t="str">
        <x:v>Ag(T+D)</x:v>
      </x:c>
      <x:c r="C1058" s="153" t="n">
        <x:v>19760</x:v>
      </x:c>
      <x:c r="D1058" s="153" t="n">
        <x:v>19800</x:v>
      </x:c>
      <x:c r="E1058" s="153" t="n">
        <x:v>19320</x:v>
      </x:c>
      <x:c r="F1058" s="153" t="n">
        <x:v>19588</x:v>
      </x:c>
      <x:c r="G1058" s="153" t="n">
        <x:v>-281</x:v>
      </x:c>
      <x:c r="H1058" s="154" t="n">
        <x:v>-0.0141</x:v>
      </x:c>
      <x:c r="I1058" s="158" t="n">
        <x:v>19544</x:v>
      </x:c>
      <x:c r="J1058" s="158" t="n">
        <x:v>356236</x:v>
      </x:c>
      <x:c r="K1058" s="158" t="n">
        <x:v>6962446464</x:v>
      </x:c>
      <x:c r="L1058" s="158" t="n">
        <x:v>2783184</x:v>
      </x:c>
      <x:c r="M1058" s="141" t="str">
        <x:v>https://www.sge.com.cn/sjzx/quotation_daily_new?start_date=2026-04-01&amp;end_date=2026-04-30&amp;inst_ids=Ag%28T%2BD%29&amp;p=</x:v>
      </x:c>
    </x:row>
    <x:row r="1059">
      <x:c r="A1059" s="155" t="n">
        <x:v>46129</x:v>
      </x:c>
      <x:c r="B1059" s="141" t="str">
        <x:v>Au99.99</x:v>
      </x:c>
      <x:c r="C1059" s="153" t="n">
        <x:v>1058</x:v>
      </x:c>
      <x:c r="D1059" s="153" t="n">
        <x:v>1060</x:v>
      </x:c>
      <x:c r="E1059" s="153" t="n">
        <x:v>1046.1</x:v>
      </x:c>
      <x:c r="F1059" s="153" t="n">
        <x:v>1053</x:v>
      </x:c>
      <x:c r="G1059" s="153" t="n">
        <x:v>-5.36</x:v>
      </x:c>
      <x:c r="H1059" s="154" t="n">
        <x:v>-0.0051</x:v>
      </x:c>
      <x:c r="I1059" s="158" t="n">
        <x:v>1051.64</x:v>
      </x:c>
      <x:c r="J1059" s="158" t="n">
        <x:v>5627.96</x:v>
      </x:c>
      <x:c r="K1059" s="158" t="n">
        <x:v>5918607348</x:v>
      </x:c>
      <x:c r="L1059" s="158"/>
      <x:c r="M1059" s="141" t="str">
        <x:v>https://www.sge.com.cn/sjzx/quotation_daily_new?start_date=2026-04-01&amp;end_date=2026-04-30&amp;inst_ids=Au99.99&amp;p=</x:v>
      </x:c>
    </x:row>
    <x:row r="1060">
      <x:c r="A1060" s="155" t="n">
        <x:v>46132</x:v>
      </x:c>
      <x:c r="B1060" s="141" t="str">
        <x:v>Ag(T+D)</x:v>
      </x:c>
      <x:c r="C1060" s="153" t="n">
        <x:v>19731</x:v>
      </x:c>
      <x:c r="D1060" s="153" t="n">
        <x:v>20502</x:v>
      </x:c>
      <x:c r="E1060" s="153" t="n">
        <x:v>19700</x:v>
      </x:c>
      <x:c r="F1060" s="153" t="n">
        <x:v>19771</x:v>
      </x:c>
      <x:c r="G1060" s="153" t="n">
        <x:v>227</x:v>
      </x:c>
      <x:c r="H1060" s="154" t="n">
        <x:v>0.0116</x:v>
      </x:c>
      <x:c r="I1060" s="158" t="n">
        <x:v>19972</x:v>
      </x:c>
      <x:c r="J1060" s="158" t="n">
        <x:v>422432</x:v>
      </x:c>
      <x:c r="K1060" s="158" t="n">
        <x:v>8436859042</x:v>
      </x:c>
      <x:c r="L1060" s="158" t="n">
        <x:v>2758022</x:v>
      </x:c>
      <x:c r="M1060" s="141" t="str">
        <x:v>https://www.sge.com.cn/sjzx/quotation_daily_new?start_date=2026-04-01&amp;end_date=2026-04-30&amp;inst_ids=Ag%28T%2BD%29&amp;p=</x:v>
      </x:c>
    </x:row>
    <x:row r="1061">
      <x:c r="A1061" s="155" t="n">
        <x:v>46132</x:v>
      </x:c>
      <x:c r="B1061" s="141" t="str">
        <x:v>Au99.99</x:v>
      </x:c>
      <x:c r="C1061" s="153" t="n">
        <x:v>1055</x:v>
      </x:c>
      <x:c r="D1061" s="153" t="n">
        <x:v>1070</x:v>
      </x:c>
      <x:c r="E1061" s="153" t="n">
        <x:v>1045</x:v>
      </x:c>
      <x:c r="F1061" s="153" t="n">
        <x:v>1053.98</x:v>
      </x:c>
      <x:c r="G1061" s="153" t="n">
        <x:v>0.98</x:v>
      </x:c>
      <x:c r="H1061" s="154" t="n">
        <x:v>0.0009</x:v>
      </x:c>
      <x:c r="I1061" s="158" t="n">
        <x:v>1052.49</x:v>
      </x:c>
      <x:c r="J1061" s="158" t="n">
        <x:v>5298.04</x:v>
      </x:c>
      <x:c r="K1061" s="158" t="n">
        <x:v>5576183127.4</x:v>
      </x:c>
      <x:c r="L1061" s="158"/>
      <x:c r="M1061" s="141" t="str">
        <x:v>https://www.sge.com.cn/sjzx/quotation_daily_new?start_date=2026-04-01&amp;end_date=2026-04-30&amp;inst_ids=Au99.99&amp;p=</x:v>
      </x:c>
    </x:row>
    <x:row r="1062">
      <x:c r="A1062" s="155" t="n">
        <x:v>46133</x:v>
      </x:c>
      <x:c r="B1062" s="141" t="str">
        <x:v>Ag(T+D)</x:v>
      </x:c>
      <x:c r="C1062" s="153" t="n">
        <x:v>19795</x:v>
      </x:c>
      <x:c r="D1062" s="153" t="n">
        <x:v>19993</x:v>
      </x:c>
      <x:c r="E1062" s="153" t="n">
        <x:v>19531</x:v>
      </x:c>
      <x:c r="F1062" s="153" t="n">
        <x:v>19654</x:v>
      </x:c>
      <x:c r="G1062" s="153" t="n">
        <x:v>-318</x:v>
      </x:c>
      <x:c r="H1062" s="154" t="n">
        <x:v>-0.0159</x:v>
      </x:c>
      <x:c r="I1062" s="158" t="n">
        <x:v>19715</x:v>
      </x:c>
      <x:c r="J1062" s="158" t="n">
        <x:v>317220</x:v>
      </x:c>
      <x:c r="K1062" s="158" t="n">
        <x:v>6254248770</x:v>
      </x:c>
      <x:c r="L1062" s="158" t="n">
        <x:v>2771642</x:v>
      </x:c>
      <x:c r="M1062" s="141" t="str">
        <x:v>https://www.sge.com.cn/sjzx/quotation_daily_new?start_date=2026-04-01&amp;end_date=2026-04-30&amp;inst_ids=Ag%28T%2BD%29&amp;p=</x:v>
      </x:c>
    </x:row>
    <x:row r="1063">
      <x:c r="A1063" s="155" t="n">
        <x:v>46133</x:v>
      </x:c>
      <x:c r="B1063" s="141" t="str">
        <x:v>Au99.99</x:v>
      </x:c>
      <x:c r="C1063" s="153" t="n">
        <x:v>1055.5</x:v>
      </x:c>
      <x:c r="D1063" s="153" t="n">
        <x:v>1059</x:v>
      </x:c>
      <x:c r="E1063" s="153" t="n">
        <x:v>1048.06</x:v>
      </x:c>
      <x:c r="F1063" s="153" t="n">
        <x:v>1050.48</x:v>
      </x:c>
      <x:c r="G1063" s="153" t="n">
        <x:v>-3.5</x:v>
      </x:c>
      <x:c r="H1063" s="154" t="n">
        <x:v>-0.0033</x:v>
      </x:c>
      <x:c r="I1063" s="158" t="n">
        <x:v>1052.28</x:v>
      </x:c>
      <x:c r="J1063" s="158" t="n">
        <x:v>5940.6</x:v>
      </x:c>
      <x:c r="K1063" s="158" t="n">
        <x:v>6251205570</x:v>
      </x:c>
      <x:c r="L1063" s="158"/>
      <x:c r="M1063" s="141" t="str">
        <x:v>https://www.sge.com.cn/sjzx/quotation_daily_new?start_date=2026-04-01&amp;end_date=2026-04-30&amp;inst_ids=Au99.99&amp;p=</x:v>
      </x:c>
    </x:row>
    <x:row r="1064">
      <x:c r="A1064" s="155" t="n">
        <x:v>46134</x:v>
      </x:c>
      <x:c r="B1064" s="141" t="str">
        <x:v>Ag(T+D)</x:v>
      </x:c>
      <x:c r="C1064" s="153" t="n">
        <x:v>19688</x:v>
      </x:c>
      <x:c r="D1064" s="153" t="n">
        <x:v>19695</x:v>
      </x:c>
      <x:c r="E1064" s="153" t="n">
        <x:v>18980</x:v>
      </x:c>
      <x:c r="F1064" s="153" t="n">
        <x:v>19543</x:v>
      </x:c>
      <x:c r="G1064" s="153" t="n">
        <x:v>-172</x:v>
      </x:c>
      <x:c r="H1064" s="154" t="n">
        <x:v>-0.0087</x:v>
      </x:c>
      <x:c r="I1064" s="158" t="n">
        <x:v>19438</x:v>
      </x:c>
      <x:c r="J1064" s="158" t="n">
        <x:v>376568</x:v>
      </x:c>
      <x:c r="K1064" s="158" t="n">
        <x:v>7319801236</x:v>
      </x:c>
      <x:c r="L1064" s="158" t="n">
        <x:v>2800750</x:v>
      </x:c>
      <x:c r="M1064" s="141" t="str">
        <x:v>https://www.sge.com.cn/sjzx/quotation_daily_new?start_date=2026-04-01&amp;end_date=2026-04-30&amp;inst_ids=Ag%28T%2BD%29&amp;p=</x:v>
      </x:c>
    </x:row>
    <x:row r="1065">
      <x:c r="A1065" s="155" t="n">
        <x:v>46134</x:v>
      </x:c>
      <x:c r="B1065" s="141" t="str">
        <x:v>Au99.99</x:v>
      </x:c>
      <x:c r="C1065" s="153" t="n">
        <x:v>1053</x:v>
      </x:c>
      <x:c r="D1065" s="153" t="n">
        <x:v>1055.8</x:v>
      </x:c>
      <x:c r="E1065" s="153" t="n">
        <x:v>1038.88</x:v>
      </x:c>
      <x:c r="F1065" s="153" t="n">
        <x:v>1049.11</x:v>
      </x:c>
      <x:c r="G1065" s="153" t="n">
        <x:v>-1.37</x:v>
      </x:c>
      <x:c r="H1065" s="154" t="n">
        <x:v>-0.0013</x:v>
      </x:c>
      <x:c r="I1065" s="158" t="n">
        <x:v>1047.13</x:v>
      </x:c>
      <x:c r="J1065" s="158" t="n">
        <x:v>5329.68</x:v>
      </x:c>
      <x:c r="K1065" s="158" t="n">
        <x:v>5580906975</x:v>
      </x:c>
      <x:c r="L1065" s="158"/>
      <x:c r="M1065" s="141" t="str">
        <x:v>https://www.sge.com.cn/sjzx/quotation_daily_new?start_date=2026-04-01&amp;end_date=2026-04-30&amp;inst_ids=Au99.99&amp;p=</x:v>
      </x:c>
    </x:row>
    <x:row r="1066">
      <x:c r="A1066" s="155" t="n">
        <x:v>46135</x:v>
      </x:c>
      <x:c r="B1066" s="141" t="str">
        <x:v>Ag(T+D)</x:v>
      </x:c>
      <x:c r="C1066" s="153" t="n">
        <x:v>19498</x:v>
      </x:c>
      <x:c r="D1066" s="153" t="n">
        <x:v>19585</x:v>
      </x:c>
      <x:c r="E1066" s="153" t="n">
        <x:v>18833</x:v>
      </x:c>
      <x:c r="F1066" s="153" t="n">
        <x:v>18896</x:v>
      </x:c>
      <x:c r="G1066" s="153" t="n">
        <x:v>-542</x:v>
      </x:c>
      <x:c r="H1066" s="154" t="n">
        <x:v>-0.0279</x:v>
      </x:c>
      <x:c r="I1066" s="158" t="n">
        <x:v>19088</x:v>
      </x:c>
      <x:c r="J1066" s="158" t="n">
        <x:v>336710</x:v>
      </x:c>
      <x:c r="K1066" s="158" t="n">
        <x:v>6427132004</x:v>
      </x:c>
      <x:c r="L1066" s="158" t="n">
        <x:v>2737702</x:v>
      </x:c>
      <x:c r="M1066" s="141" t="str">
        <x:v>https://www.sge.com.cn/sjzx/quotation_daily_new?start_date=2026-04-01&amp;end_date=2026-04-30&amp;inst_ids=Ag%28T%2BD%29&amp;p=</x:v>
      </x:c>
    </x:row>
    <x:row r="1067">
      <x:c r="A1067" s="155" t="n">
        <x:v>46135</x:v>
      </x:c>
      <x:c r="B1067" s="141" t="str">
        <x:v>Au99.99</x:v>
      </x:c>
      <x:c r="C1067" s="153" t="n">
        <x:v>1047</x:v>
      </x:c>
      <x:c r="D1067" s="153" t="n">
        <x:v>1053</x:v>
      </x:c>
      <x:c r="E1067" s="153" t="n">
        <x:v>1034.5</x:v>
      </x:c>
      <x:c r="F1067" s="153" t="n">
        <x:v>1037.5</x:v>
      </x:c>
      <x:c r="G1067" s="153" t="n">
        <x:v>-11.61</x:v>
      </x:c>
      <x:c r="H1067" s="154" t="n">
        <x:v>-0.0111</x:v>
      </x:c>
      <x:c r="I1067" s="158" t="n">
        <x:v>1038.62</x:v>
      </x:c>
      <x:c r="J1067" s="158" t="n">
        <x:v>5849.62</x:v>
      </x:c>
      <x:c r="K1067" s="158" t="n">
        <x:v>6075567527.8</x:v>
      </x:c>
      <x:c r="L1067" s="158"/>
      <x:c r="M1067" s="141" t="str">
        <x:v>https://www.sge.com.cn/sjzx/quotation_daily_new?start_date=2026-04-01&amp;end_date=2026-04-30&amp;inst_ids=Au99.99&amp;p=</x:v>
      </x:c>
    </x:row>
    <x:row r="1068">
      <x:c r="A1068" s="155" t="n">
        <x:v>46136</x:v>
      </x:c>
      <x:c r="B1068" s="141" t="str">
        <x:v>Ag(T+D)</x:v>
      </x:c>
      <x:c r="C1068" s="153" t="n">
        <x:v>18860</x:v>
      </x:c>
      <x:c r="D1068" s="153" t="n">
        <x:v>19130</x:v>
      </x:c>
      <x:c r="E1068" s="153" t="n">
        <x:v>18333</x:v>
      </x:c>
      <x:c r="F1068" s="153" t="n">
        <x:v>18481</x:v>
      </x:c>
      <x:c r="G1068" s="153" t="n">
        <x:v>-607</x:v>
      </x:c>
      <x:c r="H1068" s="154" t="n">
        <x:v>-0.0318</x:v>
      </x:c>
      <x:c r="I1068" s="158" t="n">
        <x:v>18668</x:v>
      </x:c>
      <x:c r="J1068" s="158" t="n">
        <x:v>511166</x:v>
      </x:c>
      <x:c r="K1068" s="158" t="n">
        <x:v>9542748992</x:v>
      </x:c>
      <x:c r="L1068" s="158" t="n">
        <x:v>2733064</x:v>
      </x:c>
      <x:c r="M1068" s="141" t="str">
        <x:v>https://www.sge.com.cn/sjzx/quotation_daily_new?start_date=2026-04-01&amp;end_date=2026-04-30&amp;inst_ids=Ag%28T%2BD%29&amp;p=</x:v>
      </x:c>
    </x:row>
    <x:row r="1069">
      <x:c r="A1069" s="155" t="n">
        <x:v>46136</x:v>
      </x:c>
      <x:c r="B1069" s="141" t="str">
        <x:v>Au99.99</x:v>
      </x:c>
      <x:c r="C1069" s="153" t="n">
        <x:v>1040</x:v>
      </x:c>
      <x:c r="D1069" s="153" t="n">
        <x:v>1044</x:v>
      </x:c>
      <x:c r="E1069" s="153" t="n">
        <x:v>1028</x:v>
      </x:c>
      <x:c r="F1069" s="153" t="n">
        <x:v>1033.25</x:v>
      </x:c>
      <x:c r="G1069" s="153" t="n">
        <x:v>-4.25</x:v>
      </x:c>
      <x:c r="H1069" s="154" t="n">
        <x:v>-0.0040999999999999995</x:v>
      </x:c>
      <x:c r="I1069" s="158" t="n">
        <x:v>1032.13</x:v>
      </x:c>
      <x:c r="J1069" s="158" t="n">
        <x:v>4951.3</x:v>
      </x:c>
      <x:c r="K1069" s="158" t="n">
        <x:v>5110387740.2</x:v>
      </x:c>
      <x:c r="L1069" s="158"/>
      <x:c r="M1069" s="141" t="str">
        <x:v>https://www.sge.com.cn/sjzx/quotation_daily_new?start_date=2026-04-01&amp;end_date=2026-04-30&amp;inst_ids=Au99.99&amp;p=</x:v>
      </x:c>
    </x:row>
    <x:row r="1070">
      <x:c r="A1070" s="155" t="n">
        <x:v>46139</x:v>
      </x:c>
      <x:c r="B1070" s="141" t="str">
        <x:v>Ag(T+D)</x:v>
      </x:c>
      <x:c r="C1070" s="153" t="n">
        <x:v>18830</x:v>
      </x:c>
      <x:c r="D1070" s="153" t="n">
        <x:v>18969</x:v>
      </x:c>
      <x:c r="E1070" s="153" t="n">
        <x:v>18575</x:v>
      </x:c>
      <x:c r="F1070" s="153" t="n">
        <x:v>18796</x:v>
      </x:c>
      <x:c r="G1070" s="153" t="n">
        <x:v>128</x:v>
      </x:c>
      <x:c r="H1070" s="154" t="n">
        <x:v>0.0069</x:v>
      </x:c>
      <x:c r="I1070" s="158" t="n">
        <x:v>18750</x:v>
      </x:c>
      <x:c r="J1070" s="158" t="n">
        <x:v>340784</x:v>
      </x:c>
      <x:c r="K1070" s="158" t="n">
        <x:v>6389858344</x:v>
      </x:c>
      <x:c r="L1070" s="158" t="n">
        <x:v>2698046</x:v>
      </x:c>
      <x:c r="M1070" s="141" t="str">
        <x:v>https://www.sge.com.cn/sjzx/quotation_daily_new?start_date=2026-04-01&amp;end_date=2026-04-30&amp;inst_ids=Ag%28T%2BD%29&amp;p=</x:v>
      </x:c>
    </x:row>
    <x:row r="1071">
      <x:c r="A1071" s="155" t="n">
        <x:v>46139</x:v>
      </x:c>
      <x:c r="B1071" s="141" t="str">
        <x:v>Au99.99</x:v>
      </x:c>
      <x:c r="C1071" s="153" t="n">
        <x:v>1039.9</x:v>
      </x:c>
      <x:c r="D1071" s="153" t="n">
        <x:v>1044</x:v>
      </x:c>
      <x:c r="E1071" s="153" t="n">
        <x:v>1033</x:v>
      </x:c>
      <x:c r="F1071" s="153" t="n">
        <x:v>1037.21</x:v>
      </x:c>
      <x:c r="G1071" s="153" t="n">
        <x:v>3.96</x:v>
      </x:c>
      <x:c r="H1071" s="154" t="n">
        <x:v>0.0038</x:v>
      </x:c>
      <x:c r="I1071" s="158" t="n">
        <x:v>1037.47</x:v>
      </x:c>
      <x:c r="J1071" s="158" t="n">
        <x:v>4123.66</x:v>
      </x:c>
      <x:c r="K1071" s="158" t="n">
        <x:v>4278200918.4</x:v>
      </x:c>
      <x:c r="L1071" s="158"/>
      <x:c r="M1071" s="141" t="str">
        <x:v>https://www.sge.com.cn/sjzx/quotation_daily_new?start_date=2026-04-01&amp;end_date=2026-04-30&amp;inst_ids=Au99.99&amp;p=</x:v>
      </x:c>
    </x:row>
    <x:row r="1072">
      <x:c r="A1072" s="155" t="n">
        <x:v>46140</x:v>
      </x:c>
      <x:c r="B1072" s="141" t="str">
        <x:v>Ag(T+D)</x:v>
      </x:c>
      <x:c r="C1072" s="153" t="n">
        <x:v>18740</x:v>
      </x:c>
      <x:c r="D1072" s="153" t="n">
        <x:v>18809</x:v>
      </x:c>
      <x:c r="E1072" s="153" t="n">
        <x:v>17950</x:v>
      </x:c>
      <x:c r="F1072" s="153" t="n">
        <x:v>18066</x:v>
      </x:c>
      <x:c r="G1072" s="153" t="n">
        <x:v>-684</x:v>
      </x:c>
      <x:c r="H1072" s="154" t="n">
        <x:v>-0.0365</x:v>
      </x:c>
      <x:c r="I1072" s="158" t="n">
        <x:v>18288</x:v>
      </x:c>
      <x:c r="J1072" s="158" t="n">
        <x:v>362234</x:v>
      </x:c>
      <x:c r="K1072" s="158" t="n">
        <x:v>6624769174</x:v>
      </x:c>
      <x:c r="L1072" s="158" t="n">
        <x:v>2732712</x:v>
      </x:c>
      <x:c r="M1072" s="141" t="str">
        <x:v>https://www.sge.com.cn/sjzx/quotation_daily_new?start_date=2026-04-01&amp;end_date=2026-04-30&amp;inst_ids=Ag%28T%2BD%29&amp;p=</x:v>
      </x:c>
    </x:row>
    <x:row r="1073">
      <x:c r="A1073" s="155" t="n">
        <x:v>46140</x:v>
      </x:c>
      <x:c r="B1073" s="141" t="str">
        <x:v>Au99.99</x:v>
      </x:c>
      <x:c r="C1073" s="153" t="n">
        <x:v>1035</x:v>
      </x:c>
      <x:c r="D1073" s="153" t="n">
        <x:v>1038.9</x:v>
      </x:c>
      <x:c r="E1073" s="153" t="n">
        <x:v>1019</x:v>
      </x:c>
      <x:c r="F1073" s="153" t="n">
        <x:v>1020.73</x:v>
      </x:c>
      <x:c r="G1073" s="153" t="n">
        <x:v>-16.48</x:v>
      </x:c>
      <x:c r="H1073" s="154" t="n">
        <x:v>-0.0159</x:v>
      </x:c>
      <x:c r="I1073" s="158" t="n">
        <x:v>1025.73</x:v>
      </x:c>
      <x:c r="J1073" s="158" t="n">
        <x:v>5146.1</x:v>
      </x:c>
      <x:c r="K1073" s="158" t="n">
        <x:v>5278556832.6</x:v>
      </x:c>
      <x:c r="L1073" s="158"/>
      <x:c r="M1073" s="141" t="str">
        <x:v>https://www.sge.com.cn/sjzx/quotation_daily_new?start_date=2026-04-01&amp;end_date=2026-04-30&amp;inst_ids=Au99.99&amp;p=</x:v>
      </x:c>
    </x:row>
    <x:row r="1074">
      <x:c r="A1074" s="155" t="n">
        <x:v>46141</x:v>
      </x:c>
      <x:c r="B1074" s="141" t="str">
        <x:v>Ag(T+D)</x:v>
      </x:c>
      <x:c r="C1074" s="153" t="n">
        <x:v>17800</x:v>
      </x:c>
      <x:c r="D1074" s="153" t="n">
        <x:v>18226</x:v>
      </x:c>
      <x:c r="E1074" s="153" t="n">
        <x:v>17782</x:v>
      </x:c>
      <x:c r="F1074" s="153" t="n">
        <x:v>18069</x:v>
      </x:c>
      <x:c r="G1074" s="153" t="n">
        <x:v>-219</x:v>
      </x:c>
      <x:c r="H1074" s="154" t="n">
        <x:v>-0.012</x:v>
      </x:c>
      <x:c r="I1074" s="158" t="n">
        <x:v>18077</x:v>
      </x:c>
      <x:c r="J1074" s="158" t="n">
        <x:v>239088</x:v>
      </x:c>
      <x:c r="K1074" s="158" t="n">
        <x:v>4322015214</x:v>
      </x:c>
      <x:c r="L1074" s="158" t="n">
        <x:v>2732730</x:v>
      </x:c>
      <x:c r="M1074" s="141" t="str">
        <x:v>https://www.sge.com.cn/sjzx/quotation_daily_new?start_date=2026-04-01&amp;end_date=2026-04-30&amp;inst_ids=Ag%28T%2BD%29&amp;p=</x:v>
      </x:c>
    </x:row>
    <x:row r="1075">
      <x:c r="A1075" s="155" t="n">
        <x:v>46141</x:v>
      </x:c>
      <x:c r="B1075" s="141" t="str">
        <x:v>Au99.99</x:v>
      </x:c>
      <x:c r="C1075" s="153" t="n">
        <x:v>1007</x:v>
      </x:c>
      <x:c r="D1075" s="153" t="n">
        <x:v>1020</x:v>
      </x:c>
      <x:c r="E1075" s="153" t="n">
        <x:v>1006.32</x:v>
      </x:c>
      <x:c r="F1075" s="153" t="n">
        <x:v>1009.88</x:v>
      </x:c>
      <x:c r="G1075" s="153" t="n">
        <x:v>-10.85</x:v>
      </x:c>
      <x:c r="H1075" s="154" t="n">
        <x:v>-0.0106</x:v>
      </x:c>
      <x:c r="I1075" s="158" t="n">
        <x:v>1012.44</x:v>
      </x:c>
      <x:c r="J1075" s="158" t="n">
        <x:v>5519.12</x:v>
      </x:c>
      <x:c r="K1075" s="158" t="n">
        <x:v>5587794669.2</x:v>
      </x:c>
      <x:c r="L1075" s="158"/>
      <x:c r="M1075" s="141" t="str">
        <x:v>https://www.sge.com.cn/sjzx/quotation_daily_new?start_date=2026-04-01&amp;end_date=2026-04-30&amp;inst_ids=Au99.99&amp;p=</x:v>
      </x:c>
    </x:row>
    <x:row r="1076">
      <x:c r="A1076" s="155" t="n">
        <x:v>46142</x:v>
      </x:c>
      <x:c r="B1076" s="141" t="str">
        <x:v>Ag(T+D)</x:v>
      </x:c>
      <x:c r="C1076" s="153" t="n">
        <x:v>17926</x:v>
      </x:c>
      <x:c r="D1076" s="153" t="n">
        <x:v>18148</x:v>
      </x:c>
      <x:c r="E1076" s="153" t="n">
        <x:v>17529</x:v>
      </x:c>
      <x:c r="F1076" s="153" t="n">
        <x:v>18119</x:v>
      </x:c>
      <x:c r="G1076" s="153" t="n">
        <x:v>42</x:v>
      </x:c>
      <x:c r="H1076" s="154" t="n">
        <x:v>0.0023</x:v>
      </x:c>
      <x:c r="I1076" s="158" t="n">
        <x:v>17915</x:v>
      </x:c>
      <x:c r="J1076" s="158" t="n">
        <x:v>278692</x:v>
      </x:c>
      <x:c r="K1076" s="158" t="n">
        <x:v>4992883474</x:v>
      </x:c>
      <x:c r="L1076" s="158" t="n">
        <x:v>2690070</x:v>
      </x:c>
      <x:c r="M1076" s="141" t="str">
        <x:v>https://www.sge.com.cn/sjzx/quotation_daily_new?start_date=2026-04-01&amp;end_date=2026-04-30&amp;inst_ids=Ag%28T%2BD%29&amp;p=</x:v>
      </x:c>
    </x:row>
    <x:row r="1077">
      <x:c r="A1077" s="155" t="n">
        <x:v>46142</x:v>
      </x:c>
      <x:c r="B1077" s="141" t="str">
        <x:v>Au99.99</x:v>
      </x:c>
      <x:c r="C1077" s="153" t="n">
        <x:v>1007</x:v>
      </x:c>
      <x:c r="D1077" s="153" t="n">
        <x:v>1016</x:v>
      </x:c>
      <x:c r="E1077" s="153" t="n">
        <x:v>995</x:v>
      </x:c>
      <x:c r="F1077" s="153" t="n">
        <x:v>1013.6</x:v>
      </x:c>
      <x:c r="G1077" s="153" t="n">
        <x:v>3.72</x:v>
      </x:c>
      <x:c r="H1077" s="154" t="n">
        <x:v>0.0037</x:v>
      </x:c>
      <x:c r="I1077" s="158" t="n">
        <x:v>1010.12</x:v>
      </x:c>
      <x:c r="J1077" s="158" t="n">
        <x:v>5310.76</x:v>
      </x:c>
      <x:c r="K1077" s="158" t="n">
        <x:v>5364546448.6</x:v>
      </x:c>
      <x:c r="L1077" s="158"/>
      <x:c r="M1077" s="141" t="str">
        <x:v>https://www.sge.com.cn/sjzx/quotation_daily_new?start_date=2026-04-01&amp;end_date=2026-04-30&amp;inst_ids=Au99.99&amp;p=</x:v>
      </x:c>
    </x:row>
    <x:row r="1078">
      <x:c r="A1078" s="155" t="n">
        <x:v>46148</x:v>
      </x:c>
      <x:c r="B1078" s="141" t="str">
        <x:v>Ag(T+D)</x:v>
      </x:c>
      <x:c r="C1078" s="153" t="n">
        <x:v>18409</x:v>
      </x:c>
      <x:c r="D1078" s="153" t="n">
        <x:v>18858</x:v>
      </x:c>
      <x:c r="E1078" s="153" t="n">
        <x:v>18341</x:v>
      </x:c>
      <x:c r="F1078" s="153" t="n">
        <x:v>18837</x:v>
      </x:c>
      <x:c r="G1078" s="153" t="n">
        <x:v>922</x:v>
      </x:c>
      <x:c r="H1078" s="154" t="n">
        <x:v>0.051500000000000004</x:v>
      </x:c>
      <x:c r="I1078" s="158" t="n">
        <x:v>18669</x:v>
      </x:c>
      <x:c r="J1078" s="158" t="n">
        <x:v>274812</x:v>
      </x:c>
      <x:c r="K1078" s="158" t="n">
        <x:v>5130623268</x:v>
      </x:c>
      <x:c r="L1078" s="158" t="n">
        <x:v>2730760</x:v>
      </x:c>
      <x:c r="M1078" s="141" t="str">
        <x:v>https://www.sge.com.cn/sjzx/quotation_daily_new?start_date=2026-05-01&amp;end_date=2026-05-31&amp;inst_ids=Ag%28T%2BD%29&amp;p=</x:v>
      </x:c>
    </x:row>
    <x:row r="1079">
      <x:c r="A1079" s="155" t="n">
        <x:v>46148</x:v>
      </x:c>
      <x:c r="B1079" s="141" t="str">
        <x:v>Au99.99</x:v>
      </x:c>
      <x:c r="C1079" s="153" t="n">
        <x:v>1017</x:v>
      </x:c>
      <x:c r="D1079" s="153" t="n">
        <x:v>1027</x:v>
      </x:c>
      <x:c r="E1079" s="153" t="n">
        <x:v>1014.04</x:v>
      </x:c>
      <x:c r="F1079" s="153" t="n">
        <x:v>1026.94</x:v>
      </x:c>
      <x:c r="G1079" s="153" t="n">
        <x:v>13.34</x:v>
      </x:c>
      <x:c r="H1079" s="154" t="n">
        <x:v>0.0132</x:v>
      </x:c>
      <x:c r="I1079" s="158" t="n">
        <x:v>1021.98</x:v>
      </x:c>
      <x:c r="J1079" s="158" t="n">
        <x:v>4214.74</x:v>
      </x:c>
      <x:c r="K1079" s="158" t="n">
        <x:v>4307381282.8</x:v>
      </x:c>
      <x:c r="L1079" s="158"/>
      <x:c r="M1079" s="141" t="str">
        <x:v>https://www.sge.com.cn/sjzx/quotation_daily_new?start_date=2026-05-01&amp;end_date=2026-05-31&amp;inst_ids=Au99.99&amp;p=</x:v>
      </x:c>
    </x:row>
    <x:row r="1080">
      <x:c r="A1080" s="155" t="n">
        <x:v>46149</x:v>
      </x:c>
      <x:c r="B1080" s="141" t="str">
        <x:v>Ag(T+D)</x:v>
      </x:c>
      <x:c r="C1080" s="153" t="n">
        <x:v>19010</x:v>
      </x:c>
      <x:c r="D1080" s="153" t="n">
        <x:v>19588</x:v>
      </x:c>
      <x:c r="E1080" s="153" t="n">
        <x:v>18894</x:v>
      </x:c>
      <x:c r="F1080" s="153" t="n">
        <x:v>19538</x:v>
      </x:c>
      <x:c r="G1080" s="153" t="n">
        <x:v>869</x:v>
      </x:c>
      <x:c r="H1080" s="154" t="n">
        <x:v>0.04650000000000001</x:v>
      </x:c>
      <x:c r="I1080" s="158" t="n">
        <x:v>19279</x:v>
      </x:c>
      <x:c r="J1080" s="158" t="n">
        <x:v>397146</x:v>
      </x:c>
      <x:c r="K1080" s="158" t="n">
        <x:v>7656590632</x:v>
      </x:c>
      <x:c r="L1080" s="158" t="n">
        <x:v>2719416</x:v>
      </x:c>
      <x:c r="M1080" s="141" t="str">
        <x:v>https://www.sge.com.cn/sjzx/quotation_daily_new?start_date=2026-05-01&amp;end_date=2026-05-31&amp;inst_ids=Ag%28T%2BD%29&amp;p=</x:v>
      </x:c>
    </x:row>
    <x:row r="1081">
      <x:c r="A1081" s="155" t="n">
        <x:v>46149</x:v>
      </x:c>
      <x:c r="B1081" s="141" t="str">
        <x:v>Au99.99</x:v>
      </x:c>
      <x:c r="C1081" s="153" t="n">
        <x:v>1030</x:v>
      </x:c>
      <x:c r="D1081" s="153" t="n">
        <x:v>1044.99</x:v>
      </x:c>
      <x:c r="E1081" s="153" t="n">
        <x:v>1025.1</x:v>
      </x:c>
      <x:c r="F1081" s="153" t="n">
        <x:v>1038.94</x:v>
      </x:c>
      <x:c r="G1081" s="153" t="n">
        <x:v>12</x:v>
      </x:c>
      <x:c r="H1081" s="154" t="n">
        <x:v>0.011699999999999999</x:v>
      </x:c>
      <x:c r="I1081" s="158" t="n">
        <x:v>1034.68</x:v>
      </x:c>
      <x:c r="J1081" s="158" t="n">
        <x:v>5130.02</x:v>
      </x:c>
      <x:c r="K1081" s="158" t="n">
        <x:v>5307965408.4</x:v>
      </x:c>
      <x:c r="L1081" s="158"/>
      <x:c r="M1081" s="141" t="str">
        <x:v>https://www.sge.com.cn/sjzx/quotation_daily_new?start_date=2026-05-01&amp;end_date=2026-05-31&amp;inst_ids=Au99.99&amp;p=</x:v>
      </x:c>
    </x:row>
    <x:row r="1082">
      <x:c r="A1082" s="155" t="n">
        <x:v>46150</x:v>
      </x:c>
      <x:c r="B1082" s="141" t="str">
        <x:v>Ag(T+D)</x:v>
      </x:c>
      <x:c r="C1082" s="153" t="n">
        <x:v>19875</x:v>
      </x:c>
      <x:c r="D1082" s="153" t="n">
        <x:v>20131</x:v>
      </x:c>
      <x:c r="E1082" s="153" t="n">
        <x:v>19513</x:v>
      </x:c>
      <x:c r="F1082" s="153" t="n">
        <x:v>19692</x:v>
      </x:c>
      <x:c r="G1082" s="153" t="n">
        <x:v>413</x:v>
      </x:c>
      <x:c r="H1082" s="154" t="n">
        <x:v>0.021400000000000002</x:v>
      </x:c>
      <x:c r="I1082" s="158" t="n">
        <x:v>19818</x:v>
      </x:c>
      <x:c r="J1082" s="158" t="n">
        <x:v>532908</x:v>
      </x:c>
      <x:c r="K1082" s="158" t="n">
        <x:v>10561250538</x:v>
      </x:c>
      <x:c r="L1082" s="158" t="n">
        <x:v>2701386</x:v>
      </x:c>
      <x:c r="M1082" s="141" t="str">
        <x:v>https://www.sge.com.cn/sjzx/quotation_daily_new?start_date=2026-05-01&amp;end_date=2026-05-31&amp;inst_ids=Ag%28T%2BD%29&amp;p=</x:v>
      </x:c>
    </x:row>
    <x:row r="1083">
      <x:c r="A1083" s="155" t="n">
        <x:v>46150</x:v>
      </x:c>
      <x:c r="B1083" s="141" t="str">
        <x:v>Au99.99</x:v>
      </x:c>
      <x:c r="C1083" s="153" t="n">
        <x:v>1038.2</x:v>
      </x:c>
      <x:c r="D1083" s="153" t="n">
        <x:v>1045</x:v>
      </x:c>
      <x:c r="E1083" s="153" t="n">
        <x:v>1031</x:v>
      </x:c>
      <x:c r="F1083" s="153" t="n">
        <x:v>1032</x:v>
      </x:c>
      <x:c r="G1083" s="153" t="n">
        <x:v>-6.94</x:v>
      </x:c>
      <x:c r="H1083" s="154" t="n">
        <x:v>-0.0067</x:v>
      </x:c>
      <x:c r="I1083" s="158" t="n">
        <x:v>1035.59</x:v>
      </x:c>
      <x:c r="J1083" s="158" t="n">
        <x:v>4303.78</x:v>
      </x:c>
      <x:c r="K1083" s="158" t="n">
        <x:v>4456959500.8</x:v>
      </x:c>
      <x:c r="L1083" s="158"/>
      <x:c r="M1083" s="141" t="str">
        <x:v>https://www.sge.com.cn/sjzx/quotation_daily_new?start_date=2026-05-01&amp;end_date=2026-05-31&amp;inst_ids=Au99.99&amp;p=</x:v>
      </x:c>
    </x:row>
    <x:row r="1084">
      <x:c r="A1084" s="155" t="n">
        <x:v>46153</x:v>
      </x:c>
      <x:c r="B1084" s="141" t="str">
        <x:v>Ag(T+D)</x:v>
      </x:c>
      <x:c r="C1084" s="153" t="n">
        <x:v>19900</x:v>
      </x:c>
      <x:c r="D1084" s="153" t="n">
        <x:v>20085</x:v>
      </x:c>
      <x:c r="E1084" s="153" t="n">
        <x:v>19550</x:v>
      </x:c>
      <x:c r="F1084" s="153" t="n">
        <x:v>19895</x:v>
      </x:c>
      <x:c r="G1084" s="153" t="n">
        <x:v>77</x:v>
      </x:c>
      <x:c r="H1084" s="154" t="n">
        <x:v>0.0039000000000000003</x:v>
      </x:c>
      <x:c r="I1084" s="158" t="n">
        <x:v>19877</x:v>
      </x:c>
      <x:c r="J1084" s="158" t="n">
        <x:v>518478</x:v>
      </x:c>
      <x:c r="K1084" s="158" t="n">
        <x:v>10306221890</x:v>
      </x:c>
      <x:c r="L1084" s="158" t="n">
        <x:v>2663478</x:v>
      </x:c>
      <x:c r="M1084" s="141" t="str">
        <x:v>https://www.sge.com.cn/sjzx/quotation_daily_new?start_date=2026-05-01&amp;end_date=2026-05-31&amp;inst_ids=Ag%28T%2BD%29&amp;p=</x:v>
      </x:c>
    </x:row>
    <x:row r="1085">
      <x:c r="A1085" s="155" t="n">
        <x:v>46153</x:v>
      </x:c>
      <x:c r="B1085" s="141" t="str">
        <x:v>Au99.99</x:v>
      </x:c>
      <x:c r="C1085" s="153" t="n">
        <x:v>1033.5</x:v>
      </x:c>
      <x:c r="D1085" s="153" t="n">
        <x:v>1039.9</x:v>
      </x:c>
      <x:c r="E1085" s="153" t="n">
        <x:v>1018.31</x:v>
      </x:c>
      <x:c r="F1085" s="153" t="n">
        <x:v>1025.82</x:v>
      </x:c>
      <x:c r="G1085" s="153" t="n">
        <x:v>-6.18</x:v>
      </x:c>
      <x:c r="H1085" s="154" t="n">
        <x:v>-0.006</x:v>
      </x:c>
      <x:c r="I1085" s="158" t="n">
        <x:v>1024.95</x:v>
      </x:c>
      <x:c r="J1085" s="158" t="n">
        <x:v>5197.86</x:v>
      </x:c>
      <x:c r="K1085" s="158" t="n">
        <x:v>5327595556</x:v>
      </x:c>
      <x:c r="L1085" s="158"/>
      <x:c r="M1085" s="141" t="str">
        <x:v>https://www.sge.com.cn/sjzx/quotation_daily_new?start_date=2026-05-01&amp;end_date=2026-05-31&amp;inst_ids=Au99.99&amp;p=</x:v>
      </x:c>
    </x:row>
    <x:row r="1086">
      <x:c r="A1086" s="155" t="n">
        <x:v>46154</x:v>
      </x:c>
      <x:c r="B1086" s="141" t="str">
        <x:v>Ag(T+D)</x:v>
      </x:c>
      <x:c r="C1086" s="153" t="n">
        <x:v>20033</x:v>
      </x:c>
      <x:c r="D1086" s="153" t="n">
        <x:v>21423</x:v>
      </x:c>
      <x:c r="E1086" s="153" t="n">
        <x:v>19997</x:v>
      </x:c>
      <x:c r="F1086" s="153" t="n">
        <x:v>20749</x:v>
      </x:c>
      <x:c r="G1086" s="153" t="n">
        <x:v>872</x:v>
      </x:c>
      <x:c r="H1086" s="154" t="n">
        <x:v>0.043899999999999995</x:v>
      </x:c>
      <x:c r="I1086" s="158" t="n">
        <x:v>20970</x:v>
      </x:c>
      <x:c r="J1086" s="158" t="n">
        <x:v>626580</x:v>
      </x:c>
      <x:c r="K1086" s="158" t="n">
        <x:v>13140007408</x:v>
      </x:c>
      <x:c r="L1086" s="158" t="n">
        <x:v>2666670</x:v>
      </x:c>
      <x:c r="M1086" s="141" t="str">
        <x:v>https://www.sge.com.cn/sjzx/quotation_daily_new?start_date=2026-05-01&amp;end_date=2026-05-31&amp;inst_ids=Ag%28T%2BD%29&amp;p=</x:v>
      </x:c>
    </x:row>
    <x:row r="1087">
      <x:c r="A1087" s="155" t="n">
        <x:v>46154</x:v>
      </x:c>
      <x:c r="B1087" s="141" t="str">
        <x:v>Au99.99</x:v>
      </x:c>
      <x:c r="C1087" s="153" t="n">
        <x:v>1025</x:v>
      </x:c>
      <x:c r="D1087" s="153" t="n">
        <x:v>1040.1</x:v>
      </x:c>
      <x:c r="E1087" s="153" t="n">
        <x:v>1025</x:v>
      </x:c>
      <x:c r="F1087" s="153" t="n">
        <x:v>1028.51</x:v>
      </x:c>
      <x:c r="G1087" s="153" t="n">
        <x:v>2.69</x:v>
      </x:c>
      <x:c r="H1087" s="154" t="n">
        <x:v>0.0026</x:v>
      </x:c>
      <x:c r="I1087" s="158" t="n">
        <x:v>1033.26</x:v>
      </x:c>
      <x:c r="J1087" s="158" t="n">
        <x:v>3586.26</x:v>
      </x:c>
      <x:c r="K1087" s="158" t="n">
        <x:v>3705546611.2</x:v>
      </x:c>
      <x:c r="L1087" s="158"/>
      <x:c r="M1087" s="141" t="str">
        <x:v>https://www.sge.com.cn/sjzx/quotation_daily_new?start_date=2026-05-01&amp;end_date=2026-05-31&amp;inst_ids=Au99.99&amp;p=</x:v>
      </x:c>
    </x:row>
    <x:row r="1088">
      <x:c r="A1088" s="155" t="n">
        <x:v>46155</x:v>
      </x:c>
      <x:c r="B1088" s="141" t="str">
        <x:v>Ag(T+D)</x:v>
      </x:c>
      <x:c r="C1088" s="153" t="n">
        <x:v>20700</x:v>
      </x:c>
      <x:c r="D1088" s="153" t="n">
        <x:v>23400</x:v>
      </x:c>
      <x:c r="E1088" s="153" t="n">
        <x:v>20512</x:v>
      </x:c>
      <x:c r="F1088" s="153" t="n">
        <x:v>21265</x:v>
      </x:c>
      <x:c r="G1088" s="153" t="n">
        <x:v>295</x:v>
      </x:c>
      <x:c r="H1088" s="154" t="n">
        <x:v>0.0141</x:v>
      </x:c>
      <x:c r="I1088" s="158" t="n">
        <x:v>21618</x:v>
      </x:c>
      <x:c r="J1088" s="158" t="n">
        <x:v>766094</x:v>
      </x:c>
      <x:c r="K1088" s="158" t="n">
        <x:v>16561939590</x:v>
      </x:c>
      <x:c r="L1088" s="158" t="n">
        <x:v>2806016</x:v>
      </x:c>
      <x:c r="M1088" s="141" t="str">
        <x:v>https://www.sge.com.cn/sjzx/quotation_daily_new?start_date=2026-05-01&amp;end_date=2026-05-31&amp;inst_ids=Ag%28T%2BD%29&amp;p=</x:v>
      </x:c>
    </x:row>
    <x:row r="1089">
      <x:c r="A1089" s="155" t="n">
        <x:v>46155</x:v>
      </x:c>
      <x:c r="B1089" s="141" t="str">
        <x:v>Au99.99</x:v>
      </x:c>
      <x:c r="C1089" s="153" t="n">
        <x:v>1030</x:v>
      </x:c>
      <x:c r="D1089" s="153" t="n">
        <x:v>1032.9</x:v>
      </x:c>
      <x:c r="E1089" s="153" t="n">
        <x:v>1018</x:v>
      </x:c>
      <x:c r="F1089" s="153" t="n">
        <x:v>1029.99</x:v>
      </x:c>
      <x:c r="G1089" s="153" t="n">
        <x:v>1.48</x:v>
      </x:c>
      <x:c r="H1089" s="154" t="n">
        <x:v>0.0014000000000000002</x:v>
      </x:c>
      <x:c r="I1089" s="158" t="n">
        <x:v>1029.16</x:v>
      </x:c>
      <x:c r="J1089" s="158" t="n">
        <x:v>5177.62</x:v>
      </x:c>
      <x:c r="K1089" s="158" t="n">
        <x:v>5328608926.2</x:v>
      </x:c>
      <x:c r="L1089" s="158"/>
      <x:c r="M1089" s="141" t="str">
        <x:v>https://www.sge.com.cn/sjzx/quotation_daily_new?start_date=2026-05-01&amp;end_date=2026-05-31&amp;inst_ids=Au99.99&amp;p=</x:v>
      </x:c>
    </x:row>
    <x:row r="1090">
      <x:c r="A1090" s="155" t="n">
        <x:v>46156</x:v>
      </x:c>
      <x:c r="B1090" s="141" t="str">
        <x:v>Ag(T+D)</x:v>
      </x:c>
      <x:c r="C1090" s="153" t="n">
        <x:v>21369</x:v>
      </x:c>
      <x:c r="D1090" s="153" t="n">
        <x:v>22038</x:v>
      </x:c>
      <x:c r="E1090" s="153" t="n">
        <x:v>21101</x:v>
      </x:c>
      <x:c r="F1090" s="153" t="n">
        <x:v>21400</x:v>
      </x:c>
      <x:c r="G1090" s="153" t="n">
        <x:v>-218</x:v>
      </x:c>
      <x:c r="H1090" s="154" t="n">
        <x:v>-0.0101</x:v>
      </x:c>
      <x:c r="I1090" s="158" t="n">
        <x:v>21440</x:v>
      </x:c>
      <x:c r="J1090" s="158" t="n">
        <x:v>564400</x:v>
      </x:c>
      <x:c r="K1090" s="158" t="n">
        <x:v>12100962160</x:v>
      </x:c>
      <x:c r="L1090" s="158" t="n">
        <x:v>2785600</x:v>
      </x:c>
      <x:c r="M1090" s="141" t="str">
        <x:v>https://www.sge.com.cn/sjzx/quotation_daily_new?start_date=2026-05-01&amp;end_date=2026-05-31&amp;inst_ids=Ag%28T%2BD%29&amp;p=</x:v>
      </x:c>
    </x:row>
    <x:row r="1091">
      <x:c r="A1091" s="155" t="n">
        <x:v>46156</x:v>
      </x:c>
      <x:c r="B1091" s="141" t="str">
        <x:v>Au99.99</x:v>
      </x:c>
      <x:c r="C1091" s="153" t="n">
        <x:v>1030.8</x:v>
      </x:c>
      <x:c r="D1091" s="153" t="n">
        <x:v>1031.2</x:v>
      </x:c>
      <x:c r="E1091" s="153" t="n">
        <x:v>1022.02</x:v>
      </x:c>
      <x:c r="F1091" s="153" t="n">
        <x:v>1028.68</x:v>
      </x:c>
      <x:c r="G1091" s="153" t="n">
        <x:v>-1.31</x:v>
      </x:c>
      <x:c r="H1091" s="154" t="n">
        <x:v>-0.0013</x:v>
      </x:c>
      <x:c r="I1091" s="158" t="n">
        <x:v>1026.25</x:v>
      </x:c>
      <x:c r="J1091" s="158" t="n">
        <x:v>5164.84</x:v>
      </x:c>
      <x:c r="K1091" s="158" t="n">
        <x:v>5300467664.2</x:v>
      </x:c>
      <x:c r="L1091" s="158"/>
      <x:c r="M1091" s="141" t="str">
        <x:v>https://www.sge.com.cn/sjzx/quotation_daily_new?start_date=2026-05-01&amp;end_date=2026-05-31&amp;inst_ids=Au99.99&amp;p=</x:v>
      </x:c>
    </x:row>
    <x:row r="1092">
      <x:c r="A1092" s="155" t="n">
        <x:v>46157</x:v>
      </x:c>
      <x:c r="B1092" s="141" t="str">
        <x:v>Ag(T+D)</x:v>
      </x:c>
      <x:c r="C1092" s="153" t="n">
        <x:v>21300</x:v>
      </x:c>
      <x:c r="D1092" s="153" t="n">
        <x:v>21345</x:v>
      </x:c>
      <x:c r="E1092" s="153" t="n">
        <x:v>19068</x:v>
      </x:c>
      <x:c r="F1092" s="153" t="n">
        <x:v>19428</x:v>
      </x:c>
      <x:c r="G1092" s="153" t="n">
        <x:v>-2012</x:v>
      </x:c>
      <x:c r="H1092" s="154" t="n">
        <x:v>-0.09380000000000001</x:v>
      </x:c>
      <x:c r="I1092" s="158" t="n">
        <x:v>19800</x:v>
      </x:c>
      <x:c r="J1092" s="158" t="n">
        <x:v>475602</x:v>
      </x:c>
      <x:c r="K1092" s="158" t="n">
        <x:v>9417173788</x:v>
      </x:c>
      <x:c r="L1092" s="158" t="n">
        <x:v>2803072</x:v>
      </x:c>
      <x:c r="M1092" s="141" t="str">
        <x:v>https://www.sge.com.cn/sjzx/quotation_daily_new?start_date=2026-05-01&amp;end_date=2026-05-31&amp;inst_ids=Ag%28T%2BD%29&amp;p=</x:v>
      </x:c>
    </x:row>
    <x:row r="1093">
      <x:c r="A1093" s="155" t="n">
        <x:v>46157</x:v>
      </x:c>
      <x:c r="B1093" s="141" t="str">
        <x:v>Au99.99</x:v>
      </x:c>
      <x:c r="C1093" s="153" t="n">
        <x:v>1031.5</x:v>
      </x:c>
      <x:c r="D1093" s="153" t="n">
        <x:v>1031.5</x:v>
      </x:c>
      <x:c r="E1093" s="153" t="n">
        <x:v>1000.05</x:v>
      </x:c>
      <x:c r="F1093" s="153" t="n">
        <x:v>1006.01</x:v>
      </x:c>
      <x:c r="G1093" s="153" t="n">
        <x:v>-22.67</x:v>
      </x:c>
      <x:c r="H1093" s="154" t="n">
        <x:v>-0.022000000000000002</x:v>
      </x:c>
      <x:c r="I1093" s="158" t="n">
        <x:v>1007.07</x:v>
      </x:c>
      <x:c r="J1093" s="158" t="n">
        <x:v>10113.34</x:v>
      </x:c>
      <x:c r="K1093" s="158" t="n">
        <x:v>10184942134.6</x:v>
      </x:c>
      <x:c r="L1093" s="158"/>
      <x:c r="M1093" s="141" t="str">
        <x:v>https://www.sge.com.cn/sjzx/quotation_daily_new?start_date=2026-05-01&amp;end_date=2026-05-31&amp;inst_ids=Au99.99&amp;p=</x:v>
      </x:c>
    </x:row>
    <x:row r="1094">
      <x:c r="A1094" s="155" t="n">
        <x:v>46160</x:v>
      </x:c>
      <x:c r="B1094" s="141" t="str">
        <x:v>Ag(T+D)</x:v>
      </x:c>
      <x:c r="C1094" s="153" t="n">
        <x:v>19250</x:v>
      </x:c>
      <x:c r="D1094" s="153" t="n">
        <x:v>19309</x:v>
      </x:c>
      <x:c r="E1094" s="153" t="n">
        <x:v>18109</x:v>
      </x:c>
      <x:c r="F1094" s="153" t="n">
        <x:v>18601</x:v>
      </x:c>
      <x:c r="G1094" s="153" t="n">
        <x:v>-1199</x:v>
      </x:c>
      <x:c r="H1094" s="154" t="n">
        <x:v>-0.060599999999999994</x:v>
      </x:c>
      <x:c r="I1094" s="158" t="n">
        <x:v>18410</x:v>
      </x:c>
      <x:c r="J1094" s="158" t="n">
        <x:v>646982</x:v>
      </x:c>
      <x:c r="K1094" s="158" t="n">
        <x:v>11910950042</x:v>
      </x:c>
      <x:c r="L1094" s="158" t="n">
        <x:v>2746712</x:v>
      </x:c>
      <x:c r="M1094" s="141" t="str">
        <x:v>https://www.sge.com.cn/sjzx/quotation_daily_new?start_date=2026-05-01&amp;end_date=2026-05-31&amp;inst_ids=Ag%28T%2BD%29&amp;p=</x:v>
      </x:c>
    </x:row>
    <x:row r="1095">
      <x:c r="A1095" s="155" t="n">
        <x:v>46160</x:v>
      </x:c>
      <x:c r="B1095" s="141" t="str">
        <x:v>Au99.99</x:v>
      </x:c>
      <x:c r="C1095" s="153" t="n">
        <x:v>1000.01</x:v>
      </x:c>
      <x:c r="D1095" s="153" t="n">
        <x:v>1005</x:v>
      </x:c>
      <x:c r="E1095" s="153" t="n">
        <x:v>980.02</x:v>
      </x:c>
      <x:c r="F1095" s="153" t="n">
        <x:v>999.69</x:v>
      </x:c>
      <x:c r="G1095" s="153" t="n">
        <x:v>-6.32</x:v>
      </x:c>
      <x:c r="H1095" s="154" t="n">
        <x:v>-0.0063</x:v>
      </x:c>
      <x:c r="I1095" s="158" t="n">
        <x:v>995.98</x:v>
      </x:c>
      <x:c r="J1095" s="158" t="n">
        <x:v>9312.22</x:v>
      </x:c>
      <x:c r="K1095" s="158" t="n">
        <x:v>9274838296.8</x:v>
      </x:c>
      <x:c r="L1095" s="158"/>
      <x:c r="M1095" s="141" t="str">
        <x:v>https://www.sge.com.cn/sjzx/quotation_daily_new?start_date=2026-05-01&amp;end_date=2026-05-31&amp;inst_ids=Au99.99&amp;p=</x:v>
      </x:c>
    </x:row>
    <x:row r="1096">
      <x:c r="A1096" s="155" t="n">
        <x:v>46161</x:v>
      </x:c>
      <x:c r="B1096" s="141" t="str">
        <x:v>Ag(T+D)</x:v>
      </x:c>
      <x:c r="C1096" s="153" t="n">
        <x:v>18687</x:v>
      </x:c>
      <x:c r="D1096" s="153" t="n">
        <x:v>19122</x:v>
      </x:c>
      <x:c r="E1096" s="153" t="n">
        <x:v>18451</x:v>
      </x:c>
      <x:c r="F1096" s="153" t="n">
        <x:v>18542</x:v>
      </x:c>
      <x:c r="G1096" s="153" t="n">
        <x:v>132</x:v>
      </x:c>
      <x:c r="H1096" s="154" t="n">
        <x:v>0.0072</x:v>
      </x:c>
      <x:c r="I1096" s="158" t="n">
        <x:v>18728</x:v>
      </x:c>
      <x:c r="J1096" s="158" t="n">
        <x:v>684448</x:v>
      </x:c>
      <x:c r="K1096" s="158" t="n">
        <x:v>12818589940</x:v>
      </x:c>
      <x:c r="L1096" s="158" t="n">
        <x:v>2751056</x:v>
      </x:c>
      <x:c r="M1096" s="141" t="str">
        <x:v>https://www.sge.com.cn/sjzx/quotation_daily_new?start_date=2026-05-01&amp;end_date=2026-05-31&amp;inst_ids=Ag%28T%2BD%29&amp;p=</x:v>
      </x:c>
    </x:row>
    <x:row r="1097">
      <x:c r="A1097" s="155" t="n">
        <x:v>46161</x:v>
      </x:c>
      <x:c r="B1097" s="141" t="str">
        <x:v>Au99.99</x:v>
      </x:c>
      <x:c r="C1097" s="153" t="n">
        <x:v>999.69</x:v>
      </x:c>
      <x:c r="D1097" s="153" t="n">
        <x:v>1008.8</x:v>
      </x:c>
      <x:c r="E1097" s="153" t="n">
        <x:v>995</x:v>
      </x:c>
      <x:c r="F1097" s="153" t="n">
        <x:v>998</x:v>
      </x:c>
      <x:c r="G1097" s="153" t="n">
        <x:v>-1.69</x:v>
      </x:c>
      <x:c r="H1097" s="154" t="n">
        <x:v>-0.0017000000000000001</x:v>
      </x:c>
      <x:c r="I1097" s="158" t="n">
        <x:v>998.67</x:v>
      </x:c>
      <x:c r="J1097" s="158" t="n">
        <x:v>5228.36</x:v>
      </x:c>
      <x:c r="K1097" s="158" t="n">
        <x:v>5221454578.6</x:v>
      </x:c>
      <x:c r="L1097" s="158"/>
      <x:c r="M1097" s="141" t="str">
        <x:v>https://www.sge.com.cn/sjzx/quotation_daily_new?start_date=2026-05-01&amp;end_date=2026-05-31&amp;inst_ids=Au99.99&amp;p=</x:v>
      </x:c>
    </x:row>
    <x:row r="1098">
      <x:c r="A1098" s="155" t="n">
        <x:v>46162</x:v>
      </x:c>
      <x:c r="B1098" s="141" t="str">
        <x:v>Ag(T+D)</x:v>
      </x:c>
      <x:c r="C1098" s="153" t="n">
        <x:v>18510</x:v>
      </x:c>
      <x:c r="D1098" s="153" t="n">
        <x:v>18645</x:v>
      </x:c>
      <x:c r="E1098" s="153" t="n">
        <x:v>17821</x:v>
      </x:c>
      <x:c r="F1098" s="153" t="n">
        <x:v>18380</x:v>
      </x:c>
      <x:c r="G1098" s="153" t="n">
        <x:v>-348</x:v>
      </x:c>
      <x:c r="H1098" s="154" t="n">
        <x:v>-0.018600000000000002</x:v>
      </x:c>
      <x:c r="I1098" s="158" t="n">
        <x:v>18107</x:v>
      </x:c>
      <x:c r="J1098" s="158" t="n">
        <x:v>604242</x:v>
      </x:c>
      <x:c r="K1098" s="158" t="n">
        <x:v>10941520694</x:v>
      </x:c>
      <x:c r="L1098" s="158" t="n">
        <x:v>2792806</x:v>
      </x:c>
      <x:c r="M1098" s="141" t="str">
        <x:v>https://www.sge.com.cn/sjzx/quotation_daily_new?start_date=2026-05-01&amp;end_date=2026-05-31&amp;inst_ids=Ag%28T%2BD%29&amp;p=</x:v>
      </x:c>
    </x:row>
    <x:row r="1099">
      <x:c r="A1099" s="155" t="n">
        <x:v>46162</x:v>
      </x:c>
      <x:c r="B1099" s="141" t="str">
        <x:v>Au99.99</x:v>
      </x:c>
      <x:c r="C1099" s="153" t="n">
        <x:v>999.7</x:v>
      </x:c>
      <x:c r="D1099" s="153" t="n">
        <x:v>1000.5</x:v>
      </x:c>
      <x:c r="E1099" s="153" t="n">
        <x:v>979.01</x:v>
      </x:c>
      <x:c r="F1099" s="153" t="n">
        <x:v>984.98</x:v>
      </x:c>
      <x:c r="G1099" s="153" t="n">
        <x:v>-13.02</x:v>
      </x:c>
      <x:c r="H1099" s="154" t="n">
        <x:v>-0.013000000000000001</x:v>
      </x:c>
      <x:c r="I1099" s="158" t="n">
        <x:v>983.34</x:v>
      </x:c>
      <x:c r="J1099" s="158" t="n">
        <x:v>8507.76</x:v>
      </x:c>
      <x:c r="K1099" s="158" t="n">
        <x:v>8366038795</x:v>
      </x:c>
      <x:c r="L1099" s="158"/>
      <x:c r="M1099" s="141" t="str">
        <x:v>https://www.sge.com.cn/sjzx/quotation_daily_new?start_date=2026-05-01&amp;end_date=2026-05-31&amp;inst_ids=Au99.99&amp;p=</x:v>
      </x:c>
    </x:row>
    <x:row r="1100">
      <x:c r="A1100" s="155" t="n">
        <x:v>46163</x:v>
      </x:c>
      <x:c r="B1100" s="141" t="str">
        <x:v>Ag(T+D)</x:v>
      </x:c>
      <x:c r="C1100" s="153" t="n">
        <x:v>18510</x:v>
      </x:c>
      <x:c r="D1100" s="153" t="n">
        <x:v>18820</x:v>
      </x:c>
      <x:c r="E1100" s="153" t="n">
        <x:v>18170</x:v>
      </x:c>
      <x:c r="F1100" s="153" t="n">
        <x:v>18321</x:v>
      </x:c>
      <x:c r="G1100" s="153" t="n">
        <x:v>214</x:v>
      </x:c>
      <x:c r="H1100" s="154" t="n">
        <x:v>0.0118</x:v>
      </x:c>
      <x:c r="I1100" s="158" t="n">
        <x:v>18484</x:v>
      </x:c>
      <x:c r="J1100" s="158" t="n">
        <x:v>338186</x:v>
      </x:c>
      <x:c r="K1100" s="158" t="n">
        <x:v>6251249928</x:v>
      </x:c>
      <x:c r="L1100" s="158" t="n">
        <x:v>2784846</x:v>
      </x:c>
      <x:c r="M1100" s="141" t="str">
        <x:v>https://www.sge.com.cn/sjzx/quotation_daily_new?start_date=2026-05-01&amp;end_date=2026-05-31&amp;inst_ids=Ag%28T%2BD%29&amp;p=</x:v>
      </x:c>
    </x:row>
    <x:row r="1101">
      <x:c r="A1101" s="155" t="n">
        <x:v>46163</x:v>
      </x:c>
      <x:c r="B1101" s="141" t="str">
        <x:v>Au99.99</x:v>
      </x:c>
      <x:c r="C1101" s="153" t="n">
        <x:v>998.8</x:v>
      </x:c>
      <x:c r="D1101" s="153" t="n">
        <x:v>1002</x:v>
      </x:c>
      <x:c r="E1101" s="153" t="n">
        <x:v>984</x:v>
      </x:c>
      <x:c r="F1101" s="153" t="n">
        <x:v>991.4</x:v>
      </x:c>
      <x:c r="G1101" s="153" t="n">
        <x:v>6.42</x:v>
      </x:c>
      <x:c r="H1101" s="154" t="n">
        <x:v>0.006500000000000001</x:v>
      </x:c>
      <x:c r="I1101" s="158" t="n">
        <x:v>995.34</x:v>
      </x:c>
      <x:c r="J1101" s="158" t="n">
        <x:v>4972</x:v>
      </x:c>
      <x:c r="K1101" s="158" t="n">
        <x:v>4948871565.2</x:v>
      </x:c>
      <x:c r="L1101" s="158"/>
      <x:c r="M1101" s="141" t="str">
        <x:v>https://www.sge.com.cn/sjzx/quotation_daily_new?start_date=2026-05-01&amp;end_date=2026-05-31&amp;inst_ids=Au99.99&amp;p=</x:v>
      </x:c>
    </x:row>
    <x:row r="1102">
      <x:c r="A1102" s="155" t="n">
        <x:v>46164</x:v>
      </x:c>
      <x:c r="B1102" s="141" t="str">
        <x:v>Ag(T+D)</x:v>
      </x:c>
      <x:c r="C1102" s="153" t="n">
        <x:v>18366</x:v>
      </x:c>
      <x:c r="D1102" s="153" t="n">
        <x:v>18850</x:v>
      </x:c>
      <x:c r="E1102" s="153" t="n">
        <x:v>18119</x:v>
      </x:c>
      <x:c r="F1102" s="153" t="n">
        <x:v>18623</x:v>
      </x:c>
      <x:c r="G1102" s="153" t="n">
        <x:v>139</x:v>
      </x:c>
      <x:c r="H1102" s="154" t="n">
        <x:v>0.0075</x:v>
      </x:c>
      <x:c r="I1102" s="158" t="n">
        <x:v>18624</x:v>
      </x:c>
      <x:c r="J1102" s="158" t="n">
        <x:v>421934</x:v>
      </x:c>
      <x:c r="K1102" s="158" t="n">
        <x:v>7858420248</x:v>
      </x:c>
      <x:c r="L1102" s="158" t="n">
        <x:v>2753274</x:v>
      </x:c>
      <x:c r="M1102" s="141" t="str">
        <x:v>https://www.sge.com.cn/sjzx/quotation_daily_new?start_date=2026-05-01&amp;end_date=2026-05-31&amp;inst_ids=Ag%28T%2BD%29&amp;p=</x:v>
      </x:c>
    </x:row>
    <x:row r="1103">
      <x:c r="A1103" s="155" t="n">
        <x:v>46164</x:v>
      </x:c>
      <x:c r="B1103" s="141" t="str">
        <x:v>Au99.99</x:v>
      </x:c>
      <x:c r="C1103" s="153" t="n">
        <x:v>992</x:v>
      </x:c>
      <x:c r="D1103" s="153" t="n">
        <x:v>995.95</x:v>
      </x:c>
      <x:c r="E1103" s="153" t="n">
        <x:v>986</x:v>
      </x:c>
      <x:c r="F1103" s="153" t="n">
        <x:v>992.1</x:v>
      </x:c>
      <x:c r="G1103" s="153" t="n">
        <x:v>0.7</x:v>
      </x:c>
      <x:c r="H1103" s="154" t="n">
        <x:v>0.0007000000000000001</x:v>
      </x:c>
      <x:c r="I1103" s="158" t="n">
        <x:v>992.29</x:v>
      </x:c>
      <x:c r="J1103" s="158" t="n">
        <x:v>4531.34</x:v>
      </x:c>
      <x:c r="K1103" s="158" t="n">
        <x:v>4496405153.4</x:v>
      </x:c>
      <x:c r="L1103" s="158"/>
      <x:c r="M1103" s="141" t="str">
        <x:v>https://www.sge.com.cn/sjzx/quotation_daily_new?start_date=2026-05-01&amp;end_date=2026-05-31&amp;inst_ids=Au99.99&amp;p=</x:v>
      </x:c>
    </x:row>
    <x:row r="1104">
      <x:c r="A1104" s="155" t="n">
        <x:v>46167</x:v>
      </x:c>
      <x:c r="B1104" s="141" t="str">
        <x:v>Ag(T+D)</x:v>
      </x:c>
      <x:c r="C1104" s="153" t="n">
        <x:v>18555</x:v>
      </x:c>
      <x:c r="D1104" s="153" t="n">
        <x:v>19240</x:v>
      </x:c>
      <x:c r="E1104" s="153" t="n">
        <x:v>18342</x:v>
      </x:c>
      <x:c r="F1104" s="153" t="n">
        <x:v>18929</x:v>
      </x:c>
      <x:c r="G1104" s="153" t="n">
        <x:v>305</x:v>
      </x:c>
      <x:c r="H1104" s="154" t="n">
        <x:v>0.016399999999999998</x:v>
      </x:c>
      <x:c r="I1104" s="158" t="n">
        <x:v>18880</x:v>
      </x:c>
      <x:c r="J1104" s="158" t="n">
        <x:v>377500</x:v>
      </x:c>
      <x:c r="K1104" s="158" t="n">
        <x:v>7127535186</x:v>
      </x:c>
      <x:c r="L1104" s="158" t="n">
        <x:v>2814330</x:v>
      </x:c>
      <x:c r="M1104" s="141" t="str">
        <x:v>https://www.sge.com.cn/sjzx/quotation_daily_new?start_date=2026-05-01&amp;end_date=2026-05-31&amp;inst_ids=Ag%28T%2BD%29&amp;p=</x:v>
      </x:c>
    </x:row>
    <x:row r="1105">
      <x:c r="A1105" s="155" t="n">
        <x:v>46167</x:v>
      </x:c>
      <x:c r="B1105" s="141" t="str">
        <x:v>Au99.99</x:v>
      </x:c>
      <x:c r="C1105" s="153" t="n">
        <x:v>998</x:v>
      </x:c>
      <x:c r="D1105" s="153" t="n">
        <x:v>1001.99</x:v>
      </x:c>
      <x:c r="E1105" s="153" t="n">
        <x:v>985.6</x:v>
      </x:c>
      <x:c r="F1105" s="153" t="n">
        <x:v>997</x:v>
      </x:c>
      <x:c r="G1105" s="153" t="n">
        <x:v>4.9</x:v>
      </x:c>
      <x:c r="H1105" s="154" t="n">
        <x:v>0.0049</x:v>
      </x:c>
      <x:c r="I1105" s="158" t="n">
        <x:v>997.58</x:v>
      </x:c>
      <x:c r="J1105" s="158" t="n">
        <x:v>5625.5</x:v>
      </x:c>
      <x:c r="K1105" s="158" t="n">
        <x:v>5611928448</x:v>
      </x:c>
      <x:c r="L1105" s="158"/>
      <x:c r="M1105" s="141" t="str">
        <x:v>https://www.sge.com.cn/sjzx/quotation_daily_new?start_date=2026-05-01&amp;end_date=2026-05-31&amp;inst_ids=Au99.99&amp;p=</x:v>
      </x:c>
    </x:row>
    <x:row r="1106">
      <x:c r="A1106" s="155" t="n">
        <x:v>46168</x:v>
      </x:c>
      <x:c r="B1106" s="141" t="str">
        <x:v>Ag(T+D)</x:v>
      </x:c>
      <x:c r="C1106" s="153" t="n">
        <x:v>19024</x:v>
      </x:c>
      <x:c r="D1106" s="153" t="n">
        <x:v>19160</x:v>
      </x:c>
      <x:c r="E1106" s="153" t="n">
        <x:v>18443</x:v>
      </x:c>
      <x:c r="F1106" s="153" t="n">
        <x:v>18600</x:v>
      </x:c>
      <x:c r="G1106" s="153" t="n">
        <x:v>-280</x:v>
      </x:c>
      <x:c r="H1106" s="154" t="n">
        <x:v>-0.0148</x:v>
      </x:c>
      <x:c r="I1106" s="158" t="n">
        <x:v>18666</x:v>
      </x:c>
      <x:c r="J1106" s="158" t="n">
        <x:v>356582</x:v>
      </x:c>
      <x:c r="K1106" s="158" t="n">
        <x:v>6656314216</x:v>
      </x:c>
      <x:c r="L1106" s="158" t="n">
        <x:v>2840124</x:v>
      </x:c>
      <x:c r="M1106" s="141" t="str">
        <x:v>https://www.sge.com.cn/sjzx/quotation_daily_new?start_date=2026-05-01&amp;end_date=2026-05-31&amp;inst_ids=Ag%28T%2BD%29&amp;p=</x:v>
      </x:c>
    </x:row>
    <x:row r="1107">
      <x:c r="A1107" s="155" t="n">
        <x:v>46168</x:v>
      </x:c>
      <x:c r="B1107" s="141" t="str">
        <x:v>Au99.99</x:v>
      </x:c>
      <x:c r="C1107" s="153" t="n">
        <x:v>999</x:v>
      </x:c>
      <x:c r="D1107" s="153" t="n">
        <x:v>1000.5</x:v>
      </x:c>
      <x:c r="E1107" s="153" t="n">
        <x:v>990.17</x:v>
      </x:c>
      <x:c r="F1107" s="153" t="n">
        <x:v>991.97</x:v>
      </x:c>
      <x:c r="G1107" s="153" t="n">
        <x:v>-5.03</x:v>
      </x:c>
      <x:c r="H1107" s="154" t="n">
        <x:v>-0.005</x:v>
      </x:c>
      <x:c r="I1107" s="158" t="n">
        <x:v>992.6</x:v>
      </x:c>
      <x:c r="J1107" s="158" t="n">
        <x:v>5563.22</x:v>
      </x:c>
      <x:c r="K1107" s="158" t="n">
        <x:v>5522070723.2</x:v>
      </x:c>
      <x:c r="L1107" s="158"/>
      <x:c r="M1107" s="141" t="str">
        <x:v>https://www.sge.com.cn/sjzx/quotation_daily_new?start_date=2026-05-01&amp;end_date=2026-05-31&amp;inst_ids=Au99.99&amp;p=</x:v>
      </x:c>
    </x:row>
    <x:row r="1108">
      <x:c r="A1108" s="155" t="n">
        <x:v>46169</x:v>
      </x:c>
      <x:c r="B1108" s="141" t="str">
        <x:v>Ag(T+D)</x:v>
      </x:c>
      <x:c r="C1108" s="153" t="n">
        <x:v>18554</x:v>
      </x:c>
      <x:c r="D1108" s="153" t="n">
        <x:v>18862</x:v>
      </x:c>
      <x:c r="E1108" s="153" t="n">
        <x:v>18094</x:v>
      </x:c>
      <x:c r="F1108" s="153" t="n">
        <x:v>18222</x:v>
      </x:c>
      <x:c r="G1108" s="153" t="n">
        <x:v>-444</x:v>
      </x:c>
      <x:c r="H1108" s="154" t="n">
        <x:v>-0.023799999999999998</x:v>
      </x:c>
      <x:c r="I1108" s="158" t="n">
        <x:v>18498</x:v>
      </x:c>
      <x:c r="J1108" s="158" t="n">
        <x:v>437630</x:v>
      </x:c>
      <x:c r="K1108" s="158" t="n">
        <x:v>8095703632</x:v>
      </x:c>
      <x:c r="L1108" s="158" t="n">
        <x:v>2830674</x:v>
      </x:c>
      <x:c r="M1108" s="141" t="str">
        <x:v>https://www.sge.com.cn/sjzx/quotation_daily_new?start_date=2026-05-01&amp;end_date=2026-05-31&amp;inst_ids=Ag%28T%2BD%29&amp;p=</x:v>
      </x:c>
    </x:row>
    <x:row r="1109">
      <x:c r="A1109" s="155" t="n">
        <x:v>46169</x:v>
      </x:c>
      <x:c r="B1109" s="141" t="str">
        <x:v>Au99.99</x:v>
      </x:c>
      <x:c r="C1109" s="153" t="n">
        <x:v>988</x:v>
      </x:c>
      <x:c r="D1109" s="153" t="n">
        <x:v>993</x:v>
      </x:c>
      <x:c r="E1109" s="153" t="n">
        <x:v>979.01</x:v>
      </x:c>
      <x:c r="F1109" s="153" t="n">
        <x:v>982.53</x:v>
      </x:c>
      <x:c r="G1109" s="153" t="n">
        <x:v>-9.44</x:v>
      </x:c>
      <x:c r="H1109" s="154" t="n">
        <x:v>-0.0095</x:v>
      </x:c>
      <x:c r="I1109" s="158" t="n">
        <x:v>983.71</x:v>
      </x:c>
      <x:c r="J1109" s="158" t="n">
        <x:v>4750</x:v>
      </x:c>
      <x:c r="K1109" s="158" t="n">
        <x:v>4672639545.8</x:v>
      </x:c>
      <x:c r="L1109" s="158"/>
      <x:c r="M1109" s="141" t="str">
        <x:v>https://www.sge.com.cn/sjzx/quotation_daily_new?start_date=2026-05-01&amp;end_date=2026-05-31&amp;inst_ids=Au99.99&amp;p=</x:v>
      </x:c>
    </x:row>
    <x:row r="1110">
      <x:c r="A1110" s="155" t="n">
        <x:v>46170</x:v>
      </x:c>
      <x:c r="B1110" s="141" t="str">
        <x:v>Ag(T+D)</x:v>
      </x:c>
      <x:c r="C1110" s="153" t="n">
        <x:v>17934</x:v>
      </x:c>
      <x:c r="D1110" s="153" t="n">
        <x:v>18219</x:v>
      </x:c>
      <x:c r="E1110" s="153" t="n">
        <x:v>17421</x:v>
      </x:c>
      <x:c r="F1110" s="153" t="n">
        <x:v>17822</x:v>
      </x:c>
      <x:c r="G1110" s="153" t="n">
        <x:v>-676</x:v>
      </x:c>
      <x:c r="H1110" s="154" t="n">
        <x:v>-0.0365</x:v>
      </x:c>
      <x:c r="I1110" s="158" t="n">
        <x:v>17761</x:v>
      </x:c>
      <x:c r="J1110" s="158" t="n">
        <x:v>438514</x:v>
      </x:c>
      <x:c r="K1110" s="158" t="n">
        <x:v>7788630214</x:v>
      </x:c>
      <x:c r="L1110" s="158" t="n">
        <x:v>2826488</x:v>
      </x:c>
      <x:c r="M1110" s="141" t="str">
        <x:v>https://www.sge.com.cn/sjzx/quotation_daily_new?start_date=2026-05-01&amp;end_date=2026-05-31&amp;inst_ids=Ag%28T%2BD%29&amp;p=</x:v>
      </x:c>
    </x:row>
    <x:row r="1111">
      <x:c r="A1111" s="155" t="n">
        <x:v>46170</x:v>
      </x:c>
      <x:c r="B1111" s="141" t="str">
        <x:v>Au99.99</x:v>
      </x:c>
      <x:c r="C1111" s="153" t="n">
        <x:v>972</x:v>
      </x:c>
      <x:c r="D1111" s="153" t="n">
        <x:v>980</x:v>
      </x:c>
      <x:c r="E1111" s="153" t="n">
        <x:v>956.01</x:v>
      </x:c>
      <x:c r="F1111" s="153" t="n">
        <x:v>961.82</x:v>
      </x:c>
      <x:c r="G1111" s="153" t="n">
        <x:v>-20.71</x:v>
      </x:c>
      <x:c r="H1111" s="154" t="n">
        <x:v>-0.021099999999999997</x:v>
      </x:c>
      <x:c r="I1111" s="158" t="n">
        <x:v>960.96</x:v>
      </x:c>
      <x:c r="J1111" s="158" t="n">
        <x:v>8976.48</x:v>
      </x:c>
      <x:c r="K1111" s="158" t="n">
        <x:v>8626056407.4</x:v>
      </x:c>
      <x:c r="L1111" s="158"/>
      <x:c r="M1111" s="141" t="str">
        <x:v>https://www.sge.com.cn/sjzx/quotation_daily_new?start_date=2026-05-01&amp;end_date=2026-05-31&amp;inst_ids=Au99.99&amp;p=</x:v>
      </x:c>
    </x:row>
    <x:row r="1112">
      <x:c r="A1112" s="155" t="n">
        <x:v>46171</x:v>
      </x:c>
      <x:c r="B1112" s="141" t="str">
        <x:v>Ag(T+D)</x:v>
      </x:c>
      <x:c r="C1112" s="153" t="n">
        <x:v>17734</x:v>
      </x:c>
      <x:c r="D1112" s="153" t="n">
        <x:v>18534</x:v>
      </x:c>
      <x:c r="E1112" s="153" t="n">
        <x:v>17689</x:v>
      </x:c>
      <x:c r="F1112" s="153" t="n">
        <x:v>18180</x:v>
      </x:c>
      <x:c r="G1112" s="153" t="n">
        <x:v>419</x:v>
      </x:c>
      <x:c r="H1112" s="154" t="n">
        <x:v>0.0236</x:v>
      </x:c>
      <x:c r="I1112" s="158" t="n">
        <x:v>18258</x:v>
      </x:c>
      <x:c r="J1112" s="158" t="n">
        <x:v>330140</x:v>
      </x:c>
      <x:c r="K1112" s="158" t="n">
        <x:v>6027983360</x:v>
      </x:c>
      <x:c r="L1112" s="158" t="n">
        <x:v>2819796</x:v>
      </x:c>
      <x:c r="M1112" s="141" t="str">
        <x:v>https://www.sge.com.cn/sjzx/quotation_daily_new?start_date=2026-05-01&amp;end_date=2026-05-31&amp;inst_ids=Ag%28T%2BD%29&amp;p=</x:v>
      </x:c>
    </x:row>
    <x:row r="1113">
      <x:c r="A1113" s="155" t="n">
        <x:v>46171</x:v>
      </x:c>
      <x:c r="B1113" s="141" t="str">
        <x:v>Au99.99</x:v>
      </x:c>
      <x:c r="C1113" s="153" t="n">
        <x:v>965</x:v>
      </x:c>
      <x:c r="D1113" s="153" t="n">
        <x:v>988</x:v>
      </x:c>
      <x:c r="E1113" s="153" t="n">
        <x:v>959</x:v>
      </x:c>
      <x:c r="F1113" s="153" t="n">
        <x:v>984.96</x:v>
      </x:c>
      <x:c r="G1113" s="153" t="n">
        <x:v>23.14</x:v>
      </x:c>
      <x:c r="H1113" s="154" t="n">
        <x:v>0.0241</x:v>
      </x:c>
      <x:c r="I1113" s="158" t="n">
        <x:v>983.49</x:v>
      </x:c>
      <x:c r="J1113" s="158" t="n">
        <x:v>4426.4</x:v>
      </x:c>
      <x:c r="K1113" s="158" t="n">
        <x:v>4353321243.2</x:v>
      </x:c>
      <x:c r="L1113" s="158"/>
      <x:c r="M1113" s="141" t="str">
        <x:v>https://www.sge.com.cn/sjzx/quotation_daily_new?start_date=2026-05-01&amp;end_date=2026-05-31&amp;inst_ids=Au99.99&amp;p=</x:v>
      </x:c>
    </x:row>
    <x:row r="1114">
      <x:c r="A1114" s="155" t="n">
        <x:v>46175</x:v>
      </x:c>
      <x:c r="B1114" s="141" t="str">
        <x:v>Ag(T+D)</x:v>
      </x:c>
      <x:c r="C1114" s="153" t="n">
        <x:v>18199</x:v>
      </x:c>
      <x:c r="D1114" s="153" t="n">
        <x:v>18480</x:v>
      </x:c>
      <x:c r="E1114" s="153" t="n">
        <x:v>17800</x:v>
      </x:c>
      <x:c r="F1114" s="153" t="n">
        <x:v>18426</x:v>
      </x:c>
      <x:c r="G1114" s="153" t="n">
        <x:v>233</x:v>
      </x:c>
      <x:c r="H1114" s="154" t="n">
        <x:v>0.0128</x:v>
      </x:c>
      <x:c r="I1114" s="158" t="n">
        <x:v>18215</x:v>
      </x:c>
      <x:c r="J1114" s="158" t="n">
        <x:v>399486</x:v>
      </x:c>
      <x:c r="K1114" s="158" t="n">
        <x:v>7276950150</x:v>
      </x:c>
      <x:c r="L1114" s="158" t="n">
        <x:v>2900380</x:v>
      </x:c>
      <x:c r="M1114" s="141" t="str">
        <x:v>https://www.sge.com.cn/sjzx/quotation_daily_new?start_date=2026-06-01&amp;end_date=2026-06-30&amp;inst_ids=Ag%28T%2BD%29&amp;p=</x:v>
      </x:c>
    </x:row>
    <x:row r="1115">
      <x:c r="A1115" s="155" t="n">
        <x:v>46175</x:v>
      </x:c>
      <x:c r="B1115" s="141" t="str">
        <x:v>Au99.99</x:v>
      </x:c>
      <x:c r="C1115" s="153" t="n">
        <x:v>982</x:v>
      </x:c>
      <x:c r="D1115" s="153" t="n">
        <x:v>989</x:v>
      </x:c>
      <x:c r="E1115" s="153" t="n">
        <x:v>970.1</x:v>
      </x:c>
      <x:c r="F1115" s="153" t="n">
        <x:v>987.45</x:v>
      </x:c>
      <x:c r="G1115" s="153" t="n">
        <x:v>6.85</x:v>
      </x:c>
      <x:c r="H1115" s="154" t="n">
        <x:v>0.006999999999999999</x:v>
      </x:c>
      <x:c r="I1115" s="158" t="n">
        <x:v>981.87</x:v>
      </x:c>
      <x:c r="J1115" s="158" t="n">
        <x:v>3182.86</x:v>
      </x:c>
      <x:c r="K1115" s="158" t="n">
        <x:v>3125171749.4</x:v>
      </x:c>
      <x:c r="L1115" s="158"/>
      <x:c r="M1115" s="141" t="str">
        <x:v>https://www.sge.com.cn/sjzx/quotation_daily_new?start_date=2026-06-01&amp;end_date=2026-06-30&amp;inst_ids=Au99.99&amp;p=</x:v>
      </x:c>
    </x:row>
    <x:row r="1116">
      <x:c r="A1116" s="155" t="n">
        <x:v>46176</x:v>
      </x:c>
      <x:c r="B1116" s="141" t="str">
        <x:v>Ag(T+D)</x:v>
      </x:c>
      <x:c r="C1116" s="153" t="n">
        <x:v>18370</x:v>
      </x:c>
      <x:c r="D1116" s="153" t="n">
        <x:v>18420</x:v>
      </x:c>
      <x:c r="E1116" s="153" t="n">
        <x:v>17867</x:v>
      </x:c>
      <x:c r="F1116" s="153" t="n">
        <x:v>17910</x:v>
      </x:c>
      <x:c r="G1116" s="153" t="n">
        <x:v>-305</x:v>
      </x:c>
      <x:c r="H1116" s="154" t="n">
        <x:v>-0.0167</x:v>
      </x:c>
      <x:c r="I1116" s="158" t="n">
        <x:v>18020</x:v>
      </x:c>
      <x:c r="J1116" s="158" t="n">
        <x:v>258584</x:v>
      </x:c>
      <x:c r="K1116" s="158" t="n">
        <x:v>4659862570</x:v>
      </x:c>
      <x:c r="L1116" s="158" t="n">
        <x:v>2867976</x:v>
      </x:c>
      <x:c r="M1116" s="141" t="str">
        <x:v>https://www.sge.com.cn/sjzx/quotation_daily_new?start_date=2026-06-01&amp;end_date=2026-06-30&amp;inst_ids=Ag%28T%2BD%29&amp;p=</x:v>
      </x:c>
    </x:row>
    <x:row r="1117">
      <x:c r="A1117" s="155" t="n">
        <x:v>46176</x:v>
      </x:c>
      <x:c r="B1117" s="141" t="str">
        <x:v>Au99.99</x:v>
      </x:c>
      <x:c r="C1117" s="153" t="n">
        <x:v>987</x:v>
      </x:c>
      <x:c r="D1117" s="153" t="n">
        <x:v>987</x:v>
      </x:c>
      <x:c r="E1117" s="153" t="n">
        <x:v>972.4</x:v>
      </x:c>
      <x:c r="F1117" s="153" t="n">
        <x:v>972.8</x:v>
      </x:c>
      <x:c r="G1117" s="153" t="n">
        <x:v>-14.65</x:v>
      </x:c>
      <x:c r="H1117" s="154" t="n">
        <x:v>-0.0148</x:v>
      </x:c>
      <x:c r="I1117" s="158" t="n">
        <x:v>975.23</x:v>
      </x:c>
      <x:c r="J1117" s="158" t="n">
        <x:v>3642.36</x:v>
      </x:c>
      <x:c r="K1117" s="158" t="n">
        <x:v>3552151569.2</x:v>
      </x:c>
      <x:c r="L1117" s="158"/>
      <x:c r="M1117" s="141" t="str">
        <x:v>https://www.sge.com.cn/sjzx/quotation_daily_new?start_date=2026-06-01&amp;end_date=2026-06-30&amp;inst_ids=Au99.99&amp;p=</x:v>
      </x:c>
    </x:row>
    <x:row r="1118">
      <x:c r="A1118" s="155" t="n">
        <x:v>46177</x:v>
      </x:c>
      <x:c r="B1118" s="141" t="str">
        <x:v>Ag(T+D)</x:v>
      </x:c>
      <x:c r="C1118" s="153" t="n">
        <x:v>18000</x:v>
      </x:c>
      <x:c r="D1118" s="153" t="n">
        <x:v>18013</x:v>
      </x:c>
      <x:c r="E1118" s="153" t="n">
        <x:v>17606</x:v>
      </x:c>
      <x:c r="F1118" s="153" t="n">
        <x:v>17672</x:v>
      </x:c>
      <x:c r="G1118" s="153" t="n">
        <x:v>-348</x:v>
      </x:c>
      <x:c r="H1118" s="154" t="n">
        <x:v>-0.019299999999999998</x:v>
      </x:c>
      <x:c r="I1118" s="158" t="n">
        <x:v>17741</x:v>
      </x:c>
      <x:c r="J1118" s="158" t="n">
        <x:v>401050</x:v>
      </x:c>
      <x:c r="K1118" s="158" t="n">
        <x:v>7115207598</x:v>
      </x:c>
      <x:c r="L1118" s="158" t="n">
        <x:v>2865202</x:v>
      </x:c>
      <x:c r="M1118" s="141" t="str">
        <x:v>https://www.sge.com.cn/sjzx/quotation_daily_new?start_date=2026-06-01&amp;end_date=2026-06-30&amp;inst_ids=Ag%28T%2BD%29&amp;p=</x:v>
      </x:c>
    </x:row>
    <x:row r="1119">
      <x:c r="A1119" s="155" t="n">
        <x:v>46177</x:v>
      </x:c>
      <x:c r="B1119" s="141" t="str">
        <x:v>Au99.99</x:v>
      </x:c>
      <x:c r="C1119" s="153" t="n">
        <x:v>975</x:v>
      </x:c>
      <x:c r="D1119" s="153" t="n">
        <x:v>978.5</x:v>
      </x:c>
      <x:c r="E1119" s="153" t="n">
        <x:v>970</x:v>
      </x:c>
      <x:c r="F1119" s="153" t="n">
        <x:v>974.5</x:v>
      </x:c>
      <x:c r="G1119" s="153" t="n">
        <x:v>1.7</x:v>
      </x:c>
      <x:c r="H1119" s="154" t="n">
        <x:v>0.0017000000000000001</x:v>
      </x:c>
      <x:c r="I1119" s="158" t="n">
        <x:v>975.29</x:v>
      </x:c>
      <x:c r="J1119" s="158" t="n">
        <x:v>3566.92</x:v>
      </x:c>
      <x:c r="K1119" s="158" t="n">
        <x:v>3478796784</x:v>
      </x:c>
      <x:c r="L1119" s="158"/>
      <x:c r="M1119" s="141" t="str">
        <x:v>https://www.sge.com.cn/sjzx/quotation_daily_new?start_date=2026-06-01&amp;end_date=2026-06-30&amp;inst_ids=Au99.99&amp;p=</x:v>
      </x:c>
    </x:row>
    <x:row r="1120">
      <x:c r="A1120" s="155" t="n">
        <x:v>46178</x:v>
      </x:c>
      <x:c r="B1120" s="141" t="str">
        <x:v>Ag(T+D)</x:v>
      </x:c>
      <x:c r="C1120" s="153" t="n">
        <x:v>17980</x:v>
      </x:c>
      <x:c r="D1120" s="153" t="n">
        <x:v>18172</x:v>
      </x:c>
      <x:c r="E1120" s="153" t="n">
        <x:v>17150</x:v>
      </x:c>
      <x:c r="F1120" s="153" t="n">
        <x:v>17520</x:v>
      </x:c>
      <x:c r="G1120" s="153" t="n">
        <x:v>-221</x:v>
      </x:c>
      <x:c r="H1120" s="154" t="n">
        <x:v>-0.0125</x:v>
      </x:c>
      <x:c r="I1120" s="158" t="n">
        <x:v>17560</x:v>
      </x:c>
      <x:c r="J1120" s="158" t="n">
        <x:v>459912</x:v>
      </x:c>
      <x:c r="K1120" s="158" t="n">
        <x:v>8076138032</x:v>
      </x:c>
      <x:c r="L1120" s="158" t="n">
        <x:v>2875070</x:v>
      </x:c>
      <x:c r="M1120" s="141" t="str">
        <x:v>https://www.sge.com.cn/sjzx/quotation_daily_new?start_date=2026-06-01&amp;end_date=2026-06-30&amp;inst_ids=Ag%28T%2BD%29&amp;p=</x:v>
      </x:c>
    </x:row>
    <x:row r="1121">
      <x:c r="A1121" s="155" t="n">
        <x:v>46178</x:v>
      </x:c>
      <x:c r="B1121" s="141" t="str">
        <x:v>Au99.99</x:v>
      </x:c>
      <x:c r="C1121" s="153" t="n">
        <x:v>983</x:v>
      </x:c>
      <x:c r="D1121" s="153" t="n">
        <x:v>984.5</x:v>
      </x:c>
      <x:c r="E1121" s="153" t="n">
        <x:v>966.5</x:v>
      </x:c>
      <x:c r="F1121" s="153" t="n">
        <x:v>974.41</x:v>
      </x:c>
      <x:c r="G1121" s="153" t="n">
        <x:v>-0.09</x:v>
      </x:c>
      <x:c r="H1121" s="154" t="n">
        <x:v>-0.0001</x:v>
      </x:c>
      <x:c r="I1121" s="158" t="n">
        <x:v>970.4</x:v>
      </x:c>
      <x:c r="J1121" s="158" t="n">
        <x:v>4141.38</x:v>
      </x:c>
      <x:c r="K1121" s="158" t="n">
        <x:v>4018816015.4</x:v>
      </x:c>
      <x:c r="L1121" s="158"/>
      <x:c r="M1121" s="141" t="str">
        <x:v>https://www.sge.com.cn/sjzx/quotation_daily_new?start_date=2026-06-01&amp;end_date=2026-06-30&amp;inst_ids=Au99.99&amp;p=</x:v>
      </x:c>
    </x:row>
    <x:row r="1122">
      <x:c r="A1122" s="155" t="n">
        <x:v>46181</x:v>
      </x:c>
      <x:c r="B1122" s="141" t="str">
        <x:v>Ag(T+D)</x:v>
      </x:c>
      <x:c r="C1122" s="153" t="n">
        <x:v>17583</x:v>
      </x:c>
      <x:c r="D1122" s="153" t="n">
        <x:v>17755</x:v>
      </x:c>
      <x:c r="E1122" s="153" t="n">
        <x:v>15930</x:v>
      </x:c>
      <x:c r="F1122" s="153" t="n">
        <x:v>16200</x:v>
      </x:c>
      <x:c r="G1122" s="153" t="n">
        <x:v>-1360</x:v>
      </x:c>
      <x:c r="H1122" s="154" t="n">
        <x:v>-0.0774</x:v>
      </x:c>
      <x:c r="I1122" s="158" t="n">
        <x:v>16336</x:v>
      </x:c>
      <x:c r="J1122" s="158" t="n">
        <x:v>616196</x:v>
      </x:c>
      <x:c r="K1122" s="158" t="n">
        <x:v>10066409868</x:v>
      </x:c>
      <x:c r="L1122" s="158" t="n">
        <x:v>2995170</x:v>
      </x:c>
      <x:c r="M1122" s="141" t="str">
        <x:v>https://www.sge.com.cn/sjzx/quotation_daily_new?start_date=2026-06-01&amp;end_date=2026-06-30&amp;inst_ids=Ag%28T%2BD%29&amp;p=</x:v>
      </x:c>
    </x:row>
    <x:row r="1123">
      <x:c r="A1123" s="155" t="n">
        <x:v>46181</x:v>
      </x:c>
      <x:c r="B1123" s="141" t="str">
        <x:v>Au99.99</x:v>
      </x:c>
      <x:c r="C1123" s="153" t="n">
        <x:v>975</x:v>
      </x:c>
      <x:c r="D1123" s="153" t="n">
        <x:v>975</x:v>
      </x:c>
      <x:c r="E1123" s="153" t="n">
        <x:v>932</x:v>
      </x:c>
      <x:c r="F1123" s="153" t="n">
        <x:v>941.01</x:v>
      </x:c>
      <x:c r="G1123" s="153" t="n">
        <x:v>-33.4</x:v>
      </x:c>
      <x:c r="H1123" s="154" t="n">
        <x:v>-0.034300000000000004</x:v>
      </x:c>
      <x:c r="I1123" s="158" t="n">
        <x:v>943.01</x:v>
      </x:c>
      <x:c r="J1123" s="158" t="n">
        <x:v>7940.04</x:v>
      </x:c>
      <x:c r="K1123" s="158" t="n">
        <x:v>7487572806.2</x:v>
      </x:c>
      <x:c r="L1123" s="158"/>
      <x:c r="M1123" s="141" t="str">
        <x:v>https://www.sge.com.cn/sjzx/quotation_daily_new?start_date=2026-06-01&amp;end_date=2026-06-30&amp;inst_ids=Au99.99&amp;p=</x:v>
      </x:c>
    </x:row>
    <x:row r="1124">
      <x:c r="A1124" s="155" t="n">
        <x:v>46182</x:v>
      </x:c>
      <x:c r="B1124" s="141" t="str">
        <x:v>Ag(T+D)</x:v>
      </x:c>
      <x:c r="C1124" s="153" t="n">
        <x:v>16417</x:v>
      </x:c>
      <x:c r="D1124" s="153" t="n">
        <x:v>16599</x:v>
      </x:c>
      <x:c r="E1124" s="153" t="n">
        <x:v>16183</x:v>
      </x:c>
      <x:c r="F1124" s="153" t="n">
        <x:v>16401</x:v>
      </x:c>
      <x:c r="G1124" s="153" t="n">
        <x:v>65</x:v>
      </x:c>
      <x:c r="H1124" s="154" t="n">
        <x:v>0.004</x:v>
      </x:c>
      <x:c r="I1124" s="158" t="n">
        <x:v>16345</x:v>
      </x:c>
      <x:c r="J1124" s="158" t="n">
        <x:v>232710</x:v>
      </x:c>
      <x:c r="K1124" s="158" t="n">
        <x:v>3803866594</x:v>
      </x:c>
      <x:c r="L1124" s="158" t="n">
        <x:v>3015554</x:v>
      </x:c>
      <x:c r="M1124" s="141" t="str">
        <x:v>https://www.sge.com.cn/sjzx/quotation_daily_new?start_date=2026-06-01&amp;end_date=2026-06-30&amp;inst_ids=Ag%28T%2BD%29&amp;p=</x:v>
      </x:c>
    </x:row>
    <x:row r="1125">
      <x:c r="A1125" s="155" t="n">
        <x:v>46182</x:v>
      </x:c>
      <x:c r="B1125" s="141" t="str">
        <x:v>Au99.99</x:v>
      </x:c>
      <x:c r="C1125" s="153" t="n">
        <x:v>945</x:v>
      </x:c>
      <x:c r="D1125" s="153" t="n">
        <x:v>951.48</x:v>
      </x:c>
      <x:c r="E1125" s="153" t="n">
        <x:v>944</x:v>
      </x:c>
      <x:c r="F1125" s="153" t="n">
        <x:v>944.98</x:v>
      </x:c>
      <x:c r="G1125" s="153" t="n">
        <x:v>3.97</x:v>
      </x:c>
      <x:c r="H1125" s="154" t="n">
        <x:v>0.0042</x:v>
      </x:c>
      <x:c r="I1125" s="158" t="n">
        <x:v>946.66</x:v>
      </x:c>
      <x:c r="J1125" s="158" t="n">
        <x:v>3630.76</x:v>
      </x:c>
      <x:c r="K1125" s="158" t="n">
        <x:v>3437102135.8</x:v>
      </x:c>
      <x:c r="L1125" s="158"/>
      <x:c r="M1125" s="141" t="str">
        <x:v>https://www.sge.com.cn/sjzx/quotation_daily_new?start_date=2026-06-01&amp;end_date=2026-06-30&amp;inst_ids=Au99.99&amp;p=</x:v>
      </x:c>
    </x:row>
    <x:row r="1126">
      <x:c r="A1126" s="155" t="n">
        <x:v>46183</x:v>
      </x:c>
      <x:c r="B1126" s="141" t="str">
        <x:v>Ag(T+D)</x:v>
      </x:c>
      <x:c r="C1126" s="153" t="n">
        <x:v>16500</x:v>
      </x:c>
      <x:c r="D1126" s="153" t="n">
        <x:v>16519</x:v>
      </x:c>
      <x:c r="E1126" s="153" t="n">
        <x:v>15180</x:v>
      </x:c>
      <x:c r="F1126" s="153" t="n">
        <x:v>15503</x:v>
      </x:c>
      <x:c r="G1126" s="153" t="n">
        <x:v>-842</x:v>
      </x:c>
      <x:c r="H1126" s="154" t="n">
        <x:v>-0.051500000000000004</x:v>
      </x:c>
      <x:c r="I1126" s="158" t="n">
        <x:v>15537</x:v>
      </x:c>
      <x:c r="J1126" s="158" t="n">
        <x:v>551302</x:v>
      </x:c>
      <x:c r="K1126" s="158" t="n">
        <x:v>8565753050</x:v>
      </x:c>
      <x:c r="L1126" s="158" t="n">
        <x:v>3023754</x:v>
      </x:c>
      <x:c r="M1126" s="141" t="str">
        <x:v>https://www.sge.com.cn/sjzx/quotation_daily_new?start_date=2026-06-01&amp;end_date=2026-06-30&amp;inst_ids=Ag%28T%2BD%29&amp;p=</x:v>
      </x:c>
    </x:row>
    <x:row r="1127">
      <x:c r="A1127" s="155" t="n">
        <x:v>46183</x:v>
      </x:c>
      <x:c r="B1127" s="141" t="str">
        <x:v>Au99.99</x:v>
      </x:c>
      <x:c r="C1127" s="153" t="n">
        <x:v>945</x:v>
      </x:c>
      <x:c r="D1127" s="153" t="n">
        <x:v>950</x:v>
      </x:c>
      <x:c r="E1127" s="153" t="n">
        <x:v>910</x:v>
      </x:c>
      <x:c r="F1127" s="153" t="n">
        <x:v>915.63</x:v>
      </x:c>
      <x:c r="G1127" s="153" t="n">
        <x:v>-29.35</x:v>
      </x:c>
      <x:c r="H1127" s="154" t="n">
        <x:v>-0.0311</x:v>
      </x:c>
      <x:c r="I1127" s="158" t="n">
        <x:v>915.76</x:v>
      </x:c>
      <x:c r="J1127" s="158" t="n">
        <x:v>6681.42</x:v>
      </x:c>
      <x:c r="K1127" s="158" t="n">
        <x:v>6118629821.8</x:v>
      </x:c>
      <x:c r="L1127" s="158"/>
      <x:c r="M1127" s="141" t="str">
        <x:v>https://www.sge.com.cn/sjzx/quotation_daily_new?start_date=2026-06-01&amp;end_date=2026-06-30&amp;inst_ids=Au99.99&amp;p=</x:v>
      </x:c>
    </x:row>
    <x:row r="1128">
      <x:c r="A1128" s="155" t="n">
        <x:v>46184</x:v>
      </x:c>
      <x:c r="B1128" s="141" t="str">
        <x:v>Ag(T+D)</x:v>
      </x:c>
      <x:c r="C1128" s="153" t="n">
        <x:v>15321</x:v>
      </x:c>
      <x:c r="D1128" s="153" t="n">
        <x:v>15789</x:v>
      </x:c>
      <x:c r="E1128" s="153" t="n">
        <x:v>15060</x:v>
      </x:c>
      <x:c r="F1128" s="153" t="n">
        <x:v>15433</x:v>
      </x:c>
      <x:c r="G1128" s="153" t="n">
        <x:v>-104</x:v>
      </x:c>
      <x:c r="H1128" s="154" t="n">
        <x:v>-0.0067</x:v>
      </x:c>
      <x:c r="I1128" s="158" t="n">
        <x:v>15326</x:v>
      </x:c>
      <x:c r="J1128" s="158" t="n">
        <x:v>472886</x:v>
      </x:c>
      <x:c r="K1128" s="158" t="n">
        <x:v>7247786564</x:v>
      </x:c>
      <x:c r="L1128" s="158" t="n">
        <x:v>2986364</x:v>
      </x:c>
      <x:c r="M1128" s="141" t="str">
        <x:v>https://www.sge.com.cn/sjzx/quotation_daily_new?start_date=2026-06-01&amp;end_date=2026-06-30&amp;inst_ids=Ag%28T%2BD%29&amp;p=</x:v>
      </x:c>
    </x:row>
    <x:row r="1129">
      <x:c r="A1129" s="155" t="n">
        <x:v>46184</x:v>
      </x:c>
      <x:c r="B1129" s="141" t="str">
        <x:v>Au99.99</x:v>
      </x:c>
      <x:c r="C1129" s="153" t="n">
        <x:v>915</x:v>
      </x:c>
      <x:c r="D1129" s="153" t="n">
        <x:v>915</x:v>
      </x:c>
      <x:c r="E1129" s="153" t="n">
        <x:v>883.81</x:v>
      </x:c>
      <x:c r="F1129" s="153" t="n">
        <x:v>896.01</x:v>
      </x:c>
      <x:c r="G1129" s="153" t="n">
        <x:v>-19.62</x:v>
      </x:c>
      <x:c r="H1129" s="154" t="n">
        <x:v>-0.021400000000000002</x:v>
      </x:c>
      <x:c r="I1129" s="158" t="n">
        <x:v>892.48</x:v>
      </x:c>
      <x:c r="J1129" s="158" t="n">
        <x:v>5758.66</x:v>
      </x:c>
      <x:c r="K1129" s="158" t="n">
        <x:v>5139544966.6</x:v>
      </x:c>
      <x:c r="L1129" s="158"/>
      <x:c r="M1129" s="141" t="str">
        <x:v>https://www.sge.com.cn/sjzx/quotation_daily_new?start_date=2026-06-01&amp;end_date=2026-06-30&amp;inst_ids=Au99.99&amp;p=</x:v>
      </x:c>
    </x:row>
    <x:row r="1130">
      <x:c r="A1130" s="155" t="n">
        <x:v>46185</x:v>
      </x:c>
      <x:c r="B1130" s="141" t="str">
        <x:v>Ag(T+D)</x:v>
      </x:c>
      <x:c r="C1130" s="153" t="n">
        <x:v>15236</x:v>
      </x:c>
      <x:c r="D1130" s="153" t="n">
        <x:v>16150</x:v>
      </x:c>
      <x:c r="E1130" s="153" t="n">
        <x:v>15087</x:v>
      </x:c>
      <x:c r="F1130" s="153" t="n">
        <x:v>15800</x:v>
      </x:c>
      <x:c r="G1130" s="153" t="n">
        <x:v>474</x:v>
      </x:c>
      <x:c r="H1130" s="154" t="n">
        <x:v>0.030899999999999997</x:v>
      </x:c>
      <x:c r="I1130" s="158" t="n">
        <x:v>15854</x:v>
      </x:c>
      <x:c r="J1130" s="158" t="n">
        <x:v>323470</x:v>
      </x:c>
      <x:c r="K1130" s="158" t="n">
        <x:v>5128551946</x:v>
      </x:c>
      <x:c r="L1130" s="158" t="n">
        <x:v>2972464</x:v>
      </x:c>
      <x:c r="M1130" s="141" t="str">
        <x:v>https://www.sge.com.cn/sjzx/quotation_daily_new?start_date=2026-06-01&amp;end_date=2026-06-30&amp;inst_ids=Ag%28T%2BD%29&amp;p=</x:v>
      </x:c>
    </x:row>
    <x:row r="1131">
      <x:c r="A1131" s="155" t="n">
        <x:v>46185</x:v>
      </x:c>
      <x:c r="B1131" s="141" t="str">
        <x:v>Au99.99</x:v>
      </x:c>
      <x:c r="C1131" s="153" t="n">
        <x:v>888</x:v>
      </x:c>
      <x:c r="D1131" s="153" t="n">
        <x:v>919</x:v>
      </x:c>
      <x:c r="E1131" s="153" t="n">
        <x:v>885</x:v>
      </x:c>
      <x:c r="F1131" s="153" t="n">
        <x:v>907.47</x:v>
      </x:c>
      <x:c r="G1131" s="153" t="n">
        <x:v>11.46</x:v>
      </x:c>
      <x:c r="H1131" s="154" t="n">
        <x:v>0.0128</x:v>
      </x:c>
      <x:c r="I1131" s="158" t="n">
        <x:v>909.89</x:v>
      </x:c>
      <x:c r="J1131" s="158" t="n">
        <x:v>4877.64</x:v>
      </x:c>
      <x:c r="K1131" s="158" t="n">
        <x:v>4438163757.4</x:v>
      </x:c>
      <x:c r="L1131" s="158"/>
      <x:c r="M1131" s="141" t="str">
        <x:v>https://www.sge.com.cn/sjzx/quotation_daily_new?start_date=2026-06-01&amp;end_date=2026-06-30&amp;inst_ids=Au99.99&amp;p=</x:v>
      </x:c>
    </x:row>
    <x:row r="1132">
      <x:c r="A1132" s="155" t="n">
        <x:v>46188</x:v>
      </x:c>
      <x:c r="B1132" s="141" t="str">
        <x:v>Ag(T+D)</x:v>
      </x:c>
      <x:c r="C1132" s="153" t="n">
        <x:v>16032</x:v>
      </x:c>
      <x:c r="D1132" s="153" t="n">
        <x:v>17000</x:v>
      </x:c>
      <x:c r="E1132" s="153" t="n">
        <x:v>15847</x:v>
      </x:c>
      <x:c r="F1132" s="153" t="n">
        <x:v>16869</x:v>
      </x:c>
      <x:c r="G1132" s="153" t="n">
        <x:v>1015</x:v>
      </x:c>
      <x:c r="H1132" s="154" t="n">
        <x:v>0.064</x:v>
      </x:c>
      <x:c r="I1132" s="158" t="n">
        <x:v>16736</x:v>
      </x:c>
      <x:c r="J1132" s="158" t="n">
        <x:v>280886</x:v>
      </x:c>
      <x:c r="K1132" s="158" t="n">
        <x:v>4700972618</x:v>
      </x:c>
      <x:c r="L1132" s="158" t="n">
        <x:v>2897840</x:v>
      </x:c>
      <x:c r="M1132" s="141" t="str">
        <x:v>https://www.sge.com.cn/sjzx/quotation_daily_new?start_date=2026-06-01&amp;end_date=2026-06-30&amp;inst_ids=Ag%28T%2BD%29&amp;p=</x:v>
      </x:c>
    </x:row>
    <x:row r="1133">
      <x:c r="A1133" s="155" t="n">
        <x:v>46188</x:v>
      </x:c>
      <x:c r="B1133" s="141" t="str">
        <x:v>Au99.99</x:v>
      </x:c>
      <x:c r="C1133" s="153" t="n">
        <x:v>912.6</x:v>
      </x:c>
      <x:c r="D1133" s="153" t="n">
        <x:v>943</x:v>
      </x:c>
      <x:c r="E1133" s="153" t="n">
        <x:v>909</x:v>
      </x:c>
      <x:c r="F1133" s="153" t="n">
        <x:v>937.51</x:v>
      </x:c>
      <x:c r="G1133" s="153" t="n">
        <x:v>30.04</x:v>
      </x:c>
      <x:c r="H1133" s="154" t="n">
        <x:v>0.0331</x:v>
      </x:c>
      <x:c r="I1133" s="158" t="n">
        <x:v>938.07</x:v>
      </x:c>
      <x:c r="J1133" s="158" t="n">
        <x:v>4288.52</x:v>
      </x:c>
      <x:c r="K1133" s="158" t="n">
        <x:v>4022963068.8</x:v>
      </x:c>
      <x:c r="L1133" s="158"/>
      <x:c r="M1133" s="141" t="str">
        <x:v>https://www.sge.com.cn/sjzx/quotation_daily_new?start_date=2026-06-01&amp;end_date=2026-06-30&amp;inst_ids=Au99.99&amp;p=</x:v>
      </x:c>
    </x:row>
    <x:row r="1134">
      <x:c r="A1134" s="155" t="n">
        <x:v>46189</x:v>
      </x:c>
      <x:c r="B1134" s="141" t="str">
        <x:v>Ag(T+D)</x:v>
      </x:c>
      <x:c r="C1134" s="153" t="n">
        <x:v>17000</x:v>
      </x:c>
      <x:c r="D1134" s="153" t="n">
        <x:v>17083</x:v>
      </x:c>
      <x:c r="E1134" s="153" t="n">
        <x:v>16507</x:v>
      </x:c>
      <x:c r="F1134" s="153" t="n">
        <x:v>16658</x:v>
      </x:c>
      <x:c r="G1134" s="153" t="n">
        <x:v>-78</x:v>
      </x:c>
      <x:c r="H1134" s="154" t="n">
        <x:v>-0.004699999999999999</x:v>
      </x:c>
      <x:c r="I1134" s="158" t="n">
        <x:v>16692</x:v>
      </x:c>
      <x:c r="J1134" s="158" t="n">
        <x:v>244924</x:v>
      </x:c>
      <x:c r="K1134" s="158" t="n">
        <x:v>4088465696</x:v>
      </x:c>
      <x:c r="L1134" s="158" t="n">
        <x:v>2834550</x:v>
      </x:c>
      <x:c r="M1134" s="141" t="str">
        <x:v>https://www.sge.com.cn/sjzx/quotation_daily_new?start_date=2026-06-01&amp;end_date=2026-06-30&amp;inst_ids=Ag%28T%2BD%29&amp;p=</x:v>
      </x:c>
    </x:row>
    <x:row r="1135">
      <x:c r="A1135" s="155" t="n">
        <x:v>46189</x:v>
      </x:c>
      <x:c r="B1135" s="141" t="str">
        <x:v>Au99.99</x:v>
      </x:c>
      <x:c r="C1135" s="153" t="n">
        <x:v>945</x:v>
      </x:c>
      <x:c r="D1135" s="153" t="n">
        <x:v>948.6</x:v>
      </x:c>
      <x:c r="E1135" s="153" t="n">
        <x:v>936.7</x:v>
      </x:c>
      <x:c r="F1135" s="153" t="n">
        <x:v>940.48</x:v>
      </x:c>
      <x:c r="G1135" s="153" t="n">
        <x:v>2.97</x:v>
      </x:c>
      <x:c r="H1135" s="154" t="n">
        <x:v>0.0032</x:v>
      </x:c>
      <x:c r="I1135" s="158" t="n">
        <x:v>939.04</x:v>
      </x:c>
      <x:c r="J1135" s="158" t="n">
        <x:v>4402.28</x:v>
      </x:c>
      <x:c r="K1135" s="158" t="n">
        <x:v>4133937007.8</x:v>
      </x:c>
      <x:c r="L1135" s="158"/>
      <x:c r="M1135" s="141" t="str">
        <x:v>https://www.sge.com.cn/sjzx/quotation_daily_new?start_date=2026-06-01&amp;end_date=2026-06-30&amp;inst_ids=Au99.99&amp;p=</x:v>
      </x:c>
    </x:row>
    <x:row r="1136">
      <x:c r="A1136" s="155" t="n">
        <x:v>46190</x:v>
      </x:c>
      <x:c r="B1136" s="141" t="str">
        <x:v>Ag(T+D)</x:v>
      </x:c>
      <x:c r="C1136" s="153" t="n">
        <x:v>16830</x:v>
      </x:c>
      <x:c r="D1136" s="153" t="n">
        <x:v>17002</x:v>
      </x:c>
      <x:c r="E1136" s="153" t="n">
        <x:v>16601</x:v>
      </x:c>
      <x:c r="F1136" s="153" t="n">
        <x:v>16775</x:v>
      </x:c>
      <x:c r="G1136" s="153" t="n">
        <x:v>83</x:v>
      </x:c>
      <x:c r="H1136" s="154" t="n">
        <x:v>0.005</x:v>
      </x:c>
      <x:c r="I1136" s="158" t="n">
        <x:v>16781</x:v>
      </x:c>
      <x:c r="J1136" s="158" t="n">
        <x:v>245300</x:v>
      </x:c>
      <x:c r="K1136" s="158" t="n">
        <x:v>4116478122</x:v>
      </x:c>
      <x:c r="L1136" s="158" t="n">
        <x:v>2801454</x:v>
      </x:c>
      <x:c r="M1136" s="141" t="str">
        <x:v>https://www.sge.com.cn/sjzx/quotation_daily_new?start_date=2026-06-01&amp;end_date=2026-06-30&amp;inst_ids=Ag%28T%2BD%29&amp;p=</x:v>
      </x:c>
    </x:row>
    <x:row r="1137">
      <x:c r="A1137" s="155" t="n">
        <x:v>46190</x:v>
      </x:c>
      <x:c r="B1137" s="141" t="str">
        <x:v>Au99.99</x:v>
      </x:c>
      <x:c r="C1137" s="153" t="n">
        <x:v>941</x:v>
      </x:c>
      <x:c r="D1137" s="153" t="n">
        <x:v>945.8</x:v>
      </x:c>
      <x:c r="E1137" s="153" t="n">
        <x:v>937</x:v>
      </x:c>
      <x:c r="F1137" s="153" t="n">
        <x:v>939.18</x:v>
      </x:c>
      <x:c r="G1137" s="153" t="n">
        <x:v>-1.3</x:v>
      </x:c>
      <x:c r="H1137" s="154" t="n">
        <x:v>-0.0014000000000000002</x:v>
      </x:c>
      <x:c r="I1137" s="158" t="n">
        <x:v>940.6</x:v>
      </x:c>
      <x:c r="J1137" s="158" t="n">
        <x:v>4105.38</x:v>
      </x:c>
      <x:c r="K1137" s="158" t="n">
        <x:v>3861525148.2</x:v>
      </x:c>
      <x:c r="L1137" s="158"/>
      <x:c r="M1137" s="141" t="str">
        <x:v>https://www.sge.com.cn/sjzx/quotation_daily_new?start_date=2026-06-01&amp;end_date=2026-06-30&amp;inst_ids=Au99.99&amp;p=</x:v>
      </x:c>
    </x:row>
    <x:row r="1138">
      <x:c r="A1138" s="155" t="n">
        <x:v>46191</x:v>
      </x:c>
      <x:c r="B1138" s="141" t="str">
        <x:v>Ag(T+D)</x:v>
      </x:c>
      <x:c r="C1138" s="153" t="n">
        <x:v>16693</x:v>
      </x:c>
      <x:c r="D1138" s="153" t="n">
        <x:v>17185</x:v>
      </x:c>
      <x:c r="E1138" s="153" t="n">
        <x:v>16322</x:v>
      </x:c>
      <x:c r="F1138" s="153" t="n">
        <x:v>16422</x:v>
      </x:c>
      <x:c r="G1138" s="153" t="n">
        <x:v>-359</x:v>
      </x:c>
      <x:c r="H1138" s="154" t="n">
        <x:v>-0.021400000000000002</x:v>
      </x:c>
      <x:c r="I1138" s="158" t="n">
        <x:v>16584</x:v>
      </x:c>
      <x:c r="J1138" s="158" t="n">
        <x:v>297788</x:v>
      </x:c>
      <x:c r="K1138" s="158" t="n">
        <x:v>4938772342</x:v>
      </x:c>
      <x:c r="L1138" s="158" t="n">
        <x:v>2738398</x:v>
      </x:c>
      <x:c r="M1138" s="141" t="str">
        <x:v>https://www.sge.com.cn/sjzx/quotation_daily_new?start_date=2026-06-01&amp;end_date=2026-06-30&amp;inst_ids=Ag%28T%2BD%29&amp;p=</x:v>
      </x:c>
    </x:row>
    <x:row r="1139">
      <x:c r="A1139" s="155" t="n">
        <x:v>46191</x:v>
      </x:c>
      <x:c r="B1139" s="141" t="str">
        <x:v>Au99.99</x:v>
      </x:c>
      <x:c r="C1139" s="153" t="n">
        <x:v>939</x:v>
      </x:c>
      <x:c r="D1139" s="153" t="n">
        <x:v>950</x:v>
      </x:c>
      <x:c r="E1139" s="153" t="n">
        <x:v>933.33</x:v>
      </x:c>
      <x:c r="F1139" s="153" t="n">
        <x:v>935.86</x:v>
      </x:c>
      <x:c r="G1139" s="153" t="n">
        <x:v>-3.32</x:v>
      </x:c>
      <x:c r="H1139" s="154" t="n">
        <x:v>-0.0034999999999999996</x:v>
      </x:c>
      <x:c r="I1139" s="158" t="n">
        <x:v>937.33</x:v>
      </x:c>
      <x:c r="J1139" s="158" t="n">
        <x:v>3475.1</x:v>
      </x:c>
      <x:c r="K1139" s="158" t="n">
        <x:v>3257344474.2</x:v>
      </x:c>
      <x:c r="L1139" s="158"/>
      <x:c r="M1139" s="141" t="str">
        <x:v>https://www.sge.com.cn/sjzx/quotation_daily_new?start_date=2026-06-01&amp;end_date=2026-06-30&amp;inst_ids=Au99.99&amp;p=</x:v>
      </x:c>
    </x:row>
    <x:row r="1140">
      <x:c r="A1140" s="155" t="n">
        <x:v>46195</x:v>
      </x:c>
      <x:c r="B1140" s="141" t="str">
        <x:v>Ag(T+D)</x:v>
      </x:c>
      <x:c r="C1140" s="153" t="n">
        <x:v>16050</x:v>
      </x:c>
      <x:c r="D1140" s="153" t="n">
        <x:v>16151</x:v>
      </x:c>
      <x:c r="E1140" s="153" t="n">
        <x:v>15701</x:v>
      </x:c>
      <x:c r="F1140" s="153" t="n">
        <x:v>15991</x:v>
      </x:c>
      <x:c r="G1140" s="153" t="n">
        <x:v>-593</x:v>
      </x:c>
      <x:c r="H1140" s="154" t="n">
        <x:v>-0.0358</x:v>
      </x:c>
      <x:c r="I1140" s="158" t="n">
        <x:v>15905</x:v>
      </x:c>
      <x:c r="J1140" s="158" t="n">
        <x:v>470506</x:v>
      </x:c>
      <x:c r="K1140" s="158" t="n">
        <x:v>7483744916</x:v>
      </x:c>
      <x:c r="L1140" s="158" t="n">
        <x:v>2731950</x:v>
      </x:c>
      <x:c r="M1140" s="141" t="str">
        <x:v>https://www.sge.com.cn/sjzx/quotation_daily_new?start_date=2026-06-01&amp;end_date=2026-06-30&amp;inst_ids=Ag%28T%2BD%29&amp;p=</x:v>
      </x:c>
    </x:row>
    <x:row r="1141">
      <x:c r="A1141" s="155" t="n">
        <x:v>46195</x:v>
      </x:c>
      <x:c r="B1141" s="141" t="str">
        <x:v>Au99.99</x:v>
      </x:c>
      <x:c r="C1141" s="153" t="n">
        <x:v>917.5</x:v>
      </x:c>
      <x:c r="D1141" s="153" t="n">
        <x:v>920</x:v>
      </x:c>
      <x:c r="E1141" s="153" t="n">
        <x:v>908.01</x:v>
      </x:c>
      <x:c r="F1141" s="153" t="n">
        <x:v>914.35</x:v>
      </x:c>
      <x:c r="G1141" s="153" t="n">
        <x:v>-21.51</x:v>
      </x:c>
      <x:c r="H1141" s="154" t="n">
        <x:v>-0.023</x:v>
      </x:c>
      <x:c r="I1141" s="158" t="n">
        <x:v>913.89</x:v>
      </x:c>
      <x:c r="J1141" s="158" t="n">
        <x:v>5772.12</x:v>
      </x:c>
      <x:c r="K1141" s="158" t="n">
        <x:v>5275112734.6</x:v>
      </x:c>
      <x:c r="L1141" s="158"/>
      <x:c r="M1141" s="141" t="str">
        <x:v>https://www.sge.com.cn/sjzx/quotation_daily_new?start_date=2026-06-01&amp;end_date=2026-06-30&amp;inst_ids=Au99.99&amp;p=</x:v>
      </x:c>
    </x:row>
    <x:row r="1142">
      <x:c r="A1142" s="155" t="n">
        <x:v>46196</x:v>
      </x:c>
      <x:c r="B1142" s="141" t="str">
        <x:v>Ag(T+D)</x:v>
      </x:c>
      <x:c r="C1142" s="153" t="n">
        <x:v>15989</x:v>
      </x:c>
      <x:c r="D1142" s="153" t="n">
        <x:v>16078</x:v>
      </x:c>
      <x:c r="E1142" s="153" t="n">
        <x:v>14928</x:v>
      </x:c>
      <x:c r="F1142" s="153" t="n">
        <x:v>15033</x:v>
      </x:c>
      <x:c r="G1142" s="153" t="n">
        <x:v>-872</x:v>
      </x:c>
      <x:c r="H1142" s="154" t="n">
        <x:v>-0.0548</x:v>
      </x:c>
      <x:c r="I1142" s="158" t="n">
        <x:v>15247</x:v>
      </x:c>
      <x:c r="J1142" s="158" t="n">
        <x:v>381622</x:v>
      </x:c>
      <x:c r="K1142" s="158" t="n">
        <x:v>5818934518</x:v>
      </x:c>
      <x:c r="L1142" s="158" t="n">
        <x:v>2730578</x:v>
      </x:c>
      <x:c r="M1142" s="141" t="str">
        <x:v>https://www.sge.com.cn/sjzx/quotation_daily_new?start_date=2026-06-01&amp;end_date=2026-06-30&amp;inst_ids=Ag%28T%2BD%29&amp;p=</x:v>
      </x:c>
    </x:row>
    <x:row r="1143">
      <x:c r="A1143" s="155" t="n">
        <x:v>46196</x:v>
      </x:c>
      <x:c r="B1143" s="141" t="str">
        <x:v>Au99.99</x:v>
      </x:c>
      <x:c r="C1143" s="153" t="n">
        <x:v>918.99</x:v>
      </x:c>
      <x:c r="D1143" s="153" t="n">
        <x:v>918.99</x:v>
      </x:c>
      <x:c r="E1143" s="153" t="n">
        <x:v>896.01</x:v>
      </x:c>
      <x:c r="F1143" s="153" t="n">
        <x:v>898.93</x:v>
      </x:c>
      <x:c r="G1143" s="153" t="n">
        <x:v>-15.42</x:v>
      </x:c>
      <x:c r="H1143" s="154" t="n">
        <x:v>-0.0169</x:v>
      </x:c>
      <x:c r="I1143" s="158" t="n">
        <x:v>901.08</x:v>
      </x:c>
      <x:c r="J1143" s="158" t="n">
        <x:v>5464.34</x:v>
      </x:c>
      <x:c r="K1143" s="158" t="n">
        <x:v>4923855647</x:v>
      </x:c>
      <x:c r="L1143" s="158"/>
      <x:c r="M1143" s="141" t="str">
        <x:v>https://www.sge.com.cn/sjzx/quotation_daily_new?start_date=2026-06-01&amp;end_date=2026-06-30&amp;inst_ids=Au99.99&amp;p=</x:v>
      </x:c>
    </x:row>
    <x:row r="1144">
      <x:c r="A1144" s="155" t="n">
        <x:v>46197</x:v>
      </x:c>
      <x:c r="B1144" s="141" t="str">
        <x:v>Ag(T+D)</x:v>
      </x:c>
      <x:c r="C1144" s="153" t="n">
        <x:v>15000</x:v>
      </x:c>
      <x:c r="D1144" s="153" t="n">
        <x:v>15010</x:v>
      </x:c>
      <x:c r="E1144" s="153" t="n">
        <x:v>14582</x:v>
      </x:c>
      <x:c r="F1144" s="153" t="n">
        <x:v>14906</x:v>
      </x:c>
      <x:c r="G1144" s="153" t="n">
        <x:v>-341</x:v>
      </x:c>
      <x:c r="H1144" s="154" t="n">
        <x:v>-0.022400000000000003</x:v>
      </x:c>
      <x:c r="I1144" s="158" t="n">
        <x:v>14825</x:v>
      </x:c>
      <x:c r="J1144" s="158" t="n">
        <x:v>367348</x:v>
      </x:c>
      <x:c r="K1144" s="158" t="n">
        <x:v>5446200152</x:v>
      </x:c>
      <x:c r="L1144" s="158" t="n">
        <x:v>2764350</x:v>
      </x:c>
      <x:c r="M1144" s="141" t="str">
        <x:v>https://www.sge.com.cn/sjzx/quotation_daily_new?start_date=2026-06-01&amp;end_date=2026-06-30&amp;inst_ids=Ag%28T%2BD%29&amp;p=</x:v>
      </x:c>
    </x:row>
    <x:row r="1145">
      <x:c r="A1145" s="155" t="n">
        <x:v>46197</x:v>
      </x:c>
      <x:c r="B1145" s="141" t="str">
        <x:v>Au99.99</x:v>
      </x:c>
      <x:c r="C1145" s="153" t="n">
        <x:v>900</x:v>
      </x:c>
      <x:c r="D1145" s="153" t="n">
        <x:v>904.6</x:v>
      </x:c>
      <x:c r="E1145" s="153" t="n">
        <x:v>885</x:v>
      </x:c>
      <x:c r="F1145" s="153" t="n">
        <x:v>894.39</x:v>
      </x:c>
      <x:c r="G1145" s="153" t="n">
        <x:v>-4.54</x:v>
      </x:c>
      <x:c r="H1145" s="154" t="n">
        <x:v>-0.0051</x:v>
      </x:c>
      <x:c r="I1145" s="158" t="n">
        <x:v>891.59</x:v>
      </x:c>
      <x:c r="J1145" s="158" t="n">
        <x:v>6070.88</x:v>
      </x:c>
      <x:c r="K1145" s="158" t="n">
        <x:v>5412758313.6</x:v>
      </x:c>
      <x:c r="L1145" s="158"/>
      <x:c r="M1145" s="141" t="str">
        <x:v>https://www.sge.com.cn/sjzx/quotation_daily_new?start_date=2026-06-01&amp;end_date=2026-06-30&amp;inst_ids=Au99.99&amp;p=</x:v>
      </x:c>
    </x:row>
    <x:row r="1146">
      <x:c r="A1146" s="155" t="n">
        <x:v>46198</x:v>
      </x:c>
      <x:c r="B1146" s="141" t="str">
        <x:v>Ag(T+D)</x:v>
      </x:c>
      <x:c r="C1146" s="153" t="n">
        <x:v>14449</x:v>
      </x:c>
      <x:c r="D1146" s="153" t="n">
        <x:v>14449</x:v>
      </x:c>
      <x:c r="E1146" s="153" t="n">
        <x:v>13535</x:v>
      </x:c>
      <x:c r="F1146" s="153" t="n">
        <x:v>13813</x:v>
      </x:c>
      <x:c r="G1146" s="153" t="n">
        <x:v>-1012</x:v>
      </x:c>
      <x:c r="H1146" s="154" t="n">
        <x:v>-0.0683</x:v>
      </x:c>
      <x:c r="I1146" s="158" t="n">
        <x:v>13923</x:v>
      </x:c>
      <x:c r="J1146" s="158" t="n">
        <x:v>329402</x:v>
      </x:c>
      <x:c r="K1146" s="158" t="n">
        <x:v>4586388624</x:v>
      </x:c>
      <x:c r="L1146" s="158" t="n">
        <x:v>2784980</x:v>
      </x:c>
      <x:c r="M1146" s="141" t="str">
        <x:v>https://www.sge.com.cn/sjzx/quotation_daily_new?start_date=2026-06-01&amp;end_date=2026-06-30&amp;inst_ids=Ag%28T%2BD%29&amp;p=</x:v>
      </x:c>
    </x:row>
    <x:row r="1147">
      <x:c r="A1147" s="155" t="n">
        <x:v>46198</x:v>
      </x:c>
      <x:c r="B1147" s="141" t="str">
        <x:v>Au99.99</x:v>
      </x:c>
      <x:c r="C1147" s="153" t="n">
        <x:v>887</x:v>
      </x:c>
      <x:c r="D1147" s="153" t="n">
        <x:v>888</x:v>
      </x:c>
      <x:c r="E1147" s="153" t="n">
        <x:v>867</x:v>
      </x:c>
      <x:c r="F1147" s="153" t="n">
        <x:v>874.95</x:v>
      </x:c>
      <x:c r="G1147" s="153" t="n">
        <x:v>-19.44</x:v>
      </x:c>
      <x:c r="H1147" s="154" t="n">
        <x:v>-0.0217</x:v>
      </x:c>
      <x:c r="I1147" s="158" t="n">
        <x:v>871.91</x:v>
      </x:c>
      <x:c r="J1147" s="158" t="n">
        <x:v>7526.54</x:v>
      </x:c>
      <x:c r="K1147" s="158" t="n">
        <x:v>6562477383.6</x:v>
      </x:c>
      <x:c r="L1147" s="158"/>
      <x:c r="M1147" s="141" t="str">
        <x:v>https://www.sge.com.cn/sjzx/quotation_daily_new?start_date=2026-06-01&amp;end_date=2026-06-30&amp;inst_ids=Au99.99&amp;p=</x:v>
      </x:c>
    </x:row>
    <x:row r="1148">
      <x:c r="A1148" s="155" t="n">
        <x:v>46199</x:v>
      </x:c>
      <x:c r="B1148" s="141" t="str">
        <x:v>Ag(T+D)</x:v>
      </x:c>
      <x:c r="C1148" s="153" t="n">
        <x:v>13820</x:v>
      </x:c>
      <x:c r="D1148" s="153" t="n">
        <x:v>14324</x:v>
      </x:c>
      <x:c r="E1148" s="153" t="n">
        <x:v>13485</x:v>
      </x:c>
      <x:c r="F1148" s="153" t="n">
        <x:v>14104</x:v>
      </x:c>
      <x:c r="G1148" s="153" t="n">
        <x:v>181</x:v>
      </x:c>
      <x:c r="H1148" s="154" t="n">
        <x:v>0.013000000000000001</x:v>
      </x:c>
      <x:c r="I1148" s="158" t="n">
        <x:v>13873</x:v>
      </x:c>
      <x:c r="J1148" s="158" t="n">
        <x:v>423318</x:v>
      </x:c>
      <x:c r="K1148" s="158" t="n">
        <x:v>5872871372</x:v>
      </x:c>
      <x:c r="L1148" s="158" t="n">
        <x:v>2768572</x:v>
      </x:c>
      <x:c r="M1148" s="141" t="str">
        <x:v>https://www.sge.com.cn/sjzx/quotation_daily_new?start_date=2026-06-01&amp;end_date=2026-06-30&amp;inst_ids=Ag%28T%2BD%29&amp;p=</x:v>
      </x:c>
    </x:row>
    <x:row r="1149">
      <x:c r="A1149" s="155" t="n">
        <x:v>46199</x:v>
      </x:c>
      <x:c r="B1149" s="141" t="str">
        <x:v>Au99.99</x:v>
      </x:c>
      <x:c r="C1149" s="153" t="n">
        <x:v>874</x:v>
      </x:c>
      <x:c r="D1149" s="153" t="n">
        <x:v>885</x:v>
      </x:c>
      <x:c r="E1149" s="153" t="n">
        <x:v>870.01</x:v>
      </x:c>
      <x:c r="F1149" s="153" t="n">
        <x:v>883.7</x:v>
      </x:c>
      <x:c r="G1149" s="153" t="n">
        <x:v>8.75</x:v>
      </x:c>
      <x:c r="H1149" s="154" t="n">
        <x:v>0.01</x:v>
      </x:c>
      <x:c r="I1149" s="158" t="n">
        <x:v>877.32</x:v>
      </x:c>
      <x:c r="J1149" s="158" t="n">
        <x:v>6305.86</x:v>
      </x:c>
      <x:c r="K1149" s="158" t="n">
        <x:v>5532280776.2</x:v>
      </x:c>
      <x:c r="L1149" s="158"/>
      <x:c r="M1149" s="141" t="str">
        <x:v>https://www.sge.com.cn/sjzx/quotation_daily_new?start_date=2026-06-01&amp;end_date=2026-06-30&amp;inst_ids=Au99.99&amp;p=</x:v>
      </x:c>
    </x:row>
    <x:row r="1150">
      <x:c r="A1150" s="155" t="n">
        <x:v>46202</x:v>
      </x:c>
      <x:c r="B1150" s="141" t="str">
        <x:v>Ag(T+D)</x:v>
      </x:c>
      <x:c r="C1150" s="153" t="n">
        <x:v>14110</x:v>
      </x:c>
      <x:c r="D1150" s="153" t="n">
        <x:v>14414</x:v>
      </x:c>
      <x:c r="E1150" s="153" t="n">
        <x:v>13986</x:v>
      </x:c>
      <x:c r="F1150" s="153" t="n">
        <x:v>14223</x:v>
      </x:c>
      <x:c r="G1150" s="153" t="n">
        <x:v>350</x:v>
      </x:c>
      <x:c r="H1150" s="154" t="n">
        <x:v>0.0252</x:v>
      </x:c>
      <x:c r="I1150" s="158" t="n">
        <x:v>14199</x:v>
      </x:c>
      <x:c r="J1150" s="158" t="n">
        <x:v>416990</x:v>
      </x:c>
      <x:c r="K1150" s="158" t="n">
        <x:v>5921013068</x:v>
      </x:c>
      <x:c r="L1150" s="158" t="n">
        <x:v>2707226</x:v>
      </x:c>
      <x:c r="M1150" s="141" t="str">
        <x:v>https://www.sge.com.cn/sjzx/quotation_daily_new?start_date=2026-06-01&amp;end_date=2026-06-30&amp;inst_ids=Ag%28T%2BD%29&amp;p=</x:v>
      </x:c>
    </x:row>
    <x:row r="1151">
      <x:c r="A1151" s="155" t="n">
        <x:v>46202</x:v>
      </x:c>
      <x:c r="B1151" s="141" t="str">
        <x:v>Au99.99</x:v>
      </x:c>
      <x:c r="C1151" s="153" t="n">
        <x:v>885</x:v>
      </x:c>
      <x:c r="D1151" s="153" t="n">
        <x:v>894.88</x:v>
      </x:c>
      <x:c r="E1151" s="153" t="n">
        <x:v>881.21</x:v>
      </x:c>
      <x:c r="F1151" s="153" t="n">
        <x:v>886.74</x:v>
      </x:c>
      <x:c r="G1151" s="153" t="n">
        <x:v>3.04</x:v>
      </x:c>
      <x:c r="H1151" s="154" t="n">
        <x:v>0.0034000000000000002</x:v>
      </x:c>
      <x:c r="I1151" s="158" t="n">
        <x:v>887.26</x:v>
      </x:c>
      <x:c r="J1151" s="158" t="n">
        <x:v>4936.44</x:v>
      </x:c>
      <x:c r="K1151" s="158" t="n">
        <x:v>4379937053.2</x:v>
      </x:c>
      <x:c r="L1151" s="158"/>
      <x:c r="M1151" s="141" t="str">
        <x:v>https://www.sge.com.cn/sjzx/quotation_daily_new?start_date=2026-06-01&amp;end_date=2026-06-30&amp;inst_ids=Au99.99&amp;p=</x:v>
      </x:c>
    </x:row>
    <x:row r="1152">
      <x:c r="A1152" s="155" t="n">
        <x:v>46203</x:v>
      </x:c>
      <x:c r="B1152" s="141" t="str">
        <x:v>Ag(T+D)</x:v>
      </x:c>
      <x:c r="C1152" s="153" t="n">
        <x:v>14157</x:v>
      </x:c>
      <x:c r="D1152" s="153" t="n">
        <x:v>14489</x:v>
      </x:c>
      <x:c r="E1152" s="153" t="n">
        <x:v>13710</x:v>
      </x:c>
      <x:c r="F1152" s="153" t="n">
        <x:v>14343</x:v>
      </x:c>
      <x:c r="G1152" s="153" t="n">
        <x:v>144</x:v>
      </x:c>
      <x:c r="H1152" s="154" t="n">
        <x:v>0.0101</x:v>
      </x:c>
      <x:c r="I1152" s="158" t="n">
        <x:v>14024</x:v>
      </x:c>
      <x:c r="J1152" s="158" t="n">
        <x:v>413374</x:v>
      </x:c>
      <x:c r="K1152" s="158" t="n">
        <x:v>5797318522</x:v>
      </x:c>
      <x:c r="L1152" s="158" t="n">
        <x:v>2677298</x:v>
      </x:c>
      <x:c r="M1152" s="141" t="str">
        <x:v>https://www.sge.com.cn/sjzx/quotation_daily_new?start_date=2026-06-01&amp;end_date=2026-06-30&amp;inst_ids=Ag%28T%2BD%29&amp;p=</x:v>
      </x:c>
    </x:row>
    <x:row r="1153">
      <x:c r="A1153" s="155" t="n">
        <x:v>46203</x:v>
      </x:c>
      <x:c r="B1153" s="141" t="str">
        <x:v>Au99.99</x:v>
      </x:c>
      <x:c r="C1153" s="153" t="n">
        <x:v>883</x:v>
      </x:c>
      <x:c r="D1153" s="153" t="n">
        <x:v>887.99</x:v>
      </x:c>
      <x:c r="E1153" s="153" t="n">
        <x:v>860.02</x:v>
      </x:c>
      <x:c r="F1153" s="153" t="n">
        <x:v>879.03</x:v>
      </x:c>
      <x:c r="G1153" s="153" t="n">
        <x:v>-7.71</x:v>
      </x:c>
      <x:c r="H1153" s="154" t="n">
        <x:v>-0.0087</x:v>
      </x:c>
      <x:c r="I1153" s="158" t="n">
        <x:v>870.67</x:v>
      </x:c>
      <x:c r="J1153" s="158" t="n">
        <x:v>5348.14</x:v>
      </x:c>
      <x:c r="K1153" s="158" t="n">
        <x:v>4656497469.6</x:v>
      </x:c>
      <x:c r="L1153" s="158"/>
      <x:c r="M1153" s="141" t="str">
        <x:v>https://www.sge.com.cn/sjzx/quotation_daily_new?start_date=2026-06-01&amp;end_date=2026-06-30&amp;inst_ids=Au99.99&amp;p=</x:v>
      </x:c>
    </x:row>
    <x:row r="1154">
      <x:c r="A1154" s="155" t="n">
        <x:v>46204</x:v>
      </x:c>
      <x:c r="B1154" s="141" t="str">
        <x:v>Ag(T+D)</x:v>
      </x:c>
      <x:c r="C1154" s="153" t="n">
        <x:v>14361</x:v>
      </x:c>
      <x:c r="D1154" s="153" t="n">
        <x:v>14700</x:v>
      </x:c>
      <x:c r="E1154" s="153" t="n">
        <x:v>13953</x:v>
      </x:c>
      <x:c r="F1154" s="153" t="n">
        <x:v>13970</x:v>
      </x:c>
      <x:c r="G1154" s="153" t="n">
        <x:v>-54</x:v>
      </x:c>
      <x:c r="H1154" s="154" t="n">
        <x:v>-0.0039000000000000003</x:v>
      </x:c>
      <x:c r="I1154" s="158" t="n">
        <x:v>14134</x:v>
      </x:c>
      <x:c r="J1154" s="158" t="n">
        <x:v>291024</x:v>
      </x:c>
      <x:c r="K1154" s="158" t="n">
        <x:v>4113492158</x:v>
      </x:c>
      <x:c r="L1154" s="158" t="n">
        <x:v>2687496</x:v>
      </x:c>
      <x:c r="M1154" s="141" t="str">
        <x:v>https://www.sge.com.cn/sjzx/quotation_daily_new?start_date=2026-07-01&amp;end_date=2026-07-24&amp;inst_ids=Ag%28T%2BD%29&amp;p=</x:v>
      </x:c>
    </x:row>
    <x:row r="1155">
      <x:c r="A1155" s="155" t="n">
        <x:v>46204</x:v>
      </x:c>
      <x:c r="B1155" s="141" t="str">
        <x:v>Au99.99</x:v>
      </x:c>
      <x:c r="C1155" s="153" t="n">
        <x:v>878</x:v>
      </x:c>
      <x:c r="D1155" s="153" t="n">
        <x:v>886</x:v>
      </x:c>
      <x:c r="E1155" s="153" t="n">
        <x:v>866.5</x:v>
      </x:c>
      <x:c r="F1155" s="153" t="n">
        <x:v>868.8</x:v>
      </x:c>
      <x:c r="G1155" s="153" t="n">
        <x:v>-10.23</x:v>
      </x:c>
      <x:c r="H1155" s="154" t="n">
        <x:v>-0.0116</x:v>
      </x:c>
      <x:c r="I1155" s="158" t="n">
        <x:v>869.17</x:v>
      </x:c>
      <x:c r="J1155" s="158" t="n">
        <x:v>4553.66</x:v>
      </x:c>
      <x:c r="K1155" s="158" t="n">
        <x:v>3957927434</x:v>
      </x:c>
      <x:c r="L1155" s="158"/>
      <x:c r="M1155" s="141" t="str">
        <x:v>https://www.sge.com.cn/sjzx/quotation_daily_new?start_date=2026-07-01&amp;end_date=2026-07-24&amp;inst_ids=Au99.99&amp;p=</x:v>
      </x:c>
    </x:row>
    <x:row r="1156">
      <x:c r="A1156" s="155" t="n">
        <x:v>46205</x:v>
      </x:c>
      <x:c r="B1156" s="141" t="str">
        <x:v>Ag(T+D)</x:v>
      </x:c>
      <x:c r="C1156" s="153" t="n">
        <x:v>14330</x:v>
      </x:c>
      <x:c r="D1156" s="153" t="n">
        <x:v>14852</x:v>
      </x:c>
      <x:c r="E1156" s="153" t="n">
        <x:v>14199</x:v>
      </x:c>
      <x:c r="F1156" s="153" t="n">
        <x:v>14551</x:v>
      </x:c>
      <x:c r="G1156" s="153" t="n">
        <x:v>417</x:v>
      </x:c>
      <x:c r="H1156" s="154" t="n">
        <x:v>0.029500000000000002</x:v>
      </x:c>
      <x:c r="I1156" s="158" t="n">
        <x:v>14578</x:v>
      </x:c>
      <x:c r="J1156" s="158" t="n">
        <x:v>277238</x:v>
      </x:c>
      <x:c r="K1156" s="158" t="n">
        <x:v>4041688112</x:v>
      </x:c>
      <x:c r="L1156" s="158" t="n">
        <x:v>2698000</x:v>
      </x:c>
      <x:c r="M1156" s="141" t="str">
        <x:v>https://www.sge.com.cn/sjzx/quotation_daily_new?start_date=2026-07-01&amp;end_date=2026-07-24&amp;inst_ids=Ag%28T%2BD%29&amp;p=</x:v>
      </x:c>
    </x:row>
    <x:row r="1157">
      <x:c r="A1157" s="155" t="n">
        <x:v>46205</x:v>
      </x:c>
      <x:c r="B1157" s="141" t="str">
        <x:v>Au99.99</x:v>
      </x:c>
      <x:c r="C1157" s="153" t="n">
        <x:v>882</x:v>
      </x:c>
      <x:c r="D1157" s="153" t="n">
        <x:v>896</x:v>
      </x:c>
      <x:c r="E1157" s="153" t="n">
        <x:v>874.2</x:v>
      </x:c>
      <x:c r="F1157" s="153" t="n">
        <x:v>887</x:v>
      </x:c>
      <x:c r="G1157" s="153" t="n">
        <x:v>18.2</x:v>
      </x:c>
      <x:c r="H1157" s="154" t="n">
        <x:v>0.0209</x:v>
      </x:c>
      <x:c r="I1157" s="158" t="n">
        <x:v>886.54</x:v>
      </x:c>
      <x:c r="J1157" s="158" t="n">
        <x:v>3423.08</x:v>
      </x:c>
      <x:c r="K1157" s="158" t="n">
        <x:v>3034712668.4</x:v>
      </x:c>
      <x:c r="L1157" s="158"/>
      <x:c r="M1157" s="141" t="str">
        <x:v>https://www.sge.com.cn/sjzx/quotation_daily_new?start_date=2026-07-01&amp;end_date=2026-07-24&amp;inst_ids=Au99.99&amp;p=</x:v>
      </x:c>
    </x:row>
    <x:row r="1158">
      <x:c r="A1158" s="155" t="n">
        <x:v>46206</x:v>
      </x:c>
      <x:c r="B1158" s="141" t="str">
        <x:v>Ag(T+D)</x:v>
      </x:c>
      <x:c r="C1158" s="153" t="n">
        <x:v>14588</x:v>
      </x:c>
      <x:c r="D1158" s="153" t="n">
        <x:v>15286</x:v>
      </x:c>
      <x:c r="E1158" s="153" t="n">
        <x:v>14400</x:v>
      </x:c>
      <x:c r="F1158" s="153" t="n">
        <x:v>15267</x:v>
      </x:c>
      <x:c r="G1158" s="153" t="n">
        <x:v>689</x:v>
      </x:c>
      <x:c r="H1158" s="154" t="n">
        <x:v>0.0473</x:v>
      </x:c>
      <x:c r="I1158" s="158" t="n">
        <x:v>15093</x:v>
      </x:c>
      <x:c r="J1158" s="158" t="n">
        <x:v>331304</x:v>
      </x:c>
      <x:c r="K1158" s="158" t="n">
        <x:v>5000475944</x:v>
      </x:c>
      <x:c r="L1158" s="158" t="n">
        <x:v>2628730</x:v>
      </x:c>
      <x:c r="M1158" s="141" t="str">
        <x:v>https://www.sge.com.cn/sjzx/quotation_daily_new?start_date=2026-07-01&amp;end_date=2026-07-24&amp;inst_ids=Ag%28T%2BD%29&amp;p=</x:v>
      </x:c>
    </x:row>
    <x:row r="1159">
      <x:c r="A1159" s="155" t="n">
        <x:v>46206</x:v>
      </x:c>
      <x:c r="B1159" s="141" t="str">
        <x:v>Au99.99</x:v>
      </x:c>
      <x:c r="C1159" s="153" t="n">
        <x:v>886</x:v>
      </x:c>
      <x:c r="D1159" s="153" t="n">
        <x:v>915.7</x:v>
      </x:c>
      <x:c r="E1159" s="153" t="n">
        <x:v>886</x:v>
      </x:c>
      <x:c r="F1159" s="153" t="n">
        <x:v>910.98</x:v>
      </x:c>
      <x:c r="G1159" s="153" t="n">
        <x:v>23.98</x:v>
      </x:c>
      <x:c r="H1159" s="154" t="n">
        <x:v>0.027000000000000003</x:v>
      </x:c>
      <x:c r="I1159" s="158" t="n">
        <x:v>910.22</x:v>
      </x:c>
      <x:c r="J1159" s="158" t="n">
        <x:v>4334.58</x:v>
      </x:c>
      <x:c r="K1159" s="158" t="n">
        <x:v>3945439518.2</x:v>
      </x:c>
      <x:c r="L1159" s="158"/>
      <x:c r="M1159" s="141" t="str">
        <x:v>https://www.sge.com.cn/sjzx/quotation_daily_new?start_date=2026-07-01&amp;end_date=2026-07-24&amp;inst_ids=Au99.99&amp;p=</x:v>
      </x:c>
    </x:row>
    <x:row r="1160">
      <x:c r="A1160" s="155" t="n">
        <x:v>46209</x:v>
      </x:c>
      <x:c r="B1160" s="141" t="str">
        <x:v>Ag(T+D)</x:v>
      </x:c>
      <x:c r="C1160" s="153" t="n">
        <x:v>15200</x:v>
      </x:c>
      <x:c r="D1160" s="153" t="n">
        <x:v>15387</x:v>
      </x:c>
      <x:c r="E1160" s="153" t="n">
        <x:v>15005</x:v>
      </x:c>
      <x:c r="F1160" s="153" t="n">
        <x:v>15081</x:v>
      </x:c>
      <x:c r="G1160" s="153" t="n">
        <x:v>-12</x:v>
      </x:c>
      <x:c r="H1160" s="154" t="n">
        <x:v>-0.0008</x:v>
      </x:c>
      <x:c r="I1160" s="158" t="n">
        <x:v>15121</x:v>
      </x:c>
      <x:c r="J1160" s="158" t="n">
        <x:v>226948</x:v>
      </x:c>
      <x:c r="K1160" s="158" t="n">
        <x:v>3431897650</x:v>
      </x:c>
      <x:c r="L1160" s="158" t="n">
        <x:v>2657222</x:v>
      </x:c>
      <x:c r="M1160" s="141" t="str">
        <x:v>https://www.sge.com.cn/sjzx/quotation_daily_new?start_date=2026-07-01&amp;end_date=2026-07-24&amp;inst_ids=Ag%28T%2BD%29&amp;p=</x:v>
      </x:c>
    </x:row>
    <x:row r="1161">
      <x:c r="A1161" s="155" t="n">
        <x:v>46209</x:v>
      </x:c>
      <x:c r="B1161" s="141" t="str">
        <x:v>Au99.99</x:v>
      </x:c>
      <x:c r="C1161" s="153" t="n">
        <x:v>910</x:v>
      </x:c>
      <x:c r="D1161" s="153" t="n">
        <x:v>917</x:v>
      </x:c>
      <x:c r="E1161" s="153" t="n">
        <x:v>905.1</x:v>
      </x:c>
      <x:c r="F1161" s="153" t="n">
        <x:v>907.77</x:v>
      </x:c>
      <x:c r="G1161" s="153" t="n">
        <x:v>-3.21</x:v>
      </x:c>
      <x:c r="H1161" s="154" t="n">
        <x:v>-0.0034999999999999996</x:v>
      </x:c>
      <x:c r="I1161" s="158" t="n">
        <x:v>909.98</x:v>
      </x:c>
      <x:c r="J1161" s="158" t="n">
        <x:v>3780.58</x:v>
      </x:c>
      <x:c r="K1161" s="158" t="n">
        <x:v>3440274105.4</x:v>
      </x:c>
      <x:c r="L1161" s="158"/>
      <x:c r="M1161" s="141" t="str">
        <x:v>https://www.sge.com.cn/sjzx/quotation_daily_new?start_date=2026-07-01&amp;end_date=2026-07-24&amp;inst_ids=Au99.99&amp;p=</x:v>
      </x:c>
    </x:row>
    <x:row r="1162">
      <x:c r="A1162" s="155" t="n">
        <x:v>46210</x:v>
      </x:c>
      <x:c r="B1162" s="141" t="str">
        <x:v>Ag(T+D)</x:v>
      </x:c>
      <x:c r="C1162" s="153" t="n">
        <x:v>15150</x:v>
      </x:c>
      <x:c r="D1162" s="153" t="n">
        <x:v>15170</x:v>
      </x:c>
      <x:c r="E1162" s="153" t="n">
        <x:v>14636</x:v>
      </x:c>
      <x:c r="F1162" s="153" t="n">
        <x:v>14857</x:v>
      </x:c>
      <x:c r="G1162" s="153" t="n">
        <x:v>-264</x:v>
      </x:c>
      <x:c r="H1162" s="154" t="n">
        <x:v>-0.0175</x:v>
      </x:c>
      <x:c r="I1162" s="158" t="n">
        <x:v>14864</x:v>
      </x:c>
      <x:c r="J1162" s="158" t="n">
        <x:v>288858</x:v>
      </x:c>
      <x:c r="K1162" s="158" t="n">
        <x:v>4293650812</x:v>
      </x:c>
      <x:c r="L1162" s="158" t="n">
        <x:v>2653178</x:v>
      </x:c>
      <x:c r="M1162" s="141" t="str">
        <x:v>https://www.sge.com.cn/sjzx/quotation_daily_new?start_date=2026-07-01&amp;end_date=2026-07-24&amp;inst_ids=Ag%28T%2BD%29&amp;p=</x:v>
      </x:c>
    </x:row>
    <x:row r="1163">
      <x:c r="A1163" s="155" t="n">
        <x:v>46210</x:v>
      </x:c>
      <x:c r="B1163" s="141" t="str">
        <x:v>Au99.99</x:v>
      </x:c>
      <x:c r="C1163" s="153" t="n">
        <x:v>906.5</x:v>
      </x:c>
      <x:c r="D1163" s="153" t="n">
        <x:v>909</x:v>
      </x:c>
      <x:c r="E1163" s="153" t="n">
        <x:v>899.01</x:v>
      </x:c>
      <x:c r="F1163" s="153" t="n">
        <x:v>902.57</x:v>
      </x:c>
      <x:c r="G1163" s="153" t="n">
        <x:v>-5.2</x:v>
      </x:c>
      <x:c r="H1163" s="154" t="n">
        <x:v>-0.005699999999999999</x:v>
      </x:c>
      <x:c r="I1163" s="158" t="n">
        <x:v>902.61</x:v>
      </x:c>
      <x:c r="J1163" s="158" t="n">
        <x:v>2151.64</x:v>
      </x:c>
      <x:c r="K1163" s="158" t="n">
        <x:v>1942099101.8</x:v>
      </x:c>
      <x:c r="L1163" s="158"/>
      <x:c r="M1163" s="141" t="str">
        <x:v>https://www.sge.com.cn/sjzx/quotation_daily_new?start_date=2026-07-01&amp;end_date=2026-07-24&amp;inst_ids=Au99.99&amp;p=</x:v>
      </x:c>
    </x:row>
    <x:row r="1164">
      <x:c r="A1164" s="155" t="n">
        <x:v>46211</x:v>
      </x:c>
      <x:c r="B1164" s="141" t="str">
        <x:v>Ag(T+D)</x:v>
      </x:c>
      <x:c r="C1164" s="153" t="n">
        <x:v>14945</x:v>
      </x:c>
      <x:c r="D1164" s="153" t="n">
        <x:v>15041</x:v>
      </x:c>
      <x:c r="E1164" s="153" t="n">
        <x:v>14541</x:v>
      </x:c>
      <x:c r="F1164" s="153" t="n">
        <x:v>14818</x:v>
      </x:c>
      <x:c r="G1164" s="153" t="n">
        <x:v>-46</x:v>
      </x:c>
      <x:c r="H1164" s="154" t="n">
        <x:v>-0.0031</x:v>
      </x:c>
      <x:c r="I1164" s="158" t="n">
        <x:v>14754</x:v>
      </x:c>
      <x:c r="J1164" s="158" t="n">
        <x:v>274880</x:v>
      </x:c>
      <x:c r="K1164" s="158" t="n">
        <x:v>4055603096</x:v>
      </x:c>
      <x:c r="L1164" s="158" t="n">
        <x:v>2672234</x:v>
      </x:c>
      <x:c r="M1164" s="141" t="str">
        <x:v>https://www.sge.com.cn/sjzx/quotation_daily_new?start_date=2026-07-01&amp;end_date=2026-07-24&amp;inst_ids=Ag%28T%2BD%29&amp;p=</x:v>
      </x:c>
    </x:row>
    <x:row r="1165">
      <x:c r="A1165" s="155" t="n">
        <x:v>46211</x:v>
      </x:c>
      <x:c r="B1165" s="141" t="str">
        <x:v>Au99.99</x:v>
      </x:c>
      <x:c r="C1165" s="153" t="n">
        <x:v>908</x:v>
      </x:c>
      <x:c r="D1165" s="153" t="n">
        <x:v>912</x:v>
      </x:c>
      <x:c r="E1165" s="153" t="n">
        <x:v>895.95</x:v>
      </x:c>
      <x:c r="F1165" s="153" t="n">
        <x:v>901.07</x:v>
      </x:c>
      <x:c r="G1165" s="153" t="n">
        <x:v>-1.5</x:v>
      </x:c>
      <x:c r="H1165" s="154" t="n">
        <x:v>-0.0017000000000000001</x:v>
      </x:c>
      <x:c r="I1165" s="158" t="n">
        <x:v>900.82</x:v>
      </x:c>
      <x:c r="J1165" s="158" t="n">
        <x:v>3449.58</x:v>
      </x:c>
      <x:c r="K1165" s="158" t="n">
        <x:v>3107468926.6</x:v>
      </x:c>
      <x:c r="L1165" s="158"/>
      <x:c r="M1165" s="141" t="str">
        <x:v>https://www.sge.com.cn/sjzx/quotation_daily_new?start_date=2026-07-01&amp;end_date=2026-07-24&amp;inst_ids=Au99.99&amp;p=</x:v>
      </x:c>
    </x:row>
    <x:row r="1166">
      <x:c r="A1166" s="155" t="n">
        <x:v>46212</x:v>
      </x:c>
      <x:c r="B1166" s="141" t="str">
        <x:v>Ag(T+D)</x:v>
      </x:c>
      <x:c r="C1166" s="153" t="n">
        <x:v>14420</x:v>
      </x:c>
      <x:c r="D1166" s="153" t="n">
        <x:v>14450</x:v>
      </x:c>
      <x:c r="E1166" s="153" t="n">
        <x:v>13985</x:v>
      </x:c>
      <x:c r="F1166" s="153" t="n">
        <x:v>14430</x:v>
      </x:c>
      <x:c r="G1166" s="153" t="n">
        <x:v>-324</x:v>
      </x:c>
      <x:c r="H1166" s="154" t="n">
        <x:v>-0.022000000000000002</x:v>
      </x:c>
      <x:c r="I1166" s="158" t="n">
        <x:v>14232</x:v>
      </x:c>
      <x:c r="J1166" s="158" t="n">
        <x:v>358056</x:v>
      </x:c>
      <x:c r="K1166" s="158" t="n">
        <x:v>5096113272</x:v>
      </x:c>
      <x:c r="L1166" s="158" t="n">
        <x:v>2668488</x:v>
      </x:c>
      <x:c r="M1166" s="141" t="str">
        <x:v>https://www.sge.com.cn/sjzx/quotation_daily_new?start_date=2026-07-01&amp;end_date=2026-07-24&amp;inst_ids=Ag%28T%2BD%29&amp;p=</x:v>
      </x:c>
    </x:row>
    <x:row r="1167">
      <x:c r="A1167" s="155" t="n">
        <x:v>46212</x:v>
      </x:c>
      <x:c r="B1167" s="141" t="str">
        <x:v>Au99.99</x:v>
      </x:c>
      <x:c r="C1167" s="153" t="n">
        <x:v>892</x:v>
      </x:c>
      <x:c r="D1167" s="153" t="n">
        <x:v>899</x:v>
      </x:c>
      <x:c r="E1167" s="153" t="n">
        <x:v>883</x:v>
      </x:c>
      <x:c r="F1167" s="153" t="n">
        <x:v>898.79</x:v>
      </x:c>
      <x:c r="G1167" s="153" t="n">
        <x:v>-2.28</x:v>
      </x:c>
      <x:c r="H1167" s="154" t="n">
        <x:v>-0.0025</x:v>
      </x:c>
      <x:c r="I1167" s="158" t="n">
        <x:v>893.81</x:v>
      </x:c>
      <x:c r="J1167" s="158" t="n">
        <x:v>4097.94</x:v>
      </x:c>
      <x:c r="K1167" s="158" t="n">
        <x:v>3662813106.4</x:v>
      </x:c>
      <x:c r="L1167" s="158"/>
      <x:c r="M1167" s="141" t="str">
        <x:v>https://www.sge.com.cn/sjzx/quotation_daily_new?start_date=2026-07-01&amp;end_date=2026-07-24&amp;inst_ids=Au99.99&amp;p=</x:v>
      </x:c>
    </x:row>
    <x:row r="1168">
      <x:c r="A1168" s="155" t="n">
        <x:v>46213</x:v>
      </x:c>
      <x:c r="B1168" s="141" t="str">
        <x:v>Ag(T+D)</x:v>
      </x:c>
      <x:c r="C1168" s="153" t="n">
        <x:v>14406</x:v>
      </x:c>
      <x:c r="D1168" s="153" t="n">
        <x:v>14782</x:v>
      </x:c>
      <x:c r="E1168" s="153" t="n">
        <x:v>14351</x:v>
      </x:c>
      <x:c r="F1168" s="153" t="n">
        <x:v>14628</x:v>
      </x:c>
      <x:c r="G1168" s="153" t="n">
        <x:v>396</x:v>
      </x:c>
      <x:c r="H1168" s="154" t="n">
        <x:v>0.0278</x:v>
      </x:c>
      <x:c r="I1168" s="158" t="n">
        <x:v>14636</x:v>
      </x:c>
      <x:c r="J1168" s="158" t="n">
        <x:v>210838</x:v>
      </x:c>
      <x:c r="K1168" s="158" t="n">
        <x:v>3085971756</x:v>
      </x:c>
      <x:c r="L1168" s="158" t="n">
        <x:v>2682752</x:v>
      </x:c>
      <x:c r="M1168" s="141" t="str">
        <x:v>https://www.sge.com.cn/sjzx/quotation_daily_new?start_date=2026-07-01&amp;end_date=2026-07-24&amp;inst_ids=Ag%28T%2BD%29&amp;p=</x:v>
      </x:c>
    </x:row>
    <x:row r="1169">
      <x:c r="A1169" s="155" t="n">
        <x:v>46213</x:v>
      </x:c>
      <x:c r="B1169" s="141" t="str">
        <x:v>Au99.99</x:v>
      </x:c>
      <x:c r="C1169" s="153" t="n">
        <x:v>899</x:v>
      </x:c>
      <x:c r="D1169" s="153" t="n">
        <x:v>904.5</x:v>
      </x:c>
      <x:c r="E1169" s="153" t="n">
        <x:v>896.8</x:v>
      </x:c>
      <x:c r="F1169" s="153" t="n">
        <x:v>897.25</x:v>
      </x:c>
      <x:c r="G1169" s="153" t="n">
        <x:v>-1.54</x:v>
      </x:c>
      <x:c r="H1169" s="154" t="n">
        <x:v>-0.0017000000000000001</x:v>
      </x:c>
      <x:c r="I1169" s="158" t="n">
        <x:v>898.57</x:v>
      </x:c>
      <x:c r="J1169" s="158" t="n">
        <x:v>3554.2</x:v>
      </x:c>
      <x:c r="K1169" s="158" t="n">
        <x:v>3193717097.6</x:v>
      </x:c>
      <x:c r="L1169" s="158"/>
      <x:c r="M1169" s="141" t="str">
        <x:v>https://www.sge.com.cn/sjzx/quotation_daily_new?start_date=2026-07-01&amp;end_date=2026-07-24&amp;inst_ids=Au99.99&amp;p=</x:v>
      </x:c>
    </x:row>
    <x:row r="1170">
      <x:c r="A1170" s="155" t="n">
        <x:v>46216</x:v>
      </x:c>
      <x:c r="B1170" s="141" t="str">
        <x:v>Ag(T+D)</x:v>
      </x:c>
      <x:c r="C1170" s="153" t="n">
        <x:v>14490</x:v>
      </x:c>
      <x:c r="D1170" s="153" t="n">
        <x:v>14622</x:v>
      </x:c>
      <x:c r="E1170" s="153" t="n">
        <x:v>14054</x:v>
      </x:c>
      <x:c r="F1170" s="153" t="n">
        <x:v>14160</x:v>
      </x:c>
      <x:c r="G1170" s="153" t="n">
        <x:v>-476</x:v>
      </x:c>
      <x:c r="H1170" s="154" t="n">
        <x:v>-0.0325</x:v>
      </x:c>
      <x:c r="I1170" s="158" t="n">
        <x:v>14216</x:v>
      </x:c>
      <x:c r="J1170" s="158" t="n">
        <x:v>387974</x:v>
      </x:c>
      <x:c r="K1170" s="158" t="n">
        <x:v>5515568298</x:v>
      </x:c>
      <x:c r="L1170" s="158" t="n">
        <x:v>2782868</x:v>
      </x:c>
      <x:c r="M1170" s="141" t="str">
        <x:v>https://www.sge.com.cn/sjzx/quotation_daily_new?start_date=2026-07-01&amp;end_date=2026-07-24&amp;inst_ids=Ag%28T%2BD%29&amp;p=</x:v>
      </x:c>
    </x:row>
    <x:row r="1171">
      <x:c r="A1171" s="155" t="n">
        <x:v>46216</x:v>
      </x:c>
      <x:c r="B1171" s="141" t="str">
        <x:v>Au99.99</x:v>
      </x:c>
      <x:c r="C1171" s="153" t="n">
        <x:v>899.99</x:v>
      </x:c>
      <x:c r="D1171" s="153" t="n">
        <x:v>900</x:v>
      </x:c>
      <x:c r="E1171" s="153" t="n">
        <x:v>883</x:v>
      </x:c>
      <x:c r="F1171" s="153" t="n">
        <x:v>886.46</x:v>
      </x:c>
      <x:c r="G1171" s="153" t="n">
        <x:v>-10.79</x:v>
      </x:c>
      <x:c r="H1171" s="154" t="n">
        <x:v>-0.012</x:v>
      </x:c>
      <x:c r="I1171" s="158" t="n">
        <x:v>887.12</x:v>
      </x:c>
      <x:c r="J1171" s="158" t="n">
        <x:v>4971.36</x:v>
      </x:c>
      <x:c r="K1171" s="158" t="n">
        <x:v>4410220596.6</x:v>
      </x:c>
      <x:c r="L1171" s="158"/>
      <x:c r="M1171" s="141" t="str">
        <x:v>https://www.sge.com.cn/sjzx/quotation_daily_new?start_date=2026-07-01&amp;end_date=2026-07-24&amp;inst_ids=Au99.99&amp;p=</x:v>
      </x:c>
    </x:row>
    <x:row r="1172">
      <x:c r="A1172" s="155" t="n">
        <x:v>46217</x:v>
      </x:c>
      <x:c r="B1172" s="141" t="str">
        <x:v>Ag(T+D)</x:v>
      </x:c>
      <x:c r="C1172" s="153" t="n">
        <x:v>14240</x:v>
      </x:c>
      <x:c r="D1172" s="153" t="n">
        <x:v>14273</x:v>
      </x:c>
      <x:c r="E1172" s="153" t="n">
        <x:v>13832</x:v>
      </x:c>
      <x:c r="F1172" s="153" t="n">
        <x:v>14180</x:v>
      </x:c>
      <x:c r="G1172" s="153" t="n">
        <x:v>-36</x:v>
      </x:c>
      <x:c r="H1172" s="154" t="n">
        <x:v>-0.0025</x:v>
      </x:c>
      <x:c r="I1172" s="158" t="n">
        <x:v>14061</x:v>
      </x:c>
      <x:c r="J1172" s="158" t="n">
        <x:v>373820</x:v>
      </x:c>
      <x:c r="K1172" s="158" t="n">
        <x:v>5256300418</x:v>
      </x:c>
      <x:c r="L1172" s="158" t="n">
        <x:v>2851676</x:v>
      </x:c>
      <x:c r="M1172" s="141" t="str">
        <x:v>https://www.sge.com.cn/sjzx/quotation_daily_new?start_date=2026-07-01&amp;end_date=2026-07-24&amp;inst_ids=Ag%28T%2BD%29&amp;p=</x:v>
      </x:c>
    </x:row>
    <x:row r="1173">
      <x:c r="A1173" s="155" t="n">
        <x:v>46217</x:v>
      </x:c>
      <x:c r="B1173" s="141" t="str">
        <x:v>Au99.99</x:v>
      </x:c>
      <x:c r="C1173" s="153" t="n">
        <x:v>885.3</x:v>
      </x:c>
      <x:c r="D1173" s="153" t="n">
        <x:v>889</x:v>
      </x:c>
      <x:c r="E1173" s="153" t="n">
        <x:v>872</x:v>
      </x:c>
      <x:c r="F1173" s="153" t="n">
        <x:v>879.9</x:v>
      </x:c>
      <x:c r="G1173" s="153" t="n">
        <x:v>-6.56</x:v>
      </x:c>
      <x:c r="H1173" s="154" t="n">
        <x:v>-0.0074</x:v>
      </x:c>
      <x:c r="I1173" s="158" t="n">
        <x:v>877.59</x:v>
      </x:c>
      <x:c r="J1173" s="158" t="n">
        <x:v>5884.54</x:v>
      </x:c>
      <x:c r="K1173" s="158" t="n">
        <x:v>5164225500.6</x:v>
      </x:c>
      <x:c r="L1173" s="158"/>
      <x:c r="M1173" s="141" t="str">
        <x:v>https://www.sge.com.cn/sjzx/quotation_daily_new?start_date=2026-07-01&amp;end_date=2026-07-24&amp;inst_ids=Au99.99&amp;p=</x:v>
      </x:c>
    </x:row>
    <x:row r="1174">
      <x:c r="A1174" s="155" t="n">
        <x:v>46218</x:v>
      </x:c>
      <x:c r="B1174" s="141" t="str">
        <x:v>Ag(T+D)</x:v>
      </x:c>
      <x:c r="C1174" s="153" t="n">
        <x:v>14170</x:v>
      </x:c>
      <x:c r="D1174" s="153" t="n">
        <x:v>14536</x:v>
      </x:c>
      <x:c r="E1174" s="153" t="n">
        <x:v>14100</x:v>
      </x:c>
      <x:c r="F1174" s="153" t="n">
        <x:v>14163</x:v>
      </x:c>
      <x:c r="G1174" s="153" t="n">
        <x:v>102</x:v>
      </x:c>
      <x:c r="H1174" s="154" t="n">
        <x:v>0.0073</x:v>
      </x:c>
      <x:c r="I1174" s="158" t="n">
        <x:v>14280</x:v>
      </x:c>
      <x:c r="J1174" s="158" t="n">
        <x:v>443888</x:v>
      </x:c>
      <x:c r="K1174" s="158" t="n">
        <x:v>6338744280</x:v>
      </x:c>
      <x:c r="L1174" s="158" t="n">
        <x:v>2935644</x:v>
      </x:c>
      <x:c r="M1174" s="141" t="str">
        <x:v>https://www.sge.com.cn/sjzx/quotation_daily_new?start_date=2026-07-01&amp;end_date=2026-07-24&amp;inst_ids=Ag%28T%2BD%29&amp;p=</x:v>
      </x:c>
    </x:row>
    <x:row r="1175">
      <x:c r="A1175" s="155" t="n">
        <x:v>46218</x:v>
      </x:c>
      <x:c r="B1175" s="141" t="str">
        <x:v>Au99.99</x:v>
      </x:c>
      <x:c r="C1175" s="153" t="n">
        <x:v>882</x:v>
      </x:c>
      <x:c r="D1175" s="153" t="n">
        <x:v>895</x:v>
      </x:c>
      <x:c r="E1175" s="153" t="n">
        <x:v>876.8</x:v>
      </x:c>
      <x:c r="F1175" s="153" t="n">
        <x:v>877.99</x:v>
      </x:c>
      <x:c r="G1175" s="153" t="n">
        <x:v>-1.91</x:v>
      </x:c>
      <x:c r="H1175" s="154" t="n">
        <x:v>-0.0022</x:v>
      </x:c>
      <x:c r="I1175" s="158" t="n">
        <x:v>879.4</x:v>
      </x:c>
      <x:c r="J1175" s="158" t="n">
        <x:v>4721.88</x:v>
      </x:c>
      <x:c r="K1175" s="158" t="n">
        <x:v>4152461524</x:v>
      </x:c>
      <x:c r="L1175" s="158"/>
      <x:c r="M1175" s="141" t="str">
        <x:v>https://www.sge.com.cn/sjzx/quotation_daily_new?start_date=2026-07-01&amp;end_date=2026-07-24&amp;inst_ids=Au99.99&amp;p=</x:v>
      </x:c>
    </x:row>
    <x:row r="1176">
      <x:c r="A1176" s="155" t="n">
        <x:v>46219</x:v>
      </x:c>
      <x:c r="B1176" s="141" t="str">
        <x:v>Ag(T+D)</x:v>
      </x:c>
      <x:c r="C1176" s="153" t="n">
        <x:v>14160</x:v>
      </x:c>
      <x:c r="D1176" s="153" t="n">
        <x:v>14335</x:v>
      </x:c>
      <x:c r="E1176" s="153" t="n">
        <x:v>13771</x:v>
      </x:c>
      <x:c r="F1176" s="153" t="n">
        <x:v>13821</x:v>
      </x:c>
      <x:c r="G1176" s="153" t="n">
        <x:v>-459</x:v>
      </x:c>
      <x:c r="H1176" s="154" t="n">
        <x:v>-0.0321</x:v>
      </x:c>
      <x:c r="I1176" s="158" t="n">
        <x:v>13911</x:v>
      </x:c>
      <x:c r="J1176" s="158" t="n">
        <x:v>409044</x:v>
      </x:c>
      <x:c r="K1176" s="158" t="n">
        <x:v>5690597994</x:v>
      </x:c>
      <x:c r="L1176" s="158" t="n">
        <x:v>2988278</x:v>
      </x:c>
      <x:c r="M1176" s="141" t="str">
        <x:v>https://www.sge.com.cn/sjzx/quotation_daily_new?start_date=2026-07-01&amp;end_date=2026-07-24&amp;inst_ids=Ag%28T%2BD%29&amp;p=</x:v>
      </x:c>
    </x:row>
    <x:row r="1177">
      <x:c r="A1177" s="155" t="n">
        <x:v>46219</x:v>
      </x:c>
      <x:c r="B1177" s="141" t="str">
        <x:v>Au99.99</x:v>
      </x:c>
      <x:c r="C1177" s="153" t="n">
        <x:v>880</x:v>
      </x:c>
      <x:c r="D1177" s="153" t="n">
        <x:v>888</x:v>
      </x:c>
      <x:c r="E1177" s="153" t="n">
        <x:v>876</x:v>
      </x:c>
      <x:c r="F1177" s="153" t="n">
        <x:v>877.32</x:v>
      </x:c>
      <x:c r="G1177" s="153" t="n">
        <x:v>-0.67</x:v>
      </x:c>
      <x:c r="H1177" s="154" t="n">
        <x:v>-0.0008</x:v>
      </x:c>
      <x:c r="I1177" s="158" t="n">
        <x:v>878.63</x:v>
      </x:c>
      <x:c r="J1177" s="158" t="n">
        <x:v>3066.14</x:v>
      </x:c>
      <x:c r="K1177" s="158" t="n">
        <x:v>2694026557.8</x:v>
      </x:c>
      <x:c r="L1177" s="158"/>
      <x:c r="M1177" s="141" t="str">
        <x:v>https://www.sge.com.cn/sjzx/quotation_daily_new?start_date=2026-07-01&amp;end_date=2026-07-24&amp;inst_ids=Au99.99&amp;p=</x:v>
      </x:c>
    </x:row>
    <x:row r="1178">
      <x:c r="A1178" s="155" t="n">
        <x:v>46220</x:v>
      </x:c>
      <x:c r="B1178" s="141" t="str">
        <x:v>Ag(T+D)</x:v>
      </x:c>
      <x:c r="C1178" s="153" t="n">
        <x:v>13805</x:v>
      </x:c>
      <x:c r="D1178" s="153" t="n">
        <x:v>13830</x:v>
      </x:c>
      <x:c r="E1178" s="153" t="n">
        <x:v>13282</x:v>
      </x:c>
      <x:c r="F1178" s="153" t="n">
        <x:v>13471</x:v>
      </x:c>
      <x:c r="G1178" s="153" t="n">
        <x:v>-440</x:v>
      </x:c>
      <x:c r="H1178" s="154" t="n">
        <x:v>-0.0316</x:v>
      </x:c>
      <x:c r="I1178" s="158" t="n">
        <x:v>13479</x:v>
      </x:c>
      <x:c r="J1178" s="158" t="n">
        <x:v>487616</x:v>
      </x:c>
      <x:c r="K1178" s="158" t="n">
        <x:v>6572615642</x:v>
      </x:c>
      <x:c r="L1178" s="158" t="n">
        <x:v>3036592</x:v>
      </x:c>
      <x:c r="M1178" s="141" t="str">
        <x:v>https://www.sge.com.cn/sjzx/quotation_daily_new?start_date=2026-07-01&amp;end_date=2026-07-24&amp;inst_ids=Ag%28T%2BD%29&amp;p=</x:v>
      </x:c>
    </x:row>
    <x:row r="1179">
      <x:c r="A1179" s="155" t="n">
        <x:v>46220</x:v>
      </x:c>
      <x:c r="B1179" s="141" t="str">
        <x:v>Au99.99</x:v>
      </x:c>
      <x:c r="C1179" s="153" t="n">
        <x:v>875</x:v>
      </x:c>
      <x:c r="D1179" s="153" t="n">
        <x:v>882.5</x:v>
      </x:c>
      <x:c r="E1179" s="153" t="n">
        <x:v>867</x:v>
      </x:c>
      <x:c r="F1179" s="153" t="n">
        <x:v>872.48</x:v>
      </x:c>
      <x:c r="G1179" s="153" t="n">
        <x:v>-4.84</x:v>
      </x:c>
      <x:c r="H1179" s="154" t="n">
        <x:v>-0.0055000000000000005</x:v>
      </x:c>
      <x:c r="I1179" s="158" t="n">
        <x:v>870.84</x:v>
      </x:c>
      <x:c r="J1179" s="158" t="n">
        <x:v>5776.98</x:v>
      </x:c>
      <x:c r="K1179" s="158" t="n">
        <x:v>5030859359</x:v>
      </x:c>
      <x:c r="L1179" s="158"/>
      <x:c r="M1179" s="141" t="str">
        <x:v>https://www.sge.com.cn/sjzx/quotation_daily_new?start_date=2026-07-01&amp;end_date=2026-07-24&amp;inst_ids=Au99.99&amp;p=</x:v>
      </x:c>
    </x:row>
    <x:row r="1180">
      <x:c r="A1180" s="155" t="n">
        <x:v>46223</x:v>
      </x:c>
      <x:c r="B1180" s="141" t="str">
        <x:v>Ag(T+D)</x:v>
      </x:c>
      <x:c r="C1180" s="153" t="n">
        <x:v>13466</x:v>
      </x:c>
      <x:c r="D1180" s="153" t="n">
        <x:v>13922</x:v>
      </x:c>
      <x:c r="E1180" s="153" t="n">
        <x:v>13345</x:v>
      </x:c>
      <x:c r="F1180" s="153" t="n">
        <x:v>13714</x:v>
      </x:c>
      <x:c r="G1180" s="153" t="n">
        <x:v>235</x:v>
      </x:c>
      <x:c r="H1180" s="154" t="n">
        <x:v>0.0174</x:v>
      </x:c>
      <x:c r="I1180" s="158" t="n">
        <x:v>13723</x:v>
      </x:c>
      <x:c r="J1180" s="158" t="n">
        <x:v>295600</x:v>
      </x:c>
      <x:c r="K1180" s="158" t="n">
        <x:v>4056530438</x:v>
      </x:c>
      <x:c r="L1180" s="158" t="n">
        <x:v>3024454</x:v>
      </x:c>
      <x:c r="M1180" s="141" t="str">
        <x:v>https://www.sge.com.cn/sjzx/quotation_daily_new?start_date=2026-07-01&amp;end_date=2026-07-24&amp;inst_ids=Ag%28T%2BD%29&amp;p=</x:v>
      </x:c>
    </x:row>
    <x:row r="1181">
      <x:c r="A1181" s="155" t="n">
        <x:v>46223</x:v>
      </x:c>
      <x:c r="B1181" s="141" t="str">
        <x:v>Au99.99</x:v>
      </x:c>
      <x:c r="C1181" s="153" t="n">
        <x:v>872</x:v>
      </x:c>
      <x:c r="D1181" s="153" t="n">
        <x:v>878.5</x:v>
      </x:c>
      <x:c r="E1181" s="153" t="n">
        <x:v>866</x:v>
      </x:c>
      <x:c r="F1181" s="153" t="n">
        <x:v>873</x:v>
      </x:c>
      <x:c r="G1181" s="153" t="n">
        <x:v>0.52</x:v>
      </x:c>
      <x:c r="H1181" s="154" t="n">
        <x:v>0.0006</x:v>
      </x:c>
      <x:c r="I1181" s="158" t="n">
        <x:v>874.51</x:v>
      </x:c>
      <x:c r="J1181" s="158" t="n">
        <x:v>4283.2</x:v>
      </x:c>
      <x:c r="K1181" s="158" t="n">
        <x:v>3745708593</x:v>
      </x:c>
      <x:c r="L1181" s="158"/>
      <x:c r="M1181" s="141" t="str">
        <x:v>https://www.sge.com.cn/sjzx/quotation_daily_new?start_date=2026-07-01&amp;end_date=2026-07-24&amp;inst_ids=Au99.99&amp;p=</x:v>
      </x:c>
    </x:row>
    <x:row r="1182">
      <x:c r="A1182" s="155" t="n">
        <x:v>46224</x:v>
      </x:c>
      <x:c r="B1182" s="141" t="str">
        <x:v>Ag(T+D)</x:v>
      </x:c>
      <x:c r="C1182" s="153" t="n">
        <x:v>13866</x:v>
      </x:c>
      <x:c r="D1182" s="153" t="n">
        <x:v>14383</x:v>
      </x:c>
      <x:c r="E1182" s="153" t="n">
        <x:v>13689</x:v>
      </x:c>
      <x:c r="F1182" s="153" t="n">
        <x:v>14348</x:v>
      </x:c>
      <x:c r="G1182" s="153" t="n">
        <x:v>625</x:v>
      </x:c>
      <x:c r="H1182" s="154" t="n">
        <x:v>0.0455</x:v>
      </x:c>
      <x:c r="I1182" s="158" t="n">
        <x:v>14052</x:v>
      </x:c>
      <x:c r="J1182" s="158" t="n">
        <x:v>352044</x:v>
      </x:c>
      <x:c r="K1182" s="158" t="n">
        <x:v>4947074542</x:v>
      </x:c>
      <x:c r="L1182" s="158" t="n">
        <x:v>3022188</x:v>
      </x:c>
      <x:c r="M1182" s="141" t="str">
        <x:v>https://www.sge.com.cn/sjzx/quotation_daily_new?start_date=2026-07-01&amp;end_date=2026-07-24&amp;inst_ids=Ag%28T%2BD%29&amp;p=</x:v>
      </x:c>
    </x:row>
    <x:row r="1183">
      <x:c r="A1183" s="155" t="n">
        <x:v>46224</x:v>
      </x:c>
      <x:c r="B1183" s="141" t="str">
        <x:v>Au99.99</x:v>
      </x:c>
      <x:c r="C1183" s="153" t="n">
        <x:v>872.5</x:v>
      </x:c>
      <x:c r="D1183" s="153" t="n">
        <x:v>889.6</x:v>
      </x:c>
      <x:c r="E1183" s="153" t="n">
        <x:v>872</x:v>
      </x:c>
      <x:c r="F1183" s="153" t="n">
        <x:v>886.95</x:v>
      </x:c>
      <x:c r="G1183" s="153" t="n">
        <x:v>13.95</x:v>
      </x:c>
      <x:c r="H1183" s="154" t="n">
        <x:v>0.016</x:v>
      </x:c>
      <x:c r="I1183" s="158" t="n">
        <x:v>883.74</x:v>
      </x:c>
      <x:c r="J1183" s="158" t="n">
        <x:v>6034.62</x:v>
      </x:c>
      <x:c r="K1183" s="158" t="n">
        <x:v>5333065982.4</x:v>
      </x:c>
      <x:c r="L1183" s="158"/>
      <x:c r="M1183" s="141" t="str">
        <x:v>https://www.sge.com.cn/sjzx/quotation_daily_new?start_date=2026-07-01&amp;end_date=2026-07-24&amp;inst_ids=Au99.99&amp;p=</x:v>
      </x:c>
    </x:row>
    <x:row r="1184">
      <x:c r="A1184" s="155" t="n">
        <x:v>46225</x:v>
      </x:c>
      <x:c r="B1184" s="141" t="str">
        <x:v>Ag(T+D)</x:v>
      </x:c>
      <x:c r="C1184" s="153" t="n">
        <x:v>14350</x:v>
      </x:c>
      <x:c r="D1184" s="153" t="n">
        <x:v>14625</x:v>
      </x:c>
      <x:c r="E1184" s="153" t="n">
        <x:v>14184</x:v>
      </x:c>
      <x:c r="F1184" s="153" t="n">
        <x:v>14474</x:v>
      </x:c>
      <x:c r="G1184" s="153" t="n">
        <x:v>422</x:v>
      </x:c>
      <x:c r="H1184" s="154" t="n">
        <x:v>0.03</x:v>
      </x:c>
      <x:c r="I1184" s="158" t="n">
        <x:v>14494</x:v>
      </x:c>
      <x:c r="J1184" s="158" t="n">
        <x:v>355736</x:v>
      </x:c>
      <x:c r="K1184" s="158" t="n">
        <x:v>5156210730</x:v>
      </x:c>
      <x:c r="L1184" s="158" t="n">
        <x:v>2977282</x:v>
      </x:c>
      <x:c r="M1184" s="141" t="str">
        <x:v>https://www.sge.com.cn/sjzx/quotation_daily_new?start_date=2026-07-01&amp;end_date=2026-07-24&amp;inst_ids=Ag%28T%2BD%29&amp;p=</x:v>
      </x:c>
    </x:row>
    <x:row r="1185">
      <x:c r="A1185" s="155" t="n">
        <x:v>46225</x:v>
      </x:c>
      <x:c r="B1185" s="141" t="str">
        <x:v>Au99.99</x:v>
      </x:c>
      <x:c r="C1185" s="153" t="n">
        <x:v>882.01</x:v>
      </x:c>
      <x:c r="D1185" s="153" t="n">
        <x:v>904</x:v>
      </x:c>
      <x:c r="E1185" s="153" t="n">
        <x:v>882.01</x:v>
      </x:c>
      <x:c r="F1185" s="153" t="n">
        <x:v>899</x:v>
      </x:c>
      <x:c r="G1185" s="153" t="n">
        <x:v>12.05</x:v>
      </x:c>
      <x:c r="H1185" s="154" t="n">
        <x:v>0.013600000000000001</x:v>
      </x:c>
      <x:c r="I1185" s="158" t="n">
        <x:v>899.68</x:v>
      </x:c>
      <x:c r="J1185" s="158" t="n">
        <x:v>8620.36</x:v>
      </x:c>
      <x:c r="K1185" s="158" t="n">
        <x:v>7755601827.6</x:v>
      </x:c>
      <x:c r="L1185" s="158"/>
      <x:c r="M1185" s="141" t="str">
        <x:v>https://www.sge.com.cn/sjzx/quotation_daily_new?start_date=2026-07-01&amp;end_date=2026-07-24&amp;inst_ids=Au99.99&amp;p=</x:v>
      </x:c>
    </x:row>
    <x:row r="1186">
      <x:c r="A1186" s="155" t="n">
        <x:v>46226</x:v>
      </x:c>
      <x:c r="B1186" s="141" t="str">
        <x:v>Ag(T+D)</x:v>
      </x:c>
      <x:c r="C1186" s="153" t="n">
        <x:v>14488</x:v>
      </x:c>
      <x:c r="D1186" s="153" t="n">
        <x:v>14870</x:v>
      </x:c>
      <x:c r="E1186" s="153" t="n">
        <x:v>14384</x:v>
      </x:c>
      <x:c r="F1186" s="153" t="n">
        <x:v>14494</x:v>
      </x:c>
      <x:c r="G1186" s="153" t="n">
        <x:v>0</x:v>
      </x:c>
      <x:c r="H1186" s="154" t="n">
        <x:v>0</x:v>
      </x:c>
      <x:c r="I1186" s="158" t="n">
        <x:v>14617</x:v>
      </x:c>
      <x:c r="J1186" s="158" t="n">
        <x:v>390902</x:v>
      </x:c>
      <x:c r="K1186" s="158" t="n">
        <x:v>5714093674</x:v>
      </x:c>
      <x:c r="L1186" s="158" t="n">
        <x:v>3008444</x:v>
      </x:c>
      <x:c r="M1186" s="141" t="str">
        <x:v>https://www.sge.com.cn/sjzx/quotation_daily_new?start_date=2026-07-01&amp;end_date=2026-07-24&amp;inst_ids=Ag%28T%2BD%29&amp;p=</x:v>
      </x:c>
    </x:row>
    <x:row r="1187">
      <x:c r="A1187" s="155" t="n">
        <x:v>46226</x:v>
      </x:c>
      <x:c r="B1187" s="141" t="str">
        <x:v>Au99.99</x:v>
      </x:c>
      <x:c r="C1187" s="153" t="n">
        <x:v>900</x:v>
      </x:c>
      <x:c r="D1187" s="153" t="n">
        <x:v>908</x:v>
      </x:c>
      <x:c r="E1187" s="153" t="n">
        <x:v>895</x:v>
      </x:c>
      <x:c r="F1187" s="153" t="n">
        <x:v>895.67</x:v>
      </x:c>
      <x:c r="G1187" s="153" t="n">
        <x:v>-3.33</x:v>
      </x:c>
      <x:c r="H1187" s="154" t="n">
        <x:v>-0.0037</x:v>
      </x:c>
      <x:c r="I1187" s="158" t="n">
        <x:v>898.96</x:v>
      </x:c>
      <x:c r="J1187" s="158" t="n">
        <x:v>4672.3</x:v>
      </x:c>
      <x:c r="K1187" s="158" t="n">
        <x:v>4200250467.6</x:v>
      </x:c>
      <x:c r="L1187" s="158"/>
      <x:c r="M1187" s="141" t="str">
        <x:v>https://www.sge.com.cn/sjzx/quotation_daily_new?start_date=2026-07-01&amp;end_date=2026-07-24&amp;inst_ids=Au99.99&amp;p=</x:v>
      </x:c>
    </x:row>
    <x:row r="1188">
      <x:c r="A1188" s="155" t="n">
        <x:v>46227</x:v>
      </x:c>
      <x:c r="B1188" s="141" t="str">
        <x:v>Ag(T+D)</x:v>
      </x:c>
      <x:c r="C1188" s="153" t="n">
        <x:v>14350</x:v>
      </x:c>
      <x:c r="D1188" s="153" t="n">
        <x:v>14359</x:v>
      </x:c>
      <x:c r="E1188" s="153" t="n">
        <x:v>13940</x:v>
      </x:c>
      <x:c r="F1188" s="153" t="n">
        <x:v>14192</x:v>
      </x:c>
      <x:c r="G1188" s="153" t="n">
        <x:v>-425</x:v>
      </x:c>
      <x:c r="H1188" s="154" t="n">
        <x:v>-0.0291</x:v>
      </x:c>
      <x:c r="I1188" s="158" t="n">
        <x:v>14064</x:v>
      </x:c>
      <x:c r="J1188" s="158" t="n">
        <x:v>229730</x:v>
      </x:c>
      <x:c r="K1188" s="158" t="n">
        <x:v>3231066680</x:v>
      </x:c>
      <x:c r="L1188" s="158" t="n">
        <x:v>2929520</x:v>
      </x:c>
      <x:c r="M1188" s="141" t="str">
        <x:v>https://www.sge.com.cn/sjzx/quotation_daily_new?start_date=2026-07-01&amp;end_date=2026-07-24&amp;inst_ids=Ag%28T%2BD%29&amp;p=</x:v>
      </x:c>
    </x:row>
    <x:row r="1189">
      <x:c r="A1189" s="155" t="n">
        <x:v>46227</x:v>
      </x:c>
      <x:c r="B1189" s="141" t="str">
        <x:v>Au99.99</x:v>
      </x:c>
      <x:c r="C1189" s="153" t="n">
        <x:v>892</x:v>
      </x:c>
      <x:c r="D1189" s="153" t="n">
        <x:v>892</x:v>
      </x:c>
      <x:c r="E1189" s="153" t="n">
        <x:v>877.53</x:v>
      </x:c>
      <x:c r="F1189" s="153" t="n">
        <x:v>883.66</x:v>
      </x:c>
      <x:c r="G1189" s="153" t="n">
        <x:v>-12.01</x:v>
      </x:c>
      <x:c r="H1189" s="154" t="n">
        <x:v>-0.0134</x:v>
      </x:c>
      <x:c r="I1189" s="158" t="n">
        <x:v>880.95</x:v>
      </x:c>
      <x:c r="J1189" s="158" t="n">
        <x:v>5658.24</x:v>
      </x:c>
      <x:c r="K1189" s="158" t="n">
        <x:v>4984680286.2</x:v>
      </x:c>
      <x:c r="L1189" s="158"/>
      <x:c r="M1189" s="141" t="str">
        <x:v>https://www.sge.com.cn/sjzx/quotation_daily_new?start_date=2026-07-01&amp;end_date=2026-07-24&amp;inst_ids=Au99.99&amp;p=</x:v>
      </x:c>
    </x:row>
  </x:sheetData>
  <x:pageMargins left="0.7" right="0.7" top="0.75" bottom="0.75" header="0.3" footer="0.3"/>
  <x:tableParts count="1">
    <x:tablePart xmlns:r="http://schemas.openxmlformats.org/officeDocument/2006/relationships" r:id="R0b6cbaecf2144a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151" t="str">
        <x:v>date</x:v>
      </x:c>
      <x:c r="B1" s="151" t="str">
        <x:v>nominal_10y_pct</x:v>
      </x:c>
      <x:c r="C1" s="151" t="str">
        <x:v>real_10y_pct</x:v>
      </x:c>
      <x:c r="D1" s="151" t="str">
        <x:v>breakeven_10y_pct</x:v>
      </x:c>
      <x:c r="E1" s="151" t="str">
        <x:v>broad_dollar_index</x:v>
      </x:c>
      <x:c r="F1" s="151" t="str">
        <x:v>vix</x:v>
      </x:c>
      <x:c r="G1" s="151" t="str">
        <x:v>fed_funds_pct</x:v>
      </x:c>
    </x:row>
    <x:row r="2">
      <x:c r="A2" s="155" t="n">
        <x:v>42370</x:v>
      </x:c>
      <x:c r="B2" s="153"/>
      <x:c r="C2" s="153"/>
      <x:c r="D2" s="153"/>
      <x:c r="E2" s="153"/>
      <x:c r="F2" s="153"/>
      <x:c r="G2" s="153" t="n">
        <x:v>0.2</x:v>
      </x:c>
    </x:row>
    <x:row r="3">
      <x:c r="A3" s="155" t="n">
        <x:v>42371</x:v>
      </x:c>
      <x:c r="B3" s="153"/>
      <x:c r="C3" s="153"/>
      <x:c r="D3" s="153"/>
      <x:c r="E3" s="153"/>
      <x:c r="F3" s="153"/>
      <x:c r="G3" s="153" t="n">
        <x:v>0.2</x:v>
      </x:c>
    </x:row>
    <x:row r="4">
      <x:c r="A4" s="155" t="n">
        <x:v>42372</x:v>
      </x:c>
      <x:c r="B4" s="153"/>
      <x:c r="C4" s="153"/>
      <x:c r="D4" s="153"/>
      <x:c r="E4" s="153"/>
      <x:c r="F4" s="153"/>
      <x:c r="G4" s="153" t="n">
        <x:v>0.2</x:v>
      </x:c>
    </x:row>
    <x:row r="5">
      <x:c r="A5" s="155" t="n">
        <x:v>42373</x:v>
      </x:c>
      <x:c r="B5" s="153" t="n">
        <x:v>2.24</x:v>
      </x:c>
      <x:c r="C5" s="153" t="n">
        <x:v>0.69</x:v>
      </x:c>
      <x:c r="D5" s="153" t="n">
        <x:v>1.55</x:v>
      </x:c>
      <x:c r="E5" s="153" t="n">
        <x:v>114.1595</x:v>
      </x:c>
      <x:c r="F5" s="153" t="n">
        <x:v>20.7</x:v>
      </x:c>
      <x:c r="G5" s="153" t="n">
        <x:v>0.36</x:v>
      </x:c>
    </x:row>
    <x:row r="6">
      <x:c r="A6" s="155" t="n">
        <x:v>42374</x:v>
      </x:c>
      <x:c r="B6" s="153" t="n">
        <x:v>2.25</x:v>
      </x:c>
      <x:c r="C6" s="153" t="n">
        <x:v>0.69</x:v>
      </x:c>
      <x:c r="D6" s="153" t="n">
        <x:v>1.56</x:v>
      </x:c>
      <x:c r="E6" s="153" t="n">
        <x:v>114.2649</x:v>
      </x:c>
      <x:c r="F6" s="153" t="n">
        <x:v>19.34</x:v>
      </x:c>
      <x:c r="G6" s="153" t="n">
        <x:v>0.36</x:v>
      </x:c>
    </x:row>
    <x:row r="7">
      <x:c r="A7" s="155" t="n">
        <x:v>42375</x:v>
      </x:c>
      <x:c r="B7" s="153" t="n">
        <x:v>2.18</x:v>
      </x:c>
      <x:c r="C7" s="153" t="n">
        <x:v>0.65</x:v>
      </x:c>
      <x:c r="D7" s="153" t="n">
        <x:v>1.53</x:v>
      </x:c>
      <x:c r="E7" s="153" t="n">
        <x:v>114.6177</x:v>
      </x:c>
      <x:c r="F7" s="153" t="n">
        <x:v>20.59</x:v>
      </x:c>
      <x:c r="G7" s="153" t="n">
        <x:v>0.36</x:v>
      </x:c>
    </x:row>
    <x:row r="8">
      <x:c r="A8" s="155" t="n">
        <x:v>42376</x:v>
      </x:c>
      <x:c r="B8" s="153" t="n">
        <x:v>2.16</x:v>
      </x:c>
      <x:c r="C8" s="153" t="n">
        <x:v>0.66</x:v>
      </x:c>
      <x:c r="D8" s="153" t="n">
        <x:v>1.5</x:v>
      </x:c>
      <x:c r="E8" s="153" t="n">
        <x:v>114.6516</x:v>
      </x:c>
      <x:c r="F8" s="153" t="n">
        <x:v>24.99</x:v>
      </x:c>
      <x:c r="G8" s="153" t="n">
        <x:v>0.36</x:v>
      </x:c>
    </x:row>
    <x:row r="9">
      <x:c r="A9" s="155" t="n">
        <x:v>42377</x:v>
      </x:c>
      <x:c r="B9" s="153" t="n">
        <x:v>2.13</x:v>
      </x:c>
      <x:c r="C9" s="153" t="n">
        <x:v>0.65</x:v>
      </x:c>
      <x:c r="D9" s="153" t="n">
        <x:v>1.48</x:v>
      </x:c>
      <x:c r="E9" s="153" t="n">
        <x:v>115.0095</x:v>
      </x:c>
      <x:c r="F9" s="153" t="n">
        <x:v>27.01</x:v>
      </x:c>
      <x:c r="G9" s="153" t="n">
        <x:v>0.36</x:v>
      </x:c>
    </x:row>
    <x:row r="10">
      <x:c r="A10" s="155" t="n">
        <x:v>42378</x:v>
      </x:c>
      <x:c r="B10" s="153"/>
      <x:c r="C10" s="153"/>
      <x:c r="D10" s="153"/>
      <x:c r="E10" s="153"/>
      <x:c r="F10" s="153"/>
      <x:c r="G10" s="153" t="n">
        <x:v>0.36</x:v>
      </x:c>
    </x:row>
    <x:row r="11">
      <x:c r="A11" s="155" t="n">
        <x:v>42379</x:v>
      </x:c>
      <x:c r="B11" s="153"/>
      <x:c r="C11" s="153"/>
      <x:c r="D11" s="153"/>
      <x:c r="E11" s="153"/>
      <x:c r="F11" s="153"/>
      <x:c r="G11" s="153" t="n">
        <x:v>0.36</x:v>
      </x:c>
    </x:row>
    <x:row r="12">
      <x:c r="A12" s="155" t="n">
        <x:v>42380</x:v>
      </x:c>
      <x:c r="B12" s="153" t="n">
        <x:v>2.17</x:v>
      </x:c>
      <x:c r="C12" s="153" t="n">
        <x:v>0.72</x:v>
      </x:c>
      <x:c r="D12" s="153" t="n">
        <x:v>1.45</x:v>
      </x:c>
      <x:c r="E12" s="153" t="n">
        <x:v>115.0139</x:v>
      </x:c>
      <x:c r="F12" s="153" t="n">
        <x:v>24.3</x:v>
      </x:c>
      <x:c r="G12" s="153" t="n">
        <x:v>0.36</x:v>
      </x:c>
    </x:row>
    <x:row r="13">
      <x:c r="A13" s="155" t="n">
        <x:v>42381</x:v>
      </x:c>
      <x:c r="B13" s="153" t="n">
        <x:v>2.12</x:v>
      </x:c>
      <x:c r="C13" s="153" t="n">
        <x:v>0.69</x:v>
      </x:c>
      <x:c r="D13" s="153" t="n">
        <x:v>1.43</x:v>
      </x:c>
      <x:c r="E13" s="153" t="n">
        <x:v>115.3128</x:v>
      </x:c>
      <x:c r="F13" s="153" t="n">
        <x:v>22.47</x:v>
      </x:c>
      <x:c r="G13" s="153" t="n">
        <x:v>0.36</x:v>
      </x:c>
    </x:row>
    <x:row r="14">
      <x:c r="A14" s="155" t="n">
        <x:v>42382</x:v>
      </x:c>
      <x:c r="B14" s="153" t="n">
        <x:v>2.08</x:v>
      </x:c>
      <x:c r="C14" s="153" t="n">
        <x:v>0.65</x:v>
      </x:c>
      <x:c r="D14" s="153" t="n">
        <x:v>1.43</x:v>
      </x:c>
      <x:c r="E14" s="153" t="n">
        <x:v>115.1425</x:v>
      </x:c>
      <x:c r="F14" s="153" t="n">
        <x:v>25.22</x:v>
      </x:c>
      <x:c r="G14" s="153" t="n">
        <x:v>0.36</x:v>
      </x:c>
    </x:row>
    <x:row r="15">
      <x:c r="A15" s="155" t="n">
        <x:v>42383</x:v>
      </x:c>
      <x:c r="B15" s="153" t="n">
        <x:v>2.1</x:v>
      </x:c>
      <x:c r="C15" s="153" t="n">
        <x:v>0.67</x:v>
      </x:c>
      <x:c r="D15" s="153" t="n">
        <x:v>1.43</x:v>
      </x:c>
      <x:c r="E15" s="153" t="n">
        <x:v>115.3846</x:v>
      </x:c>
      <x:c r="F15" s="153" t="n">
        <x:v>23.95</x:v>
      </x:c>
      <x:c r="G15" s="153" t="n">
        <x:v>0.36</x:v>
      </x:c>
    </x:row>
    <x:row r="16">
      <x:c r="A16" s="155" t="n">
        <x:v>42384</x:v>
      </x:c>
      <x:c r="B16" s="153" t="n">
        <x:v>2.03</x:v>
      </x:c>
      <x:c r="C16" s="153" t="n">
        <x:v>0.67</x:v>
      </x:c>
      <x:c r="D16" s="153" t="n">
        <x:v>1.36</x:v>
      </x:c>
      <x:c r="E16" s="153" t="n">
        <x:v>115.7404</x:v>
      </x:c>
      <x:c r="F16" s="153" t="n">
        <x:v>27.02</x:v>
      </x:c>
      <x:c r="G16" s="153" t="n">
        <x:v>0.36</x:v>
      </x:c>
    </x:row>
    <x:row r="17">
      <x:c r="A17" s="155" t="n">
        <x:v>42385</x:v>
      </x:c>
      <x:c r="B17" s="153"/>
      <x:c r="C17" s="153"/>
      <x:c r="D17" s="153"/>
      <x:c r="E17" s="153"/>
      <x:c r="F17" s="153"/>
      <x:c r="G17" s="153" t="n">
        <x:v>0.36</x:v>
      </x:c>
    </x:row>
    <x:row r="18">
      <x:c r="A18" s="155" t="n">
        <x:v>42386</x:v>
      </x:c>
      <x:c r="B18" s="153"/>
      <x:c r="C18" s="153"/>
      <x:c r="D18" s="153"/>
      <x:c r="E18" s="153"/>
      <x:c r="F18" s="153"/>
      <x:c r="G18" s="153" t="n">
        <x:v>0.36</x:v>
      </x:c>
    </x:row>
    <x:row r="19">
      <x:c r="A19" s="155" t="n">
        <x:v>42387</x:v>
      </x:c>
      <x:c r="B19" s="153"/>
      <x:c r="C19" s="153"/>
      <x:c r="D19" s="153"/>
      <x:c r="E19" s="153"/>
      <x:c r="F19" s="153"/>
      <x:c r="G19" s="153" t="n">
        <x:v>0.36</x:v>
      </x:c>
    </x:row>
    <x:row r="20">
      <x:c r="A20" s="155" t="n">
        <x:v>42388</x:v>
      </x:c>
      <x:c r="B20" s="153" t="n">
        <x:v>2.06</x:v>
      </x:c>
      <x:c r="C20" s="153" t="n">
        <x:v>0.68</x:v>
      </x:c>
      <x:c r="D20" s="153" t="n">
        <x:v>1.38</x:v>
      </x:c>
      <x:c r="E20" s="153" t="n">
        <x:v>115.8155</x:v>
      </x:c>
      <x:c r="F20" s="153" t="n">
        <x:v>26.05</x:v>
      </x:c>
      <x:c r="G20" s="153" t="n">
        <x:v>0.36</x:v>
      </x:c>
    </x:row>
    <x:row r="21">
      <x:c r="A21" s="155" t="n">
        <x:v>42389</x:v>
      </x:c>
      <x:c r="B21" s="153" t="n">
        <x:v>2.01</x:v>
      </x:c>
      <x:c r="C21" s="153" t="n">
        <x:v>0.69</x:v>
      </x:c>
      <x:c r="D21" s="153" t="n">
        <x:v>1.32</x:v>
      </x:c>
      <x:c r="E21" s="153" t="n">
        <x:v>116.3498</x:v>
      </x:c>
      <x:c r="F21" s="153" t="n">
        <x:v>27.59</x:v>
      </x:c>
      <x:c r="G21" s="153" t="n">
        <x:v>0.37</x:v>
      </x:c>
    </x:row>
    <x:row r="22">
      <x:c r="A22" s="155" t="n">
        <x:v>42390</x:v>
      </x:c>
      <x:c r="B22" s="153" t="n">
        <x:v>2.02</x:v>
      </x:c>
      <x:c r="C22" s="153" t="n">
        <x:v>0.74</x:v>
      </x:c>
      <x:c r="D22" s="153" t="n">
        <x:v>1.28</x:v>
      </x:c>
      <x:c r="E22" s="153" t="n">
        <x:v>115.9833</x:v>
      </x:c>
      <x:c r="F22" s="153" t="n">
        <x:v>26.69</x:v>
      </x:c>
      <x:c r="G22" s="153" t="n">
        <x:v>0.37</x:v>
      </x:c>
    </x:row>
    <x:row r="23">
      <x:c r="A23" s="155" t="n">
        <x:v>42391</x:v>
      </x:c>
      <x:c r="B23" s="153" t="n">
        <x:v>2.07</x:v>
      </x:c>
      <x:c r="C23" s="153" t="n">
        <x:v>0.72</x:v>
      </x:c>
      <x:c r="D23" s="153" t="n">
        <x:v>1.35</x:v>
      </x:c>
      <x:c r="E23" s="153"/>
      <x:c r="F23" s="153" t="n">
        <x:v>22.34</x:v>
      </x:c>
      <x:c r="G23" s="153" t="n">
        <x:v>0.38</x:v>
      </x:c>
    </x:row>
    <x:row r="24">
      <x:c r="A24" s="155" t="n">
        <x:v>42392</x:v>
      </x:c>
      <x:c r="B24" s="153"/>
      <x:c r="C24" s="153"/>
      <x:c r="D24" s="153"/>
      <x:c r="E24" s="153"/>
      <x:c r="F24" s="153"/>
      <x:c r="G24" s="153" t="n">
        <x:v>0.38</x:v>
      </x:c>
    </x:row>
    <x:row r="25">
      <x:c r="A25" s="155" t="n">
        <x:v>42393</x:v>
      </x:c>
      <x:c r="B25" s="153"/>
      <x:c r="C25" s="153"/>
      <x:c r="D25" s="153"/>
      <x:c r="E25" s="153"/>
      <x:c r="F25" s="153"/>
      <x:c r="G25" s="153" t="n">
        <x:v>0.38</x:v>
      </x:c>
    </x:row>
    <x:row r="26">
      <x:c r="A26" s="155" t="n">
        <x:v>42394</x:v>
      </x:c>
      <x:c r="B26" s="153" t="n">
        <x:v>2.03</x:v>
      </x:c>
      <x:c r="C26" s="153" t="n">
        <x:v>0.69</x:v>
      </x:c>
      <x:c r="D26" s="153" t="n">
        <x:v>1.34</x:v>
      </x:c>
      <x:c r="E26" s="153"/>
      <x:c r="F26" s="153" t="n">
        <x:v>24.15</x:v>
      </x:c>
      <x:c r="G26" s="153" t="n">
        <x:v>0.38</x:v>
      </x:c>
    </x:row>
    <x:row r="27">
      <x:c r="A27" s="155" t="n">
        <x:v>42395</x:v>
      </x:c>
      <x:c r="B27" s="153" t="n">
        <x:v>2.01</x:v>
      </x:c>
      <x:c r="C27" s="153" t="n">
        <x:v>0.65</x:v>
      </x:c>
      <x:c r="D27" s="153" t="n">
        <x:v>1.36</x:v>
      </x:c>
      <x:c r="E27" s="153"/>
      <x:c r="F27" s="153" t="n">
        <x:v>22.5</x:v>
      </x:c>
      <x:c r="G27" s="153" t="n">
        <x:v>0.38</x:v>
      </x:c>
    </x:row>
    <x:row r="28">
      <x:c r="A28" s="155" t="n">
        <x:v>42396</x:v>
      </x:c>
      <x:c r="B28" s="153" t="n">
        <x:v>2.02</x:v>
      </x:c>
      <x:c r="C28" s="153" t="n">
        <x:v>0.62</x:v>
      </x:c>
      <x:c r="D28" s="153" t="n">
        <x:v>1.4</x:v>
      </x:c>
      <x:c r="E28" s="153" t="n">
        <x:v>115.5087</x:v>
      </x:c>
      <x:c r="F28" s="153" t="n">
        <x:v>23.11</x:v>
      </x:c>
      <x:c r="G28" s="153" t="n">
        <x:v>0.38</x:v>
      </x:c>
    </x:row>
    <x:row r="29">
      <x:c r="A29" s="155" t="n">
        <x:v>42397</x:v>
      </x:c>
      <x:c r="B29" s="153" t="n">
        <x:v>2</x:v>
      </x:c>
      <x:c r="C29" s="153" t="n">
        <x:v>0.58</x:v>
      </x:c>
      <x:c r="D29" s="153" t="n">
        <x:v>1.42</x:v>
      </x:c>
      <x:c r="E29" s="153" t="n">
        <x:v>115.2224</x:v>
      </x:c>
      <x:c r="F29" s="153" t="n">
        <x:v>22.42</x:v>
      </x:c>
      <x:c r="G29" s="153" t="n">
        <x:v>0.38</x:v>
      </x:c>
    </x:row>
    <x:row r="30">
      <x:c r="A30" s="155" t="n">
        <x:v>42398</x:v>
      </x:c>
      <x:c r="B30" s="153" t="n">
        <x:v>1.94</x:v>
      </x:c>
      <x:c r="C30" s="153" t="n">
        <x:v>0.53</x:v>
      </x:c>
      <x:c r="D30" s="153" t="n">
        <x:v>1.41</x:v>
      </x:c>
      <x:c r="E30" s="153" t="n">
        <x:v>115.5731</x:v>
      </x:c>
      <x:c r="F30" s="153" t="n">
        <x:v>20.2</x:v>
      </x:c>
      <x:c r="G30" s="153" t="n">
        <x:v>0.29</x:v>
      </x:c>
    </x:row>
    <x:row r="31">
      <x:c r="A31" s="155" t="n">
        <x:v>42399</x:v>
      </x:c>
      <x:c r="B31" s="153"/>
      <x:c r="C31" s="153"/>
      <x:c r="D31" s="153"/>
      <x:c r="E31" s="153"/>
      <x:c r="F31" s="153"/>
      <x:c r="G31" s="153" t="n">
        <x:v>0.29</x:v>
      </x:c>
    </x:row>
    <x:row r="32">
      <x:c r="A32" s="155" t="n">
        <x:v>42400</x:v>
      </x:c>
      <x:c r="B32" s="153"/>
      <x:c r="C32" s="153"/>
      <x:c r="D32" s="153"/>
      <x:c r="E32" s="153"/>
      <x:c r="F32" s="153"/>
      <x:c r="G32" s="153" t="n">
        <x:v>0.29</x:v>
      </x:c>
    </x:row>
    <x:row r="33">
      <x:c r="A33" s="155" t="n">
        <x:v>42401</x:v>
      </x:c>
      <x:c r="B33" s="153" t="n">
        <x:v>1.97</x:v>
      </x:c>
      <x:c r="C33" s="153" t="n">
        <x:v>0.57</x:v>
      </x:c>
      <x:c r="D33" s="153" t="n">
        <x:v>1.4</x:v>
      </x:c>
      <x:c r="E33" s="153" t="n">
        <x:v>115.3331</x:v>
      </x:c>
      <x:c r="F33" s="153" t="n">
        <x:v>19.98</x:v>
      </x:c>
      <x:c r="G33" s="153" t="n">
        <x:v>0.38</x:v>
      </x:c>
    </x:row>
    <x:row r="34">
      <x:c r="A34" s="155" t="n">
        <x:v>42402</x:v>
      </x:c>
      <x:c r="B34" s="153" t="n">
        <x:v>1.87</x:v>
      </x:c>
      <x:c r="C34" s="153" t="n">
        <x:v>0.51</x:v>
      </x:c>
      <x:c r="D34" s="153" t="n">
        <x:v>1.36</x:v>
      </x:c>
      <x:c r="E34" s="153" t="n">
        <x:v>115.553</x:v>
      </x:c>
      <x:c r="F34" s="153" t="n">
        <x:v>21.98</x:v>
      </x:c>
      <x:c r="G34" s="153" t="n">
        <x:v>0.38</x:v>
      </x:c>
    </x:row>
    <x:row r="35">
      <x:c r="A35" s="155" t="n">
        <x:v>42403</x:v>
      </x:c>
      <x:c r="B35" s="153" t="n">
        <x:v>1.88</x:v>
      </x:c>
      <x:c r="C35" s="153" t="n">
        <x:v>0.5</x:v>
      </x:c>
      <x:c r="D35" s="153" t="n">
        <x:v>1.38</x:v>
      </x:c>
      <x:c r="E35" s="153" t="n">
        <x:v>114.6144</x:v>
      </x:c>
      <x:c r="F35" s="153" t="n">
        <x:v>21.65</x:v>
      </x:c>
      <x:c r="G35" s="153" t="n">
        <x:v>0.38</x:v>
      </x:c>
    </x:row>
    <x:row r="36">
      <x:c r="A36" s="155" t="n">
        <x:v>42404</x:v>
      </x:c>
      <x:c r="B36" s="153" t="n">
        <x:v>1.87</x:v>
      </x:c>
      <x:c r="C36" s="153" t="n">
        <x:v>0.51</x:v>
      </x:c>
      <x:c r="D36" s="153" t="n">
        <x:v>1.36</x:v>
      </x:c>
      <x:c r="E36" s="153" t="n">
        <x:v>113.6012</x:v>
      </x:c>
      <x:c r="F36" s="153" t="n">
        <x:v>21.84</x:v>
      </x:c>
      <x:c r="G36" s="153" t="n">
        <x:v>0.38</x:v>
      </x:c>
    </x:row>
    <x:row r="37">
      <x:c r="A37" s="155" t="n">
        <x:v>42405</x:v>
      </x:c>
      <x:c r="B37" s="153" t="n">
        <x:v>1.86</x:v>
      </x:c>
      <x:c r="C37" s="153" t="n">
        <x:v>0.53</x:v>
      </x:c>
      <x:c r="D37" s="153" t="n">
        <x:v>1.33</x:v>
      </x:c>
      <x:c r="E37" s="153" t="n">
        <x:v>114.2935</x:v>
      </x:c>
      <x:c r="F37" s="153" t="n">
        <x:v>23.38</x:v>
      </x:c>
      <x:c r="G37" s="153" t="n">
        <x:v>0.38</x:v>
      </x:c>
    </x:row>
    <x:row r="38">
      <x:c r="A38" s="155" t="n">
        <x:v>42406</x:v>
      </x:c>
      <x:c r="B38" s="153"/>
      <x:c r="C38" s="153"/>
      <x:c r="D38" s="153"/>
      <x:c r="E38" s="153"/>
      <x:c r="F38" s="153"/>
      <x:c r="G38" s="153" t="n">
        <x:v>0.38</x:v>
      </x:c>
    </x:row>
    <x:row r="39">
      <x:c r="A39" s="155" t="n">
        <x:v>42407</x:v>
      </x:c>
      <x:c r="B39" s="153"/>
      <x:c r="C39" s="153"/>
      <x:c r="D39" s="153"/>
      <x:c r="E39" s="153"/>
      <x:c r="F39" s="153"/>
      <x:c r="G39" s="153" t="n">
        <x:v>0.38</x:v>
      </x:c>
    </x:row>
    <x:row r="40">
      <x:c r="A40" s="155" t="n">
        <x:v>42408</x:v>
      </x:c>
      <x:c r="B40" s="153" t="n">
        <x:v>1.75</x:v>
      </x:c>
      <x:c r="C40" s="153" t="n">
        <x:v>0.52</x:v>
      </x:c>
      <x:c r="D40" s="153" t="n">
        <x:v>1.23</x:v>
      </x:c>
      <x:c r="E40" s="153" t="n">
        <x:v>114.4351</x:v>
      </x:c>
      <x:c r="F40" s="153" t="n">
        <x:v>26</x:v>
      </x:c>
      <x:c r="G40" s="153" t="n">
        <x:v>0.38</x:v>
      </x:c>
    </x:row>
    <x:row r="41">
      <x:c r="A41" s="155" t="n">
        <x:v>42409</x:v>
      </x:c>
      <x:c r="B41" s="153" t="n">
        <x:v>1.74</x:v>
      </x:c>
      <x:c r="C41" s="153" t="n">
        <x:v>0.53</x:v>
      </x:c>
      <x:c r="D41" s="153" t="n">
        <x:v>1.21</x:v>
      </x:c>
      <x:c r="E41" s="153" t="n">
        <x:v>114.127</x:v>
      </x:c>
      <x:c r="F41" s="153" t="n">
        <x:v>26.54</x:v>
      </x:c>
      <x:c r="G41" s="153" t="n">
        <x:v>0.38</x:v>
      </x:c>
    </x:row>
    <x:row r="42">
      <x:c r="A42" s="155" t="n">
        <x:v>42410</x:v>
      </x:c>
      <x:c r="B42" s="153" t="n">
        <x:v>1.71</x:v>
      </x:c>
      <x:c r="C42" s="153" t="n">
        <x:v>0.5</x:v>
      </x:c>
      <x:c r="D42" s="153" t="n">
        <x:v>1.21</x:v>
      </x:c>
      <x:c r="E42" s="153" t="n">
        <x:v>114.2877</x:v>
      </x:c>
      <x:c r="F42" s="153" t="n">
        <x:v>26.29</x:v>
      </x:c>
      <x:c r="G42" s="153" t="n">
        <x:v>0.38</x:v>
      </x:c>
    </x:row>
    <x:row r="43">
      <x:c r="A43" s="155" t="n">
        <x:v>42411</x:v>
      </x:c>
      <x:c r="B43" s="153" t="n">
        <x:v>1.63</x:v>
      </x:c>
      <x:c r="C43" s="153" t="n">
        <x:v>0.45</x:v>
      </x:c>
      <x:c r="D43" s="153" t="n">
        <x:v>1.18</x:v>
      </x:c>
      <x:c r="E43" s="153" t="n">
        <x:v>114.1845</x:v>
      </x:c>
      <x:c r="F43" s="153" t="n">
        <x:v>28.14</x:v>
      </x:c>
      <x:c r="G43" s="153" t="n">
        <x:v>0.38</x:v>
      </x:c>
    </x:row>
    <x:row r="44">
      <x:c r="A44" s="155" t="n">
        <x:v>42412</x:v>
      </x:c>
      <x:c r="B44" s="153" t="n">
        <x:v>1.74</x:v>
      </x:c>
      <x:c r="C44" s="153" t="n">
        <x:v>0.49</x:v>
      </x:c>
      <x:c r="D44" s="153" t="n">
        <x:v>1.25</x:v>
      </x:c>
      <x:c r="E44" s="153" t="n">
        <x:v>114.2992</x:v>
      </x:c>
      <x:c r="F44" s="153" t="n">
        <x:v>25.4</x:v>
      </x:c>
      <x:c r="G44" s="153" t="n">
        <x:v>0.38</x:v>
      </x:c>
    </x:row>
    <x:row r="45">
      <x:c r="A45" s="155" t="n">
        <x:v>42413</x:v>
      </x:c>
      <x:c r="B45" s="153"/>
      <x:c r="C45" s="153"/>
      <x:c r="D45" s="153"/>
      <x:c r="E45" s="153"/>
      <x:c r="F45" s="153"/>
      <x:c r="G45" s="153" t="n">
        <x:v>0.38</x:v>
      </x:c>
    </x:row>
    <x:row r="46">
      <x:c r="A46" s="155" t="n">
        <x:v>42414</x:v>
      </x:c>
      <x:c r="B46" s="153"/>
      <x:c r="C46" s="153"/>
      <x:c r="D46" s="153"/>
      <x:c r="E46" s="153"/>
      <x:c r="F46" s="153"/>
      <x:c r="G46" s="153" t="n">
        <x:v>0.38</x:v>
      </x:c>
    </x:row>
    <x:row r="47">
      <x:c r="A47" s="155" t="n">
        <x:v>42415</x:v>
      </x:c>
      <x:c r="B47" s="153"/>
      <x:c r="C47" s="153"/>
      <x:c r="D47" s="153"/>
      <x:c r="E47" s="153"/>
      <x:c r="F47" s="153"/>
      <x:c r="G47" s="153" t="n">
        <x:v>0.38</x:v>
      </x:c>
    </x:row>
    <x:row r="48">
      <x:c r="A48" s="155" t="n">
        <x:v>42416</x:v>
      </x:c>
      <x:c r="B48" s="153" t="n">
        <x:v>1.78</x:v>
      </x:c>
      <x:c r="C48" s="153" t="n">
        <x:v>0.53</x:v>
      </x:c>
      <x:c r="D48" s="153" t="n">
        <x:v>1.25</x:v>
      </x:c>
      <x:c r="E48" s="153" t="n">
        <x:v>114.4905</x:v>
      </x:c>
      <x:c r="F48" s="153" t="n">
        <x:v>24.11</x:v>
      </x:c>
      <x:c r="G48" s="153" t="n">
        <x:v>0.38</x:v>
      </x:c>
    </x:row>
    <x:row r="49">
      <x:c r="A49" s="155" t="n">
        <x:v>42417</x:v>
      </x:c>
      <x:c r="B49" s="153" t="n">
        <x:v>1.81</x:v>
      </x:c>
      <x:c r="C49" s="153" t="n">
        <x:v>0.53</x:v>
      </x:c>
      <x:c r="D49" s="153" t="n">
        <x:v>1.28</x:v>
      </x:c>
      <x:c r="E49" s="153" t="n">
        <x:v>113.8634</x:v>
      </x:c>
      <x:c r="F49" s="153" t="n">
        <x:v>22.31</x:v>
      </x:c>
      <x:c r="G49" s="153" t="n">
        <x:v>0.37</x:v>
      </x:c>
    </x:row>
    <x:row r="50">
      <x:c r="A50" s="155" t="n">
        <x:v>42418</x:v>
      </x:c>
      <x:c r="B50" s="153" t="n">
        <x:v>1.75</x:v>
      </x:c>
      <x:c r="C50" s="153" t="n">
        <x:v>0.51</x:v>
      </x:c>
      <x:c r="D50" s="153" t="n">
        <x:v>1.24</x:v>
      </x:c>
      <x:c r="E50" s="153" t="n">
        <x:v>113.8897</x:v>
      </x:c>
      <x:c r="F50" s="153" t="n">
        <x:v>21.64</x:v>
      </x:c>
      <x:c r="G50" s="153" t="n">
        <x:v>0.38</x:v>
      </x:c>
    </x:row>
    <x:row r="51">
      <x:c r="A51" s="155" t="n">
        <x:v>42419</x:v>
      </x:c>
      <x:c r="B51" s="153" t="n">
        <x:v>1.76</x:v>
      </x:c>
      <x:c r="C51" s="153" t="n">
        <x:v>0.5</x:v>
      </x:c>
      <x:c r="D51" s="153" t="n">
        <x:v>1.26</x:v>
      </x:c>
      <x:c r="E51" s="153" t="n">
        <x:v>113.9558</x:v>
      </x:c>
      <x:c r="F51" s="153" t="n">
        <x:v>20.53</x:v>
      </x:c>
      <x:c r="G51" s="153" t="n">
        <x:v>0.38</x:v>
      </x:c>
    </x:row>
    <x:row r="52">
      <x:c r="A52" s="155" t="n">
        <x:v>42420</x:v>
      </x:c>
      <x:c r="B52" s="153"/>
      <x:c r="C52" s="153"/>
      <x:c r="D52" s="153"/>
      <x:c r="E52" s="153"/>
      <x:c r="F52" s="153"/>
      <x:c r="G52" s="153" t="n">
        <x:v>0.38</x:v>
      </x:c>
    </x:row>
    <x:row r="53">
      <x:c r="A53" s="155" t="n">
        <x:v>42421</x:v>
      </x:c>
      <x:c r="B53" s="153"/>
      <x:c r="C53" s="153"/>
      <x:c r="D53" s="153"/>
      <x:c r="E53" s="153"/>
      <x:c r="F53" s="153"/>
      <x:c r="G53" s="153" t="n">
        <x:v>0.38</x:v>
      </x:c>
    </x:row>
    <x:row r="54">
      <x:c r="A54" s="155" t="n">
        <x:v>42422</x:v>
      </x:c>
      <x:c r="B54" s="153" t="n">
        <x:v>1.77</x:v>
      </x:c>
      <x:c r="C54" s="153" t="n">
        <x:v>0.46</x:v>
      </x:c>
      <x:c r="D54" s="153" t="n">
        <x:v>1.31</x:v>
      </x:c>
      <x:c r="E54" s="153" t="n">
        <x:v>113.8232</x:v>
      </x:c>
      <x:c r="F54" s="153" t="n">
        <x:v>19.38</x:v>
      </x:c>
      <x:c r="G54" s="153" t="n">
        <x:v>0.38</x:v>
      </x:c>
    </x:row>
    <x:row r="55">
      <x:c r="A55" s="155" t="n">
        <x:v>42423</x:v>
      </x:c>
      <x:c r="B55" s="153" t="n">
        <x:v>1.74</x:v>
      </x:c>
      <x:c r="C55" s="153" t="n">
        <x:v>0.42</x:v>
      </x:c>
      <x:c r="D55" s="153" t="n">
        <x:v>1.32</x:v>
      </x:c>
      <x:c r="E55" s="153" t="n">
        <x:v>114.177</x:v>
      </x:c>
      <x:c r="F55" s="153" t="n">
        <x:v>20.98</x:v>
      </x:c>
      <x:c r="G55" s="153" t="n">
        <x:v>0.38</x:v>
      </x:c>
    </x:row>
    <x:row r="56">
      <x:c r="A56" s="155" t="n">
        <x:v>42424</x:v>
      </x:c>
      <x:c r="B56" s="153" t="n">
        <x:v>1.75</x:v>
      </x:c>
      <x:c r="C56" s="153" t="n">
        <x:v>0.39</x:v>
      </x:c>
      <x:c r="D56" s="153" t="n">
        <x:v>1.36</x:v>
      </x:c>
      <x:c r="E56" s="153" t="n">
        <x:v>114.1716</x:v>
      </x:c>
      <x:c r="F56" s="153" t="n">
        <x:v>20.72</x:v>
      </x:c>
      <x:c r="G56" s="153" t="n">
        <x:v>0.38</x:v>
      </x:c>
    </x:row>
    <x:row r="57">
      <x:c r="A57" s="155" t="n">
        <x:v>42425</x:v>
      </x:c>
      <x:c r="B57" s="153" t="n">
        <x:v>1.71</x:v>
      </x:c>
      <x:c r="C57" s="153" t="n">
        <x:v>0.32</x:v>
      </x:c>
      <x:c r="D57" s="153" t="n">
        <x:v>1.39</x:v>
      </x:c>
      <x:c r="E57" s="153" t="n">
        <x:v>113.9222</x:v>
      </x:c>
      <x:c r="F57" s="153" t="n">
        <x:v>19.11</x:v>
      </x:c>
      <x:c r="G57" s="153" t="n">
        <x:v>0.37</x:v>
      </x:c>
    </x:row>
    <x:row r="58">
      <x:c r="A58" s="155" t="n">
        <x:v>42426</x:v>
      </x:c>
      <x:c r="B58" s="153" t="n">
        <x:v>1.76</x:v>
      </x:c>
      <x:c r="C58" s="153" t="n">
        <x:v>0.35</x:v>
      </x:c>
      <x:c r="D58" s="153" t="n">
        <x:v>1.41</x:v>
      </x:c>
      <x:c r="E58" s="153" t="n">
        <x:v>114.3708</x:v>
      </x:c>
      <x:c r="F58" s="153" t="n">
        <x:v>19.81</x:v>
      </x:c>
      <x:c r="G58" s="153" t="n">
        <x:v>0.37</x:v>
      </x:c>
    </x:row>
    <x:row r="59">
      <x:c r="A59" s="155" t="n">
        <x:v>42427</x:v>
      </x:c>
      <x:c r="B59" s="153"/>
      <x:c r="C59" s="153"/>
      <x:c r="D59" s="153"/>
      <x:c r="E59" s="153"/>
      <x:c r="F59" s="153"/>
      <x:c r="G59" s="153" t="n">
        <x:v>0.37</x:v>
      </x:c>
    </x:row>
    <x:row r="60">
      <x:c r="A60" s="155" t="n">
        <x:v>42428</x:v>
      </x:c>
      <x:c r="B60" s="153"/>
      <x:c r="C60" s="153"/>
      <x:c r="D60" s="153"/>
      <x:c r="E60" s="153"/>
      <x:c r="F60" s="153"/>
      <x:c r="G60" s="153" t="n">
        <x:v>0.37</x:v>
      </x:c>
    </x:row>
    <x:row r="61">
      <x:c r="A61" s="155" t="n">
        <x:v>42429</x:v>
      </x:c>
      <x:c r="B61" s="153" t="n">
        <x:v>1.74</x:v>
      </x:c>
      <x:c r="C61" s="153" t="n">
        <x:v>0.32</x:v>
      </x:c>
      <x:c r="D61" s="153" t="n">
        <x:v>1.42</x:v>
      </x:c>
      <x:c r="E61" s="153" t="n">
        <x:v>114.2418</x:v>
      </x:c>
      <x:c r="F61" s="153" t="n">
        <x:v>20.55</x:v>
      </x:c>
      <x:c r="G61" s="153" t="n">
        <x:v>0.29</x:v>
      </x:c>
    </x:row>
    <x:row r="62">
      <x:c r="A62" s="155" t="n">
        <x:v>42430</x:v>
      </x:c>
      <x:c r="B62" s="153" t="n">
        <x:v>1.83</x:v>
      </x:c>
      <x:c r="C62" s="153" t="n">
        <x:v>0.35</x:v>
      </x:c>
      <x:c r="D62" s="153" t="n">
        <x:v>1.48</x:v>
      </x:c>
      <x:c r="E62" s="153" t="n">
        <x:v>113.9265</x:v>
      </x:c>
      <x:c r="F62" s="153" t="n">
        <x:v>17.7</x:v>
      </x:c>
      <x:c r="G62" s="153" t="n">
        <x:v>0.36</x:v>
      </x:c>
    </x:row>
    <x:row r="63">
      <x:c r="A63" s="155" t="n">
        <x:v>42431</x:v>
      </x:c>
      <x:c r="B63" s="153" t="n">
        <x:v>1.84</x:v>
      </x:c>
      <x:c r="C63" s="153" t="n">
        <x:v>0.33</x:v>
      </x:c>
      <x:c r="D63" s="153" t="n">
        <x:v>1.51</x:v>
      </x:c>
      <x:c r="E63" s="153" t="n">
        <x:v>113.7965</x:v>
      </x:c>
      <x:c r="F63" s="153" t="n">
        <x:v>17.09</x:v>
      </x:c>
      <x:c r="G63" s="153" t="n">
        <x:v>0.37</x:v>
      </x:c>
    </x:row>
    <x:row r="64">
      <x:c r="A64" s="155" t="n">
        <x:v>42432</x:v>
      </x:c>
      <x:c r="B64" s="153" t="n">
        <x:v>1.83</x:v>
      </x:c>
      <x:c r="C64" s="153" t="n">
        <x:v>0.3</x:v>
      </x:c>
      <x:c r="D64" s="153" t="n">
        <x:v>1.53</x:v>
      </x:c>
      <x:c r="E64" s="153" t="n">
        <x:v>113.2482</x:v>
      </x:c>
      <x:c r="F64" s="153" t="n">
        <x:v>16.7</x:v>
      </x:c>
      <x:c r="G64" s="153" t="n">
        <x:v>0.37</x:v>
      </x:c>
    </x:row>
    <x:row r="65">
      <x:c r="A65" s="155" t="n">
        <x:v>42433</x:v>
      </x:c>
      <x:c r="B65" s="153" t="n">
        <x:v>1.88</x:v>
      </x:c>
      <x:c r="C65" s="153" t="n">
        <x:v>0.37</x:v>
      </x:c>
      <x:c r="D65" s="153" t="n">
        <x:v>1.51</x:v>
      </x:c>
      <x:c r="E65" s="153" t="n">
        <x:v>112.6387</x:v>
      </x:c>
      <x:c r="F65" s="153" t="n">
        <x:v>16.86</x:v>
      </x:c>
      <x:c r="G65" s="153" t="n">
        <x:v>0.36</x:v>
      </x:c>
    </x:row>
    <x:row r="66">
      <x:c r="A66" s="155" t="n">
        <x:v>42434</x:v>
      </x:c>
      <x:c r="B66" s="153"/>
      <x:c r="C66" s="153"/>
      <x:c r="D66" s="153"/>
      <x:c r="E66" s="153"/>
      <x:c r="F66" s="153"/>
      <x:c r="G66" s="153" t="n">
        <x:v>0.36</x:v>
      </x:c>
    </x:row>
    <x:row r="67">
      <x:c r="A67" s="155" t="n">
        <x:v>42435</x:v>
      </x:c>
      <x:c r="B67" s="153"/>
      <x:c r="C67" s="153"/>
      <x:c r="D67" s="153"/>
      <x:c r="E67" s="153"/>
      <x:c r="F67" s="153"/>
      <x:c r="G67" s="153" t="n">
        <x:v>0.36</x:v>
      </x:c>
    </x:row>
    <x:row r="68">
      <x:c r="A68" s="155" t="n">
        <x:v>42436</x:v>
      </x:c>
      <x:c r="B68" s="153" t="n">
        <x:v>1.91</x:v>
      </x:c>
      <x:c r="C68" s="153" t="n">
        <x:v>0.43</x:v>
      </x:c>
      <x:c r="D68" s="153" t="n">
        <x:v>1.48</x:v>
      </x:c>
      <x:c r="E68" s="153" t="n">
        <x:v>112.6219</x:v>
      </x:c>
      <x:c r="F68" s="153" t="n">
        <x:v>17.35</x:v>
      </x:c>
      <x:c r="G68" s="153" t="n">
        <x:v>0.36</x:v>
      </x:c>
    </x:row>
    <x:row r="69">
      <x:c r="A69" s="155" t="n">
        <x:v>42437</x:v>
      </x:c>
      <x:c r="B69" s="153" t="n">
        <x:v>1.83</x:v>
      </x:c>
      <x:c r="C69" s="153" t="n">
        <x:v>0.37</x:v>
      </x:c>
      <x:c r="D69" s="153" t="n">
        <x:v>1.46</x:v>
      </x:c>
      <x:c r="E69" s="153" t="n">
        <x:v>112.8465</x:v>
      </x:c>
      <x:c r="F69" s="153" t="n">
        <x:v>18.67</x:v>
      </x:c>
      <x:c r="G69" s="153" t="n">
        <x:v>0.36</x:v>
      </x:c>
    </x:row>
    <x:row r="70">
      <x:c r="A70" s="155" t="n">
        <x:v>42438</x:v>
      </x:c>
      <x:c r="B70" s="153" t="n">
        <x:v>1.9</x:v>
      </x:c>
      <x:c r="C70" s="153" t="n">
        <x:v>0.39</x:v>
      </x:c>
      <x:c r="D70" s="153" t="n">
        <x:v>1.51</x:v>
      </x:c>
      <x:c r="E70" s="153" t="n">
        <x:v>112.4268</x:v>
      </x:c>
      <x:c r="F70" s="153" t="n">
        <x:v>18.34</x:v>
      </x:c>
      <x:c r="G70" s="153" t="n">
        <x:v>0.36</x:v>
      </x:c>
    </x:row>
    <x:row r="71">
      <x:c r="A71" s="155" t="n">
        <x:v>42439</x:v>
      </x:c>
      <x:c r="B71" s="153" t="n">
        <x:v>1.93</x:v>
      </x:c>
      <x:c r="C71" s="153" t="n">
        <x:v>0.45</x:v>
      </x:c>
      <x:c r="D71" s="153" t="n">
        <x:v>1.48</x:v>
      </x:c>
      <x:c r="E71" s="153" t="n">
        <x:v>112.4191</x:v>
      </x:c>
      <x:c r="F71" s="153" t="n">
        <x:v>18.05</x:v>
      </x:c>
      <x:c r="G71" s="153" t="n">
        <x:v>0.36</x:v>
      </x:c>
    </x:row>
    <x:row r="72">
      <x:c r="A72" s="155" t="n">
        <x:v>42440</x:v>
      </x:c>
      <x:c r="B72" s="153" t="n">
        <x:v>1.98</x:v>
      </x:c>
      <x:c r="C72" s="153" t="n">
        <x:v>0.44</x:v>
      </x:c>
      <x:c r="D72" s="153" t="n">
        <x:v>1.54</x:v>
      </x:c>
      <x:c r="E72" s="153" t="n">
        <x:v>111.741</x:v>
      </x:c>
      <x:c r="F72" s="153" t="n">
        <x:v>16.5</x:v>
      </x:c>
      <x:c r="G72" s="153" t="n">
        <x:v>0.36</x:v>
      </x:c>
    </x:row>
    <x:row r="73">
      <x:c r="A73" s="155" t="n">
        <x:v>42441</x:v>
      </x:c>
      <x:c r="B73" s="153"/>
      <x:c r="C73" s="153"/>
      <x:c r="D73" s="153"/>
      <x:c r="E73" s="153"/>
      <x:c r="F73" s="153"/>
      <x:c r="G73" s="153" t="n">
        <x:v>0.36</x:v>
      </x:c>
    </x:row>
    <x:row r="74">
      <x:c r="A74" s="155" t="n">
        <x:v>42442</x:v>
      </x:c>
      <x:c r="B74" s="153"/>
      <x:c r="C74" s="153"/>
      <x:c r="D74" s="153"/>
      <x:c r="E74" s="153"/>
      <x:c r="F74" s="153"/>
      <x:c r="G74" s="153" t="n">
        <x:v>0.36</x:v>
      </x:c>
    </x:row>
    <x:row r="75">
      <x:c r="A75" s="155" t="n">
        <x:v>42443</x:v>
      </x:c>
      <x:c r="B75" s="153" t="n">
        <x:v>1.97</x:v>
      </x:c>
      <x:c r="C75" s="153" t="n">
        <x:v>0.45</x:v>
      </x:c>
      <x:c r="D75" s="153" t="n">
        <x:v>1.52</x:v>
      </x:c>
      <x:c r="E75" s="153" t="n">
        <x:v>112.1688</x:v>
      </x:c>
      <x:c r="F75" s="153" t="n">
        <x:v>16.92</x:v>
      </x:c>
      <x:c r="G75" s="153" t="n">
        <x:v>0.36</x:v>
      </x:c>
    </x:row>
    <x:row r="76">
      <x:c r="A76" s="155" t="n">
        <x:v>42444</x:v>
      </x:c>
      <x:c r="B76" s="153" t="n">
        <x:v>1.97</x:v>
      </x:c>
      <x:c r="C76" s="153" t="n">
        <x:v>0.47</x:v>
      </x:c>
      <x:c r="D76" s="153" t="n">
        <x:v>1.5</x:v>
      </x:c>
      <x:c r="E76" s="153" t="n">
        <x:v>112.5545</x:v>
      </x:c>
      <x:c r="F76" s="153" t="n">
        <x:v>16.84</x:v>
      </x:c>
      <x:c r="G76" s="153" t="n">
        <x:v>0.37</x:v>
      </x:c>
    </x:row>
    <x:row r="77">
      <x:c r="A77" s="155" t="n">
        <x:v>42445</x:v>
      </x:c>
      <x:c r="B77" s="153" t="n">
        <x:v>1.94</x:v>
      </x:c>
      <x:c r="C77" s="153" t="n">
        <x:v>0.36</x:v>
      </x:c>
      <x:c r="D77" s="153" t="n">
        <x:v>1.58</x:v>
      </x:c>
      <x:c r="E77" s="153" t="n">
        <x:v>112.7759</x:v>
      </x:c>
      <x:c r="F77" s="153" t="n">
        <x:v>14.99</x:v>
      </x:c>
      <x:c r="G77" s="153" t="n">
        <x:v>0.37</x:v>
      </x:c>
    </x:row>
    <x:row r="78">
      <x:c r="A78" s="155" t="n">
        <x:v>42446</x:v>
      </x:c>
      <x:c r="B78" s="153" t="n">
        <x:v>1.91</x:v>
      </x:c>
      <x:c r="C78" s="153" t="n">
        <x:v>0.34</x:v>
      </x:c>
      <x:c r="D78" s="153" t="n">
        <x:v>1.57</x:v>
      </x:c>
      <x:c r="E78" s="153" t="n">
        <x:v>110.445</x:v>
      </x:c>
      <x:c r="F78" s="153" t="n">
        <x:v>14.44</x:v>
      </x:c>
      <x:c r="G78" s="153" t="n">
        <x:v>0.37</x:v>
      </x:c>
    </x:row>
    <x:row r="79">
      <x:c r="A79" s="155" t="n">
        <x:v>42447</x:v>
      </x:c>
      <x:c r="B79" s="153" t="n">
        <x:v>1.88</x:v>
      </x:c>
      <x:c r="C79" s="153" t="n">
        <x:v>0.27</x:v>
      </x:c>
      <x:c r="D79" s="153" t="n">
        <x:v>1.61</x:v>
      </x:c>
      <x:c r="E79" s="153" t="n">
        <x:v>110.4002</x:v>
      </x:c>
      <x:c r="F79" s="153" t="n">
        <x:v>14.02</x:v>
      </x:c>
      <x:c r="G79" s="153" t="n">
        <x:v>0.37</x:v>
      </x:c>
    </x:row>
    <x:row r="80">
      <x:c r="A80" s="155" t="n">
        <x:v>42448</x:v>
      </x:c>
      <x:c r="B80" s="153"/>
      <x:c r="C80" s="153"/>
      <x:c r="D80" s="153"/>
      <x:c r="E80" s="153"/>
      <x:c r="F80" s="153"/>
      <x:c r="G80" s="153" t="n">
        <x:v>0.37</x:v>
      </x:c>
    </x:row>
    <x:row r="81">
      <x:c r="A81" s="155" t="n">
        <x:v>42449</x:v>
      </x:c>
      <x:c r="B81" s="153"/>
      <x:c r="C81" s="153"/>
      <x:c r="D81" s="153"/>
      <x:c r="E81" s="153"/>
      <x:c r="F81" s="153"/>
      <x:c r="G81" s="153" t="n">
        <x:v>0.37</x:v>
      </x:c>
    </x:row>
    <x:row r="82">
      <x:c r="A82" s="155" t="n">
        <x:v>42450</x:v>
      </x:c>
      <x:c r="B82" s="153" t="n">
        <x:v>1.92</x:v>
      </x:c>
      <x:c r="C82" s="153" t="n">
        <x:v>0.28</x:v>
      </x:c>
      <x:c r="D82" s="153" t="n">
        <x:v>1.64</x:v>
      </x:c>
      <x:c r="E82" s="153" t="n">
        <x:v>110.737</x:v>
      </x:c>
      <x:c r="F82" s="153" t="n">
        <x:v>13.79</x:v>
      </x:c>
      <x:c r="G82" s="153" t="n">
        <x:v>0.37</x:v>
      </x:c>
    </x:row>
    <x:row r="83">
      <x:c r="A83" s="155" t="n">
        <x:v>42451</x:v>
      </x:c>
      <x:c r="B83" s="153" t="n">
        <x:v>1.94</x:v>
      </x:c>
      <x:c r="C83" s="153" t="n">
        <x:v>0.31</x:v>
      </x:c>
      <x:c r="D83" s="153" t="n">
        <x:v>1.63</x:v>
      </x:c>
      <x:c r="E83" s="153" t="n">
        <x:v>110.7877</x:v>
      </x:c>
      <x:c r="F83" s="153" t="n">
        <x:v>14.17</x:v>
      </x:c>
      <x:c r="G83" s="153" t="n">
        <x:v>0.37</x:v>
      </x:c>
    </x:row>
    <x:row r="84">
      <x:c r="A84" s="155" t="n">
        <x:v>42452</x:v>
      </x:c>
      <x:c r="B84" s="153" t="n">
        <x:v>1.88</x:v>
      </x:c>
      <x:c r="C84" s="153" t="n">
        <x:v>0.3</x:v>
      </x:c>
      <x:c r="D84" s="153" t="n">
        <x:v>1.58</x:v>
      </x:c>
      <x:c r="E84" s="153" t="n">
        <x:v>111.5473</x:v>
      </x:c>
      <x:c r="F84" s="153" t="n">
        <x:v>14.94</x:v>
      </x:c>
      <x:c r="G84" s="153" t="n">
        <x:v>0.37</x:v>
      </x:c>
    </x:row>
    <x:row r="85">
      <x:c r="A85" s="155" t="n">
        <x:v>42453</x:v>
      </x:c>
      <x:c r="B85" s="153" t="n">
        <x:v>1.91</x:v>
      </x:c>
      <x:c r="C85" s="153" t="n">
        <x:v>0.34</x:v>
      </x:c>
      <x:c r="D85" s="153" t="n">
        <x:v>1.57</x:v>
      </x:c>
      <x:c r="E85" s="153" t="n">
        <x:v>111.816</x:v>
      </x:c>
      <x:c r="F85" s="153" t="n">
        <x:v>14.74</x:v>
      </x:c>
      <x:c r="G85" s="153" t="n">
        <x:v>0.37</x:v>
      </x:c>
    </x:row>
    <x:row r="86">
      <x:c r="A86" s="155" t="n">
        <x:v>42454</x:v>
      </x:c>
      <x:c r="B86" s="153"/>
      <x:c r="C86" s="153"/>
      <x:c r="D86" s="153"/>
      <x:c r="E86" s="153" t="n">
        <x:v>111.7698</x:v>
      </x:c>
      <x:c r="F86" s="153"/>
      <x:c r="G86" s="153" t="n">
        <x:v>0.37</x:v>
      </x:c>
    </x:row>
    <x:row r="87">
      <x:c r="A87" s="155" t="n">
        <x:v>42455</x:v>
      </x:c>
      <x:c r="B87" s="153"/>
      <x:c r="C87" s="153"/>
      <x:c r="D87" s="153"/>
      <x:c r="E87" s="153"/>
      <x:c r="F87" s="153"/>
      <x:c r="G87" s="153" t="n">
        <x:v>0.37</x:v>
      </x:c>
    </x:row>
    <x:row r="88">
      <x:c r="A88" s="155" t="n">
        <x:v>42456</x:v>
      </x:c>
      <x:c r="B88" s="153"/>
      <x:c r="C88" s="153"/>
      <x:c r="D88" s="153"/>
      <x:c r="E88" s="153"/>
      <x:c r="F88" s="153"/>
      <x:c r="G88" s="153" t="n">
        <x:v>0.37</x:v>
      </x:c>
    </x:row>
    <x:row r="89">
      <x:c r="A89" s="155" t="n">
        <x:v>42457</x:v>
      </x:c>
      <x:c r="B89" s="153" t="n">
        <x:v>1.89</x:v>
      </x:c>
      <x:c r="C89" s="153" t="n">
        <x:v>0.33</x:v>
      </x:c>
      <x:c r="D89" s="153" t="n">
        <x:v>1.56</x:v>
      </x:c>
      <x:c r="E89" s="153" t="n">
        <x:v>111.3578</x:v>
      </x:c>
      <x:c r="F89" s="153" t="n">
        <x:v>15.24</x:v>
      </x:c>
      <x:c r="G89" s="153" t="n">
        <x:v>0.37</x:v>
      </x:c>
    </x:row>
    <x:row r="90">
      <x:c r="A90" s="155" t="n">
        <x:v>42458</x:v>
      </x:c>
      <x:c r="B90" s="153" t="n">
        <x:v>1.81</x:v>
      </x:c>
      <x:c r="C90" s="153" t="n">
        <x:v>0.2</x:v>
      </x:c>
      <x:c r="D90" s="153" t="n">
        <x:v>1.61</x:v>
      </x:c>
      <x:c r="E90" s="153" t="n">
        <x:v>111.3736</x:v>
      </x:c>
      <x:c r="F90" s="153" t="n">
        <x:v>13.82</x:v>
      </x:c>
      <x:c r="G90" s="153" t="n">
        <x:v>0.37</x:v>
      </x:c>
    </x:row>
    <x:row r="91">
      <x:c r="A91" s="155" t="n">
        <x:v>42459</x:v>
      </x:c>
      <x:c r="B91" s="153" t="n">
        <x:v>1.83</x:v>
      </x:c>
      <x:c r="C91" s="153" t="n">
        <x:v>0.18</x:v>
      </x:c>
      <x:c r="D91" s="153" t="n">
        <x:v>1.65</x:v>
      </x:c>
      <x:c r="E91" s="153" t="n">
        <x:v>110.2301</x:v>
      </x:c>
      <x:c r="F91" s="153" t="n">
        <x:v>13.56</x:v>
      </x:c>
      <x:c r="G91" s="153" t="n">
        <x:v>0.37</x:v>
      </x:c>
    </x:row>
    <x:row r="92">
      <x:c r="A92" s="155" t="n">
        <x:v>42460</x:v>
      </x:c>
      <x:c r="B92" s="153" t="n">
        <x:v>1.78</x:v>
      </x:c>
      <x:c r="C92" s="153" t="n">
        <x:v>0.16</x:v>
      </x:c>
      <x:c r="D92" s="153" t="n">
        <x:v>1.62</x:v>
      </x:c>
      <x:c r="E92" s="153" t="n">
        <x:v>109.9191</x:v>
      </x:c>
      <x:c r="F92" s="153" t="n">
        <x:v>13.95</x:v>
      </x:c>
      <x:c r="G92" s="153" t="n">
        <x:v>0.25</x:v>
      </x:c>
    </x:row>
    <x:row r="93">
      <x:c r="A93" s="155" t="n">
        <x:v>42461</x:v>
      </x:c>
      <x:c r="B93" s="153" t="n">
        <x:v>1.79</x:v>
      </x:c>
      <x:c r="C93" s="153" t="n">
        <x:v>0.17</x:v>
      </x:c>
      <x:c r="D93" s="153" t="n">
        <x:v>1.62</x:v>
      </x:c>
      <x:c r="E93" s="153" t="n">
        <x:v>110.2977</x:v>
      </x:c>
      <x:c r="F93" s="153" t="n">
        <x:v>13.1</x:v>
      </x:c>
      <x:c r="G93" s="153" t="n">
        <x:v>0.37</x:v>
      </x:c>
    </x:row>
    <x:row r="94">
      <x:c r="A94" s="155" t="n">
        <x:v>42462</x:v>
      </x:c>
      <x:c r="B94" s="153"/>
      <x:c r="C94" s="153"/>
      <x:c r="D94" s="153"/>
      <x:c r="E94" s="153"/>
      <x:c r="F94" s="153"/>
      <x:c r="G94" s="153" t="n">
        <x:v>0.37</x:v>
      </x:c>
    </x:row>
    <x:row r="95">
      <x:c r="A95" s="155" t="n">
        <x:v>42463</x:v>
      </x:c>
      <x:c r="B95" s="153"/>
      <x:c r="C95" s="153"/>
      <x:c r="D95" s="153"/>
      <x:c r="E95" s="153"/>
      <x:c r="F95" s="153"/>
      <x:c r="G95" s="153" t="n">
        <x:v>0.37</x:v>
      </x:c>
    </x:row>
    <x:row r="96">
      <x:c r="A96" s="155" t="n">
        <x:v>42464</x:v>
      </x:c>
      <x:c r="B96" s="153" t="n">
        <x:v>1.78</x:v>
      </x:c>
      <x:c r="C96" s="153" t="n">
        <x:v>0.14</x:v>
      </x:c>
      <x:c r="D96" s="153" t="n">
        <x:v>1.64</x:v>
      </x:c>
      <x:c r="E96" s="153" t="n">
        <x:v>110.3987</x:v>
      </x:c>
      <x:c r="F96" s="153" t="n">
        <x:v>14.12</x:v>
      </x:c>
      <x:c r="G96" s="153" t="n">
        <x:v>0.37</x:v>
      </x:c>
    </x:row>
    <x:row r="97">
      <x:c r="A97" s="155" t="n">
        <x:v>42465</x:v>
      </x:c>
      <x:c r="B97" s="153" t="n">
        <x:v>1.73</x:v>
      </x:c>
      <x:c r="C97" s="153" t="n">
        <x:v>0.14</x:v>
      </x:c>
      <x:c r="D97" s="153" t="n">
        <x:v>1.59</x:v>
      </x:c>
      <x:c r="E97" s="153" t="n">
        <x:v>110.9478</x:v>
      </x:c>
      <x:c r="F97" s="153" t="n">
        <x:v>15.42</x:v>
      </x:c>
      <x:c r="G97" s="153" t="n">
        <x:v>0.37</x:v>
      </x:c>
    </x:row>
    <x:row r="98">
      <x:c r="A98" s="155" t="n">
        <x:v>42466</x:v>
      </x:c>
      <x:c r="B98" s="153" t="n">
        <x:v>1.76</x:v>
      </x:c>
      <x:c r="C98" s="153" t="n">
        <x:v>0.17</x:v>
      </x:c>
      <x:c r="D98" s="153" t="n">
        <x:v>1.59</x:v>
      </x:c>
      <x:c r="E98" s="153" t="n">
        <x:v>110.5347</x:v>
      </x:c>
      <x:c r="F98" s="153" t="n">
        <x:v>14.09</x:v>
      </x:c>
      <x:c r="G98" s="153" t="n">
        <x:v>0.37</x:v>
      </x:c>
    </x:row>
    <x:row r="99">
      <x:c r="A99" s="155" t="n">
        <x:v>42467</x:v>
      </x:c>
      <x:c r="B99" s="153" t="n">
        <x:v>1.7</x:v>
      </x:c>
      <x:c r="C99" s="153" t="n">
        <x:v>0.12</x:v>
      </x:c>
      <x:c r="D99" s="153" t="n">
        <x:v>1.58</x:v>
      </x:c>
      <x:c r="E99" s="153" t="n">
        <x:v>110.8876</x:v>
      </x:c>
      <x:c r="F99" s="153" t="n">
        <x:v>16.16</x:v>
      </x:c>
      <x:c r="G99" s="153" t="n">
        <x:v>0.37</x:v>
      </x:c>
    </x:row>
    <x:row r="100">
      <x:c r="A100" s="155" t="n">
        <x:v>42468</x:v>
      </x:c>
      <x:c r="B100" s="153" t="n">
        <x:v>1.72</x:v>
      </x:c>
      <x:c r="C100" s="153" t="n">
        <x:v>0.14</x:v>
      </x:c>
      <x:c r="D100" s="153" t="n">
        <x:v>1.58</x:v>
      </x:c>
      <x:c r="E100" s="153" t="n">
        <x:v>110.4213</x:v>
      </x:c>
      <x:c r="F100" s="153" t="n">
        <x:v>15.36</x:v>
      </x:c>
      <x:c r="G100" s="153" t="n">
        <x:v>0.37</x:v>
      </x:c>
    </x:row>
    <x:row r="101">
      <x:c r="A101" s="155" t="n">
        <x:v>42469</x:v>
      </x:c>
      <x:c r="B101" s="153"/>
      <x:c r="C101" s="153"/>
      <x:c r="D101" s="153"/>
      <x:c r="E101" s="153"/>
      <x:c r="F101" s="153"/>
      <x:c r="G101" s="153" t="n">
        <x:v>0.37</x:v>
      </x:c>
    </x:row>
    <x:row r="102">
      <x:c r="A102" s="155" t="n">
        <x:v>42470</x:v>
      </x:c>
      <x:c r="B102" s="153"/>
      <x:c r="C102" s="153"/>
      <x:c r="D102" s="153"/>
      <x:c r="E102" s="153"/>
      <x:c r="F102" s="153"/>
      <x:c r="G102" s="153" t="n">
        <x:v>0.37</x:v>
      </x:c>
    </x:row>
    <x:row r="103">
      <x:c r="A103" s="155" t="n">
        <x:v>42471</x:v>
      </x:c>
      <x:c r="B103" s="153" t="n">
        <x:v>1.73</x:v>
      </x:c>
      <x:c r="C103" s="153" t="n">
        <x:v>0.17</x:v>
      </x:c>
      <x:c r="D103" s="153" t="n">
        <x:v>1.56</x:v>
      </x:c>
      <x:c r="E103" s="153" t="n">
        <x:v>109.9758</x:v>
      </x:c>
      <x:c r="F103" s="153" t="n">
        <x:v>16.26</x:v>
      </x:c>
      <x:c r="G103" s="153" t="n">
        <x:v>0.37</x:v>
      </x:c>
    </x:row>
    <x:row r="104">
      <x:c r="A104" s="155" t="n">
        <x:v>42472</x:v>
      </x:c>
      <x:c r="B104" s="153" t="n">
        <x:v>1.79</x:v>
      </x:c>
      <x:c r="C104" s="153" t="n">
        <x:v>0.22</x:v>
      </x:c>
      <x:c r="D104" s="153" t="n">
        <x:v>1.57</x:v>
      </x:c>
      <x:c r="E104" s="153" t="n">
        <x:v>109.816</x:v>
      </x:c>
      <x:c r="F104" s="153" t="n">
        <x:v>14.85</x:v>
      </x:c>
      <x:c r="G104" s="153" t="n">
        <x:v>0.37</x:v>
      </x:c>
    </x:row>
    <x:row r="105">
      <x:c r="A105" s="155" t="n">
        <x:v>42473</x:v>
      </x:c>
      <x:c r="B105" s="153" t="n">
        <x:v>1.77</x:v>
      </x:c>
      <x:c r="C105" s="153" t="n">
        <x:v>0.21</x:v>
      </x:c>
      <x:c r="D105" s="153" t="n">
        <x:v>1.56</x:v>
      </x:c>
      <x:c r="E105" s="153" t="n">
        <x:v>110.1436</x:v>
      </x:c>
      <x:c r="F105" s="153" t="n">
        <x:v>13.84</x:v>
      </x:c>
      <x:c r="G105" s="153" t="n">
        <x:v>0.37</x:v>
      </x:c>
    </x:row>
    <x:row r="106">
      <x:c r="A106" s="155" t="n">
        <x:v>42474</x:v>
      </x:c>
      <x:c r="B106" s="153" t="n">
        <x:v>1.8</x:v>
      </x:c>
      <x:c r="C106" s="153" t="n">
        <x:v>0.24</x:v>
      </x:c>
      <x:c r="D106" s="153" t="n">
        <x:v>1.56</x:v>
      </x:c>
      <x:c r="E106" s="153" t="n">
        <x:v>110.1691</x:v>
      </x:c>
      <x:c r="F106" s="153" t="n">
        <x:v>13.72</x:v>
      </x:c>
      <x:c r="G106" s="153" t="n">
        <x:v>0.37</x:v>
      </x:c>
    </x:row>
    <x:row r="107">
      <x:c r="A107" s="155" t="n">
        <x:v>42475</x:v>
      </x:c>
      <x:c r="B107" s="153" t="n">
        <x:v>1.76</x:v>
      </x:c>
      <x:c r="C107" s="153" t="n">
        <x:v>0.2</x:v>
      </x:c>
      <x:c r="D107" s="153" t="n">
        <x:v>1.56</x:v>
      </x:c>
      <x:c r="E107" s="153" t="n">
        <x:v>110.1933</x:v>
      </x:c>
      <x:c r="F107" s="153" t="n">
        <x:v>13.62</x:v>
      </x:c>
      <x:c r="G107" s="153" t="n">
        <x:v>0.37</x:v>
      </x:c>
    </x:row>
    <x:row r="108">
      <x:c r="A108" s="155" t="n">
        <x:v>42476</x:v>
      </x:c>
      <x:c r="B108" s="153"/>
      <x:c r="C108" s="153"/>
      <x:c r="D108" s="153"/>
      <x:c r="E108" s="153"/>
      <x:c r="F108" s="153"/>
      <x:c r="G108" s="153" t="n">
        <x:v>0.37</x:v>
      </x:c>
    </x:row>
    <x:row r="109">
      <x:c r="A109" s="155" t="n">
        <x:v>42477</x:v>
      </x:c>
      <x:c r="B109" s="153"/>
      <x:c r="C109" s="153"/>
      <x:c r="D109" s="153"/>
      <x:c r="E109" s="153"/>
      <x:c r="F109" s="153"/>
      <x:c r="G109" s="153" t="n">
        <x:v>0.37</x:v>
      </x:c>
    </x:row>
    <x:row r="110">
      <x:c r="A110" s="155" t="n">
        <x:v>42478</x:v>
      </x:c>
      <x:c r="B110" s="153" t="n">
        <x:v>1.78</x:v>
      </x:c>
      <x:c r="C110" s="153" t="n">
        <x:v>0.21</x:v>
      </x:c>
      <x:c r="D110" s="153" t="n">
        <x:v>1.57</x:v>
      </x:c>
      <x:c r="E110" s="153" t="n">
        <x:v>109.9892</x:v>
      </x:c>
      <x:c r="F110" s="153" t="n">
        <x:v>13.35</x:v>
      </x:c>
      <x:c r="G110" s="153" t="n">
        <x:v>0.37</x:v>
      </x:c>
    </x:row>
    <x:row r="111">
      <x:c r="A111" s="155" t="n">
        <x:v>42479</x:v>
      </x:c>
      <x:c r="B111" s="153" t="n">
        <x:v>1.79</x:v>
      </x:c>
      <x:c r="C111" s="153" t="n">
        <x:v>0.19</x:v>
      </x:c>
      <x:c r="D111" s="153" t="n">
        <x:v>1.6</x:v>
      </x:c>
      <x:c r="E111" s="153" t="n">
        <x:v>109.2782</x:v>
      </x:c>
      <x:c r="F111" s="153" t="n">
        <x:v>13.24</x:v>
      </x:c>
      <x:c r="G111" s="153" t="n">
        <x:v>0.37</x:v>
      </x:c>
    </x:row>
    <x:row r="112">
      <x:c r="A112" s="155" t="n">
        <x:v>42480</x:v>
      </x:c>
      <x:c r="B112" s="153" t="n">
        <x:v>1.85</x:v>
      </x:c>
      <x:c r="C112" s="153" t="n">
        <x:v>0.23</x:v>
      </x:c>
      <x:c r="D112" s="153" t="n">
        <x:v>1.62</x:v>
      </x:c>
      <x:c r="E112" s="153" t="n">
        <x:v>109.3926</x:v>
      </x:c>
      <x:c r="F112" s="153" t="n">
        <x:v>13.28</x:v>
      </x:c>
      <x:c r="G112" s="153" t="n">
        <x:v>0.37</x:v>
      </x:c>
    </x:row>
    <x:row r="113">
      <x:c r="A113" s="155" t="n">
        <x:v>42481</x:v>
      </x:c>
      <x:c r="B113" s="153" t="n">
        <x:v>1.88</x:v>
      </x:c>
      <x:c r="C113" s="153" t="n">
        <x:v>0.24</x:v>
      </x:c>
      <x:c r="D113" s="153" t="n">
        <x:v>1.64</x:v>
      </x:c>
      <x:c r="E113" s="153" t="n">
        <x:v>109.8533</x:v>
      </x:c>
      <x:c r="F113" s="153" t="n">
        <x:v>13.95</x:v>
      </x:c>
      <x:c r="G113" s="153" t="n">
        <x:v>0.37</x:v>
      </x:c>
    </x:row>
    <x:row r="114">
      <x:c r="A114" s="155" t="n">
        <x:v>42482</x:v>
      </x:c>
      <x:c r="B114" s="153" t="n">
        <x:v>1.89</x:v>
      </x:c>
      <x:c r="C114" s="153" t="n">
        <x:v>0.25</x:v>
      </x:c>
      <x:c r="D114" s="153" t="n">
        <x:v>1.64</x:v>
      </x:c>
      <x:c r="E114" s="153" t="n">
        <x:v>110.2331</x:v>
      </x:c>
      <x:c r="F114" s="153" t="n">
        <x:v>13.22</x:v>
      </x:c>
      <x:c r="G114" s="153" t="n">
        <x:v>0.37</x:v>
      </x:c>
    </x:row>
    <x:row r="115">
      <x:c r="A115" s="155" t="n">
        <x:v>42483</x:v>
      </x:c>
      <x:c r="B115" s="153"/>
      <x:c r="C115" s="153"/>
      <x:c r="D115" s="153"/>
      <x:c r="E115" s="153"/>
      <x:c r="F115" s="153"/>
      <x:c r="G115" s="153" t="n">
        <x:v>0.37</x:v>
      </x:c>
    </x:row>
    <x:row r="116">
      <x:c r="A116" s="155" t="n">
        <x:v>42484</x:v>
      </x:c>
      <x:c r="B116" s="153"/>
      <x:c r="C116" s="153"/>
      <x:c r="D116" s="153"/>
      <x:c r="E116" s="153"/>
      <x:c r="F116" s="153"/>
      <x:c r="G116" s="153" t="n">
        <x:v>0.37</x:v>
      </x:c>
    </x:row>
    <x:row r="117">
      <x:c r="A117" s="155" t="n">
        <x:v>42485</x:v>
      </x:c>
      <x:c r="B117" s="153" t="n">
        <x:v>1.91</x:v>
      </x:c>
      <x:c r="C117" s="153" t="n">
        <x:v>0.26</x:v>
      </x:c>
      <x:c r="D117" s="153" t="n">
        <x:v>1.65</x:v>
      </x:c>
      <x:c r="E117" s="153" t="n">
        <x:v>110.1865</x:v>
      </x:c>
      <x:c r="F117" s="153" t="n">
        <x:v>14.08</x:v>
      </x:c>
      <x:c r="G117" s="153" t="n">
        <x:v>0.37</x:v>
      </x:c>
    </x:row>
    <x:row r="118">
      <x:c r="A118" s="155" t="n">
        <x:v>42486</x:v>
      </x:c>
      <x:c r="B118" s="153" t="n">
        <x:v>1.94</x:v>
      </x:c>
      <x:c r="C118" s="153" t="n">
        <x:v>0.27</x:v>
      </x:c>
      <x:c r="D118" s="153" t="n">
        <x:v>1.67</x:v>
      </x:c>
      <x:c r="E118" s="153" t="n">
        <x:v>109.7496</x:v>
      </x:c>
      <x:c r="F118" s="153" t="n">
        <x:v>13.96</x:v>
      </x:c>
      <x:c r="G118" s="153" t="n">
        <x:v>0.37</x:v>
      </x:c>
    </x:row>
    <x:row r="119">
      <x:c r="A119" s="155" t="n">
        <x:v>42487</x:v>
      </x:c>
      <x:c r="B119" s="153" t="n">
        <x:v>1.87</x:v>
      </x:c>
      <x:c r="C119" s="153" t="n">
        <x:v>0.19</x:v>
      </x:c>
      <x:c r="D119" s="153" t="n">
        <x:v>1.68</x:v>
      </x:c>
      <x:c r="E119" s="153" t="n">
        <x:v>109.8483</x:v>
      </x:c>
      <x:c r="F119" s="153" t="n">
        <x:v>13.77</x:v>
      </x:c>
      <x:c r="G119" s="153" t="n">
        <x:v>0.37</x:v>
      </x:c>
    </x:row>
    <x:row r="120">
      <x:c r="A120" s="155" t="n">
        <x:v>42488</x:v>
      </x:c>
      <x:c r="B120" s="153" t="n">
        <x:v>1.84</x:v>
      </x:c>
      <x:c r="C120" s="153" t="n">
        <x:v>0.12</x:v>
      </x:c>
      <x:c r="D120" s="153" t="n">
        <x:v>1.72</x:v>
      </x:c>
      <x:c r="E120" s="153" t="n">
        <x:v>109.2148</x:v>
      </x:c>
      <x:c r="F120" s="153" t="n">
        <x:v>15.22</x:v>
      </x:c>
      <x:c r="G120" s="153" t="n">
        <x:v>0.37</x:v>
      </x:c>
    </x:row>
    <x:row r="121">
      <x:c r="A121" s="155" t="n">
        <x:v>42489</x:v>
      </x:c>
      <x:c r="B121" s="153" t="n">
        <x:v>1.83</x:v>
      </x:c>
      <x:c r="C121" s="153" t="n">
        <x:v>0.12</x:v>
      </x:c>
      <x:c r="D121" s="153" t="n">
        <x:v>1.71</x:v>
      </x:c>
      <x:c r="E121" s="153" t="n">
        <x:v>108.8274</x:v>
      </x:c>
      <x:c r="F121" s="153" t="n">
        <x:v>15.7</x:v>
      </x:c>
      <x:c r="G121" s="153" t="n">
        <x:v>0.3</x:v>
      </x:c>
    </x:row>
    <x:row r="122">
      <x:c r="A122" s="155" t="n">
        <x:v>42490</x:v>
      </x:c>
      <x:c r="B122" s="153"/>
      <x:c r="C122" s="153"/>
      <x:c r="D122" s="153"/>
      <x:c r="E122" s="153"/>
      <x:c r="F122" s="153"/>
      <x:c r="G122" s="153" t="n">
        <x:v>0.3</x:v>
      </x:c>
    </x:row>
    <x:row r="123">
      <x:c r="A123" s="155" t="n">
        <x:v>42491</x:v>
      </x:c>
      <x:c r="B123" s="153"/>
      <x:c r="C123" s="153"/>
      <x:c r="D123" s="153"/>
      <x:c r="E123" s="153"/>
      <x:c r="F123" s="153"/>
      <x:c r="G123" s="153" t="n">
        <x:v>0.3</x:v>
      </x:c>
    </x:row>
    <x:row r="124">
      <x:c r="A124" s="155" t="n">
        <x:v>42492</x:v>
      </x:c>
      <x:c r="B124" s="153" t="n">
        <x:v>1.88</x:v>
      </x:c>
      <x:c r="C124" s="153" t="n">
        <x:v>0.2</x:v>
      </x:c>
      <x:c r="D124" s="153" t="n">
        <x:v>1.68</x:v>
      </x:c>
      <x:c r="E124" s="153" t="n">
        <x:v>108.671</x:v>
      </x:c>
      <x:c r="F124" s="153" t="n">
        <x:v>14.68</x:v>
      </x:c>
      <x:c r="G124" s="153" t="n">
        <x:v>0.37</x:v>
      </x:c>
    </x:row>
    <x:row r="125">
      <x:c r="A125" s="155" t="n">
        <x:v>42493</x:v>
      </x:c>
      <x:c r="B125" s="153" t="n">
        <x:v>1.81</x:v>
      </x:c>
      <x:c r="C125" s="153" t="n">
        <x:v>0.17</x:v>
      </x:c>
      <x:c r="D125" s="153" t="n">
        <x:v>1.64</x:v>
      </x:c>
      <x:c r="E125" s="153" t="n">
        <x:v>109.3613</x:v>
      </x:c>
      <x:c r="F125" s="153" t="n">
        <x:v>15.6</x:v>
      </x:c>
      <x:c r="G125" s="153" t="n">
        <x:v>0.37</x:v>
      </x:c>
    </x:row>
    <x:row r="126">
      <x:c r="A126" s="155" t="n">
        <x:v>42494</x:v>
      </x:c>
      <x:c r="B126" s="153" t="n">
        <x:v>1.79</x:v>
      </x:c>
      <x:c r="C126" s="153" t="n">
        <x:v>0.16</x:v>
      </x:c>
      <x:c r="D126" s="153" t="n">
        <x:v>1.63</x:v>
      </x:c>
      <x:c r="E126" s="153" t="n">
        <x:v>109.9952</x:v>
      </x:c>
      <x:c r="F126" s="153" t="n">
        <x:v>16.05</x:v>
      </x:c>
      <x:c r="G126" s="153" t="n">
        <x:v>0.37</x:v>
      </x:c>
    </x:row>
    <x:row r="127">
      <x:c r="A127" s="155" t="n">
        <x:v>42495</x:v>
      </x:c>
      <x:c r="B127" s="153" t="n">
        <x:v>1.76</x:v>
      </x:c>
      <x:c r="C127" s="153" t="n">
        <x:v>0.13</x:v>
      </x:c>
      <x:c r="D127" s="153" t="n">
        <x:v>1.63</x:v>
      </x:c>
      <x:c r="E127" s="153" t="n">
        <x:v>110.2417</x:v>
      </x:c>
      <x:c r="F127" s="153" t="n">
        <x:v>15.91</x:v>
      </x:c>
      <x:c r="G127" s="153" t="n">
        <x:v>0.37</x:v>
      </x:c>
    </x:row>
    <x:row r="128">
      <x:c r="A128" s="155" t="n">
        <x:v>42496</x:v>
      </x:c>
      <x:c r="B128" s="153" t="n">
        <x:v>1.79</x:v>
      </x:c>
      <x:c r="C128" s="153" t="n">
        <x:v>0.18</x:v>
      </x:c>
      <x:c r="D128" s="153" t="n">
        <x:v>1.61</x:v>
      </x:c>
      <x:c r="E128" s="153" t="n">
        <x:v>110.3801</x:v>
      </x:c>
      <x:c r="F128" s="153" t="n">
        <x:v>14.72</x:v>
      </x:c>
      <x:c r="G128" s="153" t="n">
        <x:v>0.37</x:v>
      </x:c>
    </x:row>
    <x:row r="129">
      <x:c r="A129" s="155" t="n">
        <x:v>42497</x:v>
      </x:c>
      <x:c r="B129" s="153"/>
      <x:c r="C129" s="153"/>
      <x:c r="D129" s="153"/>
      <x:c r="E129" s="153"/>
      <x:c r="F129" s="153"/>
      <x:c r="G129" s="153" t="n">
        <x:v>0.37</x:v>
      </x:c>
    </x:row>
    <x:row r="130">
      <x:c r="A130" s="155" t="n">
        <x:v>42498</x:v>
      </x:c>
      <x:c r="B130" s="153"/>
      <x:c r="C130" s="153"/>
      <x:c r="D130" s="153"/>
      <x:c r="E130" s="153"/>
      <x:c r="F130" s="153"/>
      <x:c r="G130" s="153" t="n">
        <x:v>0.37</x:v>
      </x:c>
    </x:row>
    <x:row r="131">
      <x:c r="A131" s="155" t="n">
        <x:v>42499</x:v>
      </x:c>
      <x:c r="B131" s="153" t="n">
        <x:v>1.77</x:v>
      </x:c>
      <x:c r="C131" s="153" t="n">
        <x:v>0.18</x:v>
      </x:c>
      <x:c r="D131" s="153" t="n">
        <x:v>1.59</x:v>
      </x:c>
      <x:c r="E131" s="153" t="n">
        <x:v>110.9466</x:v>
      </x:c>
      <x:c r="F131" s="153" t="n">
        <x:v>14.57</x:v>
      </x:c>
      <x:c r="G131" s="153" t="n">
        <x:v>0.37</x:v>
      </x:c>
    </x:row>
    <x:row r="132">
      <x:c r="A132" s="155" t="n">
        <x:v>42500</x:v>
      </x:c>
      <x:c r="B132" s="153" t="n">
        <x:v>1.77</x:v>
      </x:c>
      <x:c r="C132" s="153" t="n">
        <x:v>0.15</x:v>
      </x:c>
      <x:c r="D132" s="153" t="n">
        <x:v>1.62</x:v>
      </x:c>
      <x:c r="E132" s="153" t="n">
        <x:v>110.8225</x:v>
      </x:c>
      <x:c r="F132" s="153" t="n">
        <x:v>13.63</x:v>
      </x:c>
      <x:c r="G132" s="153" t="n">
        <x:v>0.37</x:v>
      </x:c>
    </x:row>
    <x:row r="133">
      <x:c r="A133" s="155" t="n">
        <x:v>42501</x:v>
      </x:c>
      <x:c r="B133" s="153" t="n">
        <x:v>1.73</x:v>
      </x:c>
      <x:c r="C133" s="153" t="n">
        <x:v>0.14</x:v>
      </x:c>
      <x:c r="D133" s="153" t="n">
        <x:v>1.59</x:v>
      </x:c>
      <x:c r="E133" s="153" t="n">
        <x:v>110.2806</x:v>
      </x:c>
      <x:c r="F133" s="153" t="n">
        <x:v>14.69</x:v>
      </x:c>
      <x:c r="G133" s="153" t="n">
        <x:v>0.37</x:v>
      </x:c>
    </x:row>
    <x:row r="134">
      <x:c r="A134" s="155" t="n">
        <x:v>42502</x:v>
      </x:c>
      <x:c r="B134" s="153" t="n">
        <x:v>1.75</x:v>
      </x:c>
      <x:c r="C134" s="153" t="n">
        <x:v>0.15</x:v>
      </x:c>
      <x:c r="D134" s="153" t="n">
        <x:v>1.6</x:v>
      </x:c>
      <x:c r="E134" s="153" t="n">
        <x:v>110.6935</x:v>
      </x:c>
      <x:c r="F134" s="153" t="n">
        <x:v>14.41</x:v>
      </x:c>
      <x:c r="G134" s="153" t="n">
        <x:v>0.37</x:v>
      </x:c>
    </x:row>
    <x:row r="135">
      <x:c r="A135" s="155" t="n">
        <x:v>42503</x:v>
      </x:c>
      <x:c r="B135" s="153" t="n">
        <x:v>1.71</x:v>
      </x:c>
      <x:c r="C135" s="153" t="n">
        <x:v>0.13</x:v>
      </x:c>
      <x:c r="D135" s="153" t="n">
        <x:v>1.58</x:v>
      </x:c>
      <x:c r="E135" s="153" t="n">
        <x:v>111.2521</x:v>
      </x:c>
      <x:c r="F135" s="153" t="n">
        <x:v>15.04</x:v>
      </x:c>
      <x:c r="G135" s="153" t="n">
        <x:v>0.37</x:v>
      </x:c>
    </x:row>
    <x:row r="136">
      <x:c r="A136" s="155" t="n">
        <x:v>42504</x:v>
      </x:c>
      <x:c r="B136" s="153"/>
      <x:c r="C136" s="153"/>
      <x:c r="D136" s="153"/>
      <x:c r="E136" s="153"/>
      <x:c r="F136" s="153"/>
      <x:c r="G136" s="153" t="n">
        <x:v>0.37</x:v>
      </x:c>
    </x:row>
    <x:row r="137">
      <x:c r="A137" s="155" t="n">
        <x:v>42505</x:v>
      </x:c>
      <x:c r="B137" s="153"/>
      <x:c r="C137" s="153"/>
      <x:c r="D137" s="153"/>
      <x:c r="E137" s="153"/>
      <x:c r="F137" s="153"/>
      <x:c r="G137" s="153" t="n">
        <x:v>0.37</x:v>
      </x:c>
    </x:row>
    <x:row r="138">
      <x:c r="A138" s="155" t="n">
        <x:v>42506</x:v>
      </x:c>
      <x:c r="B138" s="153" t="n">
        <x:v>1.75</x:v>
      </x:c>
      <x:c r="C138" s="153" t="n">
        <x:v>0.15</x:v>
      </x:c>
      <x:c r="D138" s="153" t="n">
        <x:v>1.6</x:v>
      </x:c>
      <x:c r="E138" s="153" t="n">
        <x:v>111.1217</x:v>
      </x:c>
      <x:c r="F138" s="153" t="n">
        <x:v>14.68</x:v>
      </x:c>
      <x:c r="G138" s="153" t="n">
        <x:v>0.37</x:v>
      </x:c>
    </x:row>
    <x:row r="139">
      <x:c r="A139" s="155" t="n">
        <x:v>42507</x:v>
      </x:c>
      <x:c r="B139" s="153" t="n">
        <x:v>1.76</x:v>
      </x:c>
      <x:c r="C139" s="153" t="n">
        <x:v>0.15</x:v>
      </x:c>
      <x:c r="D139" s="153" t="n">
        <x:v>1.61</x:v>
      </x:c>
      <x:c r="E139" s="153" t="n">
        <x:v>111.0867</x:v>
      </x:c>
      <x:c r="F139" s="153" t="n">
        <x:v>15.57</x:v>
      </x:c>
      <x:c r="G139" s="153" t="n">
        <x:v>0.37</x:v>
      </x:c>
    </x:row>
    <x:row r="140">
      <x:c r="A140" s="155" t="n">
        <x:v>42508</x:v>
      </x:c>
      <x:c r="B140" s="153" t="n">
        <x:v>1.87</x:v>
      </x:c>
      <x:c r="C140" s="153" t="n">
        <x:v>0.26</x:v>
      </x:c>
      <x:c r="D140" s="153" t="n">
        <x:v>1.61</x:v>
      </x:c>
      <x:c r="E140" s="153" t="n">
        <x:v>111.4995</x:v>
      </x:c>
      <x:c r="F140" s="153" t="n">
        <x:v>15.95</x:v>
      </x:c>
      <x:c r="G140" s="153" t="n">
        <x:v>0.37</x:v>
      </x:c>
    </x:row>
    <x:row r="141">
      <x:c r="A141" s="155" t="n">
        <x:v>42509</x:v>
      </x:c>
      <x:c r="B141" s="153" t="n">
        <x:v>1.85</x:v>
      </x:c>
      <x:c r="C141" s="153" t="n">
        <x:v>0.29</x:v>
      </x:c>
      <x:c r="D141" s="153" t="n">
        <x:v>1.56</x:v>
      </x:c>
      <x:c r="E141" s="153" t="n">
        <x:v>112.2331</x:v>
      </x:c>
      <x:c r="F141" s="153" t="n">
        <x:v>16.33</x:v>
      </x:c>
      <x:c r="G141" s="153" t="n">
        <x:v>0.37</x:v>
      </x:c>
    </x:row>
    <x:row r="142">
      <x:c r="A142" s="155" t="n">
        <x:v>42510</x:v>
      </x:c>
      <x:c r="B142" s="153" t="n">
        <x:v>1.85</x:v>
      </x:c>
      <x:c r="C142" s="153" t="n">
        <x:v>0.29</x:v>
      </x:c>
      <x:c r="D142" s="153" t="n">
        <x:v>1.56</x:v>
      </x:c>
      <x:c r="E142" s="153" t="n">
        <x:v>112.1822</x:v>
      </x:c>
      <x:c r="F142" s="153" t="n">
        <x:v>15.2</x:v>
      </x:c>
      <x:c r="G142" s="153" t="n">
        <x:v>0.37</x:v>
      </x:c>
    </x:row>
    <x:row r="143">
      <x:c r="A143" s="155" t="n">
        <x:v>42511</x:v>
      </x:c>
      <x:c r="B143" s="153"/>
      <x:c r="C143" s="153"/>
      <x:c r="D143" s="153"/>
      <x:c r="E143" s="153"/>
      <x:c r="F143" s="153"/>
      <x:c r="G143" s="153" t="n">
        <x:v>0.37</x:v>
      </x:c>
    </x:row>
    <x:row r="144">
      <x:c r="A144" s="155" t="n">
        <x:v>42512</x:v>
      </x:c>
      <x:c r="B144" s="153"/>
      <x:c r="C144" s="153"/>
      <x:c r="D144" s="153"/>
      <x:c r="E144" s="153"/>
      <x:c r="F144" s="153"/>
      <x:c r="G144" s="153" t="n">
        <x:v>0.37</x:v>
      </x:c>
    </x:row>
    <x:row r="145">
      <x:c r="A145" s="155" t="n">
        <x:v>42513</x:v>
      </x:c>
      <x:c r="B145" s="153" t="n">
        <x:v>1.84</x:v>
      </x:c>
      <x:c r="C145" s="153" t="n">
        <x:v>0.3</x:v>
      </x:c>
      <x:c r="D145" s="153" t="n">
        <x:v>1.54</x:v>
      </x:c>
      <x:c r="E145" s="153" t="n">
        <x:v>112.284</x:v>
      </x:c>
      <x:c r="F145" s="153" t="n">
        <x:v>15.82</x:v>
      </x:c>
      <x:c r="G145" s="153" t="n">
        <x:v>0.37</x:v>
      </x:c>
    </x:row>
    <x:row r="146">
      <x:c r="A146" s="155" t="n">
        <x:v>42514</x:v>
      </x:c>
      <x:c r="B146" s="153" t="n">
        <x:v>1.86</x:v>
      </x:c>
      <x:c r="C146" s="153" t="n">
        <x:v>0.31</x:v>
      </x:c>
      <x:c r="D146" s="153" t="n">
        <x:v>1.55</x:v>
      </x:c>
      <x:c r="E146" s="153" t="n">
        <x:v>112.2912</x:v>
      </x:c>
      <x:c r="F146" s="153" t="n">
        <x:v>14.42</x:v>
      </x:c>
      <x:c r="G146" s="153" t="n">
        <x:v>0.37</x:v>
      </x:c>
    </x:row>
    <x:row r="147">
      <x:c r="A147" s="155" t="n">
        <x:v>42515</x:v>
      </x:c>
      <x:c r="B147" s="153" t="n">
        <x:v>1.87</x:v>
      </x:c>
      <x:c r="C147" s="153" t="n">
        <x:v>0.29</x:v>
      </x:c>
      <x:c r="D147" s="153" t="n">
        <x:v>1.58</x:v>
      </x:c>
      <x:c r="E147" s="153" t="n">
        <x:v>112.2001</x:v>
      </x:c>
      <x:c r="F147" s="153" t="n">
        <x:v>13.9</x:v>
      </x:c>
      <x:c r="G147" s="153" t="n">
        <x:v>0.37</x:v>
      </x:c>
    </x:row>
    <x:row r="148">
      <x:c r="A148" s="155" t="n">
        <x:v>42516</x:v>
      </x:c>
      <x:c r="B148" s="153" t="n">
        <x:v>1.83</x:v>
      </x:c>
      <x:c r="C148" s="153" t="n">
        <x:v>0.25</x:v>
      </x:c>
      <x:c r="D148" s="153" t="n">
        <x:v>1.58</x:v>
      </x:c>
      <x:c r="E148" s="153" t="n">
        <x:v>111.8979</x:v>
      </x:c>
      <x:c r="F148" s="153" t="n">
        <x:v>13.43</x:v>
      </x:c>
      <x:c r="G148" s="153" t="n">
        <x:v>0.37</x:v>
      </x:c>
    </x:row>
    <x:row r="149">
      <x:c r="A149" s="155" t="n">
        <x:v>42517</x:v>
      </x:c>
      <x:c r="B149" s="153" t="n">
        <x:v>1.85</x:v>
      </x:c>
      <x:c r="C149" s="153" t="n">
        <x:v>0.27</x:v>
      </x:c>
      <x:c r="D149" s="153" t="n">
        <x:v>1.58</x:v>
      </x:c>
      <x:c r="E149" s="153" t="n">
        <x:v>112.0822</x:v>
      </x:c>
      <x:c r="F149" s="153" t="n">
        <x:v>13.12</x:v>
      </x:c>
      <x:c r="G149" s="153" t="n">
        <x:v>0.37</x:v>
      </x:c>
    </x:row>
    <x:row r="150">
      <x:c r="A150" s="155" t="n">
        <x:v>42518</x:v>
      </x:c>
      <x:c r="B150" s="153"/>
      <x:c r="C150" s="153"/>
      <x:c r="D150" s="153"/>
      <x:c r="E150" s="153"/>
      <x:c r="F150" s="153"/>
      <x:c r="G150" s="153" t="n">
        <x:v>0.37</x:v>
      </x:c>
    </x:row>
    <x:row r="151">
      <x:c r="A151" s="155" t="n">
        <x:v>42519</x:v>
      </x:c>
      <x:c r="B151" s="153"/>
      <x:c r="C151" s="153"/>
      <x:c r="D151" s="153"/>
      <x:c r="E151" s="153"/>
      <x:c r="F151" s="153"/>
      <x:c r="G151" s="153" t="n">
        <x:v>0.37</x:v>
      </x:c>
    </x:row>
    <x:row r="152">
      <x:c r="A152" s="155" t="n">
        <x:v>42520</x:v>
      </x:c>
      <x:c r="B152" s="153"/>
      <x:c r="C152" s="153"/>
      <x:c r="D152" s="153"/>
      <x:c r="E152" s="153"/>
      <x:c r="F152" s="153"/>
      <x:c r="G152" s="153" t="n">
        <x:v>0.37</x:v>
      </x:c>
    </x:row>
    <x:row r="153">
      <x:c r="A153" s="155" t="n">
        <x:v>42521</x:v>
      </x:c>
      <x:c r="B153" s="153" t="n">
        <x:v>1.84</x:v>
      </x:c>
      <x:c r="C153" s="153" t="n">
        <x:v>0.3</x:v>
      </x:c>
      <x:c r="D153" s="153" t="n">
        <x:v>1.54</x:v>
      </x:c>
      <x:c r="E153" s="153" t="n">
        <x:v>112.4276</x:v>
      </x:c>
      <x:c r="F153" s="153" t="n">
        <x:v>14.19</x:v>
      </x:c>
      <x:c r="G153" s="153" t="n">
        <x:v>0.29</x:v>
      </x:c>
    </x:row>
    <x:row r="154">
      <x:c r="A154" s="155" t="n">
        <x:v>42522</x:v>
      </x:c>
      <x:c r="B154" s="153" t="n">
        <x:v>1.85</x:v>
      </x:c>
      <x:c r="C154" s="153" t="n">
        <x:v>0.31</x:v>
      </x:c>
      <x:c r="D154" s="153" t="n">
        <x:v>1.54</x:v>
      </x:c>
      <x:c r="E154" s="153" t="n">
        <x:v>112.462</x:v>
      </x:c>
      <x:c r="F154" s="153" t="n">
        <x:v>14.2</x:v>
      </x:c>
      <x:c r="G154" s="153" t="n">
        <x:v>0.37</x:v>
      </x:c>
    </x:row>
    <x:row r="155">
      <x:c r="A155" s="155" t="n">
        <x:v>42523</x:v>
      </x:c>
      <x:c r="B155" s="153" t="n">
        <x:v>1.81</x:v>
      </x:c>
      <x:c r="C155" s="153" t="n">
        <x:v>0.27</x:v>
      </x:c>
      <x:c r="D155" s="153" t="n">
        <x:v>1.54</x:v>
      </x:c>
      <x:c r="E155" s="153" t="n">
        <x:v>112.4564</x:v>
      </x:c>
      <x:c r="F155" s="153" t="n">
        <x:v>13.63</x:v>
      </x:c>
      <x:c r="G155" s="153" t="n">
        <x:v>0.37</x:v>
      </x:c>
    </x:row>
    <x:row r="156">
      <x:c r="A156" s="155" t="n">
        <x:v>42524</x:v>
      </x:c>
      <x:c r="B156" s="153" t="n">
        <x:v>1.71</x:v>
      </x:c>
      <x:c r="C156" s="153" t="n">
        <x:v>0.19</x:v>
      </x:c>
      <x:c r="D156" s="153" t="n">
        <x:v>1.52</x:v>
      </x:c>
      <x:c r="E156" s="153" t="n">
        <x:v>111.4451</x:v>
      </x:c>
      <x:c r="F156" s="153" t="n">
        <x:v>13.47</x:v>
      </x:c>
      <x:c r="G156" s="153" t="n">
        <x:v>0.37</x:v>
      </x:c>
    </x:row>
    <x:row r="157">
      <x:c r="A157" s="155" t="n">
        <x:v>42525</x:v>
      </x:c>
      <x:c r="B157" s="153"/>
      <x:c r="C157" s="153"/>
      <x:c r="D157" s="153"/>
      <x:c r="E157" s="153"/>
      <x:c r="F157" s="153"/>
      <x:c r="G157" s="153" t="n">
        <x:v>0.37</x:v>
      </x:c>
    </x:row>
    <x:row r="158">
      <x:c r="A158" s="155" t="n">
        <x:v>42526</x:v>
      </x:c>
      <x:c r="B158" s="153"/>
      <x:c r="C158" s="153"/>
      <x:c r="D158" s="153"/>
      <x:c r="E158" s="153"/>
      <x:c r="F158" s="153"/>
      <x:c r="G158" s="153" t="n">
        <x:v>0.37</x:v>
      </x:c>
    </x:row>
    <x:row r="159">
      <x:c r="A159" s="155" t="n">
        <x:v>42527</x:v>
      </x:c>
      <x:c r="B159" s="153" t="n">
        <x:v>1.73</x:v>
      </x:c>
      <x:c r="C159" s="153" t="n">
        <x:v>0.19</x:v>
      </x:c>
      <x:c r="D159" s="153" t="n">
        <x:v>1.54</x:v>
      </x:c>
      <x:c r="E159" s="153" t="n">
        <x:v>111.2295</x:v>
      </x:c>
      <x:c r="F159" s="153" t="n">
        <x:v>13.65</x:v>
      </x:c>
      <x:c r="G159" s="153" t="n">
        <x:v>0.37</x:v>
      </x:c>
    </x:row>
    <x:row r="160">
      <x:c r="A160" s="155" t="n">
        <x:v>42528</x:v>
      </x:c>
      <x:c r="B160" s="153" t="n">
        <x:v>1.72</x:v>
      </x:c>
      <x:c r="C160" s="153" t="n">
        <x:v>0.15</x:v>
      </x:c>
      <x:c r="D160" s="153" t="n">
        <x:v>1.57</x:v>
      </x:c>
      <x:c r="E160" s="153" t="n">
        <x:v>110.8378</x:v>
      </x:c>
      <x:c r="F160" s="153" t="n">
        <x:v>14.05</x:v>
      </x:c>
      <x:c r="G160" s="153" t="n">
        <x:v>0.37</x:v>
      </x:c>
    </x:row>
    <x:row r="161">
      <x:c r="A161" s="155" t="n">
        <x:v>42529</x:v>
      </x:c>
      <x:c r="B161" s="153" t="n">
        <x:v>1.71</x:v>
      </x:c>
      <x:c r="C161" s="153" t="n">
        <x:v>0.12</x:v>
      </x:c>
      <x:c r="D161" s="153" t="n">
        <x:v>1.59</x:v>
      </x:c>
      <x:c r="E161" s="153" t="n">
        <x:v>110.1916</x:v>
      </x:c>
      <x:c r="F161" s="153" t="n">
        <x:v>14.08</x:v>
      </x:c>
      <x:c r="G161" s="153" t="n">
        <x:v>0.37</x:v>
      </x:c>
    </x:row>
    <x:row r="162">
      <x:c r="A162" s="155" t="n">
        <x:v>42530</x:v>
      </x:c>
      <x:c r="B162" s="153" t="n">
        <x:v>1.68</x:v>
      </x:c>
      <x:c r="C162" s="153" t="n">
        <x:v>0.12</x:v>
      </x:c>
      <x:c r="D162" s="153" t="n">
        <x:v>1.56</x:v>
      </x:c>
      <x:c r="E162" s="153" t="n">
        <x:v>110.6168</x:v>
      </x:c>
      <x:c r="F162" s="153" t="n">
        <x:v>14.64</x:v>
      </x:c>
      <x:c r="G162" s="153" t="n">
        <x:v>0.37</x:v>
      </x:c>
    </x:row>
    <x:row r="163">
      <x:c r="A163" s="155" t="n">
        <x:v>42531</x:v>
      </x:c>
      <x:c r="B163" s="153" t="n">
        <x:v>1.64</x:v>
      </x:c>
      <x:c r="C163" s="153" t="n">
        <x:v>0.12</x:v>
      </x:c>
      <x:c r="D163" s="153" t="n">
        <x:v>1.52</x:v>
      </x:c>
      <x:c r="E163" s="153" t="n">
        <x:v>111.1027</x:v>
      </x:c>
      <x:c r="F163" s="153" t="n">
        <x:v>17.03</x:v>
      </x:c>
      <x:c r="G163" s="153" t="n">
        <x:v>0.37</x:v>
      </x:c>
    </x:row>
    <x:row r="164">
      <x:c r="A164" s="155" t="n">
        <x:v>42532</x:v>
      </x:c>
      <x:c r="B164" s="153"/>
      <x:c r="C164" s="153"/>
      <x:c r="D164" s="153"/>
      <x:c r="E164" s="153"/>
      <x:c r="F164" s="153"/>
      <x:c r="G164" s="153" t="n">
        <x:v>0.37</x:v>
      </x:c>
    </x:row>
    <x:row r="165">
      <x:c r="A165" s="155" t="n">
        <x:v>42533</x:v>
      </x:c>
      <x:c r="B165" s="153"/>
      <x:c r="C165" s="153"/>
      <x:c r="D165" s="153"/>
      <x:c r="E165" s="153"/>
      <x:c r="F165" s="153"/>
      <x:c r="G165" s="153" t="n">
        <x:v>0.37</x:v>
      </x:c>
    </x:row>
    <x:row r="166">
      <x:c r="A166" s="155" t="n">
        <x:v>42534</x:v>
      </x:c>
      <x:c r="B166" s="153" t="n">
        <x:v>1.62</x:v>
      </x:c>
      <x:c r="C166" s="153" t="n">
        <x:v>0.15</x:v>
      </x:c>
      <x:c r="D166" s="153" t="n">
        <x:v>1.47</x:v>
      </x:c>
      <x:c r="E166" s="153" t="n">
        <x:v>111.5036</x:v>
      </x:c>
      <x:c r="F166" s="153" t="n">
        <x:v>20.97</x:v>
      </x:c>
      <x:c r="G166" s="153" t="n">
        <x:v>0.37</x:v>
      </x:c>
    </x:row>
    <x:row r="167">
      <x:c r="A167" s="155" t="n">
        <x:v>42535</x:v>
      </x:c>
      <x:c r="B167" s="153" t="n">
        <x:v>1.62</x:v>
      </x:c>
      <x:c r="C167" s="153" t="n">
        <x:v>0.17</x:v>
      </x:c>
      <x:c r="D167" s="153" t="n">
        <x:v>1.45</x:v>
      </x:c>
      <x:c r="E167" s="153" t="n">
        <x:v>111.9826</x:v>
      </x:c>
      <x:c r="F167" s="153" t="n">
        <x:v>20.5</x:v>
      </x:c>
      <x:c r="G167" s="153" t="n">
        <x:v>0.37</x:v>
      </x:c>
    </x:row>
    <x:row r="168">
      <x:c r="A168" s="155" t="n">
        <x:v>42536</x:v>
      </x:c>
      <x:c r="B168" s="153" t="n">
        <x:v>1.6</x:v>
      </x:c>
      <x:c r="C168" s="153" t="n">
        <x:v>0.13</x:v>
      </x:c>
      <x:c r="D168" s="153" t="n">
        <x:v>1.47</x:v>
      </x:c>
      <x:c r="E168" s="153" t="n">
        <x:v>111.7671</x:v>
      </x:c>
      <x:c r="F168" s="153" t="n">
        <x:v>20.14</x:v>
      </x:c>
      <x:c r="G168" s="153" t="n">
        <x:v>0.37</x:v>
      </x:c>
    </x:row>
    <x:row r="169">
      <x:c r="A169" s="155" t="n">
        <x:v>42537</x:v>
      </x:c>
      <x:c r="B169" s="153" t="n">
        <x:v>1.57</x:v>
      </x:c>
      <x:c r="C169" s="153" t="n">
        <x:v>0.15</x:v>
      </x:c>
      <x:c r="D169" s="153" t="n">
        <x:v>1.42</x:v>
      </x:c>
      <x:c r="E169" s="153" t="n">
        <x:v>112.2347</x:v>
      </x:c>
      <x:c r="F169" s="153" t="n">
        <x:v>19.37</x:v>
      </x:c>
      <x:c r="G169" s="153" t="n">
        <x:v>0.38</x:v>
      </x:c>
    </x:row>
    <x:row r="170">
      <x:c r="A170" s="155" t="n">
        <x:v>42538</x:v>
      </x:c>
      <x:c r="B170" s="153" t="n">
        <x:v>1.62</x:v>
      </x:c>
      <x:c r="C170" s="153" t="n">
        <x:v>0.2</x:v>
      </x:c>
      <x:c r="D170" s="153" t="n">
        <x:v>1.42</x:v>
      </x:c>
      <x:c r="E170" s="153" t="n">
        <x:v>111.5332</x:v>
      </x:c>
      <x:c r="F170" s="153" t="n">
        <x:v>19.41</x:v>
      </x:c>
      <x:c r="G170" s="153" t="n">
        <x:v>0.38</x:v>
      </x:c>
    </x:row>
    <x:row r="171">
      <x:c r="A171" s="155" t="n">
        <x:v>42539</x:v>
      </x:c>
      <x:c r="B171" s="153"/>
      <x:c r="C171" s="153"/>
      <x:c r="D171" s="153"/>
      <x:c r="E171" s="153"/>
      <x:c r="F171" s="153"/>
      <x:c r="G171" s="153" t="n">
        <x:v>0.38</x:v>
      </x:c>
    </x:row>
    <x:row r="172">
      <x:c r="A172" s="155" t="n">
        <x:v>42540</x:v>
      </x:c>
      <x:c r="B172" s="153"/>
      <x:c r="C172" s="153"/>
      <x:c r="D172" s="153"/>
      <x:c r="E172" s="153"/>
      <x:c r="F172" s="153"/>
      <x:c r="G172" s="153" t="n">
        <x:v>0.38</x:v>
      </x:c>
    </x:row>
    <x:row r="173">
      <x:c r="A173" s="155" t="n">
        <x:v>42541</x:v>
      </x:c>
      <x:c r="B173" s="153" t="n">
        <x:v>1.67</x:v>
      </x:c>
      <x:c r="C173" s="153" t="n">
        <x:v>0.24</x:v>
      </x:c>
      <x:c r="D173" s="153" t="n">
        <x:v>1.43</x:v>
      </x:c>
      <x:c r="E173" s="153" t="n">
        <x:v>110.8693</x:v>
      </x:c>
      <x:c r="F173" s="153" t="n">
        <x:v>18.37</x:v>
      </x:c>
      <x:c r="G173" s="153" t="n">
        <x:v>0.38</x:v>
      </x:c>
    </x:row>
    <x:row r="174">
      <x:c r="A174" s="155" t="n">
        <x:v>42542</x:v>
      </x:c>
      <x:c r="B174" s="153" t="n">
        <x:v>1.71</x:v>
      </x:c>
      <x:c r="C174" s="153" t="n">
        <x:v>0.28</x:v>
      </x:c>
      <x:c r="D174" s="153" t="n">
        <x:v>1.43</x:v>
      </x:c>
      <x:c r="E174" s="153" t="n">
        <x:v>111.0077</x:v>
      </x:c>
      <x:c r="F174" s="153" t="n">
        <x:v>18.48</x:v>
      </x:c>
      <x:c r="G174" s="153" t="n">
        <x:v>0.38</x:v>
      </x:c>
    </x:row>
    <x:row r="175">
      <x:c r="A175" s="155" t="n">
        <x:v>42543</x:v>
      </x:c>
      <x:c r="B175" s="153" t="n">
        <x:v>1.69</x:v>
      </x:c>
      <x:c r="C175" s="153" t="n">
        <x:v>0.25</x:v>
      </x:c>
      <x:c r="D175" s="153" t="n">
        <x:v>1.44</x:v>
      </x:c>
      <x:c r="E175" s="153" t="n">
        <x:v>110.7681</x:v>
      </x:c>
      <x:c r="F175" s="153" t="n">
        <x:v>21.17</x:v>
      </x:c>
      <x:c r="G175" s="153" t="n">
        <x:v>0.38</x:v>
      </x:c>
    </x:row>
    <x:row r="176">
      <x:c r="A176" s="155" t="n">
        <x:v>42544</x:v>
      </x:c>
      <x:c r="B176" s="153" t="n">
        <x:v>1.74</x:v>
      </x:c>
      <x:c r="C176" s="153" t="n">
        <x:v>0.24</x:v>
      </x:c>
      <x:c r="D176" s="153" t="n">
        <x:v>1.5</x:v>
      </x:c>
      <x:c r="E176" s="153" t="n">
        <x:v>110.262</x:v>
      </x:c>
      <x:c r="F176" s="153" t="n">
        <x:v>17.25</x:v>
      </x:c>
      <x:c r="G176" s="153" t="n">
        <x:v>0.39</x:v>
      </x:c>
    </x:row>
    <x:row r="177">
      <x:c r="A177" s="155" t="n">
        <x:v>42545</x:v>
      </x:c>
      <x:c r="B177" s="153" t="n">
        <x:v>1.57</x:v>
      </x:c>
      <x:c r="C177" s="153" t="n">
        <x:v>0.15</x:v>
      </x:c>
      <x:c r="D177" s="153" t="n">
        <x:v>1.42</x:v>
      </x:c>
      <x:c r="E177" s="153" t="n">
        <x:v>112.1355</x:v>
      </x:c>
      <x:c r="F177" s="153" t="n">
        <x:v>25.76</x:v>
      </x:c>
      <x:c r="G177" s="153" t="n">
        <x:v>0.4</x:v>
      </x:c>
    </x:row>
    <x:row r="178">
      <x:c r="A178" s="155" t="n">
        <x:v>42546</x:v>
      </x:c>
      <x:c r="B178" s="153"/>
      <x:c r="C178" s="153"/>
      <x:c r="D178" s="153"/>
      <x:c r="E178" s="153"/>
      <x:c r="F178" s="153"/>
      <x:c r="G178" s="153" t="n">
        <x:v>0.4</x:v>
      </x:c>
    </x:row>
    <x:row r="179">
      <x:c r="A179" s="155" t="n">
        <x:v>42547</x:v>
      </x:c>
      <x:c r="B179" s="153"/>
      <x:c r="C179" s="153"/>
      <x:c r="D179" s="153"/>
      <x:c r="E179" s="153"/>
      <x:c r="F179" s="153"/>
      <x:c r="G179" s="153" t="n">
        <x:v>0.4</x:v>
      </x:c>
    </x:row>
    <x:row r="180">
      <x:c r="A180" s="155" t="n">
        <x:v>42548</x:v>
      </x:c>
      <x:c r="B180" s="153" t="n">
        <x:v>1.46</x:v>
      </x:c>
      <x:c r="C180" s="153" t="n">
        <x:v>0.12</x:v>
      </x:c>
      <x:c r="D180" s="153" t="n">
        <x:v>1.34</x:v>
      </x:c>
      <x:c r="E180" s="153" t="n">
        <x:v>113.1301</x:v>
      </x:c>
      <x:c r="F180" s="153" t="n">
        <x:v>23.85</x:v>
      </x:c>
      <x:c r="G180" s="153" t="n">
        <x:v>0.41</x:v>
      </x:c>
    </x:row>
    <x:row r="181">
      <x:c r="A181" s="155" t="n">
        <x:v>42549</x:v>
      </x:c>
      <x:c r="B181" s="153" t="n">
        <x:v>1.46</x:v>
      </x:c>
      <x:c r="C181" s="153" t="n">
        <x:v>0.09</x:v>
      </x:c>
      <x:c r="D181" s="153" t="n">
        <x:v>1.37</x:v>
      </x:c>
      <x:c r="E181" s="153" t="n">
        <x:v>112.7545</x:v>
      </x:c>
      <x:c r="F181" s="153" t="n">
        <x:v>18.75</x:v>
      </x:c>
      <x:c r="G181" s="153" t="n">
        <x:v>0.41</x:v>
      </x:c>
    </x:row>
    <x:row r="182">
      <x:c r="A182" s="155" t="n">
        <x:v>42550</x:v>
      </x:c>
      <x:c r="B182" s="153" t="n">
        <x:v>1.5</x:v>
      </x:c>
      <x:c r="C182" s="153" t="n">
        <x:v>0.1</x:v>
      </x:c>
      <x:c r="D182" s="153" t="n">
        <x:v>1.4</x:v>
      </x:c>
      <x:c r="E182" s="153" t="n">
        <x:v>111.8597</x:v>
      </x:c>
      <x:c r="F182" s="153" t="n">
        <x:v>16.64</x:v>
      </x:c>
      <x:c r="G182" s="153" t="n">
        <x:v>0.41</x:v>
      </x:c>
    </x:row>
    <x:row r="183">
      <x:c r="A183" s="155" t="n">
        <x:v>42551</x:v>
      </x:c>
      <x:c r="B183" s="153" t="n">
        <x:v>1.49</x:v>
      </x:c>
      <x:c r="C183" s="153" t="n">
        <x:v>0.09</x:v>
      </x:c>
      <x:c r="D183" s="153" t="n">
        <x:v>1.4</x:v>
      </x:c>
      <x:c r="E183" s="153" t="n">
        <x:v>112.1618</x:v>
      </x:c>
      <x:c r="F183" s="153" t="n">
        <x:v>15.63</x:v>
      </x:c>
      <x:c r="G183" s="153" t="n">
        <x:v>0.3</x:v>
      </x:c>
    </x:row>
    <x:row r="184">
      <x:c r="A184" s="155" t="n">
        <x:v>42552</x:v>
      </x:c>
      <x:c r="B184" s="153" t="n">
        <x:v>1.46</x:v>
      </x:c>
      <x:c r="C184" s="153" t="n">
        <x:v>0.03</x:v>
      </x:c>
      <x:c r="D184" s="153" t="n">
        <x:v>1.43</x:v>
      </x:c>
      <x:c r="E184" s="153" t="n">
        <x:v>111.6509</x:v>
      </x:c>
      <x:c r="F184" s="153" t="n">
        <x:v>14.77</x:v>
      </x:c>
      <x:c r="G184" s="153" t="n">
        <x:v>0.41</x:v>
      </x:c>
    </x:row>
    <x:row r="185">
      <x:c r="A185" s="155" t="n">
        <x:v>42553</x:v>
      </x:c>
      <x:c r="B185" s="153"/>
      <x:c r="C185" s="153"/>
      <x:c r="D185" s="153"/>
      <x:c r="E185" s="153"/>
      <x:c r="F185" s="153"/>
      <x:c r="G185" s="153" t="n">
        <x:v>0.41</x:v>
      </x:c>
    </x:row>
    <x:row r="186">
      <x:c r="A186" s="155" t="n">
        <x:v>42554</x:v>
      </x:c>
      <x:c r="B186" s="153"/>
      <x:c r="C186" s="153"/>
      <x:c r="D186" s="153"/>
      <x:c r="E186" s="153"/>
      <x:c r="F186" s="153"/>
      <x:c r="G186" s="153" t="n">
        <x:v>0.41</x:v>
      </x:c>
    </x:row>
    <x:row r="187">
      <x:c r="A187" s="155" t="n">
        <x:v>42555</x:v>
      </x:c>
      <x:c r="B187" s="153"/>
      <x:c r="C187" s="153"/>
      <x:c r="D187" s="153"/>
      <x:c r="E187" s="153"/>
      <x:c r="F187" s="153"/>
      <x:c r="G187" s="153" t="n">
        <x:v>0.41</x:v>
      </x:c>
    </x:row>
    <x:row r="188">
      <x:c r="A188" s="155" t="n">
        <x:v>42556</x:v>
      </x:c>
      <x:c r="B188" s="153" t="n">
        <x:v>1.37</x:v>
      </x:c>
      <x:c r="C188" s="153" t="n">
        <x:v>-0.03</x:v>
      </x:c>
      <x:c r="D188" s="153" t="n">
        <x:v>1.4</x:v>
      </x:c>
      <x:c r="E188" s="153" t="n">
        <x:v>112.4231</x:v>
      </x:c>
      <x:c r="F188" s="153" t="n">
        <x:v>15.58</x:v>
      </x:c>
      <x:c r="G188" s="153" t="n">
        <x:v>0.4</x:v>
      </x:c>
    </x:row>
    <x:row r="189">
      <x:c r="A189" s="155" t="n">
        <x:v>42557</x:v>
      </x:c>
      <x:c r="B189" s="153" t="n">
        <x:v>1.38</x:v>
      </x:c>
      <x:c r="C189" s="153" t="n">
        <x:v>-0.05</x:v>
      </x:c>
      <x:c r="D189" s="153" t="n">
        <x:v>1.43</x:v>
      </x:c>
      <x:c r="E189" s="153" t="n">
        <x:v>112.5438</x:v>
      </x:c>
      <x:c r="F189" s="153" t="n">
        <x:v>14.96</x:v>
      </x:c>
      <x:c r="G189" s="153" t="n">
        <x:v>0.4</x:v>
      </x:c>
    </x:row>
    <x:row r="190">
      <x:c r="A190" s="155" t="n">
        <x:v>42558</x:v>
      </x:c>
      <x:c r="B190" s="153" t="n">
        <x:v>1.4</x:v>
      </x:c>
      <x:c r="C190" s="153" t="n">
        <x:v>-0.03</x:v>
      </x:c>
      <x:c r="D190" s="153" t="n">
        <x:v>1.43</x:v>
      </x:c>
      <x:c r="E190" s="153" t="n">
        <x:v>112.5775</x:v>
      </x:c>
      <x:c r="F190" s="153" t="n">
        <x:v>14.76</x:v>
      </x:c>
      <x:c r="G190" s="153" t="n">
        <x:v>0.4</x:v>
      </x:c>
    </x:row>
    <x:row r="191">
      <x:c r="A191" s="155" t="n">
        <x:v>42559</x:v>
      </x:c>
      <x:c r="B191" s="153" t="n">
        <x:v>1.37</x:v>
      </x:c>
      <x:c r="C191" s="153" t="n">
        <x:v>-0.06</x:v>
      </x:c>
      <x:c r="D191" s="153" t="n">
        <x:v>1.43</x:v>
      </x:c>
      <x:c r="E191" s="153" t="n">
        <x:v>112.3963</x:v>
      </x:c>
      <x:c r="F191" s="153" t="n">
        <x:v>13.2</x:v>
      </x:c>
      <x:c r="G191" s="153" t="n">
        <x:v>0.4</x:v>
      </x:c>
    </x:row>
    <x:row r="192">
      <x:c r="A192" s="155" t="n">
        <x:v>42560</x:v>
      </x:c>
      <x:c r="B192" s="153"/>
      <x:c r="C192" s="153"/>
      <x:c r="D192" s="153"/>
      <x:c r="E192" s="153"/>
      <x:c r="F192" s="153"/>
      <x:c r="G192" s="153" t="n">
        <x:v>0.4</x:v>
      </x:c>
    </x:row>
    <x:row r="193">
      <x:c r="A193" s="155" t="n">
        <x:v>42561</x:v>
      </x:c>
      <x:c r="B193" s="153"/>
      <x:c r="C193" s="153"/>
      <x:c r="D193" s="153"/>
      <x:c r="E193" s="153"/>
      <x:c r="F193" s="153"/>
      <x:c r="G193" s="153" t="n">
        <x:v>0.4</x:v>
      </x:c>
    </x:row>
    <x:row r="194">
      <x:c r="A194" s="155" t="n">
        <x:v>42562</x:v>
      </x:c>
      <x:c r="B194" s="153" t="n">
        <x:v>1.43</x:v>
      </x:c>
      <x:c r="C194" s="153" t="n">
        <x:v>0.01</x:v>
      </x:c>
      <x:c r="D194" s="153" t="n">
        <x:v>1.42</x:v>
      </x:c>
      <x:c r="E194" s="153" t="n">
        <x:v>112.5254</x:v>
      </x:c>
      <x:c r="F194" s="153" t="n">
        <x:v>13.54</x:v>
      </x:c>
      <x:c r="G194" s="153" t="n">
        <x:v>0.4</x:v>
      </x:c>
    </x:row>
    <x:row r="195">
      <x:c r="A195" s="155" t="n">
        <x:v>42563</x:v>
      </x:c>
      <x:c r="B195" s="153" t="n">
        <x:v>1.53</x:v>
      </x:c>
      <x:c r="C195" s="153" t="n">
        <x:v>0.07</x:v>
      </x:c>
      <x:c r="D195" s="153" t="n">
        <x:v>1.46</x:v>
      </x:c>
      <x:c r="E195" s="153" t="n">
        <x:v>112.1102</x:v>
      </x:c>
      <x:c r="F195" s="153" t="n">
        <x:v>13.55</x:v>
      </x:c>
      <x:c r="G195" s="153" t="n">
        <x:v>0.4</x:v>
      </x:c>
    </x:row>
    <x:row r="196">
      <x:c r="A196" s="155" t="n">
        <x:v>42564</x:v>
      </x:c>
      <x:c r="B196" s="153" t="n">
        <x:v>1.48</x:v>
      </x:c>
      <x:c r="C196" s="153" t="n">
        <x:v>0.03</x:v>
      </x:c>
      <x:c r="D196" s="153" t="n">
        <x:v>1.45</x:v>
      </x:c>
      <x:c r="E196" s="153" t="n">
        <x:v>112.0266</x:v>
      </x:c>
      <x:c r="F196" s="153" t="n">
        <x:v>13.04</x:v>
      </x:c>
      <x:c r="G196" s="153" t="n">
        <x:v>0.4</x:v>
      </x:c>
    </x:row>
    <x:row r="197">
      <x:c r="A197" s="155" t="n">
        <x:v>42565</x:v>
      </x:c>
      <x:c r="B197" s="153" t="n">
        <x:v>1.53</x:v>
      </x:c>
      <x:c r="C197" s="153" t="n">
        <x:v>0.08</x:v>
      </x:c>
      <x:c r="D197" s="153" t="n">
        <x:v>1.45</x:v>
      </x:c>
      <x:c r="E197" s="153" t="n">
        <x:v>111.7692</x:v>
      </x:c>
      <x:c r="F197" s="153" t="n">
        <x:v>12.82</x:v>
      </x:c>
      <x:c r="G197" s="153" t="n">
        <x:v>0.4</x:v>
      </x:c>
    </x:row>
    <x:row r="198">
      <x:c r="A198" s="155" t="n">
        <x:v>42566</x:v>
      </x:c>
      <x:c r="B198" s="153" t="n">
        <x:v>1.6</x:v>
      </x:c>
      <x:c r="C198" s="153" t="n">
        <x:v>0.11</x:v>
      </x:c>
      <x:c r="D198" s="153" t="n">
        <x:v>1.49</x:v>
      </x:c>
      <x:c r="E198" s="153" t="n">
        <x:v>112.2833</x:v>
      </x:c>
      <x:c r="F198" s="153" t="n">
        <x:v>12.67</x:v>
      </x:c>
      <x:c r="G198" s="153" t="n">
        <x:v>0.4</x:v>
      </x:c>
    </x:row>
    <x:row r="199">
      <x:c r="A199" s="155" t="n">
        <x:v>42567</x:v>
      </x:c>
      <x:c r="B199" s="153"/>
      <x:c r="C199" s="153"/>
      <x:c r="D199" s="153"/>
      <x:c r="E199" s="153"/>
      <x:c r="F199" s="153"/>
      <x:c r="G199" s="153" t="n">
        <x:v>0.4</x:v>
      </x:c>
    </x:row>
    <x:row r="200">
      <x:c r="A200" s="155" t="n">
        <x:v>42568</x:v>
      </x:c>
      <x:c r="B200" s="153"/>
      <x:c r="C200" s="153"/>
      <x:c r="D200" s="153"/>
      <x:c r="E200" s="153"/>
      <x:c r="F200" s="153"/>
      <x:c r="G200" s="153" t="n">
        <x:v>0.4</x:v>
      </x:c>
    </x:row>
    <x:row r="201">
      <x:c r="A201" s="155" t="n">
        <x:v>42569</x:v>
      </x:c>
      <x:c r="B201" s="153" t="n">
        <x:v>1.59</x:v>
      </x:c>
      <x:c r="C201" s="153" t="n">
        <x:v>0.1</x:v>
      </x:c>
      <x:c r="D201" s="153" t="n">
        <x:v>1.49</x:v>
      </x:c>
      <x:c r="E201" s="153" t="n">
        <x:v>112.2463</x:v>
      </x:c>
      <x:c r="F201" s="153" t="n">
        <x:v>12.44</x:v>
      </x:c>
      <x:c r="G201" s="153" t="n">
        <x:v>0.4</x:v>
      </x:c>
    </x:row>
    <x:row r="202">
      <x:c r="A202" s="155" t="n">
        <x:v>42570</x:v>
      </x:c>
      <x:c r="B202" s="153" t="n">
        <x:v>1.56</x:v>
      </x:c>
      <x:c r="C202" s="153" t="n">
        <x:v>0.12</x:v>
      </x:c>
      <x:c r="D202" s="153" t="n">
        <x:v>1.44</x:v>
      </x:c>
      <x:c r="E202" s="153" t="n">
        <x:v>112.638</x:v>
      </x:c>
      <x:c r="F202" s="153" t="n">
        <x:v>11.97</x:v>
      </x:c>
      <x:c r="G202" s="153" t="n">
        <x:v>0.4</x:v>
      </x:c>
    </x:row>
    <x:row r="203">
      <x:c r="A203" s="155" t="n">
        <x:v>42571</x:v>
      </x:c>
      <x:c r="B203" s="153" t="n">
        <x:v>1.59</x:v>
      </x:c>
      <x:c r="C203" s="153" t="n">
        <x:v>0.13</x:v>
      </x:c>
      <x:c r="D203" s="153" t="n">
        <x:v>1.46</x:v>
      </x:c>
      <x:c r="E203" s="153" t="n">
        <x:v>112.6743</x:v>
      </x:c>
      <x:c r="F203" s="153" t="n">
        <x:v>11.77</x:v>
      </x:c>
      <x:c r="G203" s="153" t="n">
        <x:v>0.4</x:v>
      </x:c>
    </x:row>
    <x:row r="204">
      <x:c r="A204" s="155" t="n">
        <x:v>42572</x:v>
      </x:c>
      <x:c r="B204" s="153" t="n">
        <x:v>1.57</x:v>
      </x:c>
      <x:c r="C204" s="153" t="n">
        <x:v>0.05</x:v>
      </x:c>
      <x:c r="D204" s="153" t="n">
        <x:v>1.52</x:v>
      </x:c>
      <x:c r="E204" s="153" t="n">
        <x:v>112.6239</x:v>
      </x:c>
      <x:c r="F204" s="153" t="n">
        <x:v>12.74</x:v>
      </x:c>
      <x:c r="G204" s="153" t="n">
        <x:v>0.4</x:v>
      </x:c>
    </x:row>
    <x:row r="205">
      <x:c r="A205" s="155" t="n">
        <x:v>42573</x:v>
      </x:c>
      <x:c r="B205" s="153" t="n">
        <x:v>1.57</x:v>
      </x:c>
      <x:c r="C205" s="153" t="n">
        <x:v>0.06</x:v>
      </x:c>
      <x:c r="D205" s="153" t="n">
        <x:v>1.51</x:v>
      </x:c>
      <x:c r="E205" s="153" t="n">
        <x:v>112.989</x:v>
      </x:c>
      <x:c r="F205" s="153" t="n">
        <x:v>12.02</x:v>
      </x:c>
      <x:c r="G205" s="153" t="n">
        <x:v>0.4</x:v>
      </x:c>
    </x:row>
    <x:row r="206">
      <x:c r="A206" s="155" t="n">
        <x:v>42574</x:v>
      </x:c>
      <x:c r="B206" s="153"/>
      <x:c r="C206" s="153"/>
      <x:c r="D206" s="153"/>
      <x:c r="E206" s="153"/>
      <x:c r="F206" s="153"/>
      <x:c r="G206" s="153" t="n">
        <x:v>0.4</x:v>
      </x:c>
    </x:row>
    <x:row r="207">
      <x:c r="A207" s="155" t="n">
        <x:v>42575</x:v>
      </x:c>
      <x:c r="B207" s="153"/>
      <x:c r="C207" s="153"/>
      <x:c r="D207" s="153"/>
      <x:c r="E207" s="153"/>
      <x:c r="F207" s="153"/>
      <x:c r="G207" s="153" t="n">
        <x:v>0.4</x:v>
      </x:c>
    </x:row>
    <x:row r="208">
      <x:c r="A208" s="155" t="n">
        <x:v>42576</x:v>
      </x:c>
      <x:c r="B208" s="153" t="n">
        <x:v>1.58</x:v>
      </x:c>
      <x:c r="C208" s="153" t="n">
        <x:v>0.08</x:v>
      </x:c>
      <x:c r="D208" s="153" t="n">
        <x:v>1.5</x:v>
      </x:c>
      <x:c r="E208" s="153" t="n">
        <x:v>113.1784</x:v>
      </x:c>
      <x:c r="F208" s="153" t="n">
        <x:v>12.87</x:v>
      </x:c>
      <x:c r="G208" s="153" t="n">
        <x:v>0.4</x:v>
      </x:c>
    </x:row>
    <x:row r="209">
      <x:c r="A209" s="155" t="n">
        <x:v>42577</x:v>
      </x:c>
      <x:c r="B209" s="153" t="n">
        <x:v>1.57</x:v>
      </x:c>
      <x:c r="C209" s="153" t="n">
        <x:v>0.07</x:v>
      </x:c>
      <x:c r="D209" s="153" t="n">
        <x:v>1.5</x:v>
      </x:c>
      <x:c r="E209" s="153" t="n">
        <x:v>113.0593</x:v>
      </x:c>
      <x:c r="F209" s="153" t="n">
        <x:v>13.05</x:v>
      </x:c>
      <x:c r="G209" s="153" t="n">
        <x:v>0.4</x:v>
      </x:c>
    </x:row>
    <x:row r="210">
      <x:c r="A210" s="155" t="n">
        <x:v>42578</x:v>
      </x:c>
      <x:c r="B210" s="153" t="n">
        <x:v>1.52</x:v>
      </x:c>
      <x:c r="C210" s="153" t="n">
        <x:v>0.03</x:v>
      </x:c>
      <x:c r="D210" s="153" t="n">
        <x:v>1.49</x:v>
      </x:c>
      <x:c r="E210" s="153" t="n">
        <x:v>113.217</x:v>
      </x:c>
      <x:c r="F210" s="153" t="n">
        <x:v>12.83</x:v>
      </x:c>
      <x:c r="G210" s="153" t="n">
        <x:v>0.4</x:v>
      </x:c>
    </x:row>
    <x:row r="211">
      <x:c r="A211" s="155" t="n">
        <x:v>42579</x:v>
      </x:c>
      <x:c r="B211" s="153" t="n">
        <x:v>1.52</x:v>
      </x:c>
      <x:c r="C211" s="153" t="n">
        <x:v>0</x:v>
      </x:c>
      <x:c r="D211" s="153" t="n">
        <x:v>1.52</x:v>
      </x:c>
      <x:c r="E211" s="153" t="n">
        <x:v>112.7393</x:v>
      </x:c>
      <x:c r="F211" s="153" t="n">
        <x:v>12.72</x:v>
      </x:c>
      <x:c r="G211" s="153" t="n">
        <x:v>0.4</x:v>
      </x:c>
    </x:row>
    <x:row r="212">
      <x:c r="A212" s="155" t="n">
        <x:v>42580</x:v>
      </x:c>
      <x:c r="B212" s="153" t="n">
        <x:v>1.46</x:v>
      </x:c>
      <x:c r="C212" s="153" t="n">
        <x:v>-0.03</x:v>
      </x:c>
      <x:c r="D212" s="153" t="n">
        <x:v>1.49</x:v>
      </x:c>
      <x:c r="E212" s="153" t="n">
        <x:v>111.874</x:v>
      </x:c>
      <x:c r="F212" s="153" t="n">
        <x:v>11.87</x:v>
      </x:c>
      <x:c r="G212" s="153" t="n">
        <x:v>0.3</x:v>
      </x:c>
    </x:row>
    <x:row r="213">
      <x:c r="A213" s="155" t="n">
        <x:v>42581</x:v>
      </x:c>
      <x:c r="B213" s="153"/>
      <x:c r="C213" s="153"/>
      <x:c r="D213" s="153"/>
      <x:c r="E213" s="153"/>
      <x:c r="F213" s="153"/>
      <x:c r="G213" s="153" t="n">
        <x:v>0.3</x:v>
      </x:c>
    </x:row>
    <x:row r="214">
      <x:c r="A214" s="155" t="n">
        <x:v>42582</x:v>
      </x:c>
      <x:c r="B214" s="153"/>
      <x:c r="C214" s="153"/>
      <x:c r="D214" s="153"/>
      <x:c r="E214" s="153"/>
      <x:c r="F214" s="153"/>
      <x:c r="G214" s="153" t="n">
        <x:v>0.3</x:v>
      </x:c>
    </x:row>
    <x:row r="215">
      <x:c r="A215" s="155" t="n">
        <x:v>42583</x:v>
      </x:c>
      <x:c r="B215" s="153" t="n">
        <x:v>1.51</x:v>
      </x:c>
      <x:c r="C215" s="153" t="n">
        <x:v>0.05</x:v>
      </x:c>
      <x:c r="D215" s="153" t="n">
        <x:v>1.46</x:v>
      </x:c>
      <x:c r="E215" s="153" t="n">
        <x:v>111.9757</x:v>
      </x:c>
      <x:c r="F215" s="153" t="n">
        <x:v>12.44</x:v>
      </x:c>
      <x:c r="G215" s="153" t="n">
        <x:v>0.4</x:v>
      </x:c>
    </x:row>
    <x:row r="216">
      <x:c r="A216" s="155" t="n">
        <x:v>42584</x:v>
      </x:c>
      <x:c r="B216" s="153" t="n">
        <x:v>1.55</x:v>
      </x:c>
      <x:c r="C216" s="153" t="n">
        <x:v>0.11</x:v>
      </x:c>
      <x:c r="D216" s="153" t="n">
        <x:v>1.44</x:v>
      </x:c>
      <x:c r="E216" s="153" t="n">
        <x:v>111.7124</x:v>
      </x:c>
      <x:c r="F216" s="153" t="n">
        <x:v>13.37</x:v>
      </x:c>
      <x:c r="G216" s="153" t="n">
        <x:v>0.4</x:v>
      </x:c>
    </x:row>
    <x:row r="217">
      <x:c r="A217" s="155" t="n">
        <x:v>42585</x:v>
      </x:c>
      <x:c r="B217" s="153" t="n">
        <x:v>1.55</x:v>
      </x:c>
      <x:c r="C217" s="153" t="n">
        <x:v>0.09</x:v>
      </x:c>
      <x:c r="D217" s="153" t="n">
        <x:v>1.46</x:v>
      </x:c>
      <x:c r="E217" s="153" t="n">
        <x:v>111.9419</x:v>
      </x:c>
      <x:c r="F217" s="153" t="n">
        <x:v>12.86</x:v>
      </x:c>
      <x:c r="G217" s="153" t="n">
        <x:v>0.4</x:v>
      </x:c>
    </x:row>
    <x:row r="218">
      <x:c r="A218" s="155" t="n">
        <x:v>42586</x:v>
      </x:c>
      <x:c r="B218" s="153" t="n">
        <x:v>1.51</x:v>
      </x:c>
      <x:c r="C218" s="153" t="n">
        <x:v>0.04</x:v>
      </x:c>
      <x:c r="D218" s="153" t="n">
        <x:v>1.47</x:v>
      </x:c>
      <x:c r="E218" s="153" t="n">
        <x:v>111.9149</x:v>
      </x:c>
      <x:c r="F218" s="153" t="n">
        <x:v>12.42</x:v>
      </x:c>
      <x:c r="G218" s="153" t="n">
        <x:v>0.4</x:v>
      </x:c>
    </x:row>
    <x:row r="219">
      <x:c r="A219" s="155" t="n">
        <x:v>42587</x:v>
      </x:c>
      <x:c r="B219" s="153" t="n">
        <x:v>1.59</x:v>
      </x:c>
      <x:c r="C219" s="153" t="n">
        <x:v>0.09</x:v>
      </x:c>
      <x:c r="D219" s="153" t="n">
        <x:v>1.5</x:v>
      </x:c>
      <x:c r="E219" s="153" t="n">
        <x:v>112.3589</x:v>
      </x:c>
      <x:c r="F219" s="153" t="n">
        <x:v>11.39</x:v>
      </x:c>
      <x:c r="G219" s="153" t="n">
        <x:v>0.4</x:v>
      </x:c>
    </x:row>
    <x:row r="220">
      <x:c r="A220" s="155" t="n">
        <x:v>42588</x:v>
      </x:c>
      <x:c r="B220" s="153"/>
      <x:c r="C220" s="153"/>
      <x:c r="D220" s="153"/>
      <x:c r="E220" s="153"/>
      <x:c r="F220" s="153"/>
      <x:c r="G220" s="153" t="n">
        <x:v>0.4</x:v>
      </x:c>
    </x:row>
    <x:row r="221">
      <x:c r="A221" s="155" t="n">
        <x:v>42589</x:v>
      </x:c>
      <x:c r="B221" s="153"/>
      <x:c r="C221" s="153"/>
      <x:c r="D221" s="153"/>
      <x:c r="E221" s="153"/>
      <x:c r="F221" s="153"/>
      <x:c r="G221" s="153" t="n">
        <x:v>0.4</x:v>
      </x:c>
    </x:row>
    <x:row r="222">
      <x:c r="A222" s="155" t="n">
        <x:v>42590</x:v>
      </x:c>
      <x:c r="B222" s="153" t="n">
        <x:v>1.59</x:v>
      </x:c>
      <x:c r="C222" s="153" t="n">
        <x:v>0.08</x:v>
      </x:c>
      <x:c r="D222" s="153" t="n">
        <x:v>1.51</x:v>
      </x:c>
      <x:c r="E222" s="153" t="n">
        <x:v>112.1456</x:v>
      </x:c>
      <x:c r="F222" s="153" t="n">
        <x:v>11.5</x:v>
      </x:c>
      <x:c r="G222" s="153" t="n">
        <x:v>0.4</x:v>
      </x:c>
    </x:row>
    <x:row r="223">
      <x:c r="A223" s="155" t="n">
        <x:v>42591</x:v>
      </x:c>
      <x:c r="B223" s="153" t="n">
        <x:v>1.55</x:v>
      </x:c>
      <x:c r="C223" s="153" t="n">
        <x:v>0.06</x:v>
      </x:c>
      <x:c r="D223" s="153" t="n">
        <x:v>1.49</x:v>
      </x:c>
      <x:c r="E223" s="153" t="n">
        <x:v>111.722</x:v>
      </x:c>
      <x:c r="F223" s="153" t="n">
        <x:v>11.66</x:v>
      </x:c>
      <x:c r="G223" s="153" t="n">
        <x:v>0.4</x:v>
      </x:c>
    </x:row>
    <x:row r="224">
      <x:c r="A224" s="155" t="n">
        <x:v>42592</x:v>
      </x:c>
      <x:c r="B224" s="153" t="n">
        <x:v>1.5</x:v>
      </x:c>
      <x:c r="C224" s="153" t="n">
        <x:v>0.06</x:v>
      </x:c>
      <x:c r="D224" s="153" t="n">
        <x:v>1.44</x:v>
      </x:c>
      <x:c r="E224" s="153" t="n">
        <x:v>111.3238</x:v>
      </x:c>
      <x:c r="F224" s="153" t="n">
        <x:v>12.05</x:v>
      </x:c>
      <x:c r="G224" s="153" t="n">
        <x:v>0.4</x:v>
      </x:c>
    </x:row>
    <x:row r="225">
      <x:c r="A225" s="155" t="n">
        <x:v>42593</x:v>
      </x:c>
      <x:c r="B225" s="153" t="n">
        <x:v>1.57</x:v>
      </x:c>
      <x:c r="C225" s="153" t="n">
        <x:v>0.1</x:v>
      </x:c>
      <x:c r="D225" s="153" t="n">
        <x:v>1.47</x:v>
      </x:c>
      <x:c r="E225" s="153" t="n">
        <x:v>111.1954</x:v>
      </x:c>
      <x:c r="F225" s="153" t="n">
        <x:v>11.68</x:v>
      </x:c>
      <x:c r="G225" s="153" t="n">
        <x:v>0.4</x:v>
      </x:c>
    </x:row>
    <x:row r="226">
      <x:c r="A226" s="155" t="n">
        <x:v>42594</x:v>
      </x:c>
      <x:c r="B226" s="153" t="n">
        <x:v>1.51</x:v>
      </x:c>
      <x:c r="C226" s="153" t="n">
        <x:v>0.07</x:v>
      </x:c>
      <x:c r="D226" s="153" t="n">
        <x:v>1.44</x:v>
      </x:c>
      <x:c r="E226" s="153" t="n">
        <x:v>111.1787</x:v>
      </x:c>
      <x:c r="F226" s="153" t="n">
        <x:v>11.55</x:v>
      </x:c>
      <x:c r="G226" s="153" t="n">
        <x:v>0.4</x:v>
      </x:c>
    </x:row>
    <x:row r="227">
      <x:c r="A227" s="155" t="n">
        <x:v>42595</x:v>
      </x:c>
      <x:c r="B227" s="153"/>
      <x:c r="C227" s="153"/>
      <x:c r="D227" s="153"/>
      <x:c r="E227" s="153"/>
      <x:c r="F227" s="153"/>
      <x:c r="G227" s="153" t="n">
        <x:v>0.4</x:v>
      </x:c>
    </x:row>
    <x:row r="228">
      <x:c r="A228" s="155" t="n">
        <x:v>42596</x:v>
      </x:c>
      <x:c r="B228" s="153"/>
      <x:c r="C228" s="153"/>
      <x:c r="D228" s="153"/>
      <x:c r="E228" s="153"/>
      <x:c r="F228" s="153"/>
      <x:c r="G228" s="153" t="n">
        <x:v>0.4</x:v>
      </x:c>
    </x:row>
    <x:row r="229">
      <x:c r="A229" s="155" t="n">
        <x:v>42597</x:v>
      </x:c>
      <x:c r="B229" s="153" t="n">
        <x:v>1.55</x:v>
      </x:c>
      <x:c r="C229" s="153" t="n">
        <x:v>0.1</x:v>
      </x:c>
      <x:c r="D229" s="153" t="n">
        <x:v>1.45</x:v>
      </x:c>
      <x:c r="E229" s="153" t="n">
        <x:v>110.9212</x:v>
      </x:c>
      <x:c r="F229" s="153" t="n">
        <x:v>11.81</x:v>
      </x:c>
      <x:c r="G229" s="153" t="n">
        <x:v>0.4</x:v>
      </x:c>
    </x:row>
    <x:row r="230">
      <x:c r="A230" s="155" t="n">
        <x:v>42598</x:v>
      </x:c>
      <x:c r="B230" s="153" t="n">
        <x:v>1.57</x:v>
      </x:c>
      <x:c r="C230" s="153" t="n">
        <x:v>0.13</x:v>
      </x:c>
      <x:c r="D230" s="153" t="n">
        <x:v>1.44</x:v>
      </x:c>
      <x:c r="E230" s="153" t="n">
        <x:v>110.4295</x:v>
      </x:c>
      <x:c r="F230" s="153" t="n">
        <x:v>12.64</x:v>
      </x:c>
      <x:c r="G230" s="153" t="n">
        <x:v>0.4</x:v>
      </x:c>
    </x:row>
    <x:row r="231">
      <x:c r="A231" s="155" t="n">
        <x:v>42599</x:v>
      </x:c>
      <x:c r="B231" s="153" t="n">
        <x:v>1.56</x:v>
      </x:c>
      <x:c r="C231" s="153" t="n">
        <x:v>0.09</x:v>
      </x:c>
      <x:c r="D231" s="153" t="n">
        <x:v>1.47</x:v>
      </x:c>
      <x:c r="E231" s="153" t="n">
        <x:v>110.9459</x:v>
      </x:c>
      <x:c r="F231" s="153" t="n">
        <x:v>12.19</x:v>
      </x:c>
      <x:c r="G231" s="153" t="n">
        <x:v>0.4</x:v>
      </x:c>
    </x:row>
    <x:row r="232">
      <x:c r="A232" s="155" t="n">
        <x:v>42600</x:v>
      </x:c>
      <x:c r="B232" s="153" t="n">
        <x:v>1.53</x:v>
      </x:c>
      <x:c r="C232" s="153" t="n">
        <x:v>0.06</x:v>
      </x:c>
      <x:c r="D232" s="153" t="n">
        <x:v>1.47</x:v>
      </x:c>
      <x:c r="E232" s="153" t="n">
        <x:v>110.3134</x:v>
      </x:c>
      <x:c r="F232" s="153" t="n">
        <x:v>11.43</x:v>
      </x:c>
      <x:c r="G232" s="153" t="n">
        <x:v>0.4</x:v>
      </x:c>
    </x:row>
    <x:row r="233">
      <x:c r="A233" s="155" t="n">
        <x:v>42601</x:v>
      </x:c>
      <x:c r="B233" s="153" t="n">
        <x:v>1.58</x:v>
      </x:c>
      <x:c r="C233" s="153" t="n">
        <x:v>0.1</x:v>
      </x:c>
      <x:c r="D233" s="153" t="n">
        <x:v>1.48</x:v>
      </x:c>
      <x:c r="E233" s="153" t="n">
        <x:v>110.8163</x:v>
      </x:c>
      <x:c r="F233" s="153" t="n">
        <x:v>11.34</x:v>
      </x:c>
      <x:c r="G233" s="153" t="n">
        <x:v>0.4</x:v>
      </x:c>
    </x:row>
    <x:row r="234">
      <x:c r="A234" s="155" t="n">
        <x:v>42602</x:v>
      </x:c>
      <x:c r="B234" s="153"/>
      <x:c r="C234" s="153"/>
      <x:c r="D234" s="153"/>
      <x:c r="E234" s="153"/>
      <x:c r="F234" s="153"/>
      <x:c r="G234" s="153" t="n">
        <x:v>0.4</x:v>
      </x:c>
    </x:row>
    <x:row r="235">
      <x:c r="A235" s="155" t="n">
        <x:v>42603</x:v>
      </x:c>
      <x:c r="B235" s="153"/>
      <x:c r="C235" s="153"/>
      <x:c r="D235" s="153"/>
      <x:c r="E235" s="153"/>
      <x:c r="F235" s="153"/>
      <x:c r="G235" s="153" t="n">
        <x:v>0.4</x:v>
      </x:c>
    </x:row>
    <x:row r="236">
      <x:c r="A236" s="155" t="n">
        <x:v>42604</x:v>
      </x:c>
      <x:c r="B236" s="153" t="n">
        <x:v>1.55</x:v>
      </x:c>
      <x:c r="C236" s="153" t="n">
        <x:v>0.08</x:v>
      </x:c>
      <x:c r="D236" s="153" t="n">
        <x:v>1.47</x:v>
      </x:c>
      <x:c r="E236" s="153" t="n">
        <x:v>110.9997</x:v>
      </x:c>
      <x:c r="F236" s="153" t="n">
        <x:v>12.27</x:v>
      </x:c>
      <x:c r="G236" s="153" t="n">
        <x:v>0.4</x:v>
      </x:c>
    </x:row>
    <x:row r="237">
      <x:c r="A237" s="155" t="n">
        <x:v>42605</x:v>
      </x:c>
      <x:c r="B237" s="153" t="n">
        <x:v>1.55</x:v>
      </x:c>
      <x:c r="C237" s="153" t="n">
        <x:v>0.07</x:v>
      </x:c>
      <x:c r="D237" s="153" t="n">
        <x:v>1.48</x:v>
      </x:c>
      <x:c r="E237" s="153" t="n">
        <x:v>110.9414</x:v>
      </x:c>
      <x:c r="F237" s="153" t="n">
        <x:v>12.38</x:v>
      </x:c>
      <x:c r="G237" s="153" t="n">
        <x:v>0.4</x:v>
      </x:c>
    </x:row>
    <x:row r="238">
      <x:c r="A238" s="155" t="n">
        <x:v>42606</x:v>
      </x:c>
      <x:c r="B238" s="153" t="n">
        <x:v>1.56</x:v>
      </x:c>
      <x:c r="C238" s="153" t="n">
        <x:v>0.08</x:v>
      </x:c>
      <x:c r="D238" s="153" t="n">
        <x:v>1.48</x:v>
      </x:c>
      <x:c r="E238" s="153" t="n">
        <x:v>111.2958</x:v>
      </x:c>
      <x:c r="F238" s="153" t="n">
        <x:v>13.45</x:v>
      </x:c>
      <x:c r="G238" s="153" t="n">
        <x:v>0.4</x:v>
      </x:c>
    </x:row>
    <x:row r="239">
      <x:c r="A239" s="155" t="n">
        <x:v>42607</x:v>
      </x:c>
      <x:c r="B239" s="153" t="n">
        <x:v>1.58</x:v>
      </x:c>
      <x:c r="C239" s="153" t="n">
        <x:v>0.09</x:v>
      </x:c>
      <x:c r="D239" s="153" t="n">
        <x:v>1.49</x:v>
      </x:c>
      <x:c r="E239" s="153" t="n">
        <x:v>111.1726</x:v>
      </x:c>
      <x:c r="F239" s="153" t="n">
        <x:v>13.63</x:v>
      </x:c>
      <x:c r="G239" s="153" t="n">
        <x:v>0.4</x:v>
      </x:c>
    </x:row>
    <x:row r="240">
      <x:c r="A240" s="155" t="n">
        <x:v>42608</x:v>
      </x:c>
      <x:c r="B240" s="153" t="n">
        <x:v>1.62</x:v>
      </x:c>
      <x:c r="C240" s="153" t="n">
        <x:v>0.15</x:v>
      </x:c>
      <x:c r="D240" s="153" t="n">
        <x:v>1.47</x:v>
      </x:c>
      <x:c r="E240" s="153" t="n">
        <x:v>111.2035</x:v>
      </x:c>
      <x:c r="F240" s="153" t="n">
        <x:v>13.65</x:v>
      </x:c>
      <x:c r="G240" s="153" t="n">
        <x:v>0.4</x:v>
      </x:c>
    </x:row>
    <x:row r="241">
      <x:c r="A241" s="155" t="n">
        <x:v>42609</x:v>
      </x:c>
      <x:c r="B241" s="153"/>
      <x:c r="C241" s="153"/>
      <x:c r="D241" s="153"/>
      <x:c r="E241" s="153"/>
      <x:c r="F241" s="153"/>
      <x:c r="G241" s="153" t="n">
        <x:v>0.4</x:v>
      </x:c>
    </x:row>
    <x:row r="242">
      <x:c r="A242" s="155" t="n">
        <x:v>42610</x:v>
      </x:c>
      <x:c r="B242" s="153"/>
      <x:c r="C242" s="153"/>
      <x:c r="D242" s="153"/>
      <x:c r="E242" s="153"/>
      <x:c r="F242" s="153"/>
      <x:c r="G242" s="153" t="n">
        <x:v>0.4</x:v>
      </x:c>
    </x:row>
    <x:row r="243">
      <x:c r="A243" s="155" t="n">
        <x:v>42611</x:v>
      </x:c>
      <x:c r="B243" s="153" t="n">
        <x:v>1.57</x:v>
      </x:c>
      <x:c r="C243" s="153" t="n">
        <x:v>0.11</x:v>
      </x:c>
      <x:c r="D243" s="153" t="n">
        <x:v>1.46</x:v>
      </x:c>
      <x:c r="E243" s="153" t="n">
        <x:v>111.8775</x:v>
      </x:c>
      <x:c r="F243" s="153" t="n">
        <x:v>12.94</x:v>
      </x:c>
      <x:c r="G243" s="153" t="n">
        <x:v>0.4</x:v>
      </x:c>
    </x:row>
    <x:row r="244">
      <x:c r="A244" s="155" t="n">
        <x:v>42612</x:v>
      </x:c>
      <x:c r="B244" s="153" t="n">
        <x:v>1.57</x:v>
      </x:c>
      <x:c r="C244" s="153" t="n">
        <x:v>0.11</x:v>
      </x:c>
      <x:c r="D244" s="153" t="n">
        <x:v>1.46</x:v>
      </x:c>
      <x:c r="E244" s="153" t="n">
        <x:v>112.2928</x:v>
      </x:c>
      <x:c r="F244" s="153" t="n">
        <x:v>13.12</x:v>
      </x:c>
      <x:c r="G244" s="153" t="n">
        <x:v>0.4</x:v>
      </x:c>
    </x:row>
    <x:row r="245">
      <x:c r="A245" s="155" t="n">
        <x:v>42613</x:v>
      </x:c>
      <x:c r="B245" s="153" t="n">
        <x:v>1.58</x:v>
      </x:c>
      <x:c r="C245" s="153" t="n">
        <x:v>0.11</x:v>
      </x:c>
      <x:c r="D245" s="153" t="n">
        <x:v>1.47</x:v>
      </x:c>
      <x:c r="E245" s="153" t="n">
        <x:v>112.4036</x:v>
      </x:c>
      <x:c r="F245" s="153" t="n">
        <x:v>13.42</x:v>
      </x:c>
      <x:c r="G245" s="153" t="n">
        <x:v>0.3</x:v>
      </x:c>
    </x:row>
    <x:row r="246">
      <x:c r="A246" s="155" t="n">
        <x:v>42614</x:v>
      </x:c>
      <x:c r="B246" s="153" t="n">
        <x:v>1.57</x:v>
      </x:c>
      <x:c r="C246" s="153" t="n">
        <x:v>0.12</x:v>
      </x:c>
      <x:c r="D246" s="153" t="n">
        <x:v>1.45</x:v>
      </x:c>
      <x:c r="E246" s="153" t="n">
        <x:v>112.1733</x:v>
      </x:c>
      <x:c r="F246" s="153" t="n">
        <x:v>13.48</x:v>
      </x:c>
      <x:c r="G246" s="153" t="n">
        <x:v>0.4</x:v>
      </x:c>
    </x:row>
    <x:row r="247">
      <x:c r="A247" s="155" t="n">
        <x:v>42615</x:v>
      </x:c>
      <x:c r="B247" s="153" t="n">
        <x:v>1.6</x:v>
      </x:c>
      <x:c r="C247" s="153" t="n">
        <x:v>0.13</x:v>
      </x:c>
      <x:c r="D247" s="153" t="n">
        <x:v>1.47</x:v>
      </x:c>
      <x:c r="E247" s="153" t="n">
        <x:v>112.0009</x:v>
      </x:c>
      <x:c r="F247" s="153" t="n">
        <x:v>11.98</x:v>
      </x:c>
      <x:c r="G247" s="153" t="n">
        <x:v>0.4</x:v>
      </x:c>
    </x:row>
    <x:row r="248">
      <x:c r="A248" s="155" t="n">
        <x:v>42616</x:v>
      </x:c>
      <x:c r="B248" s="153"/>
      <x:c r="C248" s="153"/>
      <x:c r="D248" s="153"/>
      <x:c r="E248" s="153"/>
      <x:c r="F248" s="153"/>
      <x:c r="G248" s="153" t="n">
        <x:v>0.4</x:v>
      </x:c>
    </x:row>
    <x:row r="249">
      <x:c r="A249" s="155" t="n">
        <x:v>42617</x:v>
      </x:c>
      <x:c r="B249" s="153"/>
      <x:c r="C249" s="153"/>
      <x:c r="D249" s="153"/>
      <x:c r="E249" s="153"/>
      <x:c r="F249" s="153"/>
      <x:c r="G249" s="153" t="n">
        <x:v>0.4</x:v>
      </x:c>
    </x:row>
    <x:row r="250">
      <x:c r="A250" s="155" t="n">
        <x:v>42618</x:v>
      </x:c>
      <x:c r="B250" s="153"/>
      <x:c r="C250" s="153"/>
      <x:c r="D250" s="153"/>
      <x:c r="E250" s="153"/>
      <x:c r="F250" s="153"/>
      <x:c r="G250" s="153" t="n">
        <x:v>0.4</x:v>
      </x:c>
    </x:row>
    <x:row r="251">
      <x:c r="A251" s="155" t="n">
        <x:v>42619</x:v>
      </x:c>
      <x:c r="B251" s="153" t="n">
        <x:v>1.55</x:v>
      </x:c>
      <x:c r="C251" s="153" t="n">
        <x:v>0.06</x:v>
      </x:c>
      <x:c r="D251" s="153" t="n">
        <x:v>1.49</x:v>
      </x:c>
      <x:c r="E251" s="153" t="n">
        <x:v>110.9613</x:v>
      </x:c>
      <x:c r="F251" s="153" t="n">
        <x:v>12.02</x:v>
      </x:c>
      <x:c r="G251" s="153" t="n">
        <x:v>0.4</x:v>
      </x:c>
    </x:row>
    <x:row r="252">
      <x:c r="A252" s="155" t="n">
        <x:v>42620</x:v>
      </x:c>
      <x:c r="B252" s="153" t="n">
        <x:v>1.54</x:v>
      </x:c>
      <x:c r="C252" s="153" t="n">
        <x:v>0.03</x:v>
      </x:c>
      <x:c r="D252" s="153" t="n">
        <x:v>1.51</x:v>
      </x:c>
      <x:c r="E252" s="153" t="n">
        <x:v>110.9717</x:v>
      </x:c>
      <x:c r="F252" s="153" t="n">
        <x:v>11.94</x:v>
      </x:c>
      <x:c r="G252" s="153" t="n">
        <x:v>0.4</x:v>
      </x:c>
    </x:row>
    <x:row r="253">
      <x:c r="A253" s="155" t="n">
        <x:v>42621</x:v>
      </x:c>
      <x:c r="B253" s="153" t="n">
        <x:v>1.61</x:v>
      </x:c>
      <x:c r="C253" s="153" t="n">
        <x:v>0.09</x:v>
      </x:c>
      <x:c r="D253" s="153" t="n">
        <x:v>1.52</x:v>
      </x:c>
      <x:c r="E253" s="153" t="n">
        <x:v>111.2609</x:v>
      </x:c>
      <x:c r="F253" s="153" t="n">
        <x:v>12.51</x:v>
      </x:c>
      <x:c r="G253" s="153" t="n">
        <x:v>0.4</x:v>
      </x:c>
    </x:row>
    <x:row r="254">
      <x:c r="A254" s="155" t="n">
        <x:v>42622</x:v>
      </x:c>
      <x:c r="B254" s="153" t="n">
        <x:v>1.67</x:v>
      </x:c>
      <x:c r="C254" s="153" t="n">
        <x:v>0.17</x:v>
      </x:c>
      <x:c r="D254" s="153" t="n">
        <x:v>1.5</x:v>
      </x:c>
      <x:c r="E254" s="153" t="n">
        <x:v>111.9879</x:v>
      </x:c>
      <x:c r="F254" s="153" t="n">
        <x:v>17.5</x:v>
      </x:c>
      <x:c r="G254" s="153" t="n">
        <x:v>0.4</x:v>
      </x:c>
    </x:row>
    <x:row r="255">
      <x:c r="A255" s="155" t="n">
        <x:v>42623</x:v>
      </x:c>
      <x:c r="B255" s="153"/>
      <x:c r="C255" s="153"/>
      <x:c r="D255" s="153"/>
      <x:c r="E255" s="153"/>
      <x:c r="F255" s="153"/>
      <x:c r="G255" s="153" t="n">
        <x:v>0.4</x:v>
      </x:c>
    </x:row>
    <x:row r="256">
      <x:c r="A256" s="155" t="n">
        <x:v>42624</x:v>
      </x:c>
      <x:c r="B256" s="153"/>
      <x:c r="C256" s="153"/>
      <x:c r="D256" s="153"/>
      <x:c r="E256" s="153"/>
      <x:c r="F256" s="153"/>
      <x:c r="G256" s="153" t="n">
        <x:v>0.4</x:v>
      </x:c>
    </x:row>
    <x:row r="257">
      <x:c r="A257" s="155" t="n">
        <x:v>42625</x:v>
      </x:c>
      <x:c r="B257" s="153" t="n">
        <x:v>1.68</x:v>
      </x:c>
      <x:c r="C257" s="153" t="n">
        <x:v>0.17</x:v>
      </x:c>
      <x:c r="D257" s="153" t="n">
        <x:v>1.51</x:v>
      </x:c>
      <x:c r="E257" s="153" t="n">
        <x:v>112.1516</x:v>
      </x:c>
      <x:c r="F257" s="153" t="n">
        <x:v>15.16</x:v>
      </x:c>
      <x:c r="G257" s="153" t="n">
        <x:v>0.4</x:v>
      </x:c>
    </x:row>
    <x:row r="258">
      <x:c r="A258" s="155" t="n">
        <x:v>42626</x:v>
      </x:c>
      <x:c r="B258" s="153" t="n">
        <x:v>1.73</x:v>
      </x:c>
      <x:c r="C258" s="153" t="n">
        <x:v>0.24</x:v>
      </x:c>
      <x:c r="D258" s="153" t="n">
        <x:v>1.49</x:v>
      </x:c>
      <x:c r="E258" s="153" t="n">
        <x:v>112.5207</x:v>
      </x:c>
      <x:c r="F258" s="153" t="n">
        <x:v>17.85</x:v>
      </x:c>
      <x:c r="G258" s="153" t="n">
        <x:v>0.4</x:v>
      </x:c>
    </x:row>
    <x:row r="259">
      <x:c r="A259" s="155" t="n">
        <x:v>42627</x:v>
      </x:c>
      <x:c r="B259" s="153" t="n">
        <x:v>1.7</x:v>
      </x:c>
      <x:c r="C259" s="153" t="n">
        <x:v>0.21</x:v>
      </x:c>
      <x:c r="D259" s="153" t="n">
        <x:v>1.49</x:v>
      </x:c>
      <x:c r="E259" s="153" t="n">
        <x:v>112.4678</x:v>
      </x:c>
      <x:c r="F259" s="153" t="n">
        <x:v>18.14</x:v>
      </x:c>
      <x:c r="G259" s="153" t="n">
        <x:v>0.4</x:v>
      </x:c>
    </x:row>
    <x:row r="260">
      <x:c r="A260" s="155" t="n">
        <x:v>42628</x:v>
      </x:c>
      <x:c r="B260" s="153" t="n">
        <x:v>1.71</x:v>
      </x:c>
      <x:c r="C260" s="153" t="n">
        <x:v>0.22</x:v>
      </x:c>
      <x:c r="D260" s="153" t="n">
        <x:v>1.49</x:v>
      </x:c>
      <x:c r="E260" s="153" t="n">
        <x:v>112.4753</x:v>
      </x:c>
      <x:c r="F260" s="153" t="n">
        <x:v>16.3</x:v>
      </x:c>
      <x:c r="G260" s="153" t="n">
        <x:v>0.4</x:v>
      </x:c>
    </x:row>
    <x:row r="261">
      <x:c r="A261" s="155" t="n">
        <x:v>42629</x:v>
      </x:c>
      <x:c r="B261" s="153" t="n">
        <x:v>1.7</x:v>
      </x:c>
      <x:c r="C261" s="153" t="n">
        <x:v>0.19</x:v>
      </x:c>
      <x:c r="D261" s="153" t="n">
        <x:v>1.51</x:v>
      </x:c>
      <x:c r="E261" s="153" t="n">
        <x:v>113.1765</x:v>
      </x:c>
      <x:c r="F261" s="153" t="n">
        <x:v>15.37</x:v>
      </x:c>
      <x:c r="G261" s="153" t="n">
        <x:v>0.4</x:v>
      </x:c>
    </x:row>
    <x:row r="262">
      <x:c r="A262" s="155" t="n">
        <x:v>42630</x:v>
      </x:c>
      <x:c r="B262" s="153"/>
      <x:c r="C262" s="153"/>
      <x:c r="D262" s="153"/>
      <x:c r="E262" s="153"/>
      <x:c r="F262" s="153"/>
      <x:c r="G262" s="153" t="n">
        <x:v>0.4</x:v>
      </x:c>
    </x:row>
    <x:row r="263">
      <x:c r="A263" s="155" t="n">
        <x:v>42631</x:v>
      </x:c>
      <x:c r="B263" s="153"/>
      <x:c r="C263" s="153"/>
      <x:c r="D263" s="153"/>
      <x:c r="E263" s="153"/>
      <x:c r="F263" s="153"/>
      <x:c r="G263" s="153" t="n">
        <x:v>0.4</x:v>
      </x:c>
    </x:row>
    <x:row r="264">
      <x:c r="A264" s="155" t="n">
        <x:v>42632</x:v>
      </x:c>
      <x:c r="B264" s="153" t="n">
        <x:v>1.7</x:v>
      </x:c>
      <x:c r="C264" s="153" t="n">
        <x:v>0.2</x:v>
      </x:c>
      <x:c r="D264" s="153" t="n">
        <x:v>1.5</x:v>
      </x:c>
      <x:c r="E264" s="153" t="n">
        <x:v>112.903</x:v>
      </x:c>
      <x:c r="F264" s="153" t="n">
        <x:v>15.53</x:v>
      </x:c>
      <x:c r="G264" s="153" t="n">
        <x:v>0.4</x:v>
      </x:c>
    </x:row>
    <x:row r="265">
      <x:c r="A265" s="155" t="n">
        <x:v>42633</x:v>
      </x:c>
      <x:c r="B265" s="153" t="n">
        <x:v>1.69</x:v>
      </x:c>
      <x:c r="C265" s="153" t="n">
        <x:v>0.2</x:v>
      </x:c>
      <x:c r="D265" s="153" t="n">
        <x:v>1.49</x:v>
      </x:c>
      <x:c r="E265" s="153" t="n">
        <x:v>113.1848</x:v>
      </x:c>
      <x:c r="F265" s="153" t="n">
        <x:v>15.92</x:v>
      </x:c>
      <x:c r="G265" s="153" t="n">
        <x:v>0.4</x:v>
      </x:c>
    </x:row>
    <x:row r="266">
      <x:c r="A266" s="155" t="n">
        <x:v>42634</x:v>
      </x:c>
      <x:c r="B266" s="153" t="n">
        <x:v>1.66</x:v>
      </x:c>
      <x:c r="C266" s="153" t="n">
        <x:v>0.15</x:v>
      </x:c>
      <x:c r="D266" s="153" t="n">
        <x:v>1.51</x:v>
      </x:c>
      <x:c r="E266" s="153" t="n">
        <x:v>112.9842</x:v>
      </x:c>
      <x:c r="F266" s="153" t="n">
        <x:v>13.3</x:v>
      </x:c>
      <x:c r="G266" s="153" t="n">
        <x:v>0.4</x:v>
      </x:c>
    </x:row>
    <x:row r="267">
      <x:c r="A267" s="155" t="n">
        <x:v>42635</x:v>
      </x:c>
      <x:c r="B267" s="153" t="n">
        <x:v>1.63</x:v>
      </x:c>
      <x:c r="C267" s="153" t="n">
        <x:v>0.08</x:v>
      </x:c>
      <x:c r="D267" s="153" t="n">
        <x:v>1.55</x:v>
      </x:c>
      <x:c r="E267" s="153" t="n">
        <x:v>112.2592</x:v>
      </x:c>
      <x:c r="F267" s="153" t="n">
        <x:v>12.02</x:v>
      </x:c>
      <x:c r="G267" s="153" t="n">
        <x:v>0.4</x:v>
      </x:c>
    </x:row>
    <x:row r="268">
      <x:c r="A268" s="155" t="n">
        <x:v>42636</x:v>
      </x:c>
      <x:c r="B268" s="153" t="n">
        <x:v>1.62</x:v>
      </x:c>
      <x:c r="C268" s="153" t="n">
        <x:v>0.05</x:v>
      </x:c>
      <x:c r="D268" s="153" t="n">
        <x:v>1.57</x:v>
      </x:c>
      <x:c r="E268" s="153" t="n">
        <x:v>112.7166</x:v>
      </x:c>
      <x:c r="F268" s="153" t="n">
        <x:v>12.29</x:v>
      </x:c>
      <x:c r="G268" s="153" t="n">
        <x:v>0.4</x:v>
      </x:c>
    </x:row>
    <x:row r="269">
      <x:c r="A269" s="155" t="n">
        <x:v>42637</x:v>
      </x:c>
      <x:c r="B269" s="153"/>
      <x:c r="C269" s="153"/>
      <x:c r="D269" s="153"/>
      <x:c r="E269" s="153"/>
      <x:c r="F269" s="153"/>
      <x:c r="G269" s="153" t="n">
        <x:v>0.4</x:v>
      </x:c>
    </x:row>
    <x:row r="270">
      <x:c r="A270" s="155" t="n">
        <x:v>42638</x:v>
      </x:c>
      <x:c r="B270" s="153"/>
      <x:c r="C270" s="153"/>
      <x:c r="D270" s="153"/>
      <x:c r="E270" s="153"/>
      <x:c r="F270" s="153"/>
      <x:c r="G270" s="153" t="n">
        <x:v>0.4</x:v>
      </x:c>
    </x:row>
    <x:row r="271">
      <x:c r="A271" s="155" t="n">
        <x:v>42639</x:v>
      </x:c>
      <x:c r="B271" s="153" t="n">
        <x:v>1.59</x:v>
      </x:c>
      <x:c r="C271" s="153" t="n">
        <x:v>0.05</x:v>
      </x:c>
      <x:c r="D271" s="153" t="n">
        <x:v>1.54</x:v>
      </x:c>
      <x:c r="E271" s="153" t="n">
        <x:v>112.7112</x:v>
      </x:c>
      <x:c r="F271" s="153" t="n">
        <x:v>14.5</x:v>
      </x:c>
      <x:c r="G271" s="153" t="n">
        <x:v>0.4</x:v>
      </x:c>
    </x:row>
    <x:row r="272">
      <x:c r="A272" s="155" t="n">
        <x:v>42640</x:v>
      </x:c>
      <x:c r="B272" s="153" t="n">
        <x:v>1.56</x:v>
      </x:c>
      <x:c r="C272" s="153" t="n">
        <x:v>0.04</x:v>
      </x:c>
      <x:c r="D272" s="153" t="n">
        <x:v>1.52</x:v>
      </x:c>
      <x:c r="E272" s="153" t="n">
        <x:v>112.5515</x:v>
      </x:c>
      <x:c r="F272" s="153" t="n">
        <x:v>13.1</x:v>
      </x:c>
      <x:c r="G272" s="153" t="n">
        <x:v>0.4</x:v>
      </x:c>
    </x:row>
    <x:row r="273">
      <x:c r="A273" s="155" t="n">
        <x:v>42641</x:v>
      </x:c>
      <x:c r="B273" s="153" t="n">
        <x:v>1.57</x:v>
      </x:c>
      <x:c r="C273" s="153" t="n">
        <x:v>0.01</x:v>
      </x:c>
      <x:c r="D273" s="153" t="n">
        <x:v>1.56</x:v>
      </x:c>
      <x:c r="E273" s="153" t="n">
        <x:v>112.6283</x:v>
      </x:c>
      <x:c r="F273" s="153" t="n">
        <x:v>12.39</x:v>
      </x:c>
      <x:c r="G273" s="153" t="n">
        <x:v>0.4</x:v>
      </x:c>
    </x:row>
    <x:row r="274">
      <x:c r="A274" s="155" t="n">
        <x:v>42642</x:v>
      </x:c>
      <x:c r="B274" s="153" t="n">
        <x:v>1.56</x:v>
      </x:c>
      <x:c r="C274" s="153" t="n">
        <x:v>0.02</x:v>
      </x:c>
      <x:c r="D274" s="153" t="n">
        <x:v>1.54</x:v>
      </x:c>
      <x:c r="E274" s="153" t="n">
        <x:v>112.2879</x:v>
      </x:c>
      <x:c r="F274" s="153" t="n">
        <x:v>14.02</x:v>
      </x:c>
      <x:c r="G274" s="153" t="n">
        <x:v>0.4</x:v>
      </x:c>
    </x:row>
    <x:row r="275">
      <x:c r="A275" s="155" t="n">
        <x:v>42643</x:v>
      </x:c>
      <x:c r="B275" s="153" t="n">
        <x:v>1.6</x:v>
      </x:c>
      <x:c r="C275" s="153" t="n">
        <x:v>0</x:v>
      </x:c>
      <x:c r="D275" s="153" t="n">
        <x:v>1.6</x:v>
      </x:c>
      <x:c r="E275" s="153" t="n">
        <x:v>112.2795</x:v>
      </x:c>
      <x:c r="F275" s="153" t="n">
        <x:v>13.29</x:v>
      </x:c>
      <x:c r="G275" s="153" t="n">
        <x:v>0.29</x:v>
      </x:c>
    </x:row>
    <x:row r="276">
      <x:c r="A276" s="155" t="n">
        <x:v>42644</x:v>
      </x:c>
      <x:c r="B276" s="153"/>
      <x:c r="C276" s="153"/>
      <x:c r="D276" s="153"/>
      <x:c r="E276" s="153"/>
      <x:c r="F276" s="153"/>
      <x:c r="G276" s="153" t="n">
        <x:v>0.29</x:v>
      </x:c>
    </x:row>
    <x:row r="277">
      <x:c r="A277" s="155" t="n">
        <x:v>42645</x:v>
      </x:c>
      <x:c r="B277" s="153"/>
      <x:c r="C277" s="153"/>
      <x:c r="D277" s="153"/>
      <x:c r="E277" s="153"/>
      <x:c r="F277" s="153"/>
      <x:c r="G277" s="153" t="n">
        <x:v>0.29</x:v>
      </x:c>
    </x:row>
    <x:row r="278">
      <x:c r="A278" s="155" t="n">
        <x:v>42646</x:v>
      </x:c>
      <x:c r="B278" s="153" t="n">
        <x:v>1.63</x:v>
      </x:c>
      <x:c r="C278" s="153" t="n">
        <x:v>0</x:v>
      </x:c>
      <x:c r="D278" s="153" t="n">
        <x:v>1.63</x:v>
      </x:c>
      <x:c r="E278" s="153" t="n">
        <x:v>112.5077</x:v>
      </x:c>
      <x:c r="F278" s="153" t="n">
        <x:v>13.57</x:v>
      </x:c>
      <x:c r="G278" s="153" t="n">
        <x:v>0.4</x:v>
      </x:c>
    </x:row>
    <x:row r="279">
      <x:c r="A279" s="155" t="n">
        <x:v>42647</x:v>
      </x:c>
      <x:c r="B279" s="153" t="n">
        <x:v>1.69</x:v>
      </x:c>
      <x:c r="C279" s="153" t="n">
        <x:v>0.07</x:v>
      </x:c>
      <x:c r="D279" s="153" t="n">
        <x:v>1.62</x:v>
      </x:c>
      <x:c r="E279" s="153" t="n">
        <x:v>112.6579</x:v>
      </x:c>
      <x:c r="F279" s="153" t="n">
        <x:v>13.63</x:v>
      </x:c>
      <x:c r="G279" s="153" t="n">
        <x:v>0.4</x:v>
      </x:c>
    </x:row>
    <x:row r="280">
      <x:c r="A280" s="155" t="n">
        <x:v>42648</x:v>
      </x:c>
      <x:c r="B280" s="153" t="n">
        <x:v>1.72</x:v>
      </x:c>
      <x:c r="C280" s="153" t="n">
        <x:v>0.1</x:v>
      </x:c>
      <x:c r="D280" s="153" t="n">
        <x:v>1.62</x:v>
      </x:c>
      <x:c r="E280" s="153" t="n">
        <x:v>112.7946</x:v>
      </x:c>
      <x:c r="F280" s="153" t="n">
        <x:v>12.99</x:v>
      </x:c>
      <x:c r="G280" s="153" t="n">
        <x:v>0.4</x:v>
      </x:c>
    </x:row>
    <x:row r="281">
      <x:c r="A281" s="155" t="n">
        <x:v>42649</x:v>
      </x:c>
      <x:c r="B281" s="153" t="n">
        <x:v>1.75</x:v>
      </x:c>
      <x:c r="C281" s="153" t="n">
        <x:v>0.11</x:v>
      </x:c>
      <x:c r="D281" s="153" t="n">
        <x:v>1.64</x:v>
      </x:c>
      <x:c r="E281" s="153" t="n">
        <x:v>113.0066</x:v>
      </x:c>
      <x:c r="F281" s="153" t="n">
        <x:v>12.84</x:v>
      </x:c>
      <x:c r="G281" s="153" t="n">
        <x:v>0.4</x:v>
      </x:c>
    </x:row>
    <x:row r="282">
      <x:c r="A282" s="155" t="n">
        <x:v>42650</x:v>
      </x:c>
      <x:c r="B282" s="153" t="n">
        <x:v>1.73</x:v>
      </x:c>
      <x:c r="C282" s="153" t="n">
        <x:v>0.1</x:v>
      </x:c>
      <x:c r="D282" s="153" t="n">
        <x:v>1.63</x:v>
      </x:c>
      <x:c r="E282" s="153" t="n">
        <x:v>113.2915</x:v>
      </x:c>
      <x:c r="F282" s="153" t="n">
        <x:v>13.48</x:v>
      </x:c>
      <x:c r="G282" s="153" t="n">
        <x:v>0.4</x:v>
      </x:c>
    </x:row>
    <x:row r="283">
      <x:c r="A283" s="155" t="n">
        <x:v>42651</x:v>
      </x:c>
      <x:c r="B283" s="153"/>
      <x:c r="C283" s="153"/>
      <x:c r="D283" s="153"/>
      <x:c r="E283" s="153"/>
      <x:c r="F283" s="153"/>
      <x:c r="G283" s="153" t="n">
        <x:v>0.4</x:v>
      </x:c>
    </x:row>
    <x:row r="284">
      <x:c r="A284" s="155" t="n">
        <x:v>42652</x:v>
      </x:c>
      <x:c r="B284" s="153"/>
      <x:c r="C284" s="153"/>
      <x:c r="D284" s="153"/>
      <x:c r="E284" s="153"/>
      <x:c r="F284" s="153"/>
      <x:c r="G284" s="153" t="n">
        <x:v>0.4</x:v>
      </x:c>
    </x:row>
    <x:row r="285">
      <x:c r="A285" s="155" t="n">
        <x:v>42653</x:v>
      </x:c>
      <x:c r="B285" s="153"/>
      <x:c r="C285" s="153"/>
      <x:c r="D285" s="153"/>
      <x:c r="E285" s="153"/>
      <x:c r="F285" s="153" t="n">
        <x:v>13.38</x:v>
      </x:c>
      <x:c r="G285" s="153" t="n">
        <x:v>0.4</x:v>
      </x:c>
    </x:row>
    <x:row r="286">
      <x:c r="A286" s="155" t="n">
        <x:v>42654</x:v>
      </x:c>
      <x:c r="B286" s="153" t="n">
        <x:v>1.77</x:v>
      </x:c>
      <x:c r="C286" s="153" t="n">
        <x:v>0.13</x:v>
      </x:c>
      <x:c r="D286" s="153" t="n">
        <x:v>1.64</x:v>
      </x:c>
      <x:c r="E286" s="153" t="n">
        <x:v>113.4461</x:v>
      </x:c>
      <x:c r="F286" s="153" t="n">
        <x:v>15.36</x:v>
      </x:c>
      <x:c r="G286" s="153" t="n">
        <x:v>0.41</x:v>
      </x:c>
    </x:row>
    <x:row r="287">
      <x:c r="A287" s="155" t="n">
        <x:v>42655</x:v>
      </x:c>
      <x:c r="B287" s="153" t="n">
        <x:v>1.79</x:v>
      </x:c>
      <x:c r="C287" s="153" t="n">
        <x:v>0.15</x:v>
      </x:c>
      <x:c r="D287" s="153" t="n">
        <x:v>1.64</x:v>
      </x:c>
      <x:c r="E287" s="153" t="n">
        <x:v>113.7442</x:v>
      </x:c>
      <x:c r="F287" s="153" t="n">
        <x:v>15.91</x:v>
      </x:c>
      <x:c r="G287" s="153" t="n">
        <x:v>0.41</x:v>
      </x:c>
    </x:row>
    <x:row r="288">
      <x:c r="A288" s="155" t="n">
        <x:v>42656</x:v>
      </x:c>
      <x:c r="B288" s="153" t="n">
        <x:v>1.75</x:v>
      </x:c>
      <x:c r="C288" s="153" t="n">
        <x:v>0.12</x:v>
      </x:c>
      <x:c r="D288" s="153" t="n">
        <x:v>1.63</x:v>
      </x:c>
      <x:c r="E288" s="153" t="n">
        <x:v>113.6238</x:v>
      </x:c>
      <x:c r="F288" s="153" t="n">
        <x:v>16.69</x:v>
      </x:c>
      <x:c r="G288" s="153" t="n">
        <x:v>0.41</x:v>
      </x:c>
    </x:row>
    <x:row r="289">
      <x:c r="A289" s="155" t="n">
        <x:v>42657</x:v>
      </x:c>
      <x:c r="B289" s="153" t="n">
        <x:v>1.8</x:v>
      </x:c>
      <x:c r="C289" s="153" t="n">
        <x:v>0.13</x:v>
      </x:c>
      <x:c r="D289" s="153" t="n">
        <x:v>1.67</x:v>
      </x:c>
      <x:c r="E289" s="153" t="n">
        <x:v>113.7119</x:v>
      </x:c>
      <x:c r="F289" s="153" t="n">
        <x:v>16.12</x:v>
      </x:c>
      <x:c r="G289" s="153" t="n">
        <x:v>0.41</x:v>
      </x:c>
    </x:row>
    <x:row r="290">
      <x:c r="A290" s="155" t="n">
        <x:v>42658</x:v>
      </x:c>
      <x:c r="B290" s="153"/>
      <x:c r="C290" s="153"/>
      <x:c r="D290" s="153"/>
      <x:c r="E290" s="153"/>
      <x:c r="F290" s="153"/>
      <x:c r="G290" s="153" t="n">
        <x:v>0.41</x:v>
      </x:c>
    </x:row>
    <x:row r="291">
      <x:c r="A291" s="155" t="n">
        <x:v>42659</x:v>
      </x:c>
      <x:c r="B291" s="153"/>
      <x:c r="C291" s="153"/>
      <x:c r="D291" s="153"/>
      <x:c r="E291" s="153"/>
      <x:c r="F291" s="153"/>
      <x:c r="G291" s="153" t="n">
        <x:v>0.41</x:v>
      </x:c>
    </x:row>
    <x:row r="292">
      <x:c r="A292" s="155" t="n">
        <x:v>42660</x:v>
      </x:c>
      <x:c r="B292" s="153" t="n">
        <x:v>1.77</x:v>
      </x:c>
      <x:c r="C292" s="153" t="n">
        <x:v>0.09</x:v>
      </x:c>
      <x:c r="D292" s="153" t="n">
        <x:v>1.68</x:v>
      </x:c>
      <x:c r="E292" s="153" t="n">
        <x:v>113.5488</x:v>
      </x:c>
      <x:c r="F292" s="153" t="n">
        <x:v>16.21</x:v>
      </x:c>
      <x:c r="G292" s="153" t="n">
        <x:v>0.41</x:v>
      </x:c>
    </x:row>
    <x:row r="293">
      <x:c r="A293" s="155" t="n">
        <x:v>42661</x:v>
      </x:c>
      <x:c r="B293" s="153" t="n">
        <x:v>1.75</x:v>
      </x:c>
      <x:c r="C293" s="153" t="n">
        <x:v>0.09</x:v>
      </x:c>
      <x:c r="D293" s="153" t="n">
        <x:v>1.66</x:v>
      </x:c>
      <x:c r="E293" s="153" t="n">
        <x:v>113.1393</x:v>
      </x:c>
      <x:c r="F293" s="153" t="n">
        <x:v>15.28</x:v>
      </x:c>
      <x:c r="G293" s="153" t="n">
        <x:v>0.41</x:v>
      </x:c>
    </x:row>
    <x:row r="294">
      <x:c r="A294" s="155" t="n">
        <x:v>42662</x:v>
      </x:c>
      <x:c r="B294" s="153" t="n">
        <x:v>1.76</x:v>
      </x:c>
      <x:c r="C294" s="153" t="n">
        <x:v>0.08</x:v>
      </x:c>
      <x:c r="D294" s="153" t="n">
        <x:v>1.68</x:v>
      </x:c>
      <x:c r="E294" s="153" t="n">
        <x:v>113.0547</x:v>
      </x:c>
      <x:c r="F294" s="153" t="n">
        <x:v>14.41</x:v>
      </x:c>
      <x:c r="G294" s="153" t="n">
        <x:v>0.41</x:v>
      </x:c>
    </x:row>
    <x:row r="295">
      <x:c r="A295" s="155" t="n">
        <x:v>42663</x:v>
      </x:c>
      <x:c r="B295" s="153" t="n">
        <x:v>1.76</x:v>
      </x:c>
      <x:c r="C295" s="153" t="n">
        <x:v>0.08</x:v>
      </x:c>
      <x:c r="D295" s="153" t="n">
        <x:v>1.68</x:v>
      </x:c>
      <x:c r="E295" s="153" t="n">
        <x:v>113.4033</x:v>
      </x:c>
      <x:c r="F295" s="153" t="n">
        <x:v>13.75</x:v>
      </x:c>
      <x:c r="G295" s="153" t="n">
        <x:v>0.41</x:v>
      </x:c>
    </x:row>
    <x:row r="296">
      <x:c r="A296" s="155" t="n">
        <x:v>42664</x:v>
      </x:c>
      <x:c r="B296" s="153" t="n">
        <x:v>1.74</x:v>
      </x:c>
      <x:c r="C296" s="153" t="n">
        <x:v>0.07</x:v>
      </x:c>
      <x:c r="D296" s="153" t="n">
        <x:v>1.67</x:v>
      </x:c>
      <x:c r="E296" s="153" t="n">
        <x:v>113.9015</x:v>
      </x:c>
      <x:c r="F296" s="153" t="n">
        <x:v>13.34</x:v>
      </x:c>
      <x:c r="G296" s="153" t="n">
        <x:v>0.41</x:v>
      </x:c>
    </x:row>
    <x:row r="297">
      <x:c r="A297" s="155" t="n">
        <x:v>42665</x:v>
      </x:c>
      <x:c r="B297" s="153"/>
      <x:c r="C297" s="153"/>
      <x:c r="D297" s="153"/>
      <x:c r="E297" s="153"/>
      <x:c r="F297" s="153"/>
      <x:c r="G297" s="153" t="n">
        <x:v>0.41</x:v>
      </x:c>
    </x:row>
    <x:row r="298">
      <x:c r="A298" s="155" t="n">
        <x:v>42666</x:v>
      </x:c>
      <x:c r="B298" s="153"/>
      <x:c r="C298" s="153"/>
      <x:c r="D298" s="153"/>
      <x:c r="E298" s="153"/>
      <x:c r="F298" s="153"/>
      <x:c r="G298" s="153" t="n">
        <x:v>0.41</x:v>
      </x:c>
    </x:row>
    <x:row r="299">
      <x:c r="A299" s="155" t="n">
        <x:v>42667</x:v>
      </x:c>
      <x:c r="B299" s="153" t="n">
        <x:v>1.77</x:v>
      </x:c>
      <x:c r="C299" s="153" t="n">
        <x:v>0.11</x:v>
      </x:c>
      <x:c r="D299" s="153" t="n">
        <x:v>1.66</x:v>
      </x:c>
      <x:c r="E299" s="153" t="n">
        <x:v>113.8571</x:v>
      </x:c>
      <x:c r="F299" s="153" t="n">
        <x:v>13.02</x:v>
      </x:c>
      <x:c r="G299" s="153" t="n">
        <x:v>0.41</x:v>
      </x:c>
    </x:row>
    <x:row r="300">
      <x:c r="A300" s="155" t="n">
        <x:v>42668</x:v>
      </x:c>
      <x:c r="B300" s="153" t="n">
        <x:v>1.77</x:v>
      </x:c>
      <x:c r="C300" s="153" t="n">
        <x:v>0.07</x:v>
      </x:c>
      <x:c r="D300" s="153" t="n">
        <x:v>1.7</x:v>
      </x:c>
      <x:c r="E300" s="153" t="n">
        <x:v>113.6801</x:v>
      </x:c>
      <x:c r="F300" s="153" t="n">
        <x:v>13.46</x:v>
      </x:c>
      <x:c r="G300" s="153" t="n">
        <x:v>0.41</x:v>
      </x:c>
    </x:row>
    <x:row r="301">
      <x:c r="A301" s="155" t="n">
        <x:v>42669</x:v>
      </x:c>
      <x:c r="B301" s="153" t="n">
        <x:v>1.79</x:v>
      </x:c>
      <x:c r="C301" s="153" t="n">
        <x:v>0.08</x:v>
      </x:c>
      <x:c r="D301" s="153" t="n">
        <x:v>1.71</x:v>
      </x:c>
      <x:c r="E301" s="153" t="n">
        <x:v>113.8131</x:v>
      </x:c>
      <x:c r="F301" s="153" t="n">
        <x:v>14.24</x:v>
      </x:c>
      <x:c r="G301" s="153" t="n">
        <x:v>0.41</x:v>
      </x:c>
    </x:row>
    <x:row r="302">
      <x:c r="A302" s="155" t="n">
        <x:v>42670</x:v>
      </x:c>
      <x:c r="B302" s="153" t="n">
        <x:v>1.85</x:v>
      </x:c>
      <x:c r="C302" s="153" t="n">
        <x:v>0.13</x:v>
      </x:c>
      <x:c r="D302" s="153" t="n">
        <x:v>1.72</x:v>
      </x:c>
      <x:c r="E302" s="153" t="n">
        <x:v>114.1998</x:v>
      </x:c>
      <x:c r="F302" s="153" t="n">
        <x:v>15.36</x:v>
      </x:c>
      <x:c r="G302" s="153" t="n">
        <x:v>0.41</x:v>
      </x:c>
    </x:row>
    <x:row r="303">
      <x:c r="A303" s="155" t="n">
        <x:v>42671</x:v>
      </x:c>
      <x:c r="B303" s="153" t="n">
        <x:v>1.86</x:v>
      </x:c>
      <x:c r="C303" s="153" t="n">
        <x:v>0.13</x:v>
      </x:c>
      <x:c r="D303" s="153" t="n">
        <x:v>1.73</x:v>
      </x:c>
      <x:c r="E303" s="153" t="n">
        <x:v>114.0931</x:v>
      </x:c>
      <x:c r="F303" s="153" t="n">
        <x:v>16.19</x:v>
      </x:c>
      <x:c r="G303" s="153" t="n">
        <x:v>0.41</x:v>
      </x:c>
    </x:row>
    <x:row r="304">
      <x:c r="A304" s="155" t="n">
        <x:v>42672</x:v>
      </x:c>
      <x:c r="B304" s="153"/>
      <x:c r="C304" s="153"/>
      <x:c r="D304" s="153"/>
      <x:c r="E304" s="153"/>
      <x:c r="F304" s="153"/>
      <x:c r="G304" s="153" t="n">
        <x:v>0.41</x:v>
      </x:c>
    </x:row>
    <x:row r="305">
      <x:c r="A305" s="155" t="n">
        <x:v>42673</x:v>
      </x:c>
      <x:c r="B305" s="153"/>
      <x:c r="C305" s="153"/>
      <x:c r="D305" s="153"/>
      <x:c r="E305" s="153"/>
      <x:c r="F305" s="153"/>
      <x:c r="G305" s="153" t="n">
        <x:v>0.41</x:v>
      </x:c>
    </x:row>
    <x:row r="306">
      <x:c r="A306" s="155" t="n">
        <x:v>42674</x:v>
      </x:c>
      <x:c r="B306" s="153" t="n">
        <x:v>1.84</x:v>
      </x:c>
      <x:c r="C306" s="153" t="n">
        <x:v>0.11</x:v>
      </x:c>
      <x:c r="D306" s="153" t="n">
        <x:v>1.73</x:v>
      </x:c>
      <x:c r="E306" s="153" t="n">
        <x:v>114.0188</x:v>
      </x:c>
      <x:c r="F306" s="153" t="n">
        <x:v>17.06</x:v>
      </x:c>
      <x:c r="G306" s="153" t="n">
        <x:v>0.31</x:v>
      </x:c>
    </x:row>
    <x:row r="307">
      <x:c r="A307" s="155" t="n">
        <x:v>42675</x:v>
      </x:c>
      <x:c r="B307" s="153" t="n">
        <x:v>1.83</x:v>
      </x:c>
      <x:c r="C307" s="153" t="n">
        <x:v>0.11</x:v>
      </x:c>
      <x:c r="D307" s="153" t="n">
        <x:v>1.72</x:v>
      </x:c>
      <x:c r="E307" s="153" t="n">
        <x:v>113.9915</x:v>
      </x:c>
      <x:c r="F307" s="153" t="n">
        <x:v>18.56</x:v>
      </x:c>
      <x:c r="G307" s="153" t="n">
        <x:v>0.41</x:v>
      </x:c>
    </x:row>
    <x:row r="308">
      <x:c r="A308" s="155" t="n">
        <x:v>42676</x:v>
      </x:c>
      <x:c r="B308" s="153" t="n">
        <x:v>1.81</x:v>
      </x:c>
      <x:c r="C308" s="153" t="n">
        <x:v>0.11</x:v>
      </x:c>
      <x:c r="D308" s="153" t="n">
        <x:v>1.7</x:v>
      </x:c>
      <x:c r="E308" s="153" t="n">
        <x:v>113.9206</x:v>
      </x:c>
      <x:c r="F308" s="153" t="n">
        <x:v>19.32</x:v>
      </x:c>
      <x:c r="G308" s="153" t="n">
        <x:v>0.41</x:v>
      </x:c>
    </x:row>
    <x:row r="309">
      <x:c r="A309" s="155" t="n">
        <x:v>42677</x:v>
      </x:c>
      <x:c r="B309" s="153" t="n">
        <x:v>1.82</x:v>
      </x:c>
      <x:c r="C309" s="153" t="n">
        <x:v>0.14</x:v>
      </x:c>
      <x:c r="D309" s="153" t="n">
        <x:v>1.68</x:v>
      </x:c>
      <x:c r="E309" s="153" t="n">
        <x:v>113.7664</x:v>
      </x:c>
      <x:c r="F309" s="153" t="n">
        <x:v>22.08</x:v>
      </x:c>
      <x:c r="G309" s="153" t="n">
        <x:v>0.41</x:v>
      </x:c>
    </x:row>
    <x:row r="310">
      <x:c r="A310" s="155" t="n">
        <x:v>42678</x:v>
      </x:c>
      <x:c r="B310" s="153" t="n">
        <x:v>1.79</x:v>
      </x:c>
      <x:c r="C310" s="153" t="n">
        <x:v>0.11</x:v>
      </x:c>
      <x:c r="D310" s="153" t="n">
        <x:v>1.68</x:v>
      </x:c>
      <x:c r="E310" s="153" t="n">
        <x:v>113.5828</x:v>
      </x:c>
      <x:c r="F310" s="153" t="n">
        <x:v>22.51</x:v>
      </x:c>
      <x:c r="G310" s="153" t="n">
        <x:v>0.41</x:v>
      </x:c>
    </x:row>
    <x:row r="311">
      <x:c r="A311" s="155" t="n">
        <x:v>42679</x:v>
      </x:c>
      <x:c r="B311" s="153"/>
      <x:c r="C311" s="153"/>
      <x:c r="D311" s="153"/>
      <x:c r="E311" s="153"/>
      <x:c r="F311" s="153"/>
      <x:c r="G311" s="153" t="n">
        <x:v>0.41</x:v>
      </x:c>
    </x:row>
    <x:row r="312">
      <x:c r="A312" s="155" t="n">
        <x:v>42680</x:v>
      </x:c>
      <x:c r="B312" s="153"/>
      <x:c r="C312" s="153"/>
      <x:c r="D312" s="153"/>
      <x:c r="E312" s="153"/>
      <x:c r="F312" s="153"/>
      <x:c r="G312" s="153" t="n">
        <x:v>0.41</x:v>
      </x:c>
    </x:row>
    <x:row r="313">
      <x:c r="A313" s="155" t="n">
        <x:v>42681</x:v>
      </x:c>
      <x:c r="B313" s="153" t="n">
        <x:v>1.83</x:v>
      </x:c>
      <x:c r="C313" s="153" t="n">
        <x:v>0.12</x:v>
      </x:c>
      <x:c r="D313" s="153" t="n">
        <x:v>1.71</x:v>
      </x:c>
      <x:c r="E313" s="153" t="n">
        <x:v>113.5443</x:v>
      </x:c>
      <x:c r="F313" s="153" t="n">
        <x:v>18.71</x:v>
      </x:c>
      <x:c r="G313" s="153" t="n">
        <x:v>0.41</x:v>
      </x:c>
    </x:row>
    <x:row r="314">
      <x:c r="A314" s="155" t="n">
        <x:v>42682</x:v>
      </x:c>
      <x:c r="B314" s="153" t="n">
        <x:v>1.88</x:v>
      </x:c>
      <x:c r="C314" s="153" t="n">
        <x:v>0.15</x:v>
      </x:c>
      <x:c r="D314" s="153" t="n">
        <x:v>1.73</x:v>
      </x:c>
      <x:c r="E314" s="153" t="n">
        <x:v>113.3017</x:v>
      </x:c>
      <x:c r="F314" s="153" t="n">
        <x:v>18.74</x:v>
      </x:c>
      <x:c r="G314" s="153" t="n">
        <x:v>0.41</x:v>
      </x:c>
    </x:row>
    <x:row r="315">
      <x:c r="A315" s="155" t="n">
        <x:v>42683</x:v>
      </x:c>
      <x:c r="B315" s="153" t="n">
        <x:v>2.07</x:v>
      </x:c>
      <x:c r="C315" s="153" t="n">
        <x:v>0.25</x:v>
      </x:c>
      <x:c r="D315" s="153" t="n">
        <x:v>1.82</x:v>
      </x:c>
      <x:c r="E315" s="153" t="n">
        <x:v>114.6956</x:v>
      </x:c>
      <x:c r="F315" s="153" t="n">
        <x:v>14.38</x:v>
      </x:c>
      <x:c r="G315" s="153" t="n">
        <x:v>0.41</x:v>
      </x:c>
    </x:row>
    <x:row r="316">
      <x:c r="A316" s="155" t="n">
        <x:v>42684</x:v>
      </x:c>
      <x:c r="B316" s="153" t="n">
        <x:v>2.15</x:v>
      </x:c>
      <x:c r="C316" s="153" t="n">
        <x:v>0.27</x:v>
      </x:c>
      <x:c r="D316" s="153" t="n">
        <x:v>1.88</x:v>
      </x:c>
      <x:c r="E316" s="153" t="n">
        <x:v>115.9375</x:v>
      </x:c>
      <x:c r="F316" s="153" t="n">
        <x:v>14.74</x:v>
      </x:c>
      <x:c r="G316" s="153" t="n">
        <x:v>0.41</x:v>
      </x:c>
    </x:row>
    <x:row r="317">
      <x:c r="A317" s="155" t="n">
        <x:v>42685</x:v>
      </x:c>
      <x:c r="B317" s="153"/>
      <x:c r="C317" s="153"/>
      <x:c r="D317" s="153"/>
      <x:c r="E317" s="153"/>
      <x:c r="F317" s="153" t="n">
        <x:v>14.17</x:v>
      </x:c>
      <x:c r="G317" s="153" t="n">
        <x:v>0.41</x:v>
      </x:c>
    </x:row>
    <x:row r="318">
      <x:c r="A318" s="155" t="n">
        <x:v>42686</x:v>
      </x:c>
      <x:c r="B318" s="153"/>
      <x:c r="C318" s="153"/>
      <x:c r="D318" s="153"/>
      <x:c r="E318" s="153"/>
      <x:c r="F318" s="153"/>
      <x:c r="G318" s="153" t="n">
        <x:v>0.41</x:v>
      </x:c>
    </x:row>
    <x:row r="319">
      <x:c r="A319" s="155" t="n">
        <x:v>42687</x:v>
      </x:c>
      <x:c r="B319" s="153"/>
      <x:c r="C319" s="153"/>
      <x:c r="D319" s="153"/>
      <x:c r="E319" s="153"/>
      <x:c r="F319" s="153"/>
      <x:c r="G319" s="153" t="n">
        <x:v>0.41</x:v>
      </x:c>
    </x:row>
    <x:row r="320">
      <x:c r="A320" s="155" t="n">
        <x:v>42688</x:v>
      </x:c>
      <x:c r="B320" s="153" t="n">
        <x:v>2.23</x:v>
      </x:c>
      <x:c r="C320" s="153" t="n">
        <x:v>0.4</x:v>
      </x:c>
      <x:c r="D320" s="153" t="n">
        <x:v>1.83</x:v>
      </x:c>
      <x:c r="E320" s="153" t="n">
        <x:v>117.2245</x:v>
      </x:c>
      <x:c r="F320" s="153" t="n">
        <x:v>14.48</x:v>
      </x:c>
      <x:c r="G320" s="153" t="n">
        <x:v>0.41</x:v>
      </x:c>
    </x:row>
    <x:row r="321">
      <x:c r="A321" s="155" t="n">
        <x:v>42689</x:v>
      </x:c>
      <x:c r="B321" s="153" t="n">
        <x:v>2.23</x:v>
      </x:c>
      <x:c r="C321" s="153" t="n">
        <x:v>0.41</x:v>
      </x:c>
      <x:c r="D321" s="153" t="n">
        <x:v>1.82</x:v>
      </x:c>
      <x:c r="E321" s="153" t="n">
        <x:v>116.7724</x:v>
      </x:c>
      <x:c r="F321" s="153" t="n">
        <x:v>13.37</x:v>
      </x:c>
      <x:c r="G321" s="153" t="n">
        <x:v>0.41</x:v>
      </x:c>
    </x:row>
    <x:row r="322">
      <x:c r="A322" s="155" t="n">
        <x:v>42690</x:v>
      </x:c>
      <x:c r="B322" s="153" t="n">
        <x:v>2.22</x:v>
      </x:c>
      <x:c r="C322" s="153" t="n">
        <x:v>0.39</x:v>
      </x:c>
      <x:c r="D322" s="153" t="n">
        <x:v>1.83</x:v>
      </x:c>
      <x:c r="E322" s="153" t="n">
        <x:v>116.8062</x:v>
      </x:c>
      <x:c r="F322" s="153" t="n">
        <x:v>13.72</x:v>
      </x:c>
      <x:c r="G322" s="153" t="n">
        <x:v>0.41</x:v>
      </x:c>
    </x:row>
    <x:row r="323">
      <x:c r="A323" s="155" t="n">
        <x:v>42691</x:v>
      </x:c>
      <x:c r="B323" s="153" t="n">
        <x:v>2.29</x:v>
      </x:c>
      <x:c r="C323" s="153" t="n">
        <x:v>0.42</x:v>
      </x:c>
      <x:c r="D323" s="153" t="n">
        <x:v>1.87</x:v>
      </x:c>
      <x:c r="E323" s="153" t="n">
        <x:v>116.8952</x:v>
      </x:c>
      <x:c r="F323" s="153" t="n">
        <x:v>13.35</x:v>
      </x:c>
      <x:c r="G323" s="153" t="n">
        <x:v>0.41</x:v>
      </x:c>
    </x:row>
    <x:row r="324">
      <x:c r="A324" s="155" t="n">
        <x:v>42692</x:v>
      </x:c>
      <x:c r="B324" s="153" t="n">
        <x:v>2.34</x:v>
      </x:c>
      <x:c r="C324" s="153" t="n">
        <x:v>0.44</x:v>
      </x:c>
      <x:c r="D324" s="153" t="n">
        <x:v>1.9</x:v>
      </x:c>
      <x:c r="E324" s="153" t="n">
        <x:v>117.5936</x:v>
      </x:c>
      <x:c r="F324" s="153" t="n">
        <x:v>12.85</x:v>
      </x:c>
      <x:c r="G324" s="153" t="n">
        <x:v>0.41</x:v>
      </x:c>
    </x:row>
    <x:row r="325">
      <x:c r="A325" s="155" t="n">
        <x:v>42693</x:v>
      </x:c>
      <x:c r="B325" s="153"/>
      <x:c r="C325" s="153"/>
      <x:c r="D325" s="153"/>
      <x:c r="E325" s="153"/>
      <x:c r="F325" s="153"/>
      <x:c r="G325" s="153" t="n">
        <x:v>0.41</x:v>
      </x:c>
    </x:row>
    <x:row r="326">
      <x:c r="A326" s="155" t="n">
        <x:v>42694</x:v>
      </x:c>
      <x:c r="B326" s="153"/>
      <x:c r="C326" s="153"/>
      <x:c r="D326" s="153"/>
      <x:c r="E326" s="153"/>
      <x:c r="F326" s="153"/>
      <x:c r="G326" s="153" t="n">
        <x:v>0.41</x:v>
      </x:c>
    </x:row>
    <x:row r="327">
      <x:c r="A327" s="155" t="n">
        <x:v>42695</x:v>
      </x:c>
      <x:c r="B327" s="153" t="n">
        <x:v>2.33</x:v>
      </x:c>
      <x:c r="C327" s="153" t="n">
        <x:v>0.42</x:v>
      </x:c>
      <x:c r="D327" s="153" t="n">
        <x:v>1.91</x:v>
      </x:c>
      <x:c r="E327" s="153" t="n">
        <x:v>117.4762</x:v>
      </x:c>
      <x:c r="F327" s="153" t="n">
        <x:v>12.42</x:v>
      </x:c>
      <x:c r="G327" s="153" t="n">
        <x:v>0.41</x:v>
      </x:c>
    </x:row>
    <x:row r="328">
      <x:c r="A328" s="155" t="n">
        <x:v>42696</x:v>
      </x:c>
      <x:c r="B328" s="153" t="n">
        <x:v>2.31</x:v>
      </x:c>
      <x:c r="C328" s="153" t="n">
        <x:v>0.41</x:v>
      </x:c>
      <x:c r="D328" s="153" t="n">
        <x:v>1.9</x:v>
      </x:c>
      <x:c r="E328" s="153" t="n">
        <x:v>117.4508</x:v>
      </x:c>
      <x:c r="F328" s="153" t="n">
        <x:v>12.41</x:v>
      </x:c>
      <x:c r="G328" s="153" t="n">
        <x:v>0.41</x:v>
      </x:c>
    </x:row>
    <x:row r="329">
      <x:c r="A329" s="155" t="n">
        <x:v>42697</x:v>
      </x:c>
      <x:c r="B329" s="153" t="n">
        <x:v>2.36</x:v>
      </x:c>
      <x:c r="C329" s="153" t="n">
        <x:v>0.44</x:v>
      </x:c>
      <x:c r="D329" s="153" t="n">
        <x:v>1.92</x:v>
      </x:c>
      <x:c r="E329" s="153" t="n">
        <x:v>118.0356</x:v>
      </x:c>
      <x:c r="F329" s="153" t="n">
        <x:v>12.43</x:v>
      </x:c>
      <x:c r="G329" s="153" t="n">
        <x:v>0.41</x:v>
      </x:c>
    </x:row>
    <x:row r="330">
      <x:c r="A330" s="155" t="n">
        <x:v>42698</x:v>
      </x:c>
      <x:c r="B330" s="153"/>
      <x:c r="C330" s="153"/>
      <x:c r="D330" s="153"/>
      <x:c r="E330" s="153"/>
      <x:c r="F330" s="153"/>
      <x:c r="G330" s="153" t="n">
        <x:v>0.41</x:v>
      </x:c>
    </x:row>
    <x:row r="331">
      <x:c r="A331" s="155" t="n">
        <x:v>42699</x:v>
      </x:c>
      <x:c r="B331" s="153" t="n">
        <x:v>2.36</x:v>
      </x:c>
      <x:c r="C331" s="153" t="n">
        <x:v>0.47</x:v>
      </x:c>
      <x:c r="D331" s="153" t="n">
        <x:v>1.89</x:v>
      </x:c>
      <x:c r="E331" s="153" t="n">
        <x:v>118.02</x:v>
      </x:c>
      <x:c r="F331" s="153" t="n">
        <x:v>12.34</x:v>
      </x:c>
      <x:c r="G331" s="153" t="n">
        <x:v>0.41</x:v>
      </x:c>
    </x:row>
    <x:row r="332">
      <x:c r="A332" s="155" t="n">
        <x:v>42700</x:v>
      </x:c>
      <x:c r="B332" s="153"/>
      <x:c r="C332" s="153"/>
      <x:c r="D332" s="153"/>
      <x:c r="E332" s="153"/>
      <x:c r="F332" s="153"/>
      <x:c r="G332" s="153" t="n">
        <x:v>0.41</x:v>
      </x:c>
    </x:row>
    <x:row r="333">
      <x:c r="A333" s="155" t="n">
        <x:v>42701</x:v>
      </x:c>
      <x:c r="B333" s="153"/>
      <x:c r="C333" s="153"/>
      <x:c r="D333" s="153"/>
      <x:c r="E333" s="153"/>
      <x:c r="F333" s="153"/>
      <x:c r="G333" s="153" t="n">
        <x:v>0.41</x:v>
      </x:c>
    </x:row>
    <x:row r="334">
      <x:c r="A334" s="155" t="n">
        <x:v>42702</x:v>
      </x:c>
      <x:c r="B334" s="153" t="n">
        <x:v>2.32</x:v>
      </x:c>
      <x:c r="C334" s="153" t="n">
        <x:v>0.47</x:v>
      </x:c>
      <x:c r="D334" s="153" t="n">
        <x:v>1.85</x:v>
      </x:c>
      <x:c r="E334" s="153" t="n">
        <x:v>117.7278</x:v>
      </x:c>
      <x:c r="F334" s="153" t="n">
        <x:v>13.15</x:v>
      </x:c>
      <x:c r="G334" s="153" t="n">
        <x:v>0.41</x:v>
      </x:c>
    </x:row>
    <x:row r="335">
      <x:c r="A335" s="155" t="n">
        <x:v>42703</x:v>
      </x:c>
      <x:c r="B335" s="153" t="n">
        <x:v>2.3</x:v>
      </x:c>
      <x:c r="C335" s="153" t="n">
        <x:v>0.44</x:v>
      </x:c>
      <x:c r="D335" s="153" t="n">
        <x:v>1.86</x:v>
      </x:c>
      <x:c r="E335" s="153" t="n">
        <x:v>117.644</x:v>
      </x:c>
      <x:c r="F335" s="153" t="n">
        <x:v>12.9</x:v>
      </x:c>
      <x:c r="G335" s="153" t="n">
        <x:v>0.41</x:v>
      </x:c>
    </x:row>
    <x:row r="336">
      <x:c r="A336" s="155" t="n">
        <x:v>42704</x:v>
      </x:c>
      <x:c r="B336" s="153" t="n">
        <x:v>2.37</x:v>
      </x:c>
      <x:c r="C336" s="153" t="n">
        <x:v>0.43</x:v>
      </x:c>
      <x:c r="D336" s="153" t="n">
        <x:v>1.94</x:v>
      </x:c>
      <x:c r="E336" s="153" t="n">
        <x:v>117.7636</x:v>
      </x:c>
      <x:c r="F336" s="153" t="n">
        <x:v>13.33</x:v>
      </x:c>
      <x:c r="G336" s="153" t="n">
        <x:v>0.31</x:v>
      </x:c>
    </x:row>
    <x:row r="337">
      <x:c r="A337" s="155" t="n">
        <x:v>42705</x:v>
      </x:c>
      <x:c r="B337" s="153" t="n">
        <x:v>2.45</x:v>
      </x:c>
      <x:c r="C337" s="153" t="n">
        <x:v>0.48</x:v>
      </x:c>
      <x:c r="D337" s="153" t="n">
        <x:v>1.97</x:v>
      </x:c>
      <x:c r="E337" s="153" t="n">
        <x:v>117.6642</x:v>
      </x:c>
      <x:c r="F337" s="153" t="n">
        <x:v>14.07</x:v>
      </x:c>
      <x:c r="G337" s="153" t="n">
        <x:v>0.41</x:v>
      </x:c>
    </x:row>
    <x:row r="338">
      <x:c r="A338" s="155" t="n">
        <x:v>42706</x:v>
      </x:c>
      <x:c r="B338" s="153" t="n">
        <x:v>2.4</x:v>
      </x:c>
      <x:c r="C338" s="153" t="n">
        <x:v>0.49</x:v>
      </x:c>
      <x:c r="D338" s="153" t="n">
        <x:v>1.91</x:v>
      </x:c>
      <x:c r="E338" s="153" t="n">
        <x:v>117.3116</x:v>
      </x:c>
      <x:c r="F338" s="153" t="n">
        <x:v>14.12</x:v>
      </x:c>
      <x:c r="G338" s="153" t="n">
        <x:v>0.41</x:v>
      </x:c>
    </x:row>
    <x:row r="339">
      <x:c r="A339" s="155" t="n">
        <x:v>42707</x:v>
      </x:c>
      <x:c r="B339" s="153"/>
      <x:c r="C339" s="153"/>
      <x:c r="D339" s="153"/>
      <x:c r="E339" s="153"/>
      <x:c r="F339" s="153"/>
      <x:c r="G339" s="153" t="n">
        <x:v>0.41</x:v>
      </x:c>
    </x:row>
    <x:row r="340">
      <x:c r="A340" s="155" t="n">
        <x:v>42708</x:v>
      </x:c>
      <x:c r="B340" s="153"/>
      <x:c r="C340" s="153"/>
      <x:c r="D340" s="153"/>
      <x:c r="E340" s="153"/>
      <x:c r="F340" s="153"/>
      <x:c r="G340" s="153" t="n">
        <x:v>0.41</x:v>
      </x:c>
    </x:row>
    <x:row r="341">
      <x:c r="A341" s="155" t="n">
        <x:v>42709</x:v>
      </x:c>
      <x:c r="B341" s="153" t="n">
        <x:v>2.39</x:v>
      </x:c>
      <x:c r="C341" s="153" t="n">
        <x:v>0.45</x:v>
      </x:c>
      <x:c r="D341" s="153" t="n">
        <x:v>1.94</x:v>
      </x:c>
      <x:c r="E341" s="153" t="n">
        <x:v>117.1008</x:v>
      </x:c>
      <x:c r="F341" s="153" t="n">
        <x:v>12.14</x:v>
      </x:c>
      <x:c r="G341" s="153" t="n">
        <x:v>0.41</x:v>
      </x:c>
    </x:row>
    <x:row r="342">
      <x:c r="A342" s="155" t="n">
        <x:v>42710</x:v>
      </x:c>
      <x:c r="B342" s="153" t="n">
        <x:v>2.39</x:v>
      </x:c>
      <x:c r="C342" s="153" t="n">
        <x:v>0.44</x:v>
      </x:c>
      <x:c r="D342" s="153" t="n">
        <x:v>1.95</x:v>
      </x:c>
      <x:c r="E342" s="153" t="n">
        <x:v>116.9225</x:v>
      </x:c>
      <x:c r="F342" s="153" t="n">
        <x:v>11.79</x:v>
      </x:c>
      <x:c r="G342" s="153" t="n">
        <x:v>0.41</x:v>
      </x:c>
    </x:row>
    <x:row r="343">
      <x:c r="A343" s="155" t="n">
        <x:v>42711</x:v>
      </x:c>
      <x:c r="B343" s="153" t="n">
        <x:v>2.34</x:v>
      </x:c>
      <x:c r="C343" s="153" t="n">
        <x:v>0.42</x:v>
      </x:c>
      <x:c r="D343" s="153" t="n">
        <x:v>1.92</x:v>
      </x:c>
      <x:c r="E343" s="153" t="n">
        <x:v>116.672</x:v>
      </x:c>
      <x:c r="F343" s="153" t="n">
        <x:v>12.22</x:v>
      </x:c>
      <x:c r="G343" s="153" t="n">
        <x:v>0.41</x:v>
      </x:c>
    </x:row>
    <x:row r="344">
      <x:c r="A344" s="155" t="n">
        <x:v>42712</x:v>
      </x:c>
      <x:c r="B344" s="153" t="n">
        <x:v>2.4</x:v>
      </x:c>
      <x:c r="C344" s="153" t="n">
        <x:v>0.45</x:v>
      </x:c>
      <x:c r="D344" s="153" t="n">
        <x:v>1.95</x:v>
      </x:c>
      <x:c r="E344" s="153" t="n">
        <x:v>117.0327</x:v>
      </x:c>
      <x:c r="F344" s="153" t="n">
        <x:v>12.64</x:v>
      </x:c>
      <x:c r="G344" s="153" t="n">
        <x:v>0.41</x:v>
      </x:c>
    </x:row>
    <x:row r="345">
      <x:c r="A345" s="155" t="n">
        <x:v>42713</x:v>
      </x:c>
      <x:c r="B345" s="153" t="n">
        <x:v>2.47</x:v>
      </x:c>
      <x:c r="C345" s="153" t="n">
        <x:v>0.51</x:v>
      </x:c>
      <x:c r="D345" s="153" t="n">
        <x:v>1.96</x:v>
      </x:c>
      <x:c r="E345" s="153" t="n">
        <x:v>117.2834</x:v>
      </x:c>
      <x:c r="F345" s="153" t="n">
        <x:v>11.75</x:v>
      </x:c>
      <x:c r="G345" s="153" t="n">
        <x:v>0.41</x:v>
      </x:c>
    </x:row>
    <x:row r="346">
      <x:c r="A346" s="155" t="n">
        <x:v>42714</x:v>
      </x:c>
      <x:c r="B346" s="153"/>
      <x:c r="C346" s="153"/>
      <x:c r="D346" s="153"/>
      <x:c r="E346" s="153"/>
      <x:c r="F346" s="153"/>
      <x:c r="G346" s="153" t="n">
        <x:v>0.41</x:v>
      </x:c>
    </x:row>
    <x:row r="347">
      <x:c r="A347" s="155" t="n">
        <x:v>42715</x:v>
      </x:c>
      <x:c r="B347" s="153"/>
      <x:c r="C347" s="153"/>
      <x:c r="D347" s="153"/>
      <x:c r="E347" s="153"/>
      <x:c r="F347" s="153"/>
      <x:c r="G347" s="153" t="n">
        <x:v>0.41</x:v>
      </x:c>
    </x:row>
    <x:row r="348">
      <x:c r="A348" s="155" t="n">
        <x:v>42716</x:v>
      </x:c>
      <x:c r="B348" s="153" t="n">
        <x:v>2.49</x:v>
      </x:c>
      <x:c r="C348" s="153" t="n">
        <x:v>0.51</x:v>
      </x:c>
      <x:c r="D348" s="153" t="n">
        <x:v>1.98</x:v>
      </x:c>
      <x:c r="E348" s="153" t="n">
        <x:v>116.9161</x:v>
      </x:c>
      <x:c r="F348" s="153" t="n">
        <x:v>12.64</x:v>
      </x:c>
      <x:c r="G348" s="153" t="n">
        <x:v>0.41</x:v>
      </x:c>
    </x:row>
    <x:row r="349">
      <x:c r="A349" s="155" t="n">
        <x:v>42717</x:v>
      </x:c>
      <x:c r="B349" s="153" t="n">
        <x:v>2.48</x:v>
      </x:c>
      <x:c r="C349" s="153" t="n">
        <x:v>0.53</x:v>
      </x:c>
      <x:c r="D349" s="153" t="n">
        <x:v>1.95</x:v>
      </x:c>
      <x:c r="E349" s="153" t="n">
        <x:v>116.8029</x:v>
      </x:c>
      <x:c r="F349" s="153" t="n">
        <x:v>12.72</x:v>
      </x:c>
      <x:c r="G349" s="153" t="n">
        <x:v>0.41</x:v>
      </x:c>
    </x:row>
    <x:row r="350">
      <x:c r="A350" s="155" t="n">
        <x:v>42718</x:v>
      </x:c>
      <x:c r="B350" s="153" t="n">
        <x:v>2.54</x:v>
      </x:c>
      <x:c r="C350" s="153" t="n">
        <x:v>0.6</x:v>
      </x:c>
      <x:c r="D350" s="153" t="n">
        <x:v>1.94</x:v>
      </x:c>
      <x:c r="E350" s="153" t="n">
        <x:v>116.7332</x:v>
      </x:c>
      <x:c r="F350" s="153" t="n">
        <x:v>13.19</x:v>
      </x:c>
      <x:c r="G350" s="153" t="n">
        <x:v>0.41</x:v>
      </x:c>
    </x:row>
    <x:row r="351">
      <x:c r="A351" s="155" t="n">
        <x:v>42719</x:v>
      </x:c>
      <x:c r="B351" s="153" t="n">
        <x:v>2.6</x:v>
      </x:c>
      <x:c r="C351" s="153" t="n">
        <x:v>0.7</x:v>
      </x:c>
      <x:c r="D351" s="153" t="n">
        <x:v>1.9</x:v>
      </x:c>
      <x:c r="E351" s="153" t="n">
        <x:v>118.8072</x:v>
      </x:c>
      <x:c r="F351" s="153" t="n">
        <x:v>12.79</x:v>
      </x:c>
      <x:c r="G351" s="153" t="n">
        <x:v>0.66</x:v>
      </x:c>
    </x:row>
    <x:row r="352">
      <x:c r="A352" s="155" t="n">
        <x:v>42720</x:v>
      </x:c>
      <x:c r="B352" s="153" t="n">
        <x:v>2.6</x:v>
      </x:c>
      <x:c r="C352" s="153" t="n">
        <x:v>0.74</x:v>
      </x:c>
      <x:c r="D352" s="153" t="n">
        <x:v>1.86</x:v>
      </x:c>
      <x:c r="E352" s="153" t="n">
        <x:v>118.3584</x:v>
      </x:c>
      <x:c r="F352" s="153" t="n">
        <x:v>12.2</x:v>
      </x:c>
      <x:c r="G352" s="153" t="n">
        <x:v>0.66</x:v>
      </x:c>
    </x:row>
    <x:row r="353">
      <x:c r="A353" s="155" t="n">
        <x:v>42721</x:v>
      </x:c>
      <x:c r="B353" s="153"/>
      <x:c r="C353" s="153"/>
      <x:c r="D353" s="153"/>
      <x:c r="E353" s="153"/>
      <x:c r="F353" s="153"/>
      <x:c r="G353" s="153" t="n">
        <x:v>0.66</x:v>
      </x:c>
    </x:row>
    <x:row r="354">
      <x:c r="A354" s="155" t="n">
        <x:v>42722</x:v>
      </x:c>
      <x:c r="B354" s="153"/>
      <x:c r="C354" s="153"/>
      <x:c r="D354" s="153"/>
      <x:c r="E354" s="153"/>
      <x:c r="F354" s="153"/>
      <x:c r="G354" s="153" t="n">
        <x:v>0.66</x:v>
      </x:c>
    </x:row>
    <x:row r="355">
      <x:c r="A355" s="155" t="n">
        <x:v>42723</x:v>
      </x:c>
      <x:c r="B355" s="153" t="n">
        <x:v>2.54</x:v>
      </x:c>
      <x:c r="C355" s="153" t="n">
        <x:v>0.68</x:v>
      </x:c>
      <x:c r="D355" s="153" t="n">
        <x:v>1.86</x:v>
      </x:c>
      <x:c r="E355" s="153" t="n">
        <x:v>118.3875</x:v>
      </x:c>
      <x:c r="F355" s="153" t="n">
        <x:v>11.71</x:v>
      </x:c>
      <x:c r="G355" s="153" t="n">
        <x:v>0.66</x:v>
      </x:c>
    </x:row>
    <x:row r="356">
      <x:c r="A356" s="155" t="n">
        <x:v>42724</x:v>
      </x:c>
      <x:c r="B356" s="153" t="n">
        <x:v>2.57</x:v>
      </x:c>
      <x:c r="C356" s="153" t="n">
        <x:v>0.67</x:v>
      </x:c>
      <x:c r="D356" s="153" t="n">
        <x:v>1.9</x:v>
      </x:c>
      <x:c r="E356" s="153" t="n">
        <x:v>118.63</x:v>
      </x:c>
      <x:c r="F356" s="153" t="n">
        <x:v>11.45</x:v>
      </x:c>
      <x:c r="G356" s="153" t="n">
        <x:v>0.66</x:v>
      </x:c>
    </x:row>
    <x:row r="357">
      <x:c r="A357" s="155" t="n">
        <x:v>42725</x:v>
      </x:c>
      <x:c r="B357" s="153" t="n">
        <x:v>2.55</x:v>
      </x:c>
      <x:c r="C357" s="153" t="n">
        <x:v>0.64</x:v>
      </x:c>
      <x:c r="D357" s="153" t="n">
        <x:v>1.91</x:v>
      </x:c>
      <x:c r="E357" s="153" t="n">
        <x:v>118.581</x:v>
      </x:c>
      <x:c r="F357" s="153" t="n">
        <x:v>11.27</x:v>
      </x:c>
      <x:c r="G357" s="153" t="n">
        <x:v>0.66</x:v>
      </x:c>
    </x:row>
    <x:row r="358">
      <x:c r="A358" s="155" t="n">
        <x:v>42726</x:v>
      </x:c>
      <x:c r="B358" s="153" t="n">
        <x:v>2.55</x:v>
      </x:c>
      <x:c r="C358" s="153" t="n">
        <x:v>0.6</x:v>
      </x:c>
      <x:c r="D358" s="153" t="n">
        <x:v>1.95</x:v>
      </x:c>
      <x:c r="E358" s="153" t="n">
        <x:v>118.8209</x:v>
      </x:c>
      <x:c r="F358" s="153" t="n">
        <x:v>11.43</x:v>
      </x:c>
      <x:c r="G358" s="153" t="n">
        <x:v>0.66</x:v>
      </x:c>
    </x:row>
    <x:row r="359">
      <x:c r="A359" s="155" t="n">
        <x:v>42727</x:v>
      </x:c>
      <x:c r="B359" s="153" t="n">
        <x:v>2.55</x:v>
      </x:c>
      <x:c r="C359" s="153" t="n">
        <x:v>0.58</x:v>
      </x:c>
      <x:c r="D359" s="153" t="n">
        <x:v>1.97</x:v>
      </x:c>
      <x:c r="E359" s="153" t="n">
        <x:v>118.7856</x:v>
      </x:c>
      <x:c r="F359" s="153" t="n">
        <x:v>11.44</x:v>
      </x:c>
      <x:c r="G359" s="153" t="n">
        <x:v>0.66</x:v>
      </x:c>
    </x:row>
    <x:row r="360">
      <x:c r="A360" s="155" t="n">
        <x:v>42728</x:v>
      </x:c>
      <x:c r="B360" s="153"/>
      <x:c r="C360" s="153"/>
      <x:c r="D360" s="153"/>
      <x:c r="E360" s="153"/>
      <x:c r="F360" s="153"/>
      <x:c r="G360" s="153" t="n">
        <x:v>0.66</x:v>
      </x:c>
    </x:row>
    <x:row r="361">
      <x:c r="A361" s="155" t="n">
        <x:v>42729</x:v>
      </x:c>
      <x:c r="B361" s="153"/>
      <x:c r="C361" s="153"/>
      <x:c r="D361" s="153"/>
      <x:c r="E361" s="153"/>
      <x:c r="F361" s="153"/>
      <x:c r="G361" s="153" t="n">
        <x:v>0.66</x:v>
      </x:c>
    </x:row>
    <x:row r="362">
      <x:c r="A362" s="155" t="n">
        <x:v>42730</x:v>
      </x:c>
      <x:c r="B362" s="153"/>
      <x:c r="C362" s="153"/>
      <x:c r="D362" s="153"/>
      <x:c r="E362" s="153"/>
      <x:c r="F362" s="153"/>
      <x:c r="G362" s="153" t="n">
        <x:v>0.66</x:v>
      </x:c>
    </x:row>
    <x:row r="363">
      <x:c r="A363" s="155" t="n">
        <x:v>42731</x:v>
      </x:c>
      <x:c r="B363" s="153" t="n">
        <x:v>2.57</x:v>
      </x:c>
      <x:c r="C363" s="153" t="n">
        <x:v>0.58</x:v>
      </x:c>
      <x:c r="D363" s="153" t="n">
        <x:v>1.99</x:v>
      </x:c>
      <x:c r="E363" s="153" t="n">
        <x:v>118.9506</x:v>
      </x:c>
      <x:c r="F363" s="153" t="n">
        <x:v>11.99</x:v>
      </x:c>
      <x:c r="G363" s="153" t="n">
        <x:v>0.66</x:v>
      </x:c>
    </x:row>
    <x:row r="364">
      <x:c r="A364" s="155" t="n">
        <x:v>42732</x:v>
      </x:c>
      <x:c r="B364" s="153" t="n">
        <x:v>2.51</x:v>
      </x:c>
      <x:c r="C364" s="153" t="n">
        <x:v>0.56</x:v>
      </x:c>
      <x:c r="D364" s="153" t="n">
        <x:v>1.95</x:v>
      </x:c>
      <x:c r="E364" s="153" t="n">
        <x:v>119.2305</x:v>
      </x:c>
      <x:c r="F364" s="153" t="n">
        <x:v>12.95</x:v>
      </x:c>
      <x:c r="G364" s="153" t="n">
        <x:v>0.66</x:v>
      </x:c>
    </x:row>
    <x:row r="365">
      <x:c r="A365" s="155" t="n">
        <x:v>42733</x:v>
      </x:c>
      <x:c r="B365" s="153" t="n">
        <x:v>2.49</x:v>
      </x:c>
      <x:c r="C365" s="153" t="n">
        <x:v>0.55</x:v>
      </x:c>
      <x:c r="D365" s="153" t="n">
        <x:v>1.94</x:v>
      </x:c>
      <x:c r="E365" s="153" t="n">
        <x:v>118.6637</x:v>
      </x:c>
      <x:c r="F365" s="153" t="n">
        <x:v>13.37</x:v>
      </x:c>
      <x:c r="G365" s="153" t="n">
        <x:v>0.66</x:v>
      </x:c>
    </x:row>
    <x:row r="366">
      <x:c r="A366" s="155" t="n">
        <x:v>42734</x:v>
      </x:c>
      <x:c r="B366" s="153" t="n">
        <x:v>2.45</x:v>
      </x:c>
      <x:c r="C366" s="153" t="n">
        <x:v>0.5</x:v>
      </x:c>
      <x:c r="D366" s="153" t="n">
        <x:v>1.95</x:v>
      </x:c>
      <x:c r="E366" s="153" t="n">
        <x:v>118.3466</x:v>
      </x:c>
      <x:c r="F366" s="153" t="n">
        <x:v>14.04</x:v>
      </x:c>
      <x:c r="G366" s="153" t="n">
        <x:v>0.55</x:v>
      </x:c>
    </x:row>
    <x:row r="367">
      <x:c r="A367" s="155" t="n">
        <x:v>42735</x:v>
      </x:c>
      <x:c r="B367" s="153"/>
      <x:c r="C367" s="153"/>
      <x:c r="D367" s="153"/>
      <x:c r="E367" s="153"/>
      <x:c r="F367" s="153"/>
      <x:c r="G367" s="153" t="n">
        <x:v>0.55</x:v>
      </x:c>
    </x:row>
    <x:row r="368">
      <x:c r="A368" s="155" t="n">
        <x:v>42736</x:v>
      </x:c>
      <x:c r="B368" s="153"/>
      <x:c r="C368" s="153"/>
      <x:c r="D368" s="153"/>
      <x:c r="E368" s="153"/>
      <x:c r="F368" s="153"/>
      <x:c r="G368" s="153" t="n">
        <x:v>0.55</x:v>
      </x:c>
    </x:row>
    <x:row r="369">
      <x:c r="A369" s="155" t="n">
        <x:v>42737</x:v>
      </x:c>
      <x:c r="B369" s="153"/>
      <x:c r="C369" s="153"/>
      <x:c r="D369" s="153"/>
      <x:c r="E369" s="153"/>
      <x:c r="F369" s="153"/>
      <x:c r="G369" s="153" t="n">
        <x:v>0.55</x:v>
      </x:c>
    </x:row>
    <x:row r="370">
      <x:c r="A370" s="155" t="n">
        <x:v>42738</x:v>
      </x:c>
      <x:c r="B370" s="153" t="n">
        <x:v>2.45</x:v>
      </x:c>
      <x:c r="C370" s="153" t="n">
        <x:v>0.47</x:v>
      </x:c>
      <x:c r="D370" s="153" t="n">
        <x:v>1.98</x:v>
      </x:c>
      <x:c r="E370" s="153" t="n">
        <x:v>119.0903</x:v>
      </x:c>
      <x:c r="F370" s="153" t="n">
        <x:v>12.85</x:v>
      </x:c>
      <x:c r="G370" s="153" t="n">
        <x:v>0.66</x:v>
      </x:c>
    </x:row>
    <x:row r="371">
      <x:c r="A371" s="155" t="n">
        <x:v>42739</x:v>
      </x:c>
      <x:c r="B371" s="153" t="n">
        <x:v>2.46</x:v>
      </x:c>
      <x:c r="C371" s="153" t="n">
        <x:v>0.47</x:v>
      </x:c>
      <x:c r="D371" s="153" t="n">
        <x:v>1.99</x:v>
      </x:c>
      <x:c r="E371" s="153" t="n">
        <x:v>118.8803</x:v>
      </x:c>
      <x:c r="F371" s="153" t="n">
        <x:v>11.85</x:v>
      </x:c>
      <x:c r="G371" s="153" t="n">
        <x:v>0.66</x:v>
      </x:c>
    </x:row>
    <x:row r="372">
      <x:c r="A372" s="155" t="n">
        <x:v>42740</x:v>
      </x:c>
      <x:c r="B372" s="153" t="n">
        <x:v>2.37</x:v>
      </x:c>
      <x:c r="C372" s="153" t="n">
        <x:v>0.42</x:v>
      </x:c>
      <x:c r="D372" s="153" t="n">
        <x:v>1.95</x:v>
      </x:c>
      <x:c r="E372" s="153" t="n">
        <x:v>117.9999</x:v>
      </x:c>
      <x:c r="F372" s="153" t="n">
        <x:v>11.67</x:v>
      </x:c>
      <x:c r="G372" s="153" t="n">
        <x:v>0.66</x:v>
      </x:c>
    </x:row>
    <x:row r="373">
      <x:c r="A373" s="155" t="n">
        <x:v>42741</x:v>
      </x:c>
      <x:c r="B373" s="153" t="n">
        <x:v>2.42</x:v>
      </x:c>
      <x:c r="C373" s="153" t="n">
        <x:v>0.46</x:v>
      </x:c>
      <x:c r="D373" s="153" t="n">
        <x:v>1.96</x:v>
      </x:c>
      <x:c r="E373" s="153" t="n">
        <x:v>118.3495</x:v>
      </x:c>
      <x:c r="F373" s="153" t="n">
        <x:v>11.32</x:v>
      </x:c>
      <x:c r="G373" s="153" t="n">
        <x:v>0.66</x:v>
      </x:c>
    </x:row>
    <x:row r="374">
      <x:c r="A374" s="155" t="n">
        <x:v>42742</x:v>
      </x:c>
      <x:c r="B374" s="153"/>
      <x:c r="C374" s="153"/>
      <x:c r="D374" s="153"/>
      <x:c r="E374" s="153"/>
      <x:c r="F374" s="153"/>
      <x:c r="G374" s="153" t="n">
        <x:v>0.66</x:v>
      </x:c>
    </x:row>
    <x:row r="375">
      <x:c r="A375" s="155" t="n">
        <x:v>42743</x:v>
      </x:c>
      <x:c r="B375" s="153"/>
      <x:c r="C375" s="153"/>
      <x:c r="D375" s="153"/>
      <x:c r="E375" s="153"/>
      <x:c r="F375" s="153"/>
      <x:c r="G375" s="153" t="n">
        <x:v>0.66</x:v>
      </x:c>
    </x:row>
    <x:row r="376">
      <x:c r="A376" s="155" t="n">
        <x:v>42744</x:v>
      </x:c>
      <x:c r="B376" s="153" t="n">
        <x:v>2.38</x:v>
      </x:c>
      <x:c r="C376" s="153" t="n">
        <x:v>0.43</x:v>
      </x:c>
      <x:c r="D376" s="153" t="n">
        <x:v>1.95</x:v>
      </x:c>
      <x:c r="E376" s="153" t="n">
        <x:v>118.4111</x:v>
      </x:c>
      <x:c r="F376" s="153" t="n">
        <x:v>11.56</x:v>
      </x:c>
      <x:c r="G376" s="153" t="n">
        <x:v>0.66</x:v>
      </x:c>
    </x:row>
    <x:row r="377">
      <x:c r="A377" s="155" t="n">
        <x:v>42745</x:v>
      </x:c>
      <x:c r="B377" s="153" t="n">
        <x:v>2.38</x:v>
      </x:c>
      <x:c r="C377" s="153" t="n">
        <x:v>0.43</x:v>
      </x:c>
      <x:c r="D377" s="153" t="n">
        <x:v>1.95</x:v>
      </x:c>
      <x:c r="E377" s="153" t="n">
        <x:v>118.5386</x:v>
      </x:c>
      <x:c r="F377" s="153" t="n">
        <x:v>11.49</x:v>
      </x:c>
      <x:c r="G377" s="153" t="n">
        <x:v>0.66</x:v>
      </x:c>
    </x:row>
    <x:row r="378">
      <x:c r="A378" s="155" t="n">
        <x:v>42746</x:v>
      </x:c>
      <x:c r="B378" s="153" t="n">
        <x:v>2.38</x:v>
      </x:c>
      <x:c r="C378" s="153" t="n">
        <x:v>0.39</x:v>
      </x:c>
      <x:c r="D378" s="153" t="n">
        <x:v>1.99</x:v>
      </x:c>
      <x:c r="E378" s="153" t="n">
        <x:v>119.0219</x:v>
      </x:c>
      <x:c r="F378" s="153" t="n">
        <x:v>11.26</x:v>
      </x:c>
      <x:c r="G378" s="153" t="n">
        <x:v>0.66</x:v>
      </x:c>
    </x:row>
    <x:row r="379">
      <x:c r="A379" s="155" t="n">
        <x:v>42747</x:v>
      </x:c>
      <x:c r="B379" s="153" t="n">
        <x:v>2.36</x:v>
      </x:c>
      <x:c r="C379" s="153" t="n">
        <x:v>0.38</x:v>
      </x:c>
      <x:c r="D379" s="153" t="n">
        <x:v>1.98</x:v>
      </x:c>
      <x:c r="E379" s="153" t="n">
        <x:v>117.8001</x:v>
      </x:c>
      <x:c r="F379" s="153" t="n">
        <x:v>11.54</x:v>
      </x:c>
      <x:c r="G379" s="153" t="n">
        <x:v>0.66</x:v>
      </x:c>
    </x:row>
    <x:row r="380">
      <x:c r="A380" s="155" t="n">
        <x:v>42748</x:v>
      </x:c>
      <x:c r="B380" s="153" t="n">
        <x:v>2.4</x:v>
      </x:c>
      <x:c r="C380" s="153" t="n">
        <x:v>0.41</x:v>
      </x:c>
      <x:c r="D380" s="153" t="n">
        <x:v>1.99</x:v>
      </x:c>
      <x:c r="E380" s="153" t="n">
        <x:v>117.9884</x:v>
      </x:c>
      <x:c r="F380" s="153" t="n">
        <x:v>11.23</x:v>
      </x:c>
      <x:c r="G380" s="153" t="n">
        <x:v>0.66</x:v>
      </x:c>
    </x:row>
    <x:row r="381">
      <x:c r="A381" s="155" t="n">
        <x:v>42749</x:v>
      </x:c>
      <x:c r="B381" s="153"/>
      <x:c r="C381" s="153"/>
      <x:c r="D381" s="153"/>
      <x:c r="E381" s="153"/>
      <x:c r="F381" s="153"/>
      <x:c r="G381" s="153" t="n">
        <x:v>0.66</x:v>
      </x:c>
    </x:row>
    <x:row r="382">
      <x:c r="A382" s="155" t="n">
        <x:v>42750</x:v>
      </x:c>
      <x:c r="B382" s="153"/>
      <x:c r="C382" s="153"/>
      <x:c r="D382" s="153"/>
      <x:c r="E382" s="153"/>
      <x:c r="F382" s="153"/>
      <x:c r="G382" s="153" t="n">
        <x:v>0.66</x:v>
      </x:c>
    </x:row>
    <x:row r="383">
      <x:c r="A383" s="155" t="n">
        <x:v>42751</x:v>
      </x:c>
      <x:c r="B383" s="153"/>
      <x:c r="C383" s="153"/>
      <x:c r="D383" s="153"/>
      <x:c r="E383" s="153"/>
      <x:c r="F383" s="153"/>
      <x:c r="G383" s="153" t="n">
        <x:v>0.66</x:v>
      </x:c>
    </x:row>
    <x:row r="384">
      <x:c r="A384" s="155" t="n">
        <x:v>42752</x:v>
      </x:c>
      <x:c r="B384" s="153" t="n">
        <x:v>2.33</x:v>
      </x:c>
      <x:c r="C384" s="153" t="n">
        <x:v>0.36</x:v>
      </x:c>
      <x:c r="D384" s="153" t="n">
        <x:v>1.97</x:v>
      </x:c>
      <x:c r="E384" s="153" t="n">
        <x:v>117.2656</x:v>
      </x:c>
      <x:c r="F384" s="153" t="n">
        <x:v>11.87</x:v>
      </x:c>
      <x:c r="G384" s="153" t="n">
        <x:v>0.66</x:v>
      </x:c>
    </x:row>
    <x:row r="385">
      <x:c r="A385" s="155" t="n">
        <x:v>42753</x:v>
      </x:c>
      <x:c r="B385" s="153" t="n">
        <x:v>2.42</x:v>
      </x:c>
      <x:c r="C385" s="153" t="n">
        <x:v>0.42</x:v>
      </x:c>
      <x:c r="D385" s="153" t="n">
        <x:v>2</x:v>
      </x:c>
      <x:c r="E385" s="153" t="n">
        <x:v>117.7242</x:v>
      </x:c>
      <x:c r="F385" s="153" t="n">
        <x:v>12.48</x:v>
      </x:c>
      <x:c r="G385" s="153" t="n">
        <x:v>0.66</x:v>
      </x:c>
    </x:row>
    <x:row r="386">
      <x:c r="A386" s="155" t="n">
        <x:v>42754</x:v>
      </x:c>
      <x:c r="B386" s="153" t="n">
        <x:v>2.47</x:v>
      </x:c>
      <x:c r="C386" s="153" t="n">
        <x:v>0.43</x:v>
      </x:c>
      <x:c r="D386" s="153" t="n">
        <x:v>2.04</x:v>
      </x:c>
      <x:c r="E386" s="153" t="n">
        <x:v>118.3182</x:v>
      </x:c>
      <x:c r="F386" s="153" t="n">
        <x:v>12.78</x:v>
      </x:c>
      <x:c r="G386" s="153" t="n">
        <x:v>0.66</x:v>
      </x:c>
    </x:row>
    <x:row r="387">
      <x:c r="A387" s="155" t="n">
        <x:v>42755</x:v>
      </x:c>
      <x:c r="B387" s="153" t="n">
        <x:v>2.48</x:v>
      </x:c>
      <x:c r="C387" s="153" t="n">
        <x:v>0.44</x:v>
      </x:c>
      <x:c r="D387" s="153" t="n">
        <x:v>2.04</x:v>
      </x:c>
      <x:c r="E387" s="153"/>
      <x:c r="F387" s="153" t="n">
        <x:v>11.54</x:v>
      </x:c>
      <x:c r="G387" s="153" t="n">
        <x:v>0.66</x:v>
      </x:c>
    </x:row>
    <x:row r="388">
      <x:c r="A388" s="155" t="n">
        <x:v>42756</x:v>
      </x:c>
      <x:c r="B388" s="153"/>
      <x:c r="C388" s="153"/>
      <x:c r="D388" s="153"/>
      <x:c r="E388" s="153"/>
      <x:c r="F388" s="153"/>
      <x:c r="G388" s="153" t="n">
        <x:v>0.66</x:v>
      </x:c>
    </x:row>
    <x:row r="389">
      <x:c r="A389" s="155" t="n">
        <x:v>42757</x:v>
      </x:c>
      <x:c r="B389" s="153"/>
      <x:c r="C389" s="153"/>
      <x:c r="D389" s="153"/>
      <x:c r="E389" s="153"/>
      <x:c r="F389" s="153"/>
      <x:c r="G389" s="153" t="n">
        <x:v>0.66</x:v>
      </x:c>
    </x:row>
    <x:row r="390">
      <x:c r="A390" s="155" t="n">
        <x:v>42758</x:v>
      </x:c>
      <x:c r="B390" s="153" t="n">
        <x:v>2.41</x:v>
      </x:c>
      <x:c r="C390" s="153" t="n">
        <x:v>0.39</x:v>
      </x:c>
      <x:c r="D390" s="153" t="n">
        <x:v>2.02</x:v>
      </x:c>
      <x:c r="E390" s="153" t="n">
        <x:v>117.2479</x:v>
      </x:c>
      <x:c r="F390" s="153" t="n">
        <x:v>11.77</x:v>
      </x:c>
      <x:c r="G390" s="153" t="n">
        <x:v>0.66</x:v>
      </x:c>
    </x:row>
    <x:row r="391">
      <x:c r="A391" s="155" t="n">
        <x:v>42759</x:v>
      </x:c>
      <x:c r="B391" s="153" t="n">
        <x:v>2.47</x:v>
      </x:c>
      <x:c r="C391" s="153" t="n">
        <x:v>0.41</x:v>
      </x:c>
      <x:c r="D391" s="153" t="n">
        <x:v>2.06</x:v>
      </x:c>
      <x:c r="E391" s="153" t="n">
        <x:v>117.0516</x:v>
      </x:c>
      <x:c r="F391" s="153" t="n">
        <x:v>11.07</x:v>
      </x:c>
      <x:c r="G391" s="153" t="n">
        <x:v>0.66</x:v>
      </x:c>
    </x:row>
    <x:row r="392">
      <x:c r="A392" s="155" t="n">
        <x:v>42760</x:v>
      </x:c>
      <x:c r="B392" s="153" t="n">
        <x:v>2.53</x:v>
      </x:c>
      <x:c r="C392" s="153" t="n">
        <x:v>0.45</x:v>
      </x:c>
      <x:c r="D392" s="153" t="n">
        <x:v>2.08</x:v>
      </x:c>
      <x:c r="E392" s="153" t="n">
        <x:v>116.9355</x:v>
      </x:c>
      <x:c r="F392" s="153" t="n">
        <x:v>10.81</x:v>
      </x:c>
      <x:c r="G392" s="153" t="n">
        <x:v>0.66</x:v>
      </x:c>
    </x:row>
    <x:row r="393">
      <x:c r="A393" s="155" t="n">
        <x:v>42761</x:v>
      </x:c>
      <x:c r="B393" s="153" t="n">
        <x:v>2.51</x:v>
      </x:c>
      <x:c r="C393" s="153" t="n">
        <x:v>0.43</x:v>
      </x:c>
      <x:c r="D393" s="153" t="n">
        <x:v>2.08</x:v>
      </x:c>
      <x:c r="E393" s="153" t="n">
        <x:v>117.2766</x:v>
      </x:c>
      <x:c r="F393" s="153" t="n">
        <x:v>10.63</x:v>
      </x:c>
      <x:c r="G393" s="153" t="n">
        <x:v>0.66</x:v>
      </x:c>
    </x:row>
    <x:row r="394">
      <x:c r="A394" s="155" t="n">
        <x:v>42762</x:v>
      </x:c>
      <x:c r="B394" s="153" t="n">
        <x:v>2.49</x:v>
      </x:c>
      <x:c r="C394" s="153" t="n">
        <x:v>0.41</x:v>
      </x:c>
      <x:c r="D394" s="153" t="n">
        <x:v>2.08</x:v>
      </x:c>
      <x:c r="E394" s="153" t="n">
        <x:v>117.0735</x:v>
      </x:c>
      <x:c r="F394" s="153" t="n">
        <x:v>10.58</x:v>
      </x:c>
      <x:c r="G394" s="153" t="n">
        <x:v>0.66</x:v>
      </x:c>
    </x:row>
    <x:row r="395">
      <x:c r="A395" s="155" t="n">
        <x:v>42763</x:v>
      </x:c>
      <x:c r="B395" s="153"/>
      <x:c r="C395" s="153"/>
      <x:c r="D395" s="153"/>
      <x:c r="E395" s="153"/>
      <x:c r="F395" s="153"/>
      <x:c r="G395" s="153" t="n">
        <x:v>0.66</x:v>
      </x:c>
    </x:row>
    <x:row r="396">
      <x:c r="A396" s="155" t="n">
        <x:v>42764</x:v>
      </x:c>
      <x:c r="B396" s="153"/>
      <x:c r="C396" s="153"/>
      <x:c r="D396" s="153"/>
      <x:c r="E396" s="153"/>
      <x:c r="F396" s="153"/>
      <x:c r="G396" s="153" t="n">
        <x:v>0.66</x:v>
      </x:c>
    </x:row>
    <x:row r="397">
      <x:c r="A397" s="155" t="n">
        <x:v>42765</x:v>
      </x:c>
      <x:c r="B397" s="153" t="n">
        <x:v>2.49</x:v>
      </x:c>
      <x:c r="C397" s="153" t="n">
        <x:v>0.42</x:v>
      </x:c>
      <x:c r="D397" s="153" t="n">
        <x:v>2.07</x:v>
      </x:c>
      <x:c r="E397" s="153" t="n">
        <x:v>116.7325</x:v>
      </x:c>
      <x:c r="F397" s="153" t="n">
        <x:v>11.88</x:v>
      </x:c>
      <x:c r="G397" s="153" t="n">
        <x:v>0.66</x:v>
      </x:c>
    </x:row>
    <x:row r="398">
      <x:c r="A398" s="155" t="n">
        <x:v>42766</x:v>
      </x:c>
      <x:c r="B398" s="153" t="n">
        <x:v>2.45</x:v>
      </x:c>
      <x:c r="C398" s="153" t="n">
        <x:v>0.4</x:v>
      </x:c>
      <x:c r="D398" s="153" t="n">
        <x:v>2.05</x:v>
      </x:c>
      <x:c r="E398" s="153" t="n">
        <x:v>116.2241</x:v>
      </x:c>
      <x:c r="F398" s="153" t="n">
        <x:v>11.99</x:v>
      </x:c>
      <x:c r="G398" s="153" t="n">
        <x:v>0.56</x:v>
      </x:c>
    </x:row>
    <x:row r="399">
      <x:c r="A399" s="155" t="n">
        <x:v>42767</x:v>
      </x:c>
      <x:c r="B399" s="153" t="n">
        <x:v>2.48</x:v>
      </x:c>
      <x:c r="C399" s="153" t="n">
        <x:v>0.43</x:v>
      </x:c>
      <x:c r="D399" s="153" t="n">
        <x:v>2.05</x:v>
      </x:c>
      <x:c r="E399" s="153" t="n">
        <x:v>116.3914</x:v>
      </x:c>
      <x:c r="F399" s="153" t="n">
        <x:v>11.81</x:v>
      </x:c>
      <x:c r="G399" s="153" t="n">
        <x:v>0.66</x:v>
      </x:c>
    </x:row>
    <x:row r="400">
      <x:c r="A400" s="155" t="n">
        <x:v>42768</x:v>
      </x:c>
      <x:c r="B400" s="153" t="n">
        <x:v>2.48</x:v>
      </x:c>
      <x:c r="C400" s="153" t="n">
        <x:v>0.43</x:v>
      </x:c>
      <x:c r="D400" s="153" t="n">
        <x:v>2.05</x:v>
      </x:c>
      <x:c r="E400" s="153" t="n">
        <x:v>115.903</x:v>
      </x:c>
      <x:c r="F400" s="153" t="n">
        <x:v>11.93</x:v>
      </x:c>
      <x:c r="G400" s="153" t="n">
        <x:v>0.66</x:v>
      </x:c>
    </x:row>
    <x:row r="401">
      <x:c r="A401" s="155" t="n">
        <x:v>42769</x:v>
      </x:c>
      <x:c r="B401" s="153" t="n">
        <x:v>2.49</x:v>
      </x:c>
      <x:c r="C401" s="153" t="n">
        <x:v>0.44</x:v>
      </x:c>
      <x:c r="D401" s="153" t="n">
        <x:v>2.05</x:v>
      </x:c>
      <x:c r="E401" s="153" t="n">
        <x:v>115.6259</x:v>
      </x:c>
      <x:c r="F401" s="153" t="n">
        <x:v>10.97</x:v>
      </x:c>
      <x:c r="G401" s="153" t="n">
        <x:v>0.66</x:v>
      </x:c>
    </x:row>
    <x:row r="402">
      <x:c r="A402" s="155" t="n">
        <x:v>42770</x:v>
      </x:c>
      <x:c r="B402" s="153"/>
      <x:c r="C402" s="153"/>
      <x:c r="D402" s="153"/>
      <x:c r="E402" s="153"/>
      <x:c r="F402" s="153"/>
      <x:c r="G402" s="153" t="n">
        <x:v>0.66</x:v>
      </x:c>
    </x:row>
    <x:row r="403">
      <x:c r="A403" s="155" t="n">
        <x:v>42771</x:v>
      </x:c>
      <x:c r="B403" s="153"/>
      <x:c r="C403" s="153"/>
      <x:c r="D403" s="153"/>
      <x:c r="E403" s="153"/>
      <x:c r="F403" s="153"/>
      <x:c r="G403" s="153" t="n">
        <x:v>0.66</x:v>
      </x:c>
    </x:row>
    <x:row r="404">
      <x:c r="A404" s="155" t="n">
        <x:v>42772</x:v>
      </x:c>
      <x:c r="B404" s="153" t="n">
        <x:v>2.42</x:v>
      </x:c>
      <x:c r="C404" s="153" t="n">
        <x:v>0.4</x:v>
      </x:c>
      <x:c r="D404" s="153" t="n">
        <x:v>2.02</x:v>
      </x:c>
      <x:c r="E404" s="153" t="n">
        <x:v>116.0504</x:v>
      </x:c>
      <x:c r="F404" s="153" t="n">
        <x:v>11.37</x:v>
      </x:c>
      <x:c r="G404" s="153" t="n">
        <x:v>0.66</x:v>
      </x:c>
    </x:row>
    <x:row r="405">
      <x:c r="A405" s="155" t="n">
        <x:v>42773</x:v>
      </x:c>
      <x:c r="B405" s="153" t="n">
        <x:v>2.4</x:v>
      </x:c>
      <x:c r="C405" s="153" t="n">
        <x:v>0.4</x:v>
      </x:c>
      <x:c r="D405" s="153" t="n">
        <x:v>2</x:v>
      </x:c>
      <x:c r="E405" s="153" t="n">
        <x:v>116.4082</x:v>
      </x:c>
      <x:c r="F405" s="153" t="n">
        <x:v>11.29</x:v>
      </x:c>
      <x:c r="G405" s="153" t="n">
        <x:v>0.66</x:v>
      </x:c>
    </x:row>
    <x:row r="406">
      <x:c r="A406" s="155" t="n">
        <x:v>42774</x:v>
      </x:c>
      <x:c r="B406" s="153" t="n">
        <x:v>2.34</x:v>
      </x:c>
      <x:c r="C406" s="153" t="n">
        <x:v>0.38</x:v>
      </x:c>
      <x:c r="D406" s="153" t="n">
        <x:v>1.96</x:v>
      </x:c>
      <x:c r="E406" s="153" t="n">
        <x:v>116.1382</x:v>
      </x:c>
      <x:c r="F406" s="153" t="n">
        <x:v>11.45</x:v>
      </x:c>
      <x:c r="G406" s="153" t="n">
        <x:v>0.66</x:v>
      </x:c>
    </x:row>
    <x:row r="407">
      <x:c r="A407" s="155" t="n">
        <x:v>42775</x:v>
      </x:c>
      <x:c r="B407" s="153" t="n">
        <x:v>2.4</x:v>
      </x:c>
      <x:c r="C407" s="153" t="n">
        <x:v>0.41</x:v>
      </x:c>
      <x:c r="D407" s="153" t="n">
        <x:v>1.99</x:v>
      </x:c>
      <x:c r="E407" s="153" t="n">
        <x:v>116.306</x:v>
      </x:c>
      <x:c r="F407" s="153" t="n">
        <x:v>10.88</x:v>
      </x:c>
      <x:c r="G407" s="153" t="n">
        <x:v>0.66</x:v>
      </x:c>
    </x:row>
    <x:row r="408">
      <x:c r="A408" s="155" t="n">
        <x:v>42776</x:v>
      </x:c>
      <x:c r="B408" s="153" t="n">
        <x:v>2.41</x:v>
      </x:c>
      <x:c r="C408" s="153" t="n">
        <x:v>0.4</x:v>
      </x:c>
      <x:c r="D408" s="153" t="n">
        <x:v>2.01</x:v>
      </x:c>
      <x:c r="E408" s="153" t="n">
        <x:v>116.148</x:v>
      </x:c>
      <x:c r="F408" s="153" t="n">
        <x:v>10.85</x:v>
      </x:c>
      <x:c r="G408" s="153" t="n">
        <x:v>0.66</x:v>
      </x:c>
    </x:row>
    <x:row r="409">
      <x:c r="A409" s="155" t="n">
        <x:v>42777</x:v>
      </x:c>
      <x:c r="B409" s="153"/>
      <x:c r="C409" s="153"/>
      <x:c r="D409" s="153"/>
      <x:c r="E409" s="153"/>
      <x:c r="F409" s="153"/>
      <x:c r="G409" s="153" t="n">
        <x:v>0.66</x:v>
      </x:c>
    </x:row>
    <x:row r="410">
      <x:c r="A410" s="155" t="n">
        <x:v>42778</x:v>
      </x:c>
      <x:c r="B410" s="153"/>
      <x:c r="C410" s="153"/>
      <x:c r="D410" s="153"/>
      <x:c r="E410" s="153"/>
      <x:c r="F410" s="153"/>
      <x:c r="G410" s="153" t="n">
        <x:v>0.66</x:v>
      </x:c>
    </x:row>
    <x:row r="411">
      <x:c r="A411" s="155" t="n">
        <x:v>42779</x:v>
      </x:c>
      <x:c r="B411" s="153" t="n">
        <x:v>2.43</x:v>
      </x:c>
      <x:c r="C411" s="153" t="n">
        <x:v>0.43</x:v>
      </x:c>
      <x:c r="D411" s="153" t="n">
        <x:v>2</x:v>
      </x:c>
      <x:c r="E411" s="153" t="n">
        <x:v>116.3427</x:v>
      </x:c>
      <x:c r="F411" s="153" t="n">
        <x:v>11.07</x:v>
      </x:c>
      <x:c r="G411" s="153" t="n">
        <x:v>0.66</x:v>
      </x:c>
    </x:row>
    <x:row r="412">
      <x:c r="A412" s="155" t="n">
        <x:v>42780</x:v>
      </x:c>
      <x:c r="B412" s="153" t="n">
        <x:v>2.47</x:v>
      </x:c>
      <x:c r="C412" s="153" t="n">
        <x:v>0.46</x:v>
      </x:c>
      <x:c r="D412" s="153" t="n">
        <x:v>2.01</x:v>
      </x:c>
      <x:c r="E412" s="153" t="n">
        <x:v>116.3949</x:v>
      </x:c>
      <x:c r="F412" s="153" t="n">
        <x:v>10.74</x:v>
      </x:c>
      <x:c r="G412" s="153" t="n">
        <x:v>0.66</x:v>
      </x:c>
    </x:row>
    <x:row r="413">
      <x:c r="A413" s="155" t="n">
        <x:v>42781</x:v>
      </x:c>
      <x:c r="B413" s="153" t="n">
        <x:v>2.51</x:v>
      </x:c>
      <x:c r="C413" s="153" t="n">
        <x:v>0.45</x:v>
      </x:c>
      <x:c r="D413" s="153" t="n">
        <x:v>2.06</x:v>
      </x:c>
      <x:c r="E413" s="153" t="n">
        <x:v>116.2162</x:v>
      </x:c>
      <x:c r="F413" s="153" t="n">
        <x:v>11.97</x:v>
      </x:c>
      <x:c r="G413" s="153" t="n">
        <x:v>0.66</x:v>
      </x:c>
    </x:row>
    <x:row r="414">
      <x:c r="A414" s="155" t="n">
        <x:v>42782</x:v>
      </x:c>
      <x:c r="B414" s="153" t="n">
        <x:v>2.45</x:v>
      </x:c>
      <x:c r="C414" s="153" t="n">
        <x:v>0.43</x:v>
      </x:c>
      <x:c r="D414" s="153" t="n">
        <x:v>2.02</x:v>
      </x:c>
      <x:c r="E414" s="153" t="n">
        <x:v>116.0067</x:v>
      </x:c>
      <x:c r="F414" s="153" t="n">
        <x:v>11.76</x:v>
      </x:c>
      <x:c r="G414" s="153" t="n">
        <x:v>0.66</x:v>
      </x:c>
    </x:row>
    <x:row r="415">
      <x:c r="A415" s="155" t="n">
        <x:v>42783</x:v>
      </x:c>
      <x:c r="B415" s="153" t="n">
        <x:v>2.42</x:v>
      </x:c>
      <x:c r="C415" s="153" t="n">
        <x:v>0.41</x:v>
      </x:c>
      <x:c r="D415" s="153" t="n">
        <x:v>2.01</x:v>
      </x:c>
      <x:c r="E415" s="153" t="n">
        <x:v>116.4035</x:v>
      </x:c>
      <x:c r="F415" s="153" t="n">
        <x:v>11.49</x:v>
      </x:c>
      <x:c r="G415" s="153" t="n">
        <x:v>0.66</x:v>
      </x:c>
    </x:row>
    <x:row r="416">
      <x:c r="A416" s="155" t="n">
        <x:v>42784</x:v>
      </x:c>
      <x:c r="B416" s="153"/>
      <x:c r="C416" s="153"/>
      <x:c r="D416" s="153"/>
      <x:c r="E416" s="153"/>
      <x:c r="F416" s="153"/>
      <x:c r="G416" s="153" t="n">
        <x:v>0.66</x:v>
      </x:c>
    </x:row>
    <x:row r="417">
      <x:c r="A417" s="155" t="n">
        <x:v>42785</x:v>
      </x:c>
      <x:c r="B417" s="153"/>
      <x:c r="C417" s="153"/>
      <x:c r="D417" s="153"/>
      <x:c r="E417" s="153"/>
      <x:c r="F417" s="153"/>
      <x:c r="G417" s="153" t="n">
        <x:v>0.66</x:v>
      </x:c>
    </x:row>
    <x:row r="418">
      <x:c r="A418" s="155" t="n">
        <x:v>42786</x:v>
      </x:c>
      <x:c r="B418" s="153"/>
      <x:c r="C418" s="153"/>
      <x:c r="D418" s="153"/>
      <x:c r="E418" s="153"/>
      <x:c r="F418" s="153"/>
      <x:c r="G418" s="153" t="n">
        <x:v>0.66</x:v>
      </x:c>
    </x:row>
    <x:row r="419">
      <x:c r="A419" s="155" t="n">
        <x:v>42787</x:v>
      </x:c>
      <x:c r="B419" s="153" t="n">
        <x:v>2.43</x:v>
      </x:c>
      <x:c r="C419" s="153" t="n">
        <x:v>0.4</x:v>
      </x:c>
      <x:c r="D419" s="153" t="n">
        <x:v>2.03</x:v>
      </x:c>
      <x:c r="E419" s="153" t="n">
        <x:v>116.5921</x:v>
      </x:c>
      <x:c r="F419" s="153" t="n">
        <x:v>11.57</x:v>
      </x:c>
      <x:c r="G419" s="153" t="n">
        <x:v>0.66</x:v>
      </x:c>
    </x:row>
    <x:row r="420">
      <x:c r="A420" s="155" t="n">
        <x:v>42788</x:v>
      </x:c>
      <x:c r="B420" s="153" t="n">
        <x:v>2.42</x:v>
      </x:c>
      <x:c r="C420" s="153" t="n">
        <x:v>0.38</x:v>
      </x:c>
      <x:c r="D420" s="153" t="n">
        <x:v>2.04</x:v>
      </x:c>
      <x:c r="E420" s="153" t="n">
        <x:v>116.2136</x:v>
      </x:c>
      <x:c r="F420" s="153" t="n">
        <x:v>11.74</x:v>
      </x:c>
      <x:c r="G420" s="153" t="n">
        <x:v>0.66</x:v>
      </x:c>
    </x:row>
    <x:row r="421">
      <x:c r="A421" s="155" t="n">
        <x:v>42789</x:v>
      </x:c>
      <x:c r="B421" s="153" t="n">
        <x:v>2.38</x:v>
      </x:c>
      <x:c r="C421" s="153" t="n">
        <x:v>0.35</x:v>
      </x:c>
      <x:c r="D421" s="153" t="n">
        <x:v>2.03</x:v>
      </x:c>
      <x:c r="E421" s="153" t="n">
        <x:v>115.6527</x:v>
      </x:c>
      <x:c r="F421" s="153" t="n">
        <x:v>11.71</x:v>
      </x:c>
      <x:c r="G421" s="153" t="n">
        <x:v>0.66</x:v>
      </x:c>
    </x:row>
    <x:row r="422">
      <x:c r="A422" s="155" t="n">
        <x:v>42790</x:v>
      </x:c>
      <x:c r="B422" s="153" t="n">
        <x:v>2.31</x:v>
      </x:c>
      <x:c r="C422" s="153" t="n">
        <x:v>0.31</x:v>
      </x:c>
      <x:c r="D422" s="153" t="n">
        <x:v>2</x:v>
      </x:c>
      <x:c r="E422" s="153" t="n">
        <x:v>115.8143</x:v>
      </x:c>
      <x:c r="F422" s="153" t="n">
        <x:v>11.47</x:v>
      </x:c>
      <x:c r="G422" s="153" t="n">
        <x:v>0.66</x:v>
      </x:c>
    </x:row>
    <x:row r="423">
      <x:c r="A423" s="155" t="n">
        <x:v>42791</x:v>
      </x:c>
      <x:c r="B423" s="153"/>
      <x:c r="C423" s="153"/>
      <x:c r="D423" s="153"/>
      <x:c r="E423" s="153"/>
      <x:c r="F423" s="153"/>
      <x:c r="G423" s="153" t="n">
        <x:v>0.66</x:v>
      </x:c>
    </x:row>
    <x:row r="424">
      <x:c r="A424" s="155" t="n">
        <x:v>42792</x:v>
      </x:c>
      <x:c r="B424" s="153"/>
      <x:c r="C424" s="153"/>
      <x:c r="D424" s="153"/>
      <x:c r="E424" s="153"/>
      <x:c r="F424" s="153"/>
      <x:c r="G424" s="153" t="n">
        <x:v>0.66</x:v>
      </x:c>
    </x:row>
    <x:row r="425">
      <x:c r="A425" s="155" t="n">
        <x:v>42793</x:v>
      </x:c>
      <x:c r="B425" s="153" t="n">
        <x:v>2.36</x:v>
      </x:c>
      <x:c r="C425" s="153" t="n">
        <x:v>0.35</x:v>
      </x:c>
      <x:c r="D425" s="153" t="n">
        <x:v>2.01</x:v>
      </x:c>
      <x:c r="E425" s="153" t="n">
        <x:v>115.6764</x:v>
      </x:c>
      <x:c r="F425" s="153" t="n">
        <x:v>12.09</x:v>
      </x:c>
      <x:c r="G425" s="153" t="n">
        <x:v>0.66</x:v>
      </x:c>
    </x:row>
    <x:row r="426">
      <x:c r="A426" s="155" t="n">
        <x:v>42794</x:v>
      </x:c>
      <x:c r="B426" s="153" t="n">
        <x:v>2.36</x:v>
      </x:c>
      <x:c r="C426" s="153" t="n">
        <x:v>0.34</x:v>
      </x:c>
      <x:c r="D426" s="153" t="n">
        <x:v>2.02</x:v>
      </x:c>
      <x:c r="E426" s="153" t="n">
        <x:v>116.0032</x:v>
      </x:c>
      <x:c r="F426" s="153" t="n">
        <x:v>12.92</x:v>
      </x:c>
      <x:c r="G426" s="153" t="n">
        <x:v>0.57</x:v>
      </x:c>
    </x:row>
    <x:row r="427">
      <x:c r="A427" s="155" t="n">
        <x:v>42795</x:v>
      </x:c>
      <x:c r="B427" s="153" t="n">
        <x:v>2.46</x:v>
      </x:c>
      <x:c r="C427" s="153" t="n">
        <x:v>0.43</x:v>
      </x:c>
      <x:c r="D427" s="153" t="n">
        <x:v>2.03</x:v>
      </x:c>
      <x:c r="E427" s="153" t="n">
        <x:v>116.438</x:v>
      </x:c>
      <x:c r="F427" s="153" t="n">
        <x:v>12.54</x:v>
      </x:c>
      <x:c r="G427" s="153" t="n">
        <x:v>0.66</x:v>
      </x:c>
    </x:row>
    <x:row r="428">
      <x:c r="A428" s="155" t="n">
        <x:v>42796</x:v>
      </x:c>
      <x:c r="B428" s="153" t="n">
        <x:v>2.49</x:v>
      </x:c>
      <x:c r="C428" s="153" t="n">
        <x:v>0.48</x:v>
      </x:c>
      <x:c r="D428" s="153" t="n">
        <x:v>2.01</x:v>
      </x:c>
      <x:c r="E428" s="153" t="n">
        <x:v>116.8429</x:v>
      </x:c>
      <x:c r="F428" s="153" t="n">
        <x:v>11.81</x:v>
      </x:c>
      <x:c r="G428" s="153" t="n">
        <x:v>0.66</x:v>
      </x:c>
    </x:row>
    <x:row r="429">
      <x:c r="A429" s="155" t="n">
        <x:v>42797</x:v>
      </x:c>
      <x:c r="B429" s="153" t="n">
        <x:v>2.49</x:v>
      </x:c>
      <x:c r="C429" s="153" t="n">
        <x:v>0.45</x:v>
      </x:c>
      <x:c r="D429" s="153" t="n">
        <x:v>2.04</x:v>
      </x:c>
      <x:c r="E429" s="153" t="n">
        <x:v>116.6438</x:v>
      </x:c>
      <x:c r="F429" s="153" t="n">
        <x:v>10.96</x:v>
      </x:c>
      <x:c r="G429" s="153" t="n">
        <x:v>0.66</x:v>
      </x:c>
    </x:row>
    <x:row r="430">
      <x:c r="A430" s="155" t="n">
        <x:v>42798</x:v>
      </x:c>
      <x:c r="B430" s="153"/>
      <x:c r="C430" s="153"/>
      <x:c r="D430" s="153"/>
      <x:c r="E430" s="153"/>
      <x:c r="F430" s="153"/>
      <x:c r="G430" s="153" t="n">
        <x:v>0.66</x:v>
      </x:c>
    </x:row>
    <x:row r="431">
      <x:c r="A431" s="155" t="n">
        <x:v>42799</x:v>
      </x:c>
      <x:c r="B431" s="153"/>
      <x:c r="C431" s="153"/>
      <x:c r="D431" s="153"/>
      <x:c r="E431" s="153"/>
      <x:c r="F431" s="153"/>
      <x:c r="G431" s="153" t="n">
        <x:v>0.66</x:v>
      </x:c>
    </x:row>
    <x:row r="432">
      <x:c r="A432" s="155" t="n">
        <x:v>42800</x:v>
      </x:c>
      <x:c r="B432" s="153" t="n">
        <x:v>2.49</x:v>
      </x:c>
      <x:c r="C432" s="153" t="n">
        <x:v>0.48</x:v>
      </x:c>
      <x:c r="D432" s="153" t="n">
        <x:v>2.01</x:v>
      </x:c>
      <x:c r="E432" s="153" t="n">
        <x:v>116.4313</x:v>
      </x:c>
      <x:c r="F432" s="153" t="n">
        <x:v>11.24</x:v>
      </x:c>
      <x:c r="G432" s="153" t="n">
        <x:v>0.66</x:v>
      </x:c>
    </x:row>
    <x:row r="433">
      <x:c r="A433" s="155" t="n">
        <x:v>42801</x:v>
      </x:c>
      <x:c r="B433" s="153" t="n">
        <x:v>2.52</x:v>
      </x:c>
      <x:c r="C433" s="153" t="n">
        <x:v>0.49</x:v>
      </x:c>
      <x:c r="D433" s="153" t="n">
        <x:v>2.03</x:v>
      </x:c>
      <x:c r="E433" s="153" t="n">
        <x:v>116.4303</x:v>
      </x:c>
      <x:c r="F433" s="153" t="n">
        <x:v>11.45</x:v>
      </x:c>
      <x:c r="G433" s="153" t="n">
        <x:v>0.66</x:v>
      </x:c>
    </x:row>
    <x:row r="434">
      <x:c r="A434" s="155" t="n">
        <x:v>42802</x:v>
      </x:c>
      <x:c r="B434" s="153" t="n">
        <x:v>2.57</x:v>
      </x:c>
      <x:c r="C434" s="153" t="n">
        <x:v>0.56</x:v>
      </x:c>
      <x:c r="D434" s="153" t="n">
        <x:v>2.01</x:v>
      </x:c>
      <x:c r="E434" s="153" t="n">
        <x:v>116.875</x:v>
      </x:c>
      <x:c r="F434" s="153" t="n">
        <x:v>11.86</x:v>
      </x:c>
      <x:c r="G434" s="153" t="n">
        <x:v>0.66</x:v>
      </x:c>
    </x:row>
    <x:row r="435">
      <x:c r="A435" s="155" t="n">
        <x:v>42803</x:v>
      </x:c>
      <x:c r="B435" s="153" t="n">
        <x:v>2.6</x:v>
      </x:c>
      <x:c r="C435" s="153" t="n">
        <x:v>0.6</x:v>
      </x:c>
      <x:c r="D435" s="153" t="n">
        <x:v>2</x:v>
      </x:c>
      <x:c r="E435" s="153" t="n">
        <x:v>116.9959</x:v>
      </x:c>
      <x:c r="F435" s="153" t="n">
        <x:v>12.3</x:v>
      </x:c>
      <x:c r="G435" s="153" t="n">
        <x:v>0.66</x:v>
      </x:c>
    </x:row>
    <x:row r="436">
      <x:c r="A436" s="155" t="n">
        <x:v>42804</x:v>
      </x:c>
      <x:c r="B436" s="153" t="n">
        <x:v>2.58</x:v>
      </x:c>
      <x:c r="C436" s="153" t="n">
        <x:v>0.57</x:v>
      </x:c>
      <x:c r="D436" s="153" t="n">
        <x:v>2.01</x:v>
      </x:c>
      <x:c r="E436" s="153" t="n">
        <x:v>116.616</x:v>
      </x:c>
      <x:c r="F436" s="153" t="n">
        <x:v>11.66</x:v>
      </x:c>
      <x:c r="G436" s="153" t="n">
        <x:v>0.66</x:v>
      </x:c>
    </x:row>
    <x:row r="437">
      <x:c r="A437" s="155" t="n">
        <x:v>42805</x:v>
      </x:c>
      <x:c r="B437" s="153"/>
      <x:c r="C437" s="153"/>
      <x:c r="D437" s="153"/>
      <x:c r="E437" s="153"/>
      <x:c r="F437" s="153"/>
      <x:c r="G437" s="153" t="n">
        <x:v>0.66</x:v>
      </x:c>
    </x:row>
    <x:row r="438">
      <x:c r="A438" s="155" t="n">
        <x:v>42806</x:v>
      </x:c>
      <x:c r="B438" s="153"/>
      <x:c r="C438" s="153"/>
      <x:c r="D438" s="153"/>
      <x:c r="E438" s="153"/>
      <x:c r="F438" s="153"/>
      <x:c r="G438" s="153" t="n">
        <x:v>0.66</x:v>
      </x:c>
    </x:row>
    <x:row r="439">
      <x:c r="A439" s="155" t="n">
        <x:v>42807</x:v>
      </x:c>
      <x:c r="B439" s="153" t="n">
        <x:v>2.62</x:v>
      </x:c>
      <x:c r="C439" s="153" t="n">
        <x:v>0.61</x:v>
      </x:c>
      <x:c r="D439" s="153" t="n">
        <x:v>2.01</x:v>
      </x:c>
      <x:c r="E439" s="153" t="n">
        <x:v>116.4004</x:v>
      </x:c>
      <x:c r="F439" s="153" t="n">
        <x:v>11.35</x:v>
      </x:c>
      <x:c r="G439" s="153" t="n">
        <x:v>0.66</x:v>
      </x:c>
    </x:row>
    <x:row r="440">
      <x:c r="A440" s="155" t="n">
        <x:v>42808</x:v>
      </x:c>
      <x:c r="B440" s="153" t="n">
        <x:v>2.6</x:v>
      </x:c>
      <x:c r="C440" s="153" t="n">
        <x:v>0.61</x:v>
      </x:c>
      <x:c r="D440" s="153" t="n">
        <x:v>1.99</x:v>
      </x:c>
      <x:c r="E440" s="153" t="n">
        <x:v>116.5646</x:v>
      </x:c>
      <x:c r="F440" s="153" t="n">
        <x:v>12.3</x:v>
      </x:c>
      <x:c r="G440" s="153" t="n">
        <x:v>0.66</x:v>
      </x:c>
    </x:row>
    <x:row r="441">
      <x:c r="A441" s="155" t="n">
        <x:v>42809</x:v>
      </x:c>
      <x:c r="B441" s="153" t="n">
        <x:v>2.51</x:v>
      </x:c>
      <x:c r="C441" s="153" t="n">
        <x:v>0.5</x:v>
      </x:c>
      <x:c r="D441" s="153" t="n">
        <x:v>2.01</x:v>
      </x:c>
      <x:c r="E441" s="153" t="n">
        <x:v>116.3584</x:v>
      </x:c>
      <x:c r="F441" s="153" t="n">
        <x:v>11.63</x:v>
      </x:c>
      <x:c r="G441" s="153" t="n">
        <x:v>0.66</x:v>
      </x:c>
    </x:row>
    <x:row r="442">
      <x:c r="A442" s="155" t="n">
        <x:v>42810</x:v>
      </x:c>
      <x:c r="B442" s="153" t="n">
        <x:v>2.53</x:v>
      </x:c>
      <x:c r="C442" s="153" t="n">
        <x:v>0.51</x:v>
      </x:c>
      <x:c r="D442" s="153" t="n">
        <x:v>2.02</x:v>
      </x:c>
      <x:c r="E442" s="153" t="n">
        <x:v>115.4456</x:v>
      </x:c>
      <x:c r="F442" s="153" t="n">
        <x:v>11.21</x:v>
      </x:c>
      <x:c r="G442" s="153" t="n">
        <x:v>0.91</x:v>
      </x:c>
    </x:row>
    <x:row r="443">
      <x:c r="A443" s="155" t="n">
        <x:v>42811</x:v>
      </x:c>
      <x:c r="B443" s="153" t="n">
        <x:v>2.5</x:v>
      </x:c>
      <x:c r="C443" s="153" t="n">
        <x:v>0.49</x:v>
      </x:c>
      <x:c r="D443" s="153" t="n">
        <x:v>2.01</x:v>
      </x:c>
      <x:c r="E443" s="153" t="n">
        <x:v>115.2783</x:v>
      </x:c>
      <x:c r="F443" s="153" t="n">
        <x:v>11.28</x:v>
      </x:c>
      <x:c r="G443" s="153" t="n">
        <x:v>0.91</x:v>
      </x:c>
    </x:row>
    <x:row r="444">
      <x:c r="A444" s="155" t="n">
        <x:v>42812</x:v>
      </x:c>
      <x:c r="B444" s="153"/>
      <x:c r="C444" s="153"/>
      <x:c r="D444" s="153"/>
      <x:c r="E444" s="153"/>
      <x:c r="F444" s="153"/>
      <x:c r="G444" s="153" t="n">
        <x:v>0.91</x:v>
      </x:c>
    </x:row>
    <x:row r="445">
      <x:c r="A445" s="155" t="n">
        <x:v>42813</x:v>
      </x:c>
      <x:c r="B445" s="153"/>
      <x:c r="C445" s="153"/>
      <x:c r="D445" s="153"/>
      <x:c r="E445" s="153"/>
      <x:c r="F445" s="153"/>
      <x:c r="G445" s="153" t="n">
        <x:v>0.91</x:v>
      </x:c>
    </x:row>
    <x:row r="446">
      <x:c r="A446" s="155" t="n">
        <x:v>42814</x:v>
      </x:c>
      <x:c r="B446" s="153" t="n">
        <x:v>2.47</x:v>
      </x:c>
      <x:c r="C446" s="153" t="n">
        <x:v>0.47</x:v>
      </x:c>
      <x:c r="D446" s="153" t="n">
        <x:v>2</x:v>
      </x:c>
      <x:c r="E446" s="153" t="n">
        <x:v>115.0426</x:v>
      </x:c>
      <x:c r="F446" s="153" t="n">
        <x:v>11.34</x:v>
      </x:c>
      <x:c r="G446" s="153" t="n">
        <x:v>0.91</x:v>
      </x:c>
    </x:row>
    <x:row r="447">
      <x:c r="A447" s="155" t="n">
        <x:v>42815</x:v>
      </x:c>
      <x:c r="B447" s="153" t="n">
        <x:v>2.43</x:v>
      </x:c>
      <x:c r="C447" s="153" t="n">
        <x:v>0.45</x:v>
      </x:c>
      <x:c r="D447" s="153" t="n">
        <x:v>1.98</x:v>
      </x:c>
      <x:c r="E447" s="153" t="n">
        <x:v>114.8119</x:v>
      </x:c>
      <x:c r="F447" s="153" t="n">
        <x:v>12.47</x:v>
      </x:c>
      <x:c r="G447" s="153" t="n">
        <x:v>0.91</x:v>
      </x:c>
    </x:row>
    <x:row r="448">
      <x:c r="A448" s="155" t="n">
        <x:v>42816</x:v>
      </x:c>
      <x:c r="B448" s="153" t="n">
        <x:v>2.4</x:v>
      </x:c>
      <x:c r="C448" s="153" t="n">
        <x:v>0.43</x:v>
      </x:c>
      <x:c r="D448" s="153" t="n">
        <x:v>1.97</x:v>
      </x:c>
      <x:c r="E448" s="153" t="n">
        <x:v>114.7937</x:v>
      </x:c>
      <x:c r="F448" s="153" t="n">
        <x:v>12.81</x:v>
      </x:c>
      <x:c r="G448" s="153" t="n">
        <x:v>0.91</x:v>
      </x:c>
    </x:row>
    <x:row r="449">
      <x:c r="A449" s="155" t="n">
        <x:v>42817</x:v>
      </x:c>
      <x:c r="B449" s="153" t="n">
        <x:v>2.41</x:v>
      </x:c>
      <x:c r="C449" s="153" t="n">
        <x:v>0.46</x:v>
      </x:c>
      <x:c r="D449" s="153" t="n">
        <x:v>1.95</x:v>
      </x:c>
      <x:c r="E449" s="153" t="n">
        <x:v>114.7899</x:v>
      </x:c>
      <x:c r="F449" s="153" t="n">
        <x:v>13.12</x:v>
      </x:c>
      <x:c r="G449" s="153" t="n">
        <x:v>0.91</x:v>
      </x:c>
    </x:row>
    <x:row r="450">
      <x:c r="A450" s="155" t="n">
        <x:v>42818</x:v>
      </x:c>
      <x:c r="B450" s="153" t="n">
        <x:v>2.4</x:v>
      </x:c>
      <x:c r="C450" s="153" t="n">
        <x:v>0.42</x:v>
      </x:c>
      <x:c r="D450" s="153" t="n">
        <x:v>1.98</x:v>
      </x:c>
      <x:c r="E450" s="153" t="n">
        <x:v>114.6372</x:v>
      </x:c>
      <x:c r="F450" s="153" t="n">
        <x:v>12.96</x:v>
      </x:c>
      <x:c r="G450" s="153" t="n">
        <x:v>0.91</x:v>
      </x:c>
    </x:row>
    <x:row r="451">
      <x:c r="A451" s="155" t="n">
        <x:v>42819</x:v>
      </x:c>
      <x:c r="B451" s="153"/>
      <x:c r="C451" s="153"/>
      <x:c r="D451" s="153"/>
      <x:c r="E451" s="153"/>
      <x:c r="F451" s="153"/>
      <x:c r="G451" s="153" t="n">
        <x:v>0.91</x:v>
      </x:c>
    </x:row>
    <x:row r="452">
      <x:c r="A452" s="155" t="n">
        <x:v>42820</x:v>
      </x:c>
      <x:c r="B452" s="153"/>
      <x:c r="C452" s="153"/>
      <x:c r="D452" s="153"/>
      <x:c r="E452" s="153"/>
      <x:c r="F452" s="153"/>
      <x:c r="G452" s="153" t="n">
        <x:v>0.91</x:v>
      </x:c>
    </x:row>
    <x:row r="453">
      <x:c r="A453" s="155" t="n">
        <x:v>42821</x:v>
      </x:c>
      <x:c r="B453" s="153" t="n">
        <x:v>2.38</x:v>
      </x:c>
      <x:c r="C453" s="153" t="n">
        <x:v>0.41</x:v>
      </x:c>
      <x:c r="D453" s="153" t="n">
        <x:v>1.97</x:v>
      </x:c>
      <x:c r="E453" s="153" t="n">
        <x:v>114.2347</x:v>
      </x:c>
      <x:c r="F453" s="153" t="n">
        <x:v>12.5</x:v>
      </x:c>
      <x:c r="G453" s="153" t="n">
        <x:v>0.91</x:v>
      </x:c>
    </x:row>
    <x:row r="454">
      <x:c r="A454" s="155" t="n">
        <x:v>42822</x:v>
      </x:c>
      <x:c r="B454" s="153" t="n">
        <x:v>2.42</x:v>
      </x:c>
      <x:c r="C454" s="153" t="n">
        <x:v>0.45</x:v>
      </x:c>
      <x:c r="D454" s="153" t="n">
        <x:v>1.97</x:v>
      </x:c>
      <x:c r="E454" s="153" t="n">
        <x:v>114.419</x:v>
      </x:c>
      <x:c r="F454" s="153" t="n">
        <x:v>11.53</x:v>
      </x:c>
      <x:c r="G454" s="153" t="n">
        <x:v>0.91</x:v>
      </x:c>
    </x:row>
    <x:row r="455">
      <x:c r="A455" s="155" t="n">
        <x:v>42823</x:v>
      </x:c>
      <x:c r="B455" s="153" t="n">
        <x:v>2.39</x:v>
      </x:c>
      <x:c r="C455" s="153" t="n">
        <x:v>0.41</x:v>
      </x:c>
      <x:c r="D455" s="153" t="n">
        <x:v>1.98</x:v>
      </x:c>
      <x:c r="E455" s="153" t="n">
        <x:v>114.7167</x:v>
      </x:c>
      <x:c r="F455" s="153" t="n">
        <x:v>11.42</x:v>
      </x:c>
      <x:c r="G455" s="153" t="n">
        <x:v>0.91</x:v>
      </x:c>
    </x:row>
    <x:row r="456">
      <x:c r="A456" s="155" t="n">
        <x:v>42824</x:v>
      </x:c>
      <x:c r="B456" s="153" t="n">
        <x:v>2.42</x:v>
      </x:c>
      <x:c r="C456" s="153" t="n">
        <x:v>0.46</x:v>
      </x:c>
      <x:c r="D456" s="153" t="n">
        <x:v>1.96</x:v>
      </x:c>
      <x:c r="E456" s="153" t="n">
        <x:v>114.5245</x:v>
      </x:c>
      <x:c r="F456" s="153" t="n">
        <x:v>11.54</x:v>
      </x:c>
      <x:c r="G456" s="153" t="n">
        <x:v>0.91</x:v>
      </x:c>
    </x:row>
    <x:row r="457">
      <x:c r="A457" s="155" t="n">
        <x:v>42825</x:v>
      </x:c>
      <x:c r="B457" s="153" t="n">
        <x:v>2.4</x:v>
      </x:c>
      <x:c r="C457" s="153" t="n">
        <x:v>0.43</x:v>
      </x:c>
      <x:c r="D457" s="153" t="n">
        <x:v>1.97</x:v>
      </x:c>
      <x:c r="E457" s="153" t="n">
        <x:v>114.7938</x:v>
      </x:c>
      <x:c r="F457" s="153" t="n">
        <x:v>12.37</x:v>
      </x:c>
      <x:c r="G457" s="153" t="n">
        <x:v>0.82</x:v>
      </x:c>
    </x:row>
    <x:row r="458">
      <x:c r="A458" s="155" t="n">
        <x:v>42826</x:v>
      </x:c>
      <x:c r="B458" s="153"/>
      <x:c r="C458" s="153"/>
      <x:c r="D458" s="153"/>
      <x:c r="E458" s="153"/>
      <x:c r="F458" s="153"/>
      <x:c r="G458" s="153" t="n">
        <x:v>0.82</x:v>
      </x:c>
    </x:row>
    <x:row r="459">
      <x:c r="A459" s="155" t="n">
        <x:v>42827</x:v>
      </x:c>
      <x:c r="B459" s="153"/>
      <x:c r="C459" s="153"/>
      <x:c r="D459" s="153"/>
      <x:c r="E459" s="153"/>
      <x:c r="F459" s="153"/>
      <x:c r="G459" s="153" t="n">
        <x:v>0.82</x:v>
      </x:c>
    </x:row>
    <x:row r="460">
      <x:c r="A460" s="155" t="n">
        <x:v>42828</x:v>
      </x:c>
      <x:c r="B460" s="153" t="n">
        <x:v>2.35</x:v>
      </x:c>
      <x:c r="C460" s="153" t="n">
        <x:v>0.39</x:v>
      </x:c>
      <x:c r="D460" s="153" t="n">
        <x:v>1.96</x:v>
      </x:c>
      <x:c r="E460" s="153" t="n">
        <x:v>114.8734</x:v>
      </x:c>
      <x:c r="F460" s="153" t="n">
        <x:v>12.38</x:v>
      </x:c>
      <x:c r="G460" s="153" t="n">
        <x:v>0.91</x:v>
      </x:c>
    </x:row>
    <x:row r="461">
      <x:c r="A461" s="155" t="n">
        <x:v>42829</x:v>
      </x:c>
      <x:c r="B461" s="153" t="n">
        <x:v>2.36</x:v>
      </x:c>
      <x:c r="C461" s="153" t="n">
        <x:v>0.4</x:v>
      </x:c>
      <x:c r="D461" s="153" t="n">
        <x:v>1.96</x:v>
      </x:c>
      <x:c r="E461" s="153" t="n">
        <x:v>115.0038</x:v>
      </x:c>
      <x:c r="F461" s="153" t="n">
        <x:v>11.79</x:v>
      </x:c>
      <x:c r="G461" s="153" t="n">
        <x:v>0.91</x:v>
      </x:c>
    </x:row>
    <x:row r="462">
      <x:c r="A462" s="155" t="n">
        <x:v>42830</x:v>
      </x:c>
      <x:c r="B462" s="153" t="n">
        <x:v>2.34</x:v>
      </x:c>
      <x:c r="C462" s="153" t="n">
        <x:v>0.37</x:v>
      </x:c>
      <x:c r="D462" s="153" t="n">
        <x:v>1.97</x:v>
      </x:c>
      <x:c r="E462" s="153" t="n">
        <x:v>114.9494</x:v>
      </x:c>
      <x:c r="F462" s="153" t="n">
        <x:v>12.89</x:v>
      </x:c>
      <x:c r="G462" s="153" t="n">
        <x:v>0.91</x:v>
      </x:c>
    </x:row>
    <x:row r="463">
      <x:c r="A463" s="155" t="n">
        <x:v>42831</x:v>
      </x:c>
      <x:c r="B463" s="153" t="n">
        <x:v>2.34</x:v>
      </x:c>
      <x:c r="C463" s="153" t="n">
        <x:v>0.39</x:v>
      </x:c>
      <x:c r="D463" s="153" t="n">
        <x:v>1.95</x:v>
      </x:c>
      <x:c r="E463" s="153" t="n">
        <x:v>115.0181</x:v>
      </x:c>
      <x:c r="F463" s="153" t="n">
        <x:v>12.39</x:v>
      </x:c>
      <x:c r="G463" s="153" t="n">
        <x:v>0.91</x:v>
      </x:c>
    </x:row>
    <x:row r="464">
      <x:c r="A464" s="155" t="n">
        <x:v>42832</x:v>
      </x:c>
      <x:c r="B464" s="153" t="n">
        <x:v>2.38</x:v>
      </x:c>
      <x:c r="C464" s="153" t="n">
        <x:v>0.44</x:v>
      </x:c>
      <x:c r="D464" s="153" t="n">
        <x:v>1.94</x:v>
      </x:c>
      <x:c r="E464" s="153" t="n">
        <x:v>115.0547</x:v>
      </x:c>
      <x:c r="F464" s="153" t="n">
        <x:v>12.87</x:v>
      </x:c>
      <x:c r="G464" s="153" t="n">
        <x:v>0.91</x:v>
      </x:c>
    </x:row>
    <x:row r="465">
      <x:c r="A465" s="155" t="n">
        <x:v>42833</x:v>
      </x:c>
      <x:c r="B465" s="153"/>
      <x:c r="C465" s="153"/>
      <x:c r="D465" s="153"/>
      <x:c r="E465" s="153"/>
      <x:c r="F465" s="153"/>
      <x:c r="G465" s="153" t="n">
        <x:v>0.91</x:v>
      </x:c>
    </x:row>
    <x:row r="466">
      <x:c r="A466" s="155" t="n">
        <x:v>42834</x:v>
      </x:c>
      <x:c r="B466" s="153"/>
      <x:c r="C466" s="153"/>
      <x:c r="D466" s="153"/>
      <x:c r="E466" s="153"/>
      <x:c r="F466" s="153"/>
      <x:c r="G466" s="153" t="n">
        <x:v>0.91</x:v>
      </x:c>
    </x:row>
    <x:row r="467">
      <x:c r="A467" s="155" t="n">
        <x:v>42835</x:v>
      </x:c>
      <x:c r="B467" s="153" t="n">
        <x:v>2.37</x:v>
      </x:c>
      <x:c r="C467" s="153" t="n">
        <x:v>0.44</x:v>
      </x:c>
      <x:c r="D467" s="153" t="n">
        <x:v>1.93</x:v>
      </x:c>
      <x:c r="E467" s="153" t="n">
        <x:v>115.11</x:v>
      </x:c>
      <x:c r="F467" s="153" t="n">
        <x:v>14.05</x:v>
      </x:c>
      <x:c r="G467" s="153" t="n">
        <x:v>0.91</x:v>
      </x:c>
    </x:row>
    <x:row r="468">
      <x:c r="A468" s="155" t="n">
        <x:v>42836</x:v>
      </x:c>
      <x:c r="B468" s="153" t="n">
        <x:v>2.32</x:v>
      </x:c>
      <x:c r="C468" s="153" t="n">
        <x:v>0.41</x:v>
      </x:c>
      <x:c r="D468" s="153" t="n">
        <x:v>1.91</x:v>
      </x:c>
      <x:c r="E468" s="153" t="n">
        <x:v>115.009</x:v>
      </x:c>
      <x:c r="F468" s="153" t="n">
        <x:v>15.07</x:v>
      </x:c>
      <x:c r="G468" s="153" t="n">
        <x:v>0.91</x:v>
      </x:c>
    </x:row>
    <x:row r="469">
      <x:c r="A469" s="155" t="n">
        <x:v>42837</x:v>
      </x:c>
      <x:c r="B469" s="153" t="n">
        <x:v>2.28</x:v>
      </x:c>
      <x:c r="C469" s="153" t="n">
        <x:v>0.38</x:v>
      </x:c>
      <x:c r="D469" s="153" t="n">
        <x:v>1.9</x:v>
      </x:c>
      <x:c r="E469" s="153" t="n">
        <x:v>114.9162</x:v>
      </x:c>
      <x:c r="F469" s="153" t="n">
        <x:v>15.77</x:v>
      </x:c>
      <x:c r="G469" s="153" t="n">
        <x:v>0.91</x:v>
      </x:c>
    </x:row>
    <x:row r="470">
      <x:c r="A470" s="155" t="n">
        <x:v>42838</x:v>
      </x:c>
      <x:c r="B470" s="153" t="n">
        <x:v>2.24</x:v>
      </x:c>
      <x:c r="C470" s="153" t="n">
        <x:v>0.32</x:v>
      </x:c>
      <x:c r="D470" s="153" t="n">
        <x:v>1.92</x:v>
      </x:c>
      <x:c r="E470" s="153" t="n">
        <x:v>114.5059</x:v>
      </x:c>
      <x:c r="F470" s="153" t="n">
        <x:v>15.96</x:v>
      </x:c>
      <x:c r="G470" s="153" t="n">
        <x:v>0.91</x:v>
      </x:c>
    </x:row>
    <x:row r="471">
      <x:c r="A471" s="155" t="n">
        <x:v>42839</x:v>
      </x:c>
      <x:c r="B471" s="153"/>
      <x:c r="C471" s="153"/>
      <x:c r="D471" s="153"/>
      <x:c r="E471" s="153" t="n">
        <x:v>114.5368</x:v>
      </x:c>
      <x:c r="F471" s="153"/>
      <x:c r="G471" s="153" t="n">
        <x:v>0.91</x:v>
      </x:c>
    </x:row>
    <x:row r="472">
      <x:c r="A472" s="155" t="n">
        <x:v>42840</x:v>
      </x:c>
      <x:c r="B472" s="153"/>
      <x:c r="C472" s="153"/>
      <x:c r="D472" s="153"/>
      <x:c r="E472" s="153"/>
      <x:c r="F472" s="153"/>
      <x:c r="G472" s="153" t="n">
        <x:v>0.91</x:v>
      </x:c>
    </x:row>
    <x:row r="473">
      <x:c r="A473" s="155" t="n">
        <x:v>42841</x:v>
      </x:c>
      <x:c r="B473" s="153"/>
      <x:c r="C473" s="153"/>
      <x:c r="D473" s="153"/>
      <x:c r="E473" s="153"/>
      <x:c r="F473" s="153"/>
      <x:c r="G473" s="153" t="n">
        <x:v>0.91</x:v>
      </x:c>
    </x:row>
    <x:row r="474">
      <x:c r="A474" s="155" t="n">
        <x:v>42842</x:v>
      </x:c>
      <x:c r="B474" s="153" t="n">
        <x:v>2.26</x:v>
      </x:c>
      <x:c r="C474" s="153" t="n">
        <x:v>0.38</x:v>
      </x:c>
      <x:c r="D474" s="153" t="n">
        <x:v>1.88</x:v>
      </x:c>
      <x:c r="E474" s="153" t="n">
        <x:v>114.3283</x:v>
      </x:c>
      <x:c r="F474" s="153" t="n">
        <x:v>14.66</x:v>
      </x:c>
      <x:c r="G474" s="153" t="n">
        <x:v>0.91</x:v>
      </x:c>
    </x:row>
    <x:row r="475">
      <x:c r="A475" s="155" t="n">
        <x:v>42843</x:v>
      </x:c>
      <x:c r="B475" s="153" t="n">
        <x:v>2.18</x:v>
      </x:c>
      <x:c r="C475" s="153" t="n">
        <x:v>0.33</x:v>
      </x:c>
      <x:c r="D475" s="153" t="n">
        <x:v>1.85</x:v>
      </x:c>
      <x:c r="E475" s="153" t="n">
        <x:v>114.2575</x:v>
      </x:c>
      <x:c r="F475" s="153" t="n">
        <x:v>14.42</x:v>
      </x:c>
      <x:c r="G475" s="153" t="n">
        <x:v>0.91</x:v>
      </x:c>
    </x:row>
    <x:row r="476">
      <x:c r="A476" s="155" t="n">
        <x:v>42844</x:v>
      </x:c>
      <x:c r="B476" s="153" t="n">
        <x:v>2.21</x:v>
      </x:c>
      <x:c r="C476" s="153" t="n">
        <x:v>0.36</x:v>
      </x:c>
      <x:c r="D476" s="153" t="n">
        <x:v>1.85</x:v>
      </x:c>
      <x:c r="E476" s="153" t="n">
        <x:v>114.7923</x:v>
      </x:c>
      <x:c r="F476" s="153" t="n">
        <x:v>14.93</x:v>
      </x:c>
      <x:c r="G476" s="153" t="n">
        <x:v>0.91</x:v>
      </x:c>
    </x:row>
    <x:row r="477">
      <x:c r="A477" s="155" t="n">
        <x:v>42845</x:v>
      </x:c>
      <x:c r="B477" s="153" t="n">
        <x:v>2.24</x:v>
      </x:c>
      <x:c r="C477" s="153" t="n">
        <x:v>0.39</x:v>
      </x:c>
      <x:c r="D477" s="153" t="n">
        <x:v>1.85</x:v>
      </x:c>
      <x:c r="E477" s="153" t="n">
        <x:v>114.6205</x:v>
      </x:c>
      <x:c r="F477" s="153" t="n">
        <x:v>14.15</x:v>
      </x:c>
      <x:c r="G477" s="153" t="n">
        <x:v>0.91</x:v>
      </x:c>
    </x:row>
    <x:row r="478">
      <x:c r="A478" s="155" t="n">
        <x:v>42846</x:v>
      </x:c>
      <x:c r="B478" s="153" t="n">
        <x:v>2.24</x:v>
      </x:c>
      <x:c r="C478" s="153" t="n">
        <x:v>0.4</x:v>
      </x:c>
      <x:c r="D478" s="153" t="n">
        <x:v>1.84</x:v>
      </x:c>
      <x:c r="E478" s="153" t="n">
        <x:v>114.8128</x:v>
      </x:c>
      <x:c r="F478" s="153" t="n">
        <x:v>14.63</x:v>
      </x:c>
      <x:c r="G478" s="153" t="n">
        <x:v>0.91</x:v>
      </x:c>
    </x:row>
    <x:row r="479">
      <x:c r="A479" s="155" t="n">
        <x:v>42847</x:v>
      </x:c>
      <x:c r="B479" s="153"/>
      <x:c r="C479" s="153"/>
      <x:c r="D479" s="153"/>
      <x:c r="E479" s="153"/>
      <x:c r="F479" s="153"/>
      <x:c r="G479" s="153" t="n">
        <x:v>0.91</x:v>
      </x:c>
    </x:row>
    <x:row r="480">
      <x:c r="A480" s="155" t="n">
        <x:v>42848</x:v>
      </x:c>
      <x:c r="B480" s="153"/>
      <x:c r="C480" s="153"/>
      <x:c r="D480" s="153"/>
      <x:c r="E480" s="153"/>
      <x:c r="F480" s="153"/>
      <x:c r="G480" s="153" t="n">
        <x:v>0.91</x:v>
      </x:c>
    </x:row>
    <x:row r="481">
      <x:c r="A481" s="155" t="n">
        <x:v>42849</x:v>
      </x:c>
      <x:c r="B481" s="153" t="n">
        <x:v>2.28</x:v>
      </x:c>
      <x:c r="C481" s="153" t="n">
        <x:v>0.41</x:v>
      </x:c>
      <x:c r="D481" s="153" t="n">
        <x:v>1.87</x:v>
      </x:c>
      <x:c r="E481" s="153" t="n">
        <x:v>114.3659</x:v>
      </x:c>
      <x:c r="F481" s="153" t="n">
        <x:v>10.84</x:v>
      </x:c>
      <x:c r="G481" s="153" t="n">
        <x:v>0.91</x:v>
      </x:c>
    </x:row>
    <x:row r="482">
      <x:c r="A482" s="155" t="n">
        <x:v>42850</x:v>
      </x:c>
      <x:c r="B482" s="153" t="n">
        <x:v>2.35</x:v>
      </x:c>
      <x:c r="C482" s="153" t="n">
        <x:v>0.44</x:v>
      </x:c>
      <x:c r="D482" s="153" t="n">
        <x:v>1.91</x:v>
      </x:c>
      <x:c r="E482" s="153" t="n">
        <x:v>114.5111</x:v>
      </x:c>
      <x:c r="F482" s="153" t="n">
        <x:v>10.76</x:v>
      </x:c>
      <x:c r="G482" s="153" t="n">
        <x:v>0.91</x:v>
      </x:c>
    </x:row>
    <x:row r="483">
      <x:c r="A483" s="155" t="n">
        <x:v>42851</x:v>
      </x:c>
      <x:c r="B483" s="153" t="n">
        <x:v>2.32</x:v>
      </x:c>
      <x:c r="C483" s="153" t="n">
        <x:v>0.42</x:v>
      </x:c>
      <x:c r="D483" s="153" t="n">
        <x:v>1.9</x:v>
      </x:c>
      <x:c r="E483" s="153" t="n">
        <x:v>114.9479</x:v>
      </x:c>
      <x:c r="F483" s="153" t="n">
        <x:v>10.85</x:v>
      </x:c>
      <x:c r="G483" s="153" t="n">
        <x:v>0.91</x:v>
      </x:c>
    </x:row>
    <x:row r="484">
      <x:c r="A484" s="155" t="n">
        <x:v>42852</x:v>
      </x:c>
      <x:c r="B484" s="153" t="n">
        <x:v>2.3</x:v>
      </x:c>
      <x:c r="C484" s="153" t="n">
        <x:v>0.39</x:v>
      </x:c>
      <x:c r="D484" s="153" t="n">
        <x:v>1.91</x:v>
      </x:c>
      <x:c r="E484" s="153" t="n">
        <x:v>114.9946</x:v>
      </x:c>
      <x:c r="F484" s="153" t="n">
        <x:v>10.36</x:v>
      </x:c>
      <x:c r="G484" s="153" t="n">
        <x:v>0.91</x:v>
      </x:c>
    </x:row>
    <x:row r="485">
      <x:c r="A485" s="155" t="n">
        <x:v>42853</x:v>
      </x:c>
      <x:c r="B485" s="153" t="n">
        <x:v>2.29</x:v>
      </x:c>
      <x:c r="C485" s="153" t="n">
        <x:v>0.37</x:v>
      </x:c>
      <x:c r="D485" s="153" t="n">
        <x:v>1.92</x:v>
      </x:c>
      <x:c r="E485" s="153" t="n">
        <x:v>114.7877</x:v>
      </x:c>
      <x:c r="F485" s="153" t="n">
        <x:v>10.82</x:v>
      </x:c>
      <x:c r="G485" s="153" t="n">
        <x:v>0.83</x:v>
      </x:c>
    </x:row>
    <x:row r="486">
      <x:c r="A486" s="155" t="n">
        <x:v>42854</x:v>
      </x:c>
      <x:c r="B486" s="153"/>
      <x:c r="C486" s="153"/>
      <x:c r="D486" s="153"/>
      <x:c r="E486" s="153"/>
      <x:c r="F486" s="153"/>
      <x:c r="G486" s="153" t="n">
        <x:v>0.83</x:v>
      </x:c>
    </x:row>
    <x:row r="487">
      <x:c r="A487" s="155" t="n">
        <x:v>42855</x:v>
      </x:c>
      <x:c r="B487" s="153"/>
      <x:c r="C487" s="153"/>
      <x:c r="D487" s="153"/>
      <x:c r="E487" s="153"/>
      <x:c r="F487" s="153"/>
      <x:c r="G487" s="153" t="n">
        <x:v>0.83</x:v>
      </x:c>
    </x:row>
    <x:row r="488">
      <x:c r="A488" s="155" t="n">
        <x:v>42856</x:v>
      </x:c>
      <x:c r="B488" s="153" t="n">
        <x:v>2.33</x:v>
      </x:c>
      <x:c r="C488" s="153" t="n">
        <x:v>0.41</x:v>
      </x:c>
      <x:c r="D488" s="153" t="n">
        <x:v>1.92</x:v>
      </x:c>
      <x:c r="E488" s="153" t="n">
        <x:v>114.5921</x:v>
      </x:c>
      <x:c r="F488" s="153" t="n">
        <x:v>10.11</x:v>
      </x:c>
      <x:c r="G488" s="153" t="n">
        <x:v>0.91</x:v>
      </x:c>
    </x:row>
    <x:row r="489">
      <x:c r="A489" s="155" t="n">
        <x:v>42857</x:v>
      </x:c>
      <x:c r="B489" s="153" t="n">
        <x:v>2.29</x:v>
      </x:c>
      <x:c r="C489" s="153" t="n">
        <x:v>0.41</x:v>
      </x:c>
      <x:c r="D489" s="153" t="n">
        <x:v>1.88</x:v>
      </x:c>
      <x:c r="E489" s="153" t="n">
        <x:v>114.6792</x:v>
      </x:c>
      <x:c r="F489" s="153" t="n">
        <x:v>10.59</x:v>
      </x:c>
      <x:c r="G489" s="153" t="n">
        <x:v>0.91</x:v>
      </x:c>
    </x:row>
    <x:row r="490">
      <x:c r="A490" s="155" t="n">
        <x:v>42858</x:v>
      </x:c>
      <x:c r="B490" s="153" t="n">
        <x:v>2.33</x:v>
      </x:c>
      <x:c r="C490" s="153" t="n">
        <x:v>0.46</x:v>
      </x:c>
      <x:c r="D490" s="153" t="n">
        <x:v>1.87</x:v>
      </x:c>
      <x:c r="E490" s="153" t="n">
        <x:v>114.6637</x:v>
      </x:c>
      <x:c r="F490" s="153" t="n">
        <x:v>10.68</x:v>
      </x:c>
      <x:c r="G490" s="153" t="n">
        <x:v>0.91</x:v>
      </x:c>
    </x:row>
    <x:row r="491">
      <x:c r="A491" s="155" t="n">
        <x:v>42859</x:v>
      </x:c>
      <x:c r="B491" s="153" t="n">
        <x:v>2.36</x:v>
      </x:c>
      <x:c r="C491" s="153" t="n">
        <x:v>0.5</x:v>
      </x:c>
      <x:c r="D491" s="153" t="n">
        <x:v>1.86</x:v>
      </x:c>
      <x:c r="E491" s="153" t="n">
        <x:v>114.9076</x:v>
      </x:c>
      <x:c r="F491" s="153" t="n">
        <x:v>10.46</x:v>
      </x:c>
      <x:c r="G491" s="153" t="n">
        <x:v>0.91</x:v>
      </x:c>
    </x:row>
    <x:row r="492">
      <x:c r="A492" s="155" t="n">
        <x:v>42860</x:v>
      </x:c>
      <x:c r="B492" s="153" t="n">
        <x:v>2.36</x:v>
      </x:c>
      <x:c r="C492" s="153" t="n">
        <x:v>0.5</x:v>
      </x:c>
      <x:c r="D492" s="153" t="n">
        <x:v>1.86</x:v>
      </x:c>
      <x:c r="E492" s="153" t="n">
        <x:v>114.7725</x:v>
      </x:c>
      <x:c r="F492" s="153" t="n">
        <x:v>10.57</x:v>
      </x:c>
      <x:c r="G492" s="153" t="n">
        <x:v>0.91</x:v>
      </x:c>
    </x:row>
    <x:row r="493">
      <x:c r="A493" s="155" t="n">
        <x:v>42861</x:v>
      </x:c>
      <x:c r="B493" s="153"/>
      <x:c r="C493" s="153"/>
      <x:c r="D493" s="153"/>
      <x:c r="E493" s="153"/>
      <x:c r="F493" s="153"/>
      <x:c r="G493" s="153" t="n">
        <x:v>0.91</x:v>
      </x:c>
    </x:row>
    <x:row r="494">
      <x:c r="A494" s="155" t="n">
        <x:v>42862</x:v>
      </x:c>
      <x:c r="B494" s="153"/>
      <x:c r="C494" s="153"/>
      <x:c r="D494" s="153"/>
      <x:c r="E494" s="153"/>
      <x:c r="F494" s="153"/>
      <x:c r="G494" s="153" t="n">
        <x:v>0.91</x:v>
      </x:c>
    </x:row>
    <x:row r="495">
      <x:c r="A495" s="155" t="n">
        <x:v>42863</x:v>
      </x:c>
      <x:c r="B495" s="153" t="n">
        <x:v>2.39</x:v>
      </x:c>
      <x:c r="C495" s="153" t="n">
        <x:v>0.53</x:v>
      </x:c>
      <x:c r="D495" s="153" t="n">
        <x:v>1.86</x:v>
      </x:c>
      <x:c r="E495" s="153" t="n">
        <x:v>115.0895</x:v>
      </x:c>
      <x:c r="F495" s="153" t="n">
        <x:v>9.77</x:v>
      </x:c>
      <x:c r="G495" s="153" t="n">
        <x:v>0.91</x:v>
      </x:c>
    </x:row>
    <x:row r="496">
      <x:c r="A496" s="155" t="n">
        <x:v>42864</x:v>
      </x:c>
      <x:c r="B496" s="153" t="n">
        <x:v>2.42</x:v>
      </x:c>
      <x:c r="C496" s="153" t="n">
        <x:v>0.56</x:v>
      </x:c>
      <x:c r="D496" s="153" t="n">
        <x:v>1.86</x:v>
      </x:c>
      <x:c r="E496" s="153" t="n">
        <x:v>115.3933</x:v>
      </x:c>
      <x:c r="F496" s="153" t="n">
        <x:v>9.96</x:v>
      </x:c>
      <x:c r="G496" s="153" t="n">
        <x:v>0.91</x:v>
      </x:c>
    </x:row>
    <x:row r="497">
      <x:c r="A497" s="155" t="n">
        <x:v>42865</x:v>
      </x:c>
      <x:c r="B497" s="153" t="n">
        <x:v>2.41</x:v>
      </x:c>
      <x:c r="C497" s="153" t="n">
        <x:v>0.56</x:v>
      </x:c>
      <x:c r="D497" s="153" t="n">
        <x:v>1.85</x:v>
      </x:c>
      <x:c r="E497" s="153" t="n">
        <x:v>115.1145</x:v>
      </x:c>
      <x:c r="F497" s="153" t="n">
        <x:v>10.21</x:v>
      </x:c>
      <x:c r="G497" s="153" t="n">
        <x:v>0.91</x:v>
      </x:c>
    </x:row>
    <x:row r="498">
      <x:c r="A498" s="155" t="n">
        <x:v>42866</x:v>
      </x:c>
      <x:c r="B498" s="153" t="n">
        <x:v>2.39</x:v>
      </x:c>
      <x:c r="C498" s="153" t="n">
        <x:v>0.51</x:v>
      </x:c>
      <x:c r="D498" s="153" t="n">
        <x:v>1.88</x:v>
      </x:c>
      <x:c r="E498" s="153" t="n">
        <x:v>115.0669</x:v>
      </x:c>
      <x:c r="F498" s="153" t="n">
        <x:v>10.6</x:v>
      </x:c>
      <x:c r="G498" s="153" t="n">
        <x:v>0.91</x:v>
      </x:c>
    </x:row>
    <x:row r="499">
      <x:c r="A499" s="155" t="n">
        <x:v>42867</x:v>
      </x:c>
      <x:c r="B499" s="153" t="n">
        <x:v>2.33</x:v>
      </x:c>
      <x:c r="C499" s="153" t="n">
        <x:v>0.49</x:v>
      </x:c>
      <x:c r="D499" s="153" t="n">
        <x:v>1.84</x:v>
      </x:c>
      <x:c r="E499" s="153" t="n">
        <x:v>114.7479</x:v>
      </x:c>
      <x:c r="F499" s="153" t="n">
        <x:v>10.4</x:v>
      </x:c>
      <x:c r="G499" s="153" t="n">
        <x:v>0.91</x:v>
      </x:c>
    </x:row>
    <x:row r="500">
      <x:c r="A500" s="155" t="n">
        <x:v>42868</x:v>
      </x:c>
      <x:c r="B500" s="153"/>
      <x:c r="C500" s="153"/>
      <x:c r="D500" s="153"/>
      <x:c r="E500" s="153"/>
      <x:c r="F500" s="153"/>
      <x:c r="G500" s="153" t="n">
        <x:v>0.91</x:v>
      </x:c>
    </x:row>
    <x:row r="501">
      <x:c r="A501" s="155" t="n">
        <x:v>42869</x:v>
      </x:c>
      <x:c r="B501" s="153"/>
      <x:c r="C501" s="153"/>
      <x:c r="D501" s="153"/>
      <x:c r="E501" s="153"/>
      <x:c r="F501" s="153"/>
      <x:c r="G501" s="153" t="n">
        <x:v>0.91</x:v>
      </x:c>
    </x:row>
    <x:row r="502">
      <x:c r="A502" s="155" t="n">
        <x:v>42870</x:v>
      </x:c>
      <x:c r="B502" s="153" t="n">
        <x:v>2.34</x:v>
      </x:c>
      <x:c r="C502" s="153" t="n">
        <x:v>0.52</x:v>
      </x:c>
      <x:c r="D502" s="153" t="n">
        <x:v>1.82</x:v>
      </x:c>
      <x:c r="E502" s="153" t="n">
        <x:v>114.3504</x:v>
      </x:c>
      <x:c r="F502" s="153" t="n">
        <x:v>10.42</x:v>
      </x:c>
      <x:c r="G502" s="153" t="n">
        <x:v>0.91</x:v>
      </x:c>
    </x:row>
    <x:row r="503">
      <x:c r="A503" s="155" t="n">
        <x:v>42871</x:v>
      </x:c>
      <x:c r="B503" s="153" t="n">
        <x:v>2.33</x:v>
      </x:c>
      <x:c r="C503" s="153" t="n">
        <x:v>0.51</x:v>
      </x:c>
      <x:c r="D503" s="153" t="n">
        <x:v>1.82</x:v>
      </x:c>
      <x:c r="E503" s="153" t="n">
        <x:v>113.9923</x:v>
      </x:c>
      <x:c r="F503" s="153" t="n">
        <x:v>10.65</x:v>
      </x:c>
      <x:c r="G503" s="153" t="n">
        <x:v>0.91</x:v>
      </x:c>
    </x:row>
    <x:row r="504">
      <x:c r="A504" s="155" t="n">
        <x:v>42872</x:v>
      </x:c>
      <x:c r="B504" s="153" t="n">
        <x:v>2.22</x:v>
      </x:c>
      <x:c r="C504" s="153" t="n">
        <x:v>0.44</x:v>
      </x:c>
      <x:c r="D504" s="153" t="n">
        <x:v>1.78</x:v>
      </x:c>
      <x:c r="E504" s="153" t="n">
        <x:v>113.7506</x:v>
      </x:c>
      <x:c r="F504" s="153" t="n">
        <x:v>15.59</x:v>
      </x:c>
      <x:c r="G504" s="153" t="n">
        <x:v>0.91</x:v>
      </x:c>
    </x:row>
    <x:row r="505">
      <x:c r="A505" s="155" t="n">
        <x:v>42873</x:v>
      </x:c>
      <x:c r="B505" s="153" t="n">
        <x:v>2.23</x:v>
      </x:c>
      <x:c r="C505" s="153" t="n">
        <x:v>0.43</x:v>
      </x:c>
      <x:c r="D505" s="153" t="n">
        <x:v>1.8</x:v>
      </x:c>
      <x:c r="E505" s="153" t="n">
        <x:v>114.2683</x:v>
      </x:c>
      <x:c r="F505" s="153" t="n">
        <x:v>14.66</x:v>
      </x:c>
      <x:c r="G505" s="153" t="n">
        <x:v>0.91</x:v>
      </x:c>
    </x:row>
    <x:row r="506">
      <x:c r="A506" s="155" t="n">
        <x:v>42874</x:v>
      </x:c>
      <x:c r="B506" s="153" t="n">
        <x:v>2.23</x:v>
      </x:c>
      <x:c r="C506" s="153" t="n">
        <x:v>0.41</x:v>
      </x:c>
      <x:c r="D506" s="153" t="n">
        <x:v>1.82</x:v>
      </x:c>
      <x:c r="E506" s="153" t="n">
        <x:v>113.7001</x:v>
      </x:c>
      <x:c r="F506" s="153" t="n">
        <x:v>12.04</x:v>
      </x:c>
      <x:c r="G506" s="153" t="n">
        <x:v>0.91</x:v>
      </x:c>
    </x:row>
    <x:row r="507">
      <x:c r="A507" s="155" t="n">
        <x:v>42875</x:v>
      </x:c>
      <x:c r="B507" s="153"/>
      <x:c r="C507" s="153"/>
      <x:c r="D507" s="153"/>
      <x:c r="E507" s="153"/>
      <x:c r="F507" s="153"/>
      <x:c r="G507" s="153" t="n">
        <x:v>0.91</x:v>
      </x:c>
    </x:row>
    <x:row r="508">
      <x:c r="A508" s="155" t="n">
        <x:v>42876</x:v>
      </x:c>
      <x:c r="B508" s="153"/>
      <x:c r="C508" s="153"/>
      <x:c r="D508" s="153"/>
      <x:c r="E508" s="153"/>
      <x:c r="F508" s="153"/>
      <x:c r="G508" s="153" t="n">
        <x:v>0.91</x:v>
      </x:c>
    </x:row>
    <x:row r="509">
      <x:c r="A509" s="155" t="n">
        <x:v>42877</x:v>
      </x:c>
      <x:c r="B509" s="153" t="n">
        <x:v>2.25</x:v>
      </x:c>
      <x:c r="C509" s="153" t="n">
        <x:v>0.43</x:v>
      </x:c>
      <x:c r="D509" s="153" t="n">
        <x:v>1.82</x:v>
      </x:c>
      <x:c r="E509" s="153" t="n">
        <x:v>113.5442</x:v>
      </x:c>
      <x:c r="F509" s="153" t="n">
        <x:v>10.93</x:v>
      </x:c>
      <x:c r="G509" s="153" t="n">
        <x:v>0.91</x:v>
      </x:c>
    </x:row>
    <x:row r="510">
      <x:c r="A510" s="155" t="n">
        <x:v>42878</x:v>
      </x:c>
      <x:c r="B510" s="153" t="n">
        <x:v>2.29</x:v>
      </x:c>
      <x:c r="C510" s="153" t="n">
        <x:v>0.46</x:v>
      </x:c>
      <x:c r="D510" s="153" t="n">
        <x:v>1.83</x:v>
      </x:c>
      <x:c r="E510" s="153" t="n">
        <x:v>113.6862</x:v>
      </x:c>
      <x:c r="F510" s="153" t="n">
        <x:v>10.72</x:v>
      </x:c>
      <x:c r="G510" s="153" t="n">
        <x:v>0.91</x:v>
      </x:c>
    </x:row>
    <x:row r="511">
      <x:c r="A511" s="155" t="n">
        <x:v>42879</x:v>
      </x:c>
      <x:c r="B511" s="153" t="n">
        <x:v>2.26</x:v>
      </x:c>
      <x:c r="C511" s="153" t="n">
        <x:v>0.45</x:v>
      </x:c>
      <x:c r="D511" s="153" t="n">
        <x:v>1.81</x:v>
      </x:c>
      <x:c r="E511" s="153" t="n">
        <x:v>113.675</x:v>
      </x:c>
      <x:c r="F511" s="153" t="n">
        <x:v>10.02</x:v>
      </x:c>
      <x:c r="G511" s="153" t="n">
        <x:v>0.91</x:v>
      </x:c>
    </x:row>
    <x:row r="512">
      <x:c r="A512" s="155" t="n">
        <x:v>42880</x:v>
      </x:c>
      <x:c r="B512" s="153" t="n">
        <x:v>2.25</x:v>
      </x:c>
      <x:c r="C512" s="153" t="n">
        <x:v>0.45</x:v>
      </x:c>
      <x:c r="D512" s="153" t="n">
        <x:v>1.8</x:v>
      </x:c>
      <x:c r="E512" s="153" t="n">
        <x:v>113.3719</x:v>
      </x:c>
      <x:c r="F512" s="153" t="n">
        <x:v>9.99</x:v>
      </x:c>
      <x:c r="G512" s="153" t="n">
        <x:v>0.91</x:v>
      </x:c>
    </x:row>
    <x:row r="513">
      <x:c r="A513" s="155" t="n">
        <x:v>42881</x:v>
      </x:c>
      <x:c r="B513" s="153" t="n">
        <x:v>2.25</x:v>
      </x:c>
      <x:c r="C513" s="153" t="n">
        <x:v>0.44</x:v>
      </x:c>
      <x:c r="D513" s="153" t="n">
        <x:v>1.81</x:v>
      </x:c>
      <x:c r="E513" s="153" t="n">
        <x:v>113.4839</x:v>
      </x:c>
      <x:c r="F513" s="153" t="n">
        <x:v>9.81</x:v>
      </x:c>
      <x:c r="G513" s="153" t="n">
        <x:v>0.91</x:v>
      </x:c>
    </x:row>
    <x:row r="514">
      <x:c r="A514" s="155" t="n">
        <x:v>42882</x:v>
      </x:c>
      <x:c r="B514" s="153"/>
      <x:c r="C514" s="153"/>
      <x:c r="D514" s="153"/>
      <x:c r="E514" s="153"/>
      <x:c r="F514" s="153"/>
      <x:c r="G514" s="153" t="n">
        <x:v>0.91</x:v>
      </x:c>
    </x:row>
    <x:row r="515">
      <x:c r="A515" s="155" t="n">
        <x:v>42883</x:v>
      </x:c>
      <x:c r="B515" s="153"/>
      <x:c r="C515" s="153"/>
      <x:c r="D515" s="153"/>
      <x:c r="E515" s="153"/>
      <x:c r="F515" s="153"/>
      <x:c r="G515" s="153" t="n">
        <x:v>0.91</x:v>
      </x:c>
    </x:row>
    <x:row r="516">
      <x:c r="A516" s="155" t="n">
        <x:v>42884</x:v>
      </x:c>
      <x:c r="B516" s="153"/>
      <x:c r="C516" s="153"/>
      <x:c r="D516" s="153"/>
      <x:c r="E516" s="153"/>
      <x:c r="F516" s="153"/>
      <x:c r="G516" s="153" t="n">
        <x:v>0.91</x:v>
      </x:c>
    </x:row>
    <x:row r="517">
      <x:c r="A517" s="155" t="n">
        <x:v>42885</x:v>
      </x:c>
      <x:c r="B517" s="153" t="n">
        <x:v>2.21</x:v>
      </x:c>
      <x:c r="C517" s="153" t="n">
        <x:v>0.4</x:v>
      </x:c>
      <x:c r="D517" s="153" t="n">
        <x:v>1.81</x:v>
      </x:c>
      <x:c r="E517" s="153" t="n">
        <x:v>113.5552</x:v>
      </x:c>
      <x:c r="F517" s="153" t="n">
        <x:v>10.38</x:v>
      </x:c>
      <x:c r="G517" s="153" t="n">
        <x:v>0.91</x:v>
      </x:c>
    </x:row>
    <x:row r="518">
      <x:c r="A518" s="155" t="n">
        <x:v>42886</x:v>
      </x:c>
      <x:c r="B518" s="153" t="n">
        <x:v>2.21</x:v>
      </x:c>
      <x:c r="C518" s="153" t="n">
        <x:v>0.4</x:v>
      </x:c>
      <x:c r="D518" s="153" t="n">
        <x:v>1.81</x:v>
      </x:c>
      <x:c r="E518" s="153" t="n">
        <x:v>113.2956</x:v>
      </x:c>
      <x:c r="F518" s="153" t="n">
        <x:v>10.41</x:v>
      </x:c>
      <x:c r="G518" s="153" t="n">
        <x:v>0.83</x:v>
      </x:c>
    </x:row>
    <x:row r="519">
      <x:c r="A519" s="155" t="n">
        <x:v>42887</x:v>
      </x:c>
      <x:c r="B519" s="153" t="n">
        <x:v>2.21</x:v>
      </x:c>
      <x:c r="C519" s="153" t="n">
        <x:v>0.4</x:v>
      </x:c>
      <x:c r="D519" s="153" t="n">
        <x:v>1.81</x:v>
      </x:c>
      <x:c r="E519" s="153" t="n">
        <x:v>113.3017</x:v>
      </x:c>
      <x:c r="F519" s="153" t="n">
        <x:v>9.89</x:v>
      </x:c>
      <x:c r="G519" s="153" t="n">
        <x:v>0.91</x:v>
      </x:c>
    </x:row>
    <x:row r="520">
      <x:c r="A520" s="155" t="n">
        <x:v>42888</x:v>
      </x:c>
      <x:c r="B520" s="153" t="n">
        <x:v>2.15</x:v>
      </x:c>
      <x:c r="C520" s="153" t="n">
        <x:v>0.36</x:v>
      </x:c>
      <x:c r="D520" s="153" t="n">
        <x:v>1.79</x:v>
      </x:c>
      <x:c r="E520" s="153" t="n">
        <x:v>113.1908</x:v>
      </x:c>
      <x:c r="F520" s="153" t="n">
        <x:v>9.75</x:v>
      </x:c>
      <x:c r="G520" s="153" t="n">
        <x:v>0.91</x:v>
      </x:c>
    </x:row>
    <x:row r="521">
      <x:c r="A521" s="155" t="n">
        <x:v>42889</x:v>
      </x:c>
      <x:c r="B521" s="153"/>
      <x:c r="C521" s="153"/>
      <x:c r="D521" s="153"/>
      <x:c r="E521" s="153"/>
      <x:c r="F521" s="153"/>
      <x:c r="G521" s="153" t="n">
        <x:v>0.91</x:v>
      </x:c>
    </x:row>
    <x:row r="522">
      <x:c r="A522" s="155" t="n">
        <x:v>42890</x:v>
      </x:c>
      <x:c r="B522" s="153"/>
      <x:c r="C522" s="153"/>
      <x:c r="D522" s="153"/>
      <x:c r="E522" s="153"/>
      <x:c r="F522" s="153"/>
      <x:c r="G522" s="153" t="n">
        <x:v>0.91</x:v>
      </x:c>
    </x:row>
    <x:row r="523">
      <x:c r="A523" s="155" t="n">
        <x:v>42891</x:v>
      </x:c>
      <x:c r="B523" s="153" t="n">
        <x:v>2.18</x:v>
      </x:c>
      <x:c r="C523" s="153" t="n">
        <x:v>0.39</x:v>
      </x:c>
      <x:c r="D523" s="153" t="n">
        <x:v>1.79</x:v>
      </x:c>
      <x:c r="E523" s="153" t="n">
        <x:v>112.9755</x:v>
      </x:c>
      <x:c r="F523" s="153" t="n">
        <x:v>10.07</x:v>
      </x:c>
      <x:c r="G523" s="153" t="n">
        <x:v>0.91</x:v>
      </x:c>
    </x:row>
    <x:row r="524">
      <x:c r="A524" s="155" t="n">
        <x:v>42892</x:v>
      </x:c>
      <x:c r="B524" s="153" t="n">
        <x:v>2.14</x:v>
      </x:c>
      <x:c r="C524" s="153" t="n">
        <x:v>0.37</x:v>
      </x:c>
      <x:c r="D524" s="153" t="n">
        <x:v>1.77</x:v>
      </x:c>
      <x:c r="E524" s="153" t="n">
        <x:v>112.7095</x:v>
      </x:c>
      <x:c r="F524" s="153" t="n">
        <x:v>10.45</x:v>
      </x:c>
      <x:c r="G524" s="153" t="n">
        <x:v>0.91</x:v>
      </x:c>
    </x:row>
    <x:row r="525">
      <x:c r="A525" s="155" t="n">
        <x:v>42893</x:v>
      </x:c>
      <x:c r="B525" s="153" t="n">
        <x:v>2.18</x:v>
      </x:c>
      <x:c r="C525" s="153" t="n">
        <x:v>0.4</x:v>
      </x:c>
      <x:c r="D525" s="153" t="n">
        <x:v>1.78</x:v>
      </x:c>
      <x:c r="E525" s="153" t="n">
        <x:v>112.8191</x:v>
      </x:c>
      <x:c r="F525" s="153" t="n">
        <x:v>10.39</x:v>
      </x:c>
      <x:c r="G525" s="153" t="n">
        <x:v>0.91</x:v>
      </x:c>
    </x:row>
    <x:row r="526">
      <x:c r="A526" s="155" t="n">
        <x:v>42894</x:v>
      </x:c>
      <x:c r="B526" s="153" t="n">
        <x:v>2.19</x:v>
      </x:c>
      <x:c r="C526" s="153" t="n">
        <x:v>0.41</x:v>
      </x:c>
      <x:c r="D526" s="153" t="n">
        <x:v>1.78</x:v>
      </x:c>
      <x:c r="E526" s="153" t="n">
        <x:v>112.8351</x:v>
      </x:c>
      <x:c r="F526" s="153" t="n">
        <x:v>10.16</x:v>
      </x:c>
      <x:c r="G526" s="153" t="n">
        <x:v>0.91</x:v>
      </x:c>
    </x:row>
    <x:row r="527">
      <x:c r="A527" s="155" t="n">
        <x:v>42895</x:v>
      </x:c>
      <x:c r="B527" s="153" t="n">
        <x:v>2.21</x:v>
      </x:c>
      <x:c r="C527" s="153" t="n">
        <x:v>0.43</x:v>
      </x:c>
      <x:c r="D527" s="153" t="n">
        <x:v>1.78</x:v>
      </x:c>
      <x:c r="E527" s="153" t="n">
        <x:v>112.9562</x:v>
      </x:c>
      <x:c r="F527" s="153" t="n">
        <x:v>10.7</x:v>
      </x:c>
      <x:c r="G527" s="153" t="n">
        <x:v>0.91</x:v>
      </x:c>
    </x:row>
    <x:row r="528">
      <x:c r="A528" s="155" t="n">
        <x:v>42896</x:v>
      </x:c>
      <x:c r="B528" s="153"/>
      <x:c r="C528" s="153"/>
      <x:c r="D528" s="153"/>
      <x:c r="E528" s="153"/>
      <x:c r="F528" s="153"/>
      <x:c r="G528" s="153" t="n">
        <x:v>0.91</x:v>
      </x:c>
    </x:row>
    <x:row r="529">
      <x:c r="A529" s="155" t="n">
        <x:v>42897</x:v>
      </x:c>
      <x:c r="B529" s="153"/>
      <x:c r="C529" s="153"/>
      <x:c r="D529" s="153"/>
      <x:c r="E529" s="153"/>
      <x:c r="F529" s="153"/>
      <x:c r="G529" s="153" t="n">
        <x:v>0.91</x:v>
      </x:c>
    </x:row>
    <x:row r="530">
      <x:c r="A530" s="155" t="n">
        <x:v>42898</x:v>
      </x:c>
      <x:c r="B530" s="153" t="n">
        <x:v>2.21</x:v>
      </x:c>
      <x:c r="C530" s="153" t="n">
        <x:v>0.46</x:v>
      </x:c>
      <x:c r="D530" s="153" t="n">
        <x:v>1.75</x:v>
      </x:c>
      <x:c r="E530" s="153" t="n">
        <x:v>112.9837</x:v>
      </x:c>
      <x:c r="F530" s="153" t="n">
        <x:v>11.46</x:v>
      </x:c>
      <x:c r="G530" s="153" t="n">
        <x:v>0.91</x:v>
      </x:c>
    </x:row>
    <x:row r="531">
      <x:c r="A531" s="155" t="n">
        <x:v>42899</x:v>
      </x:c>
      <x:c r="B531" s="153" t="n">
        <x:v>2.21</x:v>
      </x:c>
      <x:c r="C531" s="153" t="n">
        <x:v>0.46</x:v>
      </x:c>
      <x:c r="D531" s="153" t="n">
        <x:v>1.75</x:v>
      </x:c>
      <x:c r="E531" s="153" t="n">
        <x:v>112.6271</x:v>
      </x:c>
      <x:c r="F531" s="153" t="n">
        <x:v>10.42</x:v>
      </x:c>
      <x:c r="G531" s="153" t="n">
        <x:v>0.91</x:v>
      </x:c>
    </x:row>
    <x:row r="532">
      <x:c r="A532" s="155" t="n">
        <x:v>42900</x:v>
      </x:c>
      <x:c r="B532" s="153" t="n">
        <x:v>2.15</x:v>
      </x:c>
      <x:c r="C532" s="153" t="n">
        <x:v>0.44</x:v>
      </x:c>
      <x:c r="D532" s="153" t="n">
        <x:v>1.71</x:v>
      </x:c>
      <x:c r="E532" s="153" t="n">
        <x:v>112.0734</x:v>
      </x:c>
      <x:c r="F532" s="153" t="n">
        <x:v>10.64</x:v>
      </x:c>
      <x:c r="G532" s="153" t="n">
        <x:v>0.91</x:v>
      </x:c>
    </x:row>
    <x:row r="533">
      <x:c r="A533" s="155" t="n">
        <x:v>42901</x:v>
      </x:c>
      <x:c r="B533" s="153" t="n">
        <x:v>2.16</x:v>
      </x:c>
      <x:c r="C533" s="153" t="n">
        <x:v>0.49</x:v>
      </x:c>
      <x:c r="D533" s="153" t="n">
        <x:v>1.67</x:v>
      </x:c>
      <x:c r="E533" s="153" t="n">
        <x:v>112.8708</x:v>
      </x:c>
      <x:c r="F533" s="153" t="n">
        <x:v>10.9</x:v>
      </x:c>
      <x:c r="G533" s="153" t="n">
        <x:v>1.16</x:v>
      </x:c>
    </x:row>
    <x:row r="534">
      <x:c r="A534" s="155" t="n">
        <x:v>42902</x:v>
      </x:c>
      <x:c r="B534" s="153" t="n">
        <x:v>2.16</x:v>
      </x:c>
      <x:c r="C534" s="153" t="n">
        <x:v>0.49</x:v>
      </x:c>
      <x:c r="D534" s="153" t="n">
        <x:v>1.67</x:v>
      </x:c>
      <x:c r="E534" s="153" t="n">
        <x:v>112.6155</x:v>
      </x:c>
      <x:c r="F534" s="153" t="n">
        <x:v>10.38</x:v>
      </x:c>
      <x:c r="G534" s="153" t="n">
        <x:v>1.16</x:v>
      </x:c>
    </x:row>
    <x:row r="535">
      <x:c r="A535" s="155" t="n">
        <x:v>42903</x:v>
      </x:c>
      <x:c r="B535" s="153"/>
      <x:c r="C535" s="153"/>
      <x:c r="D535" s="153"/>
      <x:c r="E535" s="153"/>
      <x:c r="F535" s="153"/>
      <x:c r="G535" s="153" t="n">
        <x:v>1.16</x:v>
      </x:c>
    </x:row>
    <x:row r="536">
      <x:c r="A536" s="155" t="n">
        <x:v>42904</x:v>
      </x:c>
      <x:c r="B536" s="153"/>
      <x:c r="C536" s="153"/>
      <x:c r="D536" s="153"/>
      <x:c r="E536" s="153"/>
      <x:c r="F536" s="153"/>
      <x:c r="G536" s="153" t="n">
        <x:v>1.16</x:v>
      </x:c>
    </x:row>
    <x:row r="537">
      <x:c r="A537" s="155" t="n">
        <x:v>42905</x:v>
      </x:c>
      <x:c r="B537" s="153" t="n">
        <x:v>2.19</x:v>
      </x:c>
      <x:c r="C537" s="153" t="n">
        <x:v>0.52</x:v>
      </x:c>
      <x:c r="D537" s="153" t="n">
        <x:v>1.67</x:v>
      </x:c>
      <x:c r="E537" s="153" t="n">
        <x:v>112.7576</x:v>
      </x:c>
      <x:c r="F537" s="153" t="n">
        <x:v>10.37</x:v>
      </x:c>
      <x:c r="G537" s="153" t="n">
        <x:v>1.16</x:v>
      </x:c>
    </x:row>
    <x:row r="538">
      <x:c r="A538" s="155" t="n">
        <x:v>42906</x:v>
      </x:c>
      <x:c r="B538" s="153" t="n">
        <x:v>2.16</x:v>
      </x:c>
      <x:c r="C538" s="153" t="n">
        <x:v>0.5</x:v>
      </x:c>
      <x:c r="D538" s="153" t="n">
        <x:v>1.66</x:v>
      </x:c>
      <x:c r="E538" s="153" t="n">
        <x:v>113.2698</x:v>
      </x:c>
      <x:c r="F538" s="153" t="n">
        <x:v>10.86</x:v>
      </x:c>
      <x:c r="G538" s="153" t="n">
        <x:v>1.16</x:v>
      </x:c>
    </x:row>
    <x:row r="539">
      <x:c r="A539" s="155" t="n">
        <x:v>42907</x:v>
      </x:c>
      <x:c r="B539" s="153" t="n">
        <x:v>2.16</x:v>
      </x:c>
      <x:c r="C539" s="153" t="n">
        <x:v>0.5</x:v>
      </x:c>
      <x:c r="D539" s="153" t="n">
        <x:v>1.66</x:v>
      </x:c>
      <x:c r="E539" s="153" t="n">
        <x:v>113.3327</x:v>
      </x:c>
      <x:c r="F539" s="153" t="n">
        <x:v>10.75</x:v>
      </x:c>
      <x:c r="G539" s="153" t="n">
        <x:v>1.16</x:v>
      </x:c>
    </x:row>
    <x:row r="540">
      <x:c r="A540" s="155" t="n">
        <x:v>42908</x:v>
      </x:c>
      <x:c r="B540" s="153" t="n">
        <x:v>2.15</x:v>
      </x:c>
      <x:c r="C540" s="153" t="n">
        <x:v>0.46</x:v>
      </x:c>
      <x:c r="D540" s="153" t="n">
        <x:v>1.69</x:v>
      </x:c>
      <x:c r="E540" s="153" t="n">
        <x:v>113.1654</x:v>
      </x:c>
      <x:c r="F540" s="153" t="n">
        <x:v>10.48</x:v>
      </x:c>
      <x:c r="G540" s="153" t="n">
        <x:v>1.16</x:v>
      </x:c>
    </x:row>
    <x:row r="541">
      <x:c r="A541" s="155" t="n">
        <x:v>42909</x:v>
      </x:c>
      <x:c r="B541" s="153" t="n">
        <x:v>2.15</x:v>
      </x:c>
      <x:c r="C541" s="153" t="n">
        <x:v>0.45</x:v>
      </x:c>
      <x:c r="D541" s="153" t="n">
        <x:v>1.7</x:v>
      </x:c>
      <x:c r="E541" s="153" t="n">
        <x:v>112.8665</x:v>
      </x:c>
      <x:c r="F541" s="153" t="n">
        <x:v>10.02</x:v>
      </x:c>
      <x:c r="G541" s="153" t="n">
        <x:v>1.16</x:v>
      </x:c>
    </x:row>
    <x:row r="542">
      <x:c r="A542" s="155" t="n">
        <x:v>42910</x:v>
      </x:c>
      <x:c r="B542" s="153"/>
      <x:c r="C542" s="153"/>
      <x:c r="D542" s="153"/>
      <x:c r="E542" s="153"/>
      <x:c r="F542" s="153"/>
      <x:c r="G542" s="153" t="n">
        <x:v>1.16</x:v>
      </x:c>
    </x:row>
    <x:row r="543">
      <x:c r="A543" s="155" t="n">
        <x:v>42911</x:v>
      </x:c>
      <x:c r="B543" s="153"/>
      <x:c r="C543" s="153"/>
      <x:c r="D543" s="153"/>
      <x:c r="E543" s="153"/>
      <x:c r="F543" s="153"/>
      <x:c r="G543" s="153" t="n">
        <x:v>1.16</x:v>
      </x:c>
    </x:row>
    <x:row r="544">
      <x:c r="A544" s="155" t="n">
        <x:v>42912</x:v>
      </x:c>
      <x:c r="B544" s="153" t="n">
        <x:v>2.14</x:v>
      </x:c>
      <x:c r="C544" s="153" t="n">
        <x:v>0.43</x:v>
      </x:c>
      <x:c r="D544" s="153" t="n">
        <x:v>1.71</x:v>
      </x:c>
      <x:c r="E544" s="153" t="n">
        <x:v>112.7633</x:v>
      </x:c>
      <x:c r="F544" s="153" t="n">
        <x:v>9.9</x:v>
      </x:c>
      <x:c r="G544" s="153" t="n">
        <x:v>1.16</x:v>
      </x:c>
    </x:row>
    <x:row r="545">
      <x:c r="A545" s="155" t="n">
        <x:v>42913</x:v>
      </x:c>
      <x:c r="B545" s="153" t="n">
        <x:v>2.21</x:v>
      </x:c>
      <x:c r="C545" s="153" t="n">
        <x:v>0.5</x:v>
      </x:c>
      <x:c r="D545" s="153" t="n">
        <x:v>1.71</x:v>
      </x:c>
      <x:c r="E545" s="153" t="n">
        <x:v>112.55</x:v>
      </x:c>
      <x:c r="F545" s="153" t="n">
        <x:v>11.06</x:v>
      </x:c>
      <x:c r="G545" s="153" t="n">
        <x:v>1.16</x:v>
      </x:c>
    </x:row>
    <x:row r="546">
      <x:c r="A546" s="155" t="n">
        <x:v>42914</x:v>
      </x:c>
      <x:c r="B546" s="153" t="n">
        <x:v>2.22</x:v>
      </x:c>
      <x:c r="C546" s="153" t="n">
        <x:v>0.49</x:v>
      </x:c>
      <x:c r="D546" s="153" t="n">
        <x:v>1.73</x:v>
      </x:c>
      <x:c r="E546" s="153" t="n">
        <x:v>112.0747</x:v>
      </x:c>
      <x:c r="F546" s="153" t="n">
        <x:v>10.03</x:v>
      </x:c>
      <x:c r="G546" s="153" t="n">
        <x:v>1.16</x:v>
      </x:c>
    </x:row>
    <x:row r="547">
      <x:c r="A547" s="155" t="n">
        <x:v>42915</x:v>
      </x:c>
      <x:c r="B547" s="153" t="n">
        <x:v>2.27</x:v>
      </x:c>
      <x:c r="C547" s="153" t="n">
        <x:v>0.55</x:v>
      </x:c>
      <x:c r="D547" s="153" t="n">
        <x:v>1.72</x:v>
      </x:c>
      <x:c r="E547" s="153" t="n">
        <x:v>111.998</x:v>
      </x:c>
      <x:c r="F547" s="153" t="n">
        <x:v>11.44</x:v>
      </x:c>
      <x:c r="G547" s="153" t="n">
        <x:v>1.16</x:v>
      </x:c>
    </x:row>
    <x:row r="548">
      <x:c r="A548" s="155" t="n">
        <x:v>42916</x:v>
      </x:c>
      <x:c r="B548" s="153" t="n">
        <x:v>2.31</x:v>
      </x:c>
      <x:c r="C548" s="153" t="n">
        <x:v>0.58</x:v>
      </x:c>
      <x:c r="D548" s="153" t="n">
        <x:v>1.73</x:v>
      </x:c>
      <x:c r="E548" s="153" t="n">
        <x:v>111.9896</x:v>
      </x:c>
      <x:c r="F548" s="153" t="n">
        <x:v>11.18</x:v>
      </x:c>
      <x:c r="G548" s="153" t="n">
        <x:v>1.06</x:v>
      </x:c>
    </x:row>
    <x:row r="549">
      <x:c r="A549" s="155" t="n">
        <x:v>42917</x:v>
      </x:c>
      <x:c r="B549" s="153"/>
      <x:c r="C549" s="153"/>
      <x:c r="D549" s="153"/>
      <x:c r="E549" s="153"/>
      <x:c r="F549" s="153"/>
      <x:c r="G549" s="153" t="n">
        <x:v>1.06</x:v>
      </x:c>
    </x:row>
    <x:row r="550">
      <x:c r="A550" s="155" t="n">
        <x:v>42918</x:v>
      </x:c>
      <x:c r="B550" s="153"/>
      <x:c r="C550" s="153"/>
      <x:c r="D550" s="153"/>
      <x:c r="E550" s="153"/>
      <x:c r="F550" s="153"/>
      <x:c r="G550" s="153" t="n">
        <x:v>1.06</x:v>
      </x:c>
    </x:row>
    <x:row r="551">
      <x:c r="A551" s="155" t="n">
        <x:v>42919</x:v>
      </x:c>
      <x:c r="B551" s="153" t="n">
        <x:v>2.35</x:v>
      </x:c>
      <x:c r="C551" s="153" t="n">
        <x:v>0.6</x:v>
      </x:c>
      <x:c r="D551" s="153" t="n">
        <x:v>1.75</x:v>
      </x:c>
      <x:c r="E551" s="153" t="n">
        <x:v>112.4268</x:v>
      </x:c>
      <x:c r="F551" s="153" t="n">
        <x:v>11.22</x:v>
      </x:c>
      <x:c r="G551" s="153" t="n">
        <x:v>1.16</x:v>
      </x:c>
    </x:row>
    <x:row r="552">
      <x:c r="A552" s="155" t="n">
        <x:v>42920</x:v>
      </x:c>
      <x:c r="B552" s="153"/>
      <x:c r="C552" s="153"/>
      <x:c r="D552" s="153"/>
      <x:c r="E552" s="153"/>
      <x:c r="F552" s="153"/>
      <x:c r="G552" s="153" t="n">
        <x:v>1.16</x:v>
      </x:c>
    </x:row>
    <x:row r="553">
      <x:c r="A553" s="155" t="n">
        <x:v>42921</x:v>
      </x:c>
      <x:c r="B553" s="153" t="n">
        <x:v>2.33</x:v>
      </x:c>
      <x:c r="C553" s="153" t="n">
        <x:v>0.58</x:v>
      </x:c>
      <x:c r="D553" s="153" t="n">
        <x:v>1.75</x:v>
      </x:c>
      <x:c r="E553" s="153" t="n">
        <x:v>112.6534</x:v>
      </x:c>
      <x:c r="F553" s="153" t="n">
        <x:v>11.07</x:v>
      </x:c>
      <x:c r="G553" s="153" t="n">
        <x:v>1.16</x:v>
      </x:c>
    </x:row>
    <x:row r="554">
      <x:c r="A554" s="155" t="n">
        <x:v>42922</x:v>
      </x:c>
      <x:c r="B554" s="153" t="n">
        <x:v>2.37</x:v>
      </x:c>
      <x:c r="C554" s="153" t="n">
        <x:v>0.61</x:v>
      </x:c>
      <x:c r="D554" s="153" t="n">
        <x:v>1.76</x:v>
      </x:c>
      <x:c r="E554" s="153" t="n">
        <x:v>112.4199</x:v>
      </x:c>
      <x:c r="F554" s="153" t="n">
        <x:v>12.54</x:v>
      </x:c>
      <x:c r="G554" s="153" t="n">
        <x:v>1.16</x:v>
      </x:c>
    </x:row>
    <x:row r="555">
      <x:c r="A555" s="155" t="n">
        <x:v>42923</x:v>
      </x:c>
      <x:c r="B555" s="153" t="n">
        <x:v>2.39</x:v>
      </x:c>
      <x:c r="C555" s="153" t="n">
        <x:v>0.66</x:v>
      </x:c>
      <x:c r="D555" s="153" t="n">
        <x:v>1.73</x:v>
      </x:c>
      <x:c r="E555" s="153" t="n">
        <x:v>112.3137</x:v>
      </x:c>
      <x:c r="F555" s="153" t="n">
        <x:v>11.19</x:v>
      </x:c>
      <x:c r="G555" s="153" t="n">
        <x:v>1.16</x:v>
      </x:c>
    </x:row>
    <x:row r="556">
      <x:c r="A556" s="155" t="n">
        <x:v>42924</x:v>
      </x:c>
      <x:c r="B556" s="153"/>
      <x:c r="C556" s="153"/>
      <x:c r="D556" s="153"/>
      <x:c r="E556" s="153"/>
      <x:c r="F556" s="153"/>
      <x:c r="G556" s="153" t="n">
        <x:v>1.16</x:v>
      </x:c>
    </x:row>
    <x:row r="557">
      <x:c r="A557" s="155" t="n">
        <x:v>42925</x:v>
      </x:c>
      <x:c r="B557" s="153"/>
      <x:c r="C557" s="153"/>
      <x:c r="D557" s="153"/>
      <x:c r="E557" s="153"/>
      <x:c r="F557" s="153"/>
      <x:c r="G557" s="153" t="n">
        <x:v>1.16</x:v>
      </x:c>
    </x:row>
    <x:row r="558">
      <x:c r="A558" s="155" t="n">
        <x:v>42926</x:v>
      </x:c>
      <x:c r="B558" s="153" t="n">
        <x:v>2.38</x:v>
      </x:c>
      <x:c r="C558" s="153" t="n">
        <x:v>0.66</x:v>
      </x:c>
      <x:c r="D558" s="153" t="n">
        <x:v>1.72</x:v>
      </x:c>
      <x:c r="E558" s="153" t="n">
        <x:v>112.1587</x:v>
      </x:c>
      <x:c r="F558" s="153" t="n">
        <x:v>11.11</x:v>
      </x:c>
      <x:c r="G558" s="153" t="n">
        <x:v>1.16</x:v>
      </x:c>
    </x:row>
    <x:row r="559">
      <x:c r="A559" s="155" t="n">
        <x:v>42927</x:v>
      </x:c>
      <x:c r="B559" s="153" t="n">
        <x:v>2.37</x:v>
      </x:c>
      <x:c r="C559" s="153" t="n">
        <x:v>0.62</x:v>
      </x:c>
      <x:c r="D559" s="153" t="n">
        <x:v>1.75</x:v>
      </x:c>
      <x:c r="E559" s="153" t="n">
        <x:v>112.1434</x:v>
      </x:c>
      <x:c r="F559" s="153" t="n">
        <x:v>10.89</x:v>
      </x:c>
      <x:c r="G559" s="153" t="n">
        <x:v>1.16</x:v>
      </x:c>
    </x:row>
    <x:row r="560">
      <x:c r="A560" s="155" t="n">
        <x:v>42928</x:v>
      </x:c>
      <x:c r="B560" s="153" t="n">
        <x:v>2.33</x:v>
      </x:c>
      <x:c r="C560" s="153" t="n">
        <x:v>0.57</x:v>
      </x:c>
      <x:c r="D560" s="153" t="n">
        <x:v>1.76</x:v>
      </x:c>
      <x:c r="E560" s="153" t="n">
        <x:v>111.5904</x:v>
      </x:c>
      <x:c r="F560" s="153" t="n">
        <x:v>10.3</x:v>
      </x:c>
      <x:c r="G560" s="153" t="n">
        <x:v>1.16</x:v>
      </x:c>
    </x:row>
    <x:row r="561">
      <x:c r="A561" s="155" t="n">
        <x:v>42929</x:v>
      </x:c>
      <x:c r="B561" s="153" t="n">
        <x:v>2.35</x:v>
      </x:c>
      <x:c r="C561" s="153" t="n">
        <x:v>0.58</x:v>
      </x:c>
      <x:c r="D561" s="153" t="n">
        <x:v>1.77</x:v>
      </x:c>
      <x:c r="E561" s="153" t="n">
        <x:v>111.5365</x:v>
      </x:c>
      <x:c r="F561" s="153" t="n">
        <x:v>9.9</x:v>
      </x:c>
      <x:c r="G561" s="153" t="n">
        <x:v>1.16</x:v>
      </x:c>
    </x:row>
    <x:row r="562">
      <x:c r="A562" s="155" t="n">
        <x:v>42930</x:v>
      </x:c>
      <x:c r="B562" s="153" t="n">
        <x:v>2.33</x:v>
      </x:c>
      <x:c r="C562" s="153" t="n">
        <x:v>0.57</x:v>
      </x:c>
      <x:c r="D562" s="153" t="n">
        <x:v>1.76</x:v>
      </x:c>
      <x:c r="E562" s="153" t="n">
        <x:v>110.9075</x:v>
      </x:c>
      <x:c r="F562" s="153" t="n">
        <x:v>9.51</x:v>
      </x:c>
      <x:c r="G562" s="153" t="n">
        <x:v>1.16</x:v>
      </x:c>
    </x:row>
    <x:row r="563">
      <x:c r="A563" s="155" t="n">
        <x:v>42931</x:v>
      </x:c>
      <x:c r="B563" s="153"/>
      <x:c r="C563" s="153"/>
      <x:c r="D563" s="153"/>
      <x:c r="E563" s="153"/>
      <x:c r="F563" s="153"/>
      <x:c r="G563" s="153" t="n">
        <x:v>1.16</x:v>
      </x:c>
    </x:row>
    <x:row r="564">
      <x:c r="A564" s="155" t="n">
        <x:v>42932</x:v>
      </x:c>
      <x:c r="B564" s="153"/>
      <x:c r="C564" s="153"/>
      <x:c r="D564" s="153"/>
      <x:c r="E564" s="153"/>
      <x:c r="F564" s="153"/>
      <x:c r="G564" s="153" t="n">
        <x:v>1.16</x:v>
      </x:c>
    </x:row>
    <x:row r="565">
      <x:c r="A565" s="155" t="n">
        <x:v>42933</x:v>
      </x:c>
      <x:c r="B565" s="153" t="n">
        <x:v>2.31</x:v>
      </x:c>
      <x:c r="C565" s="153" t="n">
        <x:v>0.54</x:v>
      </x:c>
      <x:c r="D565" s="153" t="n">
        <x:v>1.77</x:v>
      </x:c>
      <x:c r="E565" s="153" t="n">
        <x:v>110.9304</x:v>
      </x:c>
      <x:c r="F565" s="153" t="n">
        <x:v>9.82</x:v>
      </x:c>
      <x:c r="G565" s="153" t="n">
        <x:v>1.16</x:v>
      </x:c>
    </x:row>
    <x:row r="566">
      <x:c r="A566" s="155" t="n">
        <x:v>42934</x:v>
      </x:c>
      <x:c r="B566" s="153" t="n">
        <x:v>2.27</x:v>
      </x:c>
      <x:c r="C566" s="153" t="n">
        <x:v>0.51</x:v>
      </x:c>
      <x:c r="D566" s="153" t="n">
        <x:v>1.76</x:v>
      </x:c>
      <x:c r="E566" s="153" t="n">
        <x:v>110.4356</x:v>
      </x:c>
      <x:c r="F566" s="153" t="n">
        <x:v>9.89</x:v>
      </x:c>
      <x:c r="G566" s="153" t="n">
        <x:v>1.16</x:v>
      </x:c>
    </x:row>
    <x:row r="567">
      <x:c r="A567" s="155" t="n">
        <x:v>42935</x:v>
      </x:c>
      <x:c r="B567" s="153" t="n">
        <x:v>2.27</x:v>
      </x:c>
      <x:c r="C567" s="153" t="n">
        <x:v>0.51</x:v>
      </x:c>
      <x:c r="D567" s="153" t="n">
        <x:v>1.76</x:v>
      </x:c>
      <x:c r="E567" s="153" t="n">
        <x:v>110.4339</x:v>
      </x:c>
      <x:c r="F567" s="153" t="n">
        <x:v>9.79</x:v>
      </x:c>
      <x:c r="G567" s="153" t="n">
        <x:v>1.16</x:v>
      </x:c>
    </x:row>
    <x:row r="568">
      <x:c r="A568" s="155" t="n">
        <x:v>42936</x:v>
      </x:c>
      <x:c r="B568" s="153" t="n">
        <x:v>2.27</x:v>
      </x:c>
      <x:c r="C568" s="153" t="n">
        <x:v>0.5</x:v>
      </x:c>
      <x:c r="D568" s="153" t="n">
        <x:v>1.77</x:v>
      </x:c>
      <x:c r="E568" s="153" t="n">
        <x:v>110.2512</x:v>
      </x:c>
      <x:c r="F568" s="153" t="n">
        <x:v>9.58</x:v>
      </x:c>
      <x:c r="G568" s="153" t="n">
        <x:v>1.16</x:v>
      </x:c>
    </x:row>
    <x:row r="569">
      <x:c r="A569" s="155" t="n">
        <x:v>42937</x:v>
      </x:c>
      <x:c r="B569" s="153" t="n">
        <x:v>2.24</x:v>
      </x:c>
      <x:c r="C569" s="153" t="n">
        <x:v>0.48</x:v>
      </x:c>
      <x:c r="D569" s="153" t="n">
        <x:v>1.76</x:v>
      </x:c>
      <x:c r="E569" s="153" t="n">
        <x:v>110.191</x:v>
      </x:c>
      <x:c r="F569" s="153" t="n">
        <x:v>9.36</x:v>
      </x:c>
      <x:c r="G569" s="153" t="n">
        <x:v>1.16</x:v>
      </x:c>
    </x:row>
    <x:row r="570">
      <x:c r="A570" s="155" t="n">
        <x:v>42938</x:v>
      </x:c>
      <x:c r="B570" s="153"/>
      <x:c r="C570" s="153"/>
      <x:c r="D570" s="153"/>
      <x:c r="E570" s="153"/>
      <x:c r="F570" s="153"/>
      <x:c r="G570" s="153" t="n">
        <x:v>1.16</x:v>
      </x:c>
    </x:row>
    <x:row r="571">
      <x:c r="A571" s="155" t="n">
        <x:v>42939</x:v>
      </x:c>
      <x:c r="B571" s="153"/>
      <x:c r="C571" s="153"/>
      <x:c r="D571" s="153"/>
      <x:c r="E571" s="153"/>
      <x:c r="F571" s="153"/>
      <x:c r="G571" s="153" t="n">
        <x:v>1.16</x:v>
      </x:c>
    </x:row>
    <x:row r="572">
      <x:c r="A572" s="155" t="n">
        <x:v>42940</x:v>
      </x:c>
      <x:c r="B572" s="153" t="n">
        <x:v>2.26</x:v>
      </x:c>
      <x:c r="C572" s="153" t="n">
        <x:v>0.48</x:v>
      </x:c>
      <x:c r="D572" s="153" t="n">
        <x:v>1.78</x:v>
      </x:c>
      <x:c r="E572" s="153" t="n">
        <x:v>110.2004</x:v>
      </x:c>
      <x:c r="F572" s="153" t="n">
        <x:v>9.43</x:v>
      </x:c>
      <x:c r="G572" s="153" t="n">
        <x:v>1.16</x:v>
      </x:c>
    </x:row>
    <x:row r="573">
      <x:c r="A573" s="155" t="n">
        <x:v>42941</x:v>
      </x:c>
      <x:c r="B573" s="153" t="n">
        <x:v>2.33</x:v>
      </x:c>
      <x:c r="C573" s="153" t="n">
        <x:v>0.52</x:v>
      </x:c>
      <x:c r="D573" s="153" t="n">
        <x:v>1.81</x:v>
      </x:c>
      <x:c r="E573" s="153" t="n">
        <x:v>110.2835</x:v>
      </x:c>
      <x:c r="F573" s="153" t="n">
        <x:v>9.43</x:v>
      </x:c>
      <x:c r="G573" s="153" t="n">
        <x:v>1.16</x:v>
      </x:c>
    </x:row>
    <x:row r="574">
      <x:c r="A574" s="155" t="n">
        <x:v>42942</x:v>
      </x:c>
      <x:c r="B574" s="153" t="n">
        <x:v>2.29</x:v>
      </x:c>
      <x:c r="C574" s="153" t="n">
        <x:v>0.49</x:v>
      </x:c>
      <x:c r="D574" s="153" t="n">
        <x:v>1.8</x:v>
      </x:c>
      <x:c r="E574" s="153" t="n">
        <x:v>110.3811</x:v>
      </x:c>
      <x:c r="F574" s="153" t="n">
        <x:v>9.6</x:v>
      </x:c>
      <x:c r="G574" s="153" t="n">
        <x:v>1.16</x:v>
      </x:c>
    </x:row>
    <x:row r="575">
      <x:c r="A575" s="155" t="n">
        <x:v>42943</x:v>
      </x:c>
      <x:c r="B575" s="153" t="n">
        <x:v>2.32</x:v>
      </x:c>
      <x:c r="C575" s="153" t="n">
        <x:v>0.49</x:v>
      </x:c>
      <x:c r="D575" s="153" t="n">
        <x:v>1.83</x:v>
      </x:c>
      <x:c r="E575" s="153" t="n">
        <x:v>110.216</x:v>
      </x:c>
      <x:c r="F575" s="153" t="n">
        <x:v>10.11</x:v>
      </x:c>
      <x:c r="G575" s="153" t="n">
        <x:v>1.16</x:v>
      </x:c>
    </x:row>
    <x:row r="576">
      <x:c r="A576" s="155" t="n">
        <x:v>42944</x:v>
      </x:c>
      <x:c r="B576" s="153" t="n">
        <x:v>2.3</x:v>
      </x:c>
      <x:c r="C576" s="153" t="n">
        <x:v>0.47</x:v>
      </x:c>
      <x:c r="D576" s="153" t="n">
        <x:v>1.83</x:v>
      </x:c>
      <x:c r="E576" s="153" t="n">
        <x:v>109.92</x:v>
      </x:c>
      <x:c r="F576" s="153" t="n">
        <x:v>10.29</x:v>
      </x:c>
      <x:c r="G576" s="153" t="n">
        <x:v>1.16</x:v>
      </x:c>
    </x:row>
    <x:row r="577">
      <x:c r="A577" s="155" t="n">
        <x:v>42945</x:v>
      </x:c>
      <x:c r="B577" s="153"/>
      <x:c r="C577" s="153"/>
      <x:c r="D577" s="153"/>
      <x:c r="E577" s="153"/>
      <x:c r="F577" s="153"/>
      <x:c r="G577" s="153" t="n">
        <x:v>1.16</x:v>
      </x:c>
    </x:row>
    <x:row r="578">
      <x:c r="A578" s="155" t="n">
        <x:v>42946</x:v>
      </x:c>
      <x:c r="B578" s="153"/>
      <x:c r="C578" s="153"/>
      <x:c r="D578" s="153"/>
      <x:c r="E578" s="153"/>
      <x:c r="F578" s="153"/>
      <x:c r="G578" s="153" t="n">
        <x:v>1.16</x:v>
      </x:c>
    </x:row>
    <x:row r="579">
      <x:c r="A579" s="155" t="n">
        <x:v>42947</x:v>
      </x:c>
      <x:c r="B579" s="153" t="n">
        <x:v>2.3</x:v>
      </x:c>
      <x:c r="C579" s="153" t="n">
        <x:v>0.48</x:v>
      </x:c>
      <x:c r="D579" s="153" t="n">
        <x:v>1.82</x:v>
      </x:c>
      <x:c r="E579" s="153" t="n">
        <x:v>109.8177</x:v>
      </x:c>
      <x:c r="F579" s="153" t="n">
        <x:v>10.26</x:v>
      </x:c>
      <x:c r="G579" s="153" t="n">
        <x:v>1.07</x:v>
      </x:c>
    </x:row>
    <x:row r="580">
      <x:c r="A580" s="155" t="n">
        <x:v>42948</x:v>
      </x:c>
      <x:c r="B580" s="153" t="n">
        <x:v>2.26</x:v>
      </x:c>
      <x:c r="C580" s="153" t="n">
        <x:v>0.47</x:v>
      </x:c>
      <x:c r="D580" s="153" t="n">
        <x:v>1.79</x:v>
      </x:c>
      <x:c r="E580" s="153" t="n">
        <x:v>109.8495</x:v>
      </x:c>
      <x:c r="F580" s="153" t="n">
        <x:v>10.09</x:v>
      </x:c>
      <x:c r="G580" s="153" t="n">
        <x:v>1.16</x:v>
      </x:c>
    </x:row>
    <x:row r="581">
      <x:c r="A581" s="155" t="n">
        <x:v>42949</x:v>
      </x:c>
      <x:c r="B581" s="153" t="n">
        <x:v>2.27</x:v>
      </x:c>
      <x:c r="C581" s="153" t="n">
        <x:v>0.48</x:v>
      </x:c>
      <x:c r="D581" s="153" t="n">
        <x:v>1.79</x:v>
      </x:c>
      <x:c r="E581" s="153" t="n">
        <x:v>109.7503</x:v>
      </x:c>
      <x:c r="F581" s="153" t="n">
        <x:v>10.28</x:v>
      </x:c>
      <x:c r="G581" s="153" t="n">
        <x:v>1.16</x:v>
      </x:c>
    </x:row>
    <x:row r="582">
      <x:c r="A582" s="155" t="n">
        <x:v>42950</x:v>
      </x:c>
      <x:c r="B582" s="153" t="n">
        <x:v>2.24</x:v>
      </x:c>
      <x:c r="C582" s="153" t="n">
        <x:v>0.46</x:v>
      </x:c>
      <x:c r="D582" s="153" t="n">
        <x:v>1.78</x:v>
      </x:c>
      <x:c r="E582" s="153" t="n">
        <x:v>109.8332</x:v>
      </x:c>
      <x:c r="F582" s="153" t="n">
        <x:v>10.44</x:v>
      </x:c>
      <x:c r="G582" s="153" t="n">
        <x:v>1.16</x:v>
      </x:c>
    </x:row>
    <x:row r="583">
      <x:c r="A583" s="155" t="n">
        <x:v>42951</x:v>
      </x:c>
      <x:c r="B583" s="153" t="n">
        <x:v>2.27</x:v>
      </x:c>
      <x:c r="C583" s="153" t="n">
        <x:v>0.47</x:v>
      </x:c>
      <x:c r="D583" s="153" t="n">
        <x:v>1.8</x:v>
      </x:c>
      <x:c r="E583" s="153" t="n">
        <x:v>110.2808</x:v>
      </x:c>
      <x:c r="F583" s="153" t="n">
        <x:v>10.03</x:v>
      </x:c>
      <x:c r="G583" s="153" t="n">
        <x:v>1.16</x:v>
      </x:c>
    </x:row>
    <x:row r="584">
      <x:c r="A584" s="155" t="n">
        <x:v>42952</x:v>
      </x:c>
      <x:c r="B584" s="153"/>
      <x:c r="C584" s="153"/>
      <x:c r="D584" s="153"/>
      <x:c r="E584" s="153"/>
      <x:c r="F584" s="153"/>
      <x:c r="G584" s="153" t="n">
        <x:v>1.16</x:v>
      </x:c>
    </x:row>
    <x:row r="585">
      <x:c r="A585" s="155" t="n">
        <x:v>42953</x:v>
      </x:c>
      <x:c r="B585" s="153"/>
      <x:c r="C585" s="153"/>
      <x:c r="D585" s="153"/>
      <x:c r="E585" s="153"/>
      <x:c r="F585" s="153"/>
      <x:c r="G585" s="153" t="n">
        <x:v>1.16</x:v>
      </x:c>
    </x:row>
    <x:row r="586">
      <x:c r="A586" s="155" t="n">
        <x:v>42954</x:v>
      </x:c>
      <x:c r="B586" s="153" t="n">
        <x:v>2.26</x:v>
      </x:c>
      <x:c r="C586" s="153" t="n">
        <x:v>0.46</x:v>
      </x:c>
      <x:c r="D586" s="153" t="n">
        <x:v>1.8</x:v>
      </x:c>
      <x:c r="E586" s="153" t="n">
        <x:v>110.373</x:v>
      </x:c>
      <x:c r="F586" s="153" t="n">
        <x:v>9.93</x:v>
      </x:c>
      <x:c r="G586" s="153" t="n">
        <x:v>1.16</x:v>
      </x:c>
    </x:row>
    <x:row r="587">
      <x:c r="A587" s="155" t="n">
        <x:v>42955</x:v>
      </x:c>
      <x:c r="B587" s="153" t="n">
        <x:v>2.29</x:v>
      </x:c>
      <x:c r="C587" s="153" t="n">
        <x:v>0.46</x:v>
      </x:c>
      <x:c r="D587" s="153" t="n">
        <x:v>1.83</x:v>
      </x:c>
      <x:c r="E587" s="153" t="n">
        <x:v>110.396</x:v>
      </x:c>
      <x:c r="F587" s="153" t="n">
        <x:v>10.96</x:v>
      </x:c>
      <x:c r="G587" s="153" t="n">
        <x:v>1.16</x:v>
      </x:c>
    </x:row>
    <x:row r="588">
      <x:c r="A588" s="155" t="n">
        <x:v>42956</x:v>
      </x:c>
      <x:c r="B588" s="153" t="n">
        <x:v>2.24</x:v>
      </x:c>
      <x:c r="C588" s="153" t="n">
        <x:v>0.42</x:v>
      </x:c>
      <x:c r="D588" s="153" t="n">
        <x:v>1.82</x:v>
      </x:c>
      <x:c r="E588" s="153" t="n">
        <x:v>110.3671</x:v>
      </x:c>
      <x:c r="F588" s="153" t="n">
        <x:v>11.11</x:v>
      </x:c>
      <x:c r="G588" s="153" t="n">
        <x:v>1.16</x:v>
      </x:c>
    </x:row>
    <x:row r="589">
      <x:c r="A589" s="155" t="n">
        <x:v>42957</x:v>
      </x:c>
      <x:c r="B589" s="153" t="n">
        <x:v>2.2</x:v>
      </x:c>
      <x:c r="C589" s="153" t="n">
        <x:v>0.4</x:v>
      </x:c>
      <x:c r="D589" s="153" t="n">
        <x:v>1.8</x:v>
      </x:c>
      <x:c r="E589" s="153" t="n">
        <x:v>110.1886</x:v>
      </x:c>
      <x:c r="F589" s="153" t="n">
        <x:v>16.04</x:v>
      </x:c>
      <x:c r="G589" s="153" t="n">
        <x:v>1.16</x:v>
      </x:c>
    </x:row>
    <x:row r="590">
      <x:c r="A590" s="155" t="n">
        <x:v>42958</x:v>
      </x:c>
      <x:c r="B590" s="153" t="n">
        <x:v>2.19</x:v>
      </x:c>
      <x:c r="C590" s="153" t="n">
        <x:v>0.4</x:v>
      </x:c>
      <x:c r="D590" s="153" t="n">
        <x:v>1.79</x:v>
      </x:c>
      <x:c r="E590" s="153" t="n">
        <x:v>110.0422</x:v>
      </x:c>
      <x:c r="F590" s="153" t="n">
        <x:v>15.51</x:v>
      </x:c>
      <x:c r="G590" s="153" t="n">
        <x:v>1.16</x:v>
      </x:c>
    </x:row>
    <x:row r="591">
      <x:c r="A591" s="155" t="n">
        <x:v>42959</x:v>
      </x:c>
      <x:c r="B591" s="153"/>
      <x:c r="C591" s="153"/>
      <x:c r="D591" s="153"/>
      <x:c r="E591" s="153"/>
      <x:c r="F591" s="153"/>
      <x:c r="G591" s="153" t="n">
        <x:v>1.16</x:v>
      </x:c>
    </x:row>
    <x:row r="592">
      <x:c r="A592" s="155" t="n">
        <x:v>42960</x:v>
      </x:c>
      <x:c r="B592" s="153"/>
      <x:c r="C592" s="153"/>
      <x:c r="D592" s="153"/>
      <x:c r="E592" s="153"/>
      <x:c r="F592" s="153"/>
      <x:c r="G592" s="153" t="n">
        <x:v>1.16</x:v>
      </x:c>
    </x:row>
    <x:row r="593">
      <x:c r="A593" s="155" t="n">
        <x:v>42961</x:v>
      </x:c>
      <x:c r="B593" s="153" t="n">
        <x:v>2.22</x:v>
      </x:c>
      <x:c r="C593" s="153" t="n">
        <x:v>0.45</x:v>
      </x:c>
      <x:c r="D593" s="153" t="n">
        <x:v>1.77</x:v>
      </x:c>
      <x:c r="E593" s="153" t="n">
        <x:v>110.095</x:v>
      </x:c>
      <x:c r="F593" s="153" t="n">
        <x:v>12.33</x:v>
      </x:c>
      <x:c r="G593" s="153" t="n">
        <x:v>1.16</x:v>
      </x:c>
    </x:row>
    <x:row r="594">
      <x:c r="A594" s="155" t="n">
        <x:v>42962</x:v>
      </x:c>
      <x:c r="B594" s="153" t="n">
        <x:v>2.27</x:v>
      </x:c>
      <x:c r="C594" s="153" t="n">
        <x:v>0.49</x:v>
      </x:c>
      <x:c r="D594" s="153" t="n">
        <x:v>1.78</x:v>
      </x:c>
      <x:c r="E594" s="153" t="n">
        <x:v>110.4846</x:v>
      </x:c>
      <x:c r="F594" s="153" t="n">
        <x:v>12.04</x:v>
      </x:c>
      <x:c r="G594" s="153" t="n">
        <x:v>1.16</x:v>
      </x:c>
    </x:row>
    <x:row r="595">
      <x:c r="A595" s="155" t="n">
        <x:v>42963</x:v>
      </x:c>
      <x:c r="B595" s="153" t="n">
        <x:v>2.23</x:v>
      </x:c>
      <x:c r="C595" s="153" t="n">
        <x:v>0.45</x:v>
      </x:c>
      <x:c r="D595" s="153" t="n">
        <x:v>1.78</x:v>
      </x:c>
      <x:c r="E595" s="153" t="n">
        <x:v>110.4394</x:v>
      </x:c>
      <x:c r="F595" s="153" t="n">
        <x:v>11.74</x:v>
      </x:c>
      <x:c r="G595" s="153" t="n">
        <x:v>1.16</x:v>
      </x:c>
    </x:row>
    <x:row r="596">
      <x:c r="A596" s="155" t="n">
        <x:v>42964</x:v>
      </x:c>
      <x:c r="B596" s="153" t="n">
        <x:v>2.19</x:v>
      </x:c>
      <x:c r="C596" s="153" t="n">
        <x:v>0.42</x:v>
      </x:c>
      <x:c r="D596" s="153" t="n">
        <x:v>1.77</x:v>
      </x:c>
      <x:c r="E596" s="153" t="n">
        <x:v>110.1673</x:v>
      </x:c>
      <x:c r="F596" s="153" t="n">
        <x:v>15.55</x:v>
      </x:c>
      <x:c r="G596" s="153" t="n">
        <x:v>1.16</x:v>
      </x:c>
    </x:row>
    <x:row r="597">
      <x:c r="A597" s="155" t="n">
        <x:v>42965</x:v>
      </x:c>
      <x:c r="B597" s="153" t="n">
        <x:v>2.19</x:v>
      </x:c>
      <x:c r="C597" s="153" t="n">
        <x:v>0.43</x:v>
      </x:c>
      <x:c r="D597" s="153" t="n">
        <x:v>1.76</x:v>
      </x:c>
      <x:c r="E597" s="153" t="n">
        <x:v>110.041</x:v>
      </x:c>
      <x:c r="F597" s="153" t="n">
        <x:v>14.26</x:v>
      </x:c>
      <x:c r="G597" s="153" t="n">
        <x:v>1.16</x:v>
      </x:c>
    </x:row>
    <x:row r="598">
      <x:c r="A598" s="155" t="n">
        <x:v>42966</x:v>
      </x:c>
      <x:c r="B598" s="153"/>
      <x:c r="C598" s="153"/>
      <x:c r="D598" s="153"/>
      <x:c r="E598" s="153"/>
      <x:c r="F598" s="153"/>
      <x:c r="G598" s="153" t="n">
        <x:v>1.16</x:v>
      </x:c>
    </x:row>
    <x:row r="599">
      <x:c r="A599" s="155" t="n">
        <x:v>42967</x:v>
      </x:c>
      <x:c r="B599" s="153"/>
      <x:c r="C599" s="153"/>
      <x:c r="D599" s="153"/>
      <x:c r="E599" s="153"/>
      <x:c r="F599" s="153"/>
      <x:c r="G599" s="153" t="n">
        <x:v>1.16</x:v>
      </x:c>
    </x:row>
    <x:row r="600">
      <x:c r="A600" s="155" t="n">
        <x:v>42968</x:v>
      </x:c>
      <x:c r="B600" s="153" t="n">
        <x:v>2.18</x:v>
      </x:c>
      <x:c r="C600" s="153" t="n">
        <x:v>0.43</x:v>
      </x:c>
      <x:c r="D600" s="153" t="n">
        <x:v>1.75</x:v>
      </x:c>
      <x:c r="E600" s="153" t="n">
        <x:v>109.7349</x:v>
      </x:c>
      <x:c r="F600" s="153" t="n">
        <x:v>13.19</x:v>
      </x:c>
      <x:c r="G600" s="153" t="n">
        <x:v>1.16</x:v>
      </x:c>
    </x:row>
    <x:row r="601">
      <x:c r="A601" s="155" t="n">
        <x:v>42969</x:v>
      </x:c>
      <x:c r="B601" s="153" t="n">
        <x:v>2.22</x:v>
      </x:c>
      <x:c r="C601" s="153" t="n">
        <x:v>0.45</x:v>
      </x:c>
      <x:c r="D601" s="153" t="n">
        <x:v>1.77</x:v>
      </x:c>
      <x:c r="E601" s="153" t="n">
        <x:v>109.8386</x:v>
      </x:c>
      <x:c r="F601" s="153" t="n">
        <x:v>11.35</x:v>
      </x:c>
      <x:c r="G601" s="153" t="n">
        <x:v>1.16</x:v>
      </x:c>
    </x:row>
    <x:row r="602">
      <x:c r="A602" s="155" t="n">
        <x:v>42970</x:v>
      </x:c>
      <x:c r="B602" s="153" t="n">
        <x:v>2.17</x:v>
      </x:c>
      <x:c r="C602" s="153" t="n">
        <x:v>0.42</x:v>
      </x:c>
      <x:c r="D602" s="153" t="n">
        <x:v>1.75</x:v>
      </x:c>
      <x:c r="E602" s="153" t="n">
        <x:v>109.8095</x:v>
      </x:c>
      <x:c r="F602" s="153" t="n">
        <x:v>12.25</x:v>
      </x:c>
      <x:c r="G602" s="153" t="n">
        <x:v>1.16</x:v>
      </x:c>
    </x:row>
    <x:row r="603">
      <x:c r="A603" s="155" t="n">
        <x:v>42971</x:v>
      </x:c>
      <x:c r="B603" s="153" t="n">
        <x:v>2.19</x:v>
      </x:c>
      <x:c r="C603" s="153" t="n">
        <x:v>0.44</x:v>
      </x:c>
      <x:c r="D603" s="153" t="n">
        <x:v>1.75</x:v>
      </x:c>
      <x:c r="E603" s="153" t="n">
        <x:v>109.7524</x:v>
      </x:c>
      <x:c r="F603" s="153" t="n">
        <x:v>12.23</x:v>
      </x:c>
      <x:c r="G603" s="153" t="n">
        <x:v>1.16</x:v>
      </x:c>
    </x:row>
    <x:row r="604">
      <x:c r="A604" s="155" t="n">
        <x:v>42972</x:v>
      </x:c>
      <x:c r="B604" s="153" t="n">
        <x:v>2.17</x:v>
      </x:c>
      <x:c r="C604" s="153" t="n">
        <x:v>0.42</x:v>
      </x:c>
      <x:c r="D604" s="153" t="n">
        <x:v>1.75</x:v>
      </x:c>
      <x:c r="E604" s="153" t="n">
        <x:v>109.3415</x:v>
      </x:c>
      <x:c r="F604" s="153" t="n">
        <x:v>11.28</x:v>
      </x:c>
      <x:c r="G604" s="153" t="n">
        <x:v>1.16</x:v>
      </x:c>
    </x:row>
    <x:row r="605">
      <x:c r="A605" s="155" t="n">
        <x:v>42973</x:v>
      </x:c>
      <x:c r="B605" s="153"/>
      <x:c r="C605" s="153"/>
      <x:c r="D605" s="153"/>
      <x:c r="E605" s="153"/>
      <x:c r="F605" s="153"/>
      <x:c r="G605" s="153" t="n">
        <x:v>1.16</x:v>
      </x:c>
    </x:row>
    <x:row r="606">
      <x:c r="A606" s="155" t="n">
        <x:v>42974</x:v>
      </x:c>
      <x:c r="B606" s="153"/>
      <x:c r="C606" s="153"/>
      <x:c r="D606" s="153"/>
      <x:c r="E606" s="153"/>
      <x:c r="F606" s="153"/>
      <x:c r="G606" s="153" t="n">
        <x:v>1.16</x:v>
      </x:c>
    </x:row>
    <x:row r="607">
      <x:c r="A607" s="155" t="n">
        <x:v>42975</x:v>
      </x:c>
      <x:c r="B607" s="153" t="n">
        <x:v>2.16</x:v>
      </x:c>
      <x:c r="C607" s="153" t="n">
        <x:v>0.41</x:v>
      </x:c>
      <x:c r="D607" s="153" t="n">
        <x:v>1.75</x:v>
      </x:c>
      <x:c r="E607" s="153" t="n">
        <x:v>109.1815</x:v>
      </x:c>
      <x:c r="F607" s="153" t="n">
        <x:v>11.32</x:v>
      </x:c>
      <x:c r="G607" s="153" t="n">
        <x:v>1.16</x:v>
      </x:c>
    </x:row>
    <x:row r="608">
      <x:c r="A608" s="155" t="n">
        <x:v>42976</x:v>
      </x:c>
      <x:c r="B608" s="153" t="n">
        <x:v>2.13</x:v>
      </x:c>
      <x:c r="C608" s="153" t="n">
        <x:v>0.39</x:v>
      </x:c>
      <x:c r="D608" s="153" t="n">
        <x:v>1.74</x:v>
      </x:c>
      <x:c r="E608" s="153" t="n">
        <x:v>109.0946</x:v>
      </x:c>
      <x:c r="F608" s="153" t="n">
        <x:v>11.7</x:v>
      </x:c>
      <x:c r="G608" s="153" t="n">
        <x:v>1.16</x:v>
      </x:c>
    </x:row>
    <x:row r="609">
      <x:c r="A609" s="155" t="n">
        <x:v>42977</x:v>
      </x:c>
      <x:c r="B609" s="153" t="n">
        <x:v>2.15</x:v>
      </x:c>
      <x:c r="C609" s="153" t="n">
        <x:v>0.39</x:v>
      </x:c>
      <x:c r="D609" s="153" t="n">
        <x:v>1.76</x:v>
      </x:c>
      <x:c r="E609" s="153" t="n">
        <x:v>109.4052</x:v>
      </x:c>
      <x:c r="F609" s="153" t="n">
        <x:v>11.22</x:v>
      </x:c>
      <x:c r="G609" s="153" t="n">
        <x:v>1.16</x:v>
      </x:c>
    </x:row>
    <x:row r="610">
      <x:c r="A610" s="155" t="n">
        <x:v>42978</x:v>
      </x:c>
      <x:c r="B610" s="153" t="n">
        <x:v>2.12</x:v>
      </x:c>
      <x:c r="C610" s="153" t="n">
        <x:v>0.36</x:v>
      </x:c>
      <x:c r="D610" s="153" t="n">
        <x:v>1.76</x:v>
      </x:c>
      <x:c r="E610" s="153" t="n">
        <x:v>109.3686</x:v>
      </x:c>
      <x:c r="F610" s="153" t="n">
        <x:v>10.59</x:v>
      </x:c>
      <x:c r="G610" s="153" t="n">
        <x:v>1.07</x:v>
      </x:c>
    </x:row>
    <x:row r="611">
      <x:c r="A611" s="155" t="n">
        <x:v>42979</x:v>
      </x:c>
      <x:c r="B611" s="153" t="n">
        <x:v>2.16</x:v>
      </x:c>
      <x:c r="C611" s="153" t="n">
        <x:v>0.37</x:v>
      </x:c>
      <x:c r="D611" s="153" t="n">
        <x:v>1.79</x:v>
      </x:c>
      <x:c r="E611" s="153" t="n">
        <x:v>109.0504</x:v>
      </x:c>
      <x:c r="F611" s="153" t="n">
        <x:v>10.13</x:v>
      </x:c>
      <x:c r="G611" s="153" t="n">
        <x:v>1.16</x:v>
      </x:c>
    </x:row>
    <x:row r="612">
      <x:c r="A612" s="155" t="n">
        <x:v>42980</x:v>
      </x:c>
      <x:c r="B612" s="153"/>
      <x:c r="C612" s="153"/>
      <x:c r="D612" s="153"/>
      <x:c r="E612" s="153"/>
      <x:c r="F612" s="153"/>
      <x:c r="G612" s="153" t="n">
        <x:v>1.16</x:v>
      </x:c>
    </x:row>
    <x:row r="613">
      <x:c r="A613" s="155" t="n">
        <x:v>42981</x:v>
      </x:c>
      <x:c r="B613" s="153"/>
      <x:c r="C613" s="153"/>
      <x:c r="D613" s="153"/>
      <x:c r="E613" s="153"/>
      <x:c r="F613" s="153"/>
      <x:c r="G613" s="153" t="n">
        <x:v>1.16</x:v>
      </x:c>
    </x:row>
    <x:row r="614">
      <x:c r="A614" s="155" t="n">
        <x:v>42982</x:v>
      </x:c>
      <x:c r="B614" s="153"/>
      <x:c r="C614" s="153"/>
      <x:c r="D614" s="153"/>
      <x:c r="E614" s="153"/>
      <x:c r="F614" s="153"/>
      <x:c r="G614" s="153" t="n">
        <x:v>1.16</x:v>
      </x:c>
    </x:row>
    <x:row r="615">
      <x:c r="A615" s="155" t="n">
        <x:v>42983</x:v>
      </x:c>
      <x:c r="B615" s="153" t="n">
        <x:v>2.07</x:v>
      </x:c>
      <x:c r="C615" s="153" t="n">
        <x:v>0.3</x:v>
      </x:c>
      <x:c r="D615" s="153" t="n">
        <x:v>1.77</x:v>
      </x:c>
      <x:c r="E615" s="153" t="n">
        <x:v>108.8664</x:v>
      </x:c>
      <x:c r="F615" s="153" t="n">
        <x:v>12.23</x:v>
      </x:c>
      <x:c r="G615" s="153" t="n">
        <x:v>1.16</x:v>
      </x:c>
    </x:row>
    <x:row r="616">
      <x:c r="A616" s="155" t="n">
        <x:v>42984</x:v>
      </x:c>
      <x:c r="B616" s="153" t="n">
        <x:v>2.1</x:v>
      </x:c>
      <x:c r="C616" s="153" t="n">
        <x:v>0.32</x:v>
      </x:c>
      <x:c r="D616" s="153" t="n">
        <x:v>1.78</x:v>
      </x:c>
      <x:c r="E616" s="153" t="n">
        <x:v>108.4897</x:v>
      </x:c>
      <x:c r="F616" s="153" t="n">
        <x:v>11.63</x:v>
      </x:c>
      <x:c r="G616" s="153" t="n">
        <x:v>1.16</x:v>
      </x:c>
    </x:row>
    <x:row r="617">
      <x:c r="A617" s="155" t="n">
        <x:v>42985</x:v>
      </x:c>
      <x:c r="B617" s="153" t="n">
        <x:v>2.05</x:v>
      </x:c>
      <x:c r="C617" s="153" t="n">
        <x:v>0.26</x:v>
      </x:c>
      <x:c r="D617" s="153" t="n">
        <x:v>1.79</x:v>
      </x:c>
      <x:c r="E617" s="153" t="n">
        <x:v>107.9224</x:v>
      </x:c>
      <x:c r="F617" s="153" t="n">
        <x:v>11.55</x:v>
      </x:c>
      <x:c r="G617" s="153" t="n">
        <x:v>1.16</x:v>
      </x:c>
    </x:row>
    <x:row r="618">
      <x:c r="A618" s="155" t="n">
        <x:v>42986</x:v>
      </x:c>
      <x:c r="B618" s="153" t="n">
        <x:v>2.06</x:v>
      </x:c>
      <x:c r="C618" s="153" t="n">
        <x:v>0.25</x:v>
      </x:c>
      <x:c r="D618" s="153" t="n">
        <x:v>1.81</x:v>
      </x:c>
      <x:c r="E618" s="153" t="n">
        <x:v>107.808</x:v>
      </x:c>
      <x:c r="F618" s="153" t="n">
        <x:v>12.12</x:v>
      </x:c>
      <x:c r="G618" s="153" t="n">
        <x:v>1.16</x:v>
      </x:c>
    </x:row>
    <x:row r="619">
      <x:c r="A619" s="155" t="n">
        <x:v>42987</x:v>
      </x:c>
      <x:c r="B619" s="153"/>
      <x:c r="C619" s="153"/>
      <x:c r="D619" s="153"/>
      <x:c r="E619" s="153"/>
      <x:c r="F619" s="153"/>
      <x:c r="G619" s="153" t="n">
        <x:v>1.16</x:v>
      </x:c>
    </x:row>
    <x:row r="620">
      <x:c r="A620" s="155" t="n">
        <x:v>42988</x:v>
      </x:c>
      <x:c r="B620" s="153"/>
      <x:c r="C620" s="153"/>
      <x:c r="D620" s="153"/>
      <x:c r="E620" s="153"/>
      <x:c r="F620" s="153"/>
      <x:c r="G620" s="153" t="n">
        <x:v>1.16</x:v>
      </x:c>
    </x:row>
    <x:row r="621">
      <x:c r="A621" s="155" t="n">
        <x:v>42989</x:v>
      </x:c>
      <x:c r="B621" s="153" t="n">
        <x:v>2.14</x:v>
      </x:c>
      <x:c r="C621" s="153" t="n">
        <x:v>0.31</x:v>
      </x:c>
      <x:c r="D621" s="153" t="n">
        <x:v>1.83</x:v>
      </x:c>
      <x:c r="E621" s="153" t="n">
        <x:v>108.153</x:v>
      </x:c>
      <x:c r="F621" s="153" t="n">
        <x:v>10.73</x:v>
      </x:c>
      <x:c r="G621" s="153" t="n">
        <x:v>1.16</x:v>
      </x:c>
    </x:row>
    <x:row r="622">
      <x:c r="A622" s="155" t="n">
        <x:v>42990</x:v>
      </x:c>
      <x:c r="B622" s="153" t="n">
        <x:v>2.17</x:v>
      </x:c>
      <x:c r="C622" s="153" t="n">
        <x:v>0.33</x:v>
      </x:c>
      <x:c r="D622" s="153" t="n">
        <x:v>1.84</x:v>
      </x:c>
      <x:c r="E622" s="153" t="n">
        <x:v>108.3239</x:v>
      </x:c>
      <x:c r="F622" s="153" t="n">
        <x:v>10.58</x:v>
      </x:c>
      <x:c r="G622" s="153" t="n">
        <x:v>1.16</x:v>
      </x:c>
    </x:row>
    <x:row r="623">
      <x:c r="A623" s="155" t="n">
        <x:v>42991</x:v>
      </x:c>
      <x:c r="B623" s="153" t="n">
        <x:v>2.2</x:v>
      </x:c>
      <x:c r="C623" s="153" t="n">
        <x:v>0.35</x:v>
      </x:c>
      <x:c r="D623" s="153" t="n">
        <x:v>1.85</x:v>
      </x:c>
      <x:c r="E623" s="153" t="n">
        <x:v>108.6628</x:v>
      </x:c>
      <x:c r="F623" s="153" t="n">
        <x:v>10.5</x:v>
      </x:c>
      <x:c r="G623" s="153" t="n">
        <x:v>1.16</x:v>
      </x:c>
    </x:row>
    <x:row r="624">
      <x:c r="A624" s="155" t="n">
        <x:v>42992</x:v>
      </x:c>
      <x:c r="B624" s="153" t="n">
        <x:v>2.2</x:v>
      </x:c>
      <x:c r="C624" s="153" t="n">
        <x:v>0.35</x:v>
      </x:c>
      <x:c r="D624" s="153" t="n">
        <x:v>1.85</x:v>
      </x:c>
      <x:c r="E624" s="153" t="n">
        <x:v>108.618</x:v>
      </x:c>
      <x:c r="F624" s="153" t="n">
        <x:v>10.44</x:v>
      </x:c>
      <x:c r="G624" s="153" t="n">
        <x:v>1.16</x:v>
      </x:c>
    </x:row>
    <x:row r="625">
      <x:c r="A625" s="155" t="n">
        <x:v>42993</x:v>
      </x:c>
      <x:c r="B625" s="153" t="n">
        <x:v>2.2</x:v>
      </x:c>
      <x:c r="C625" s="153" t="n">
        <x:v>0.35</x:v>
      </x:c>
      <x:c r="D625" s="153" t="n">
        <x:v>1.85</x:v>
      </x:c>
      <x:c r="E625" s="153" t="n">
        <x:v>108.3147</x:v>
      </x:c>
      <x:c r="F625" s="153" t="n">
        <x:v>10.17</x:v>
      </x:c>
      <x:c r="G625" s="153" t="n">
        <x:v>1.16</x:v>
      </x:c>
    </x:row>
    <x:row r="626">
      <x:c r="A626" s="155" t="n">
        <x:v>42994</x:v>
      </x:c>
      <x:c r="B626" s="153"/>
      <x:c r="C626" s="153"/>
      <x:c r="D626" s="153"/>
      <x:c r="E626" s="153"/>
      <x:c r="F626" s="153"/>
      <x:c r="G626" s="153" t="n">
        <x:v>1.16</x:v>
      </x:c>
    </x:row>
    <x:row r="627">
      <x:c r="A627" s="155" t="n">
        <x:v>42995</x:v>
      </x:c>
      <x:c r="B627" s="153"/>
      <x:c r="C627" s="153"/>
      <x:c r="D627" s="153"/>
      <x:c r="E627" s="153"/>
      <x:c r="F627" s="153"/>
      <x:c r="G627" s="153" t="n">
        <x:v>1.16</x:v>
      </x:c>
    </x:row>
    <x:row r="628">
      <x:c r="A628" s="155" t="n">
        <x:v>42996</x:v>
      </x:c>
      <x:c r="B628" s="153" t="n">
        <x:v>2.23</x:v>
      </x:c>
      <x:c r="C628" s="153" t="n">
        <x:v>0.36</x:v>
      </x:c>
      <x:c r="D628" s="153" t="n">
        <x:v>1.87</x:v>
      </x:c>
      <x:c r="E628" s="153" t="n">
        <x:v>108.6401</x:v>
      </x:c>
      <x:c r="F628" s="153" t="n">
        <x:v>10.15</x:v>
      </x:c>
      <x:c r="G628" s="153" t="n">
        <x:v>1.16</x:v>
      </x:c>
    </x:row>
    <x:row r="629">
      <x:c r="A629" s="155" t="n">
        <x:v>42997</x:v>
      </x:c>
      <x:c r="B629" s="153" t="n">
        <x:v>2.24</x:v>
      </x:c>
      <x:c r="C629" s="153" t="n">
        <x:v>0.37</x:v>
      </x:c>
      <x:c r="D629" s="153" t="n">
        <x:v>1.87</x:v>
      </x:c>
      <x:c r="E629" s="153" t="n">
        <x:v>108.6142</x:v>
      </x:c>
      <x:c r="F629" s="153" t="n">
        <x:v>10.18</x:v>
      </x:c>
      <x:c r="G629" s="153" t="n">
        <x:v>1.16</x:v>
      </x:c>
    </x:row>
    <x:row r="630">
      <x:c r="A630" s="155" t="n">
        <x:v>42998</x:v>
      </x:c>
      <x:c r="B630" s="153" t="n">
        <x:v>2.28</x:v>
      </x:c>
      <x:c r="C630" s="153" t="n">
        <x:v>0.43</x:v>
      </x:c>
      <x:c r="D630" s="153" t="n">
        <x:v>1.85</x:v>
      </x:c>
      <x:c r="E630" s="153" t="n">
        <x:v>108.4329</x:v>
      </x:c>
      <x:c r="F630" s="153" t="n">
        <x:v>9.78</x:v>
      </x:c>
      <x:c r="G630" s="153" t="n">
        <x:v>1.16</x:v>
      </x:c>
    </x:row>
    <x:row r="631">
      <x:c r="A631" s="155" t="n">
        <x:v>42999</x:v>
      </x:c>
      <x:c r="B631" s="153" t="n">
        <x:v>2.27</x:v>
      </x:c>
      <x:c r="C631" s="153" t="n">
        <x:v>0.44</x:v>
      </x:c>
      <x:c r="D631" s="153" t="n">
        <x:v>1.83</x:v>
      </x:c>
      <x:c r="E631" s="153" t="n">
        <x:v>108.9267</x:v>
      </x:c>
      <x:c r="F631" s="153" t="n">
        <x:v>9.67</x:v>
      </x:c>
      <x:c r="G631" s="153" t="n">
        <x:v>1.16</x:v>
      </x:c>
    </x:row>
    <x:row r="632">
      <x:c r="A632" s="155" t="n">
        <x:v>43000</x:v>
      </x:c>
      <x:c r="B632" s="153" t="n">
        <x:v>2.26</x:v>
      </x:c>
      <x:c r="C632" s="153" t="n">
        <x:v>0.42</x:v>
      </x:c>
      <x:c r="D632" s="153" t="n">
        <x:v>1.84</x:v>
      </x:c>
      <x:c r="E632" s="153" t="n">
        <x:v>108.7542</x:v>
      </x:c>
      <x:c r="F632" s="153" t="n">
        <x:v>9.59</x:v>
      </x:c>
      <x:c r="G632" s="153" t="n">
        <x:v>1.16</x:v>
      </x:c>
    </x:row>
    <x:row r="633">
      <x:c r="A633" s="155" t="n">
        <x:v>43001</x:v>
      </x:c>
      <x:c r="B633" s="153"/>
      <x:c r="C633" s="153"/>
      <x:c r="D633" s="153"/>
      <x:c r="E633" s="153"/>
      <x:c r="F633" s="153"/>
      <x:c r="G633" s="153" t="n">
        <x:v>1.16</x:v>
      </x:c>
    </x:row>
    <x:row r="634">
      <x:c r="A634" s="155" t="n">
        <x:v>43002</x:v>
      </x:c>
      <x:c r="B634" s="153"/>
      <x:c r="C634" s="153"/>
      <x:c r="D634" s="153"/>
      <x:c r="E634" s="153"/>
      <x:c r="F634" s="153"/>
      <x:c r="G634" s="153" t="n">
        <x:v>1.16</x:v>
      </x:c>
    </x:row>
    <x:row r="635">
      <x:c r="A635" s="155" t="n">
        <x:v>43003</x:v>
      </x:c>
      <x:c r="B635" s="153" t="n">
        <x:v>2.22</x:v>
      </x:c>
      <x:c r="C635" s="153" t="n">
        <x:v>0.38</x:v>
      </x:c>
      <x:c r="D635" s="153" t="n">
        <x:v>1.84</x:v>
      </x:c>
      <x:c r="E635" s="153" t="n">
        <x:v>109.3302</x:v>
      </x:c>
      <x:c r="F635" s="153" t="n">
        <x:v>10.21</x:v>
      </x:c>
      <x:c r="G635" s="153" t="n">
        <x:v>1.16</x:v>
      </x:c>
    </x:row>
    <x:row r="636">
      <x:c r="A636" s="155" t="n">
        <x:v>43004</x:v>
      </x:c>
      <x:c r="B636" s="153" t="n">
        <x:v>2.24</x:v>
      </x:c>
      <x:c r="C636" s="153" t="n">
        <x:v>0.4</x:v>
      </x:c>
      <x:c r="D636" s="153" t="n">
        <x:v>1.84</x:v>
      </x:c>
      <x:c r="E636" s="153" t="n">
        <x:v>109.7769</x:v>
      </x:c>
      <x:c r="F636" s="153" t="n">
        <x:v>10.17</x:v>
      </x:c>
      <x:c r="G636" s="153" t="n">
        <x:v>1.16</x:v>
      </x:c>
    </x:row>
    <x:row r="637">
      <x:c r="A637" s="155" t="n">
        <x:v>43005</x:v>
      </x:c>
      <x:c r="B637" s="153" t="n">
        <x:v>2.31</x:v>
      </x:c>
      <x:c r="C637" s="153" t="n">
        <x:v>0.44</x:v>
      </x:c>
      <x:c r="D637" s="153" t="n">
        <x:v>1.87</x:v>
      </x:c>
      <x:c r="E637" s="153" t="n">
        <x:v>110.0722</x:v>
      </x:c>
      <x:c r="F637" s="153" t="n">
        <x:v>9.87</x:v>
      </x:c>
      <x:c r="G637" s="153" t="n">
        <x:v>1.16</x:v>
      </x:c>
    </x:row>
    <x:row r="638">
      <x:c r="A638" s="155" t="n">
        <x:v>43006</x:v>
      </x:c>
      <x:c r="B638" s="153" t="n">
        <x:v>2.31</x:v>
      </x:c>
      <x:c r="C638" s="153" t="n">
        <x:v>0.44</x:v>
      </x:c>
      <x:c r="D638" s="153" t="n">
        <x:v>1.87</x:v>
      </x:c>
      <x:c r="E638" s="153" t="n">
        <x:v>110.2415</x:v>
      </x:c>
      <x:c r="F638" s="153" t="n">
        <x:v>9.55</x:v>
      </x:c>
      <x:c r="G638" s="153" t="n">
        <x:v>1.16</x:v>
      </x:c>
    </x:row>
    <x:row r="639">
      <x:c r="A639" s="155" t="n">
        <x:v>43007</x:v>
      </x:c>
      <x:c r="B639" s="153" t="n">
        <x:v>2.33</x:v>
      </x:c>
      <x:c r="C639" s="153" t="n">
        <x:v>0.49</x:v>
      </x:c>
      <x:c r="D639" s="153" t="n">
        <x:v>1.84</x:v>
      </x:c>
      <x:c r="E639" s="153" t="n">
        <x:v>110.0867</x:v>
      </x:c>
      <x:c r="F639" s="153" t="n">
        <x:v>9.51</x:v>
      </x:c>
      <x:c r="G639" s="153" t="n">
        <x:v>1.06</x:v>
      </x:c>
    </x:row>
    <x:row r="640">
      <x:c r="A640" s="155" t="n">
        <x:v>43008</x:v>
      </x:c>
      <x:c r="B640" s="153"/>
      <x:c r="C640" s="153"/>
      <x:c r="D640" s="153"/>
      <x:c r="E640" s="153"/>
      <x:c r="F640" s="153"/>
      <x:c r="G640" s="153" t="n">
        <x:v>1.06</x:v>
      </x:c>
    </x:row>
    <x:row r="641">
      <x:c r="A641" s="155" t="n">
        <x:v>43009</x:v>
      </x:c>
      <x:c r="B641" s="153"/>
      <x:c r="C641" s="153"/>
      <x:c r="D641" s="153"/>
      <x:c r="E641" s="153"/>
      <x:c r="F641" s="153"/>
      <x:c r="G641" s="153" t="n">
        <x:v>1.06</x:v>
      </x:c>
    </x:row>
    <x:row r="642">
      <x:c r="A642" s="155" t="n">
        <x:v>43010</x:v>
      </x:c>
      <x:c r="B642" s="153" t="n">
        <x:v>2.34</x:v>
      </x:c>
      <x:c r="C642" s="153" t="n">
        <x:v>0.51</x:v>
      </x:c>
      <x:c r="D642" s="153" t="n">
        <x:v>1.83</x:v>
      </x:c>
      <x:c r="E642" s="153" t="n">
        <x:v>110.3686</x:v>
      </x:c>
      <x:c r="F642" s="153" t="n">
        <x:v>9.45</x:v>
      </x:c>
      <x:c r="G642" s="153" t="n">
        <x:v>1.16</x:v>
      </x:c>
    </x:row>
    <x:row r="643">
      <x:c r="A643" s="155" t="n">
        <x:v>43011</x:v>
      </x:c>
      <x:c r="B643" s="153" t="n">
        <x:v>2.33</x:v>
      </x:c>
      <x:c r="C643" s="153" t="n">
        <x:v>0.49</x:v>
      </x:c>
      <x:c r="D643" s="153" t="n">
        <x:v>1.84</x:v>
      </x:c>
      <x:c r="E643" s="153" t="n">
        <x:v>110.3281</x:v>
      </x:c>
      <x:c r="F643" s="153" t="n">
        <x:v>9.51</x:v>
      </x:c>
      <x:c r="G643" s="153" t="n">
        <x:v>1.16</x:v>
      </x:c>
    </x:row>
    <x:row r="644">
      <x:c r="A644" s="155" t="n">
        <x:v>43012</x:v>
      </x:c>
      <x:c r="B644" s="153" t="n">
        <x:v>2.33</x:v>
      </x:c>
      <x:c r="C644" s="153" t="n">
        <x:v>0.48</x:v>
      </x:c>
      <x:c r="D644" s="153" t="n">
        <x:v>1.85</x:v>
      </x:c>
      <x:c r="E644" s="153" t="n">
        <x:v>110.2425</x:v>
      </x:c>
      <x:c r="F644" s="153" t="n">
        <x:v>9.63</x:v>
      </x:c>
      <x:c r="G644" s="153" t="n">
        <x:v>1.16</x:v>
      </x:c>
    </x:row>
    <x:row r="645">
      <x:c r="A645" s="155" t="n">
        <x:v>43013</x:v>
      </x:c>
      <x:c r="B645" s="153" t="n">
        <x:v>2.35</x:v>
      </x:c>
      <x:c r="C645" s="153" t="n">
        <x:v>0.49</x:v>
      </x:c>
      <x:c r="D645" s="153" t="n">
        <x:v>1.86</x:v>
      </x:c>
      <x:c r="E645" s="153" t="n">
        <x:v>110.5823</x:v>
      </x:c>
      <x:c r="F645" s="153" t="n">
        <x:v>9.19</x:v>
      </x:c>
      <x:c r="G645" s="153" t="n">
        <x:v>1.16</x:v>
      </x:c>
    </x:row>
    <x:row r="646">
      <x:c r="A646" s="155" t="n">
        <x:v>43014</x:v>
      </x:c>
      <x:c r="B646" s="153" t="n">
        <x:v>2.37</x:v>
      </x:c>
      <x:c r="C646" s="153" t="n">
        <x:v>0.5</x:v>
      </x:c>
      <x:c r="D646" s="153" t="n">
        <x:v>1.87</x:v>
      </x:c>
      <x:c r="E646" s="153" t="n">
        <x:v>110.7841</x:v>
      </x:c>
      <x:c r="F646" s="153" t="n">
        <x:v>9.65</x:v>
      </x:c>
      <x:c r="G646" s="153" t="n">
        <x:v>1.16</x:v>
      </x:c>
    </x:row>
    <x:row r="647">
      <x:c r="A647" s="155" t="n">
        <x:v>43015</x:v>
      </x:c>
      <x:c r="B647" s="153"/>
      <x:c r="C647" s="153"/>
      <x:c r="D647" s="153"/>
      <x:c r="E647" s="153"/>
      <x:c r="F647" s="153"/>
      <x:c r="G647" s="153" t="n">
        <x:v>1.16</x:v>
      </x:c>
    </x:row>
    <x:row r="648">
      <x:c r="A648" s="155" t="n">
        <x:v>43016</x:v>
      </x:c>
      <x:c r="B648" s="153"/>
      <x:c r="C648" s="153"/>
      <x:c r="D648" s="153"/>
      <x:c r="E648" s="153"/>
      <x:c r="F648" s="153"/>
      <x:c r="G648" s="153" t="n">
        <x:v>1.16</x:v>
      </x:c>
    </x:row>
    <x:row r="649">
      <x:c r="A649" s="155" t="n">
        <x:v>43017</x:v>
      </x:c>
      <x:c r="B649" s="153"/>
      <x:c r="C649" s="153"/>
      <x:c r="D649" s="153"/>
      <x:c r="E649" s="153"/>
      <x:c r="F649" s="153" t="n">
        <x:v>10.33</x:v>
      </x:c>
      <x:c r="G649" s="153" t="n">
        <x:v>1.16</x:v>
      </x:c>
    </x:row>
    <x:row r="650">
      <x:c r="A650" s="155" t="n">
        <x:v>43018</x:v>
      </x:c>
      <x:c r="B650" s="153" t="n">
        <x:v>2.35</x:v>
      </x:c>
      <x:c r="C650" s="153" t="n">
        <x:v>0.47</x:v>
      </x:c>
      <x:c r="D650" s="153" t="n">
        <x:v>1.88</x:v>
      </x:c>
      <x:c r="E650" s="153" t="n">
        <x:v>110.3034</x:v>
      </x:c>
      <x:c r="F650" s="153" t="n">
        <x:v>10.08</x:v>
      </x:c>
      <x:c r="G650" s="153" t="n">
        <x:v>1.16</x:v>
      </x:c>
    </x:row>
    <x:row r="651">
      <x:c r="A651" s="155" t="n">
        <x:v>43019</x:v>
      </x:c>
      <x:c r="B651" s="153" t="n">
        <x:v>2.35</x:v>
      </x:c>
      <x:c r="C651" s="153" t="n">
        <x:v>0.46</x:v>
      </x:c>
      <x:c r="D651" s="153" t="n">
        <x:v>1.89</x:v>
      </x:c>
      <x:c r="E651" s="153" t="n">
        <x:v>110.3037</x:v>
      </x:c>
      <x:c r="F651" s="153" t="n">
        <x:v>9.85</x:v>
      </x:c>
      <x:c r="G651" s="153" t="n">
        <x:v>1.16</x:v>
      </x:c>
    </x:row>
    <x:row r="652">
      <x:c r="A652" s="155" t="n">
        <x:v>43020</x:v>
      </x:c>
      <x:c r="B652" s="153" t="n">
        <x:v>2.33</x:v>
      </x:c>
      <x:c r="C652" s="153" t="n">
        <x:v>0.44</x:v>
      </x:c>
      <x:c r="D652" s="153" t="n">
        <x:v>1.89</x:v>
      </x:c>
      <x:c r="E652" s="153" t="n">
        <x:v>110.3152</x:v>
      </x:c>
      <x:c r="F652" s="153" t="n">
        <x:v>9.91</x:v>
      </x:c>
      <x:c r="G652" s="153" t="n">
        <x:v>1.16</x:v>
      </x:c>
    </x:row>
    <x:row r="653">
      <x:c r="A653" s="155" t="n">
        <x:v>43021</x:v>
      </x:c>
      <x:c r="B653" s="153" t="n">
        <x:v>2.28</x:v>
      </x:c>
      <x:c r="C653" s="153" t="n">
        <x:v>0.43</x:v>
      </x:c>
      <x:c r="D653" s="153" t="n">
        <x:v>1.85</x:v>
      </x:c>
      <x:c r="E653" s="153" t="n">
        <x:v>110.2669</x:v>
      </x:c>
      <x:c r="F653" s="153" t="n">
        <x:v>9.61</x:v>
      </x:c>
      <x:c r="G653" s="153" t="n">
        <x:v>1.16</x:v>
      </x:c>
    </x:row>
    <x:row r="654">
      <x:c r="A654" s="155" t="n">
        <x:v>43022</x:v>
      </x:c>
      <x:c r="B654" s="153"/>
      <x:c r="C654" s="153"/>
      <x:c r="D654" s="153"/>
      <x:c r="E654" s="153"/>
      <x:c r="F654" s="153"/>
      <x:c r="G654" s="153" t="n">
        <x:v>1.16</x:v>
      </x:c>
    </x:row>
    <x:row r="655">
      <x:c r="A655" s="155" t="n">
        <x:v>43023</x:v>
      </x:c>
      <x:c r="B655" s="153"/>
      <x:c r="C655" s="153"/>
      <x:c r="D655" s="153"/>
      <x:c r="E655" s="153"/>
      <x:c r="F655" s="153"/>
      <x:c r="G655" s="153" t="n">
        <x:v>1.16</x:v>
      </x:c>
    </x:row>
    <x:row r="656">
      <x:c r="A656" s="155" t="n">
        <x:v>43024</x:v>
      </x:c>
      <x:c r="B656" s="153" t="n">
        <x:v>2.3</x:v>
      </x:c>
      <x:c r="C656" s="153" t="n">
        <x:v>0.46</x:v>
      </x:c>
      <x:c r="D656" s="153" t="n">
        <x:v>1.84</x:v>
      </x:c>
      <x:c r="E656" s="153" t="n">
        <x:v>110.5432</x:v>
      </x:c>
      <x:c r="F656" s="153" t="n">
        <x:v>9.91</x:v>
      </x:c>
      <x:c r="G656" s="153" t="n">
        <x:v>1.16</x:v>
      </x:c>
    </x:row>
    <x:row r="657">
      <x:c r="A657" s="155" t="n">
        <x:v>43025</x:v>
      </x:c>
      <x:c r="B657" s="153" t="n">
        <x:v>2.3</x:v>
      </x:c>
      <x:c r="C657" s="153" t="n">
        <x:v>0.48</x:v>
      </x:c>
      <x:c r="D657" s="153" t="n">
        <x:v>1.82</x:v>
      </x:c>
      <x:c r="E657" s="153" t="n">
        <x:v>110.9141</x:v>
      </x:c>
      <x:c r="F657" s="153" t="n">
        <x:v>10.31</x:v>
      </x:c>
      <x:c r="G657" s="153" t="n">
        <x:v>1.16</x:v>
      </x:c>
    </x:row>
    <x:row r="658">
      <x:c r="A658" s="155" t="n">
        <x:v>43026</x:v>
      </x:c>
      <x:c r="B658" s="153" t="n">
        <x:v>2.34</x:v>
      </x:c>
      <x:c r="C658" s="153" t="n">
        <x:v>0.5</x:v>
      </x:c>
      <x:c r="D658" s="153" t="n">
        <x:v>1.84</x:v>
      </x:c>
      <x:c r="E658" s="153" t="n">
        <x:v>110.7214</x:v>
      </x:c>
      <x:c r="F658" s="153" t="n">
        <x:v>10.07</x:v>
      </x:c>
      <x:c r="G658" s="153" t="n">
        <x:v>1.16</x:v>
      </x:c>
    </x:row>
    <x:row r="659">
      <x:c r="A659" s="155" t="n">
        <x:v>43027</x:v>
      </x:c>
      <x:c r="B659" s="153" t="n">
        <x:v>2.33</x:v>
      </x:c>
      <x:c r="C659" s="153" t="n">
        <x:v>0.49</x:v>
      </x:c>
      <x:c r="D659" s="153" t="n">
        <x:v>1.84</x:v>
      </x:c>
      <x:c r="E659" s="153" t="n">
        <x:v>110.4577</x:v>
      </x:c>
      <x:c r="F659" s="153" t="n">
        <x:v>10.05</x:v>
      </x:c>
      <x:c r="G659" s="153" t="n">
        <x:v>1.16</x:v>
      </x:c>
    </x:row>
    <x:row r="660">
      <x:c r="A660" s="155" t="n">
        <x:v>43028</x:v>
      </x:c>
      <x:c r="B660" s="153" t="n">
        <x:v>2.39</x:v>
      </x:c>
      <x:c r="C660" s="153" t="n">
        <x:v>0.52</x:v>
      </x:c>
      <x:c r="D660" s="153" t="n">
        <x:v>1.87</x:v>
      </x:c>
      <x:c r="E660" s="153" t="n">
        <x:v>111.0375</x:v>
      </x:c>
      <x:c r="F660" s="153" t="n">
        <x:v>9.97</x:v>
      </x:c>
      <x:c r="G660" s="153" t="n">
        <x:v>1.16</x:v>
      </x:c>
    </x:row>
    <x:row r="661">
      <x:c r="A661" s="155" t="n">
        <x:v>43029</x:v>
      </x:c>
      <x:c r="B661" s="153"/>
      <x:c r="C661" s="153"/>
      <x:c r="D661" s="153"/>
      <x:c r="E661" s="153"/>
      <x:c r="F661" s="153"/>
      <x:c r="G661" s="153" t="n">
        <x:v>1.16</x:v>
      </x:c>
    </x:row>
    <x:row r="662">
      <x:c r="A662" s="155" t="n">
        <x:v>43030</x:v>
      </x:c>
      <x:c r="B662" s="153"/>
      <x:c r="C662" s="153"/>
      <x:c r="D662" s="153"/>
      <x:c r="E662" s="153"/>
      <x:c r="F662" s="153"/>
      <x:c r="G662" s="153" t="n">
        <x:v>1.16</x:v>
      </x:c>
    </x:row>
    <x:row r="663">
      <x:c r="A663" s="155" t="n">
        <x:v>43031</x:v>
      </x:c>
      <x:c r="B663" s="153" t="n">
        <x:v>2.38</x:v>
      </x:c>
      <x:c r="C663" s="153" t="n">
        <x:v>0.52</x:v>
      </x:c>
      <x:c r="D663" s="153" t="n">
        <x:v>1.86</x:v>
      </x:c>
      <x:c r="E663" s="153" t="n">
        <x:v>111.2134</x:v>
      </x:c>
      <x:c r="F663" s="153" t="n">
        <x:v>11.07</x:v>
      </x:c>
      <x:c r="G663" s="153" t="n">
        <x:v>1.16</x:v>
      </x:c>
    </x:row>
    <x:row r="664">
      <x:c r="A664" s="155" t="n">
        <x:v>43032</x:v>
      </x:c>
      <x:c r="B664" s="153" t="n">
        <x:v>2.42</x:v>
      </x:c>
      <x:c r="C664" s="153" t="n">
        <x:v>0.55</x:v>
      </x:c>
      <x:c r="D664" s="153" t="n">
        <x:v>1.87</x:v>
      </x:c>
      <x:c r="E664" s="153" t="n">
        <x:v>111.4027</x:v>
      </x:c>
      <x:c r="F664" s="153" t="n">
        <x:v>11.16</x:v>
      </x:c>
      <x:c r="G664" s="153" t="n">
        <x:v>1.16</x:v>
      </x:c>
    </x:row>
    <x:row r="665">
      <x:c r="A665" s="155" t="n">
        <x:v>43033</x:v>
      </x:c>
      <x:c r="B665" s="153" t="n">
        <x:v>2.44</x:v>
      </x:c>
      <x:c r="C665" s="153" t="n">
        <x:v>0.56</x:v>
      </x:c>
      <x:c r="D665" s="153" t="n">
        <x:v>1.88</x:v>
      </x:c>
      <x:c r="E665" s="153" t="n">
        <x:v>111.3904</x:v>
      </x:c>
      <x:c r="F665" s="153" t="n">
        <x:v>11.23</x:v>
      </x:c>
      <x:c r="G665" s="153" t="n">
        <x:v>1.16</x:v>
      </x:c>
    </x:row>
    <x:row r="666">
      <x:c r="A666" s="155" t="n">
        <x:v>43034</x:v>
      </x:c>
      <x:c r="B666" s="153" t="n">
        <x:v>2.46</x:v>
      </x:c>
      <x:c r="C666" s="153" t="n">
        <x:v>0.57</x:v>
      </x:c>
      <x:c r="D666" s="153" t="n">
        <x:v>1.89</x:v>
      </x:c>
      <x:c r="E666" s="153" t="n">
        <x:v>111.6418</x:v>
      </x:c>
      <x:c r="F666" s="153" t="n">
        <x:v>11.3</x:v>
      </x:c>
      <x:c r="G666" s="153" t="n">
        <x:v>1.16</x:v>
      </x:c>
    </x:row>
    <x:row r="667">
      <x:c r="A667" s="155" t="n">
        <x:v>43035</x:v>
      </x:c>
      <x:c r="B667" s="153" t="n">
        <x:v>2.42</x:v>
      </x:c>
      <x:c r="C667" s="153" t="n">
        <x:v>0.54</x:v>
      </x:c>
      <x:c r="D667" s="153" t="n">
        <x:v>1.88</x:v>
      </x:c>
      <x:c r="E667" s="153" t="n">
        <x:v>112.1495</x:v>
      </x:c>
      <x:c r="F667" s="153" t="n">
        <x:v>9.8</x:v>
      </x:c>
      <x:c r="G667" s="153" t="n">
        <x:v>1.16</x:v>
      </x:c>
    </x:row>
    <x:row r="668">
      <x:c r="A668" s="155" t="n">
        <x:v>43036</x:v>
      </x:c>
      <x:c r="B668" s="153"/>
      <x:c r="C668" s="153"/>
      <x:c r="D668" s="153"/>
      <x:c r="E668" s="153"/>
      <x:c r="F668" s="153"/>
      <x:c r="G668" s="153" t="n">
        <x:v>1.16</x:v>
      </x:c>
    </x:row>
    <x:row r="669">
      <x:c r="A669" s="155" t="n">
        <x:v>43037</x:v>
      </x:c>
      <x:c r="B669" s="153"/>
      <x:c r="C669" s="153"/>
      <x:c r="D669" s="153"/>
      <x:c r="E669" s="153"/>
      <x:c r="F669" s="153"/>
      <x:c r="G669" s="153" t="n">
        <x:v>1.16</x:v>
      </x:c>
    </x:row>
    <x:row r="670">
      <x:c r="A670" s="155" t="n">
        <x:v>43038</x:v>
      </x:c>
      <x:c r="B670" s="153" t="n">
        <x:v>2.37</x:v>
      </x:c>
      <x:c r="C670" s="153" t="n">
        <x:v>0.5</x:v>
      </x:c>
      <x:c r="D670" s="153" t="n">
        <x:v>1.87</x:v>
      </x:c>
      <x:c r="E670" s="153" t="n">
        <x:v>111.901</x:v>
      </x:c>
      <x:c r="F670" s="153" t="n">
        <x:v>10.5</x:v>
      </x:c>
      <x:c r="G670" s="153" t="n">
        <x:v>1.16</x:v>
      </x:c>
    </x:row>
    <x:row r="671">
      <x:c r="A671" s="155" t="n">
        <x:v>43039</x:v>
      </x:c>
      <x:c r="B671" s="153" t="n">
        <x:v>2.38</x:v>
      </x:c>
      <x:c r="C671" s="153" t="n">
        <x:v>0.5</x:v>
      </x:c>
      <x:c r="D671" s="153" t="n">
        <x:v>1.88</x:v>
      </x:c>
      <x:c r="E671" s="153" t="n">
        <x:v>111.8052</x:v>
      </x:c>
      <x:c r="F671" s="153" t="n">
        <x:v>10.18</x:v>
      </x:c>
      <x:c r="G671" s="153" t="n">
        <x:v>1.07</x:v>
      </x:c>
    </x:row>
    <x:row r="672">
      <x:c r="A672" s="155" t="n">
        <x:v>43040</x:v>
      </x:c>
      <x:c r="B672" s="153" t="n">
        <x:v>2.37</x:v>
      </x:c>
      <x:c r="C672" s="153" t="n">
        <x:v>0.49</x:v>
      </x:c>
      <x:c r="D672" s="153" t="n">
        <x:v>1.88</x:v>
      </x:c>
      <x:c r="E672" s="153" t="n">
        <x:v>111.7942</x:v>
      </x:c>
      <x:c r="F672" s="153" t="n">
        <x:v>10.2</x:v>
      </x:c>
      <x:c r="G672" s="153" t="n">
        <x:v>1.16</x:v>
      </x:c>
    </x:row>
    <x:row r="673">
      <x:c r="A673" s="155" t="n">
        <x:v>43041</x:v>
      </x:c>
      <x:c r="B673" s="153" t="n">
        <x:v>2.35</x:v>
      </x:c>
      <x:c r="C673" s="153" t="n">
        <x:v>0.48</x:v>
      </x:c>
      <x:c r="D673" s="153" t="n">
        <x:v>1.87</x:v>
      </x:c>
      <x:c r="E673" s="153" t="n">
        <x:v>111.5474</x:v>
      </x:c>
      <x:c r="F673" s="153" t="n">
        <x:v>9.93</x:v>
      </x:c>
      <x:c r="G673" s="153" t="n">
        <x:v>1.16</x:v>
      </x:c>
    </x:row>
    <x:row r="674">
      <x:c r="A674" s="155" t="n">
        <x:v>43042</x:v>
      </x:c>
      <x:c r="B674" s="153" t="n">
        <x:v>2.34</x:v>
      </x:c>
      <x:c r="C674" s="153" t="n">
        <x:v>0.48</x:v>
      </x:c>
      <x:c r="D674" s="153" t="n">
        <x:v>1.86</x:v>
      </x:c>
      <x:c r="E674" s="153" t="n">
        <x:v>111.9383</x:v>
      </x:c>
      <x:c r="F674" s="153" t="n">
        <x:v>9.14</x:v>
      </x:c>
      <x:c r="G674" s="153" t="n">
        <x:v>1.16</x:v>
      </x:c>
    </x:row>
    <x:row r="675">
      <x:c r="A675" s="155" t="n">
        <x:v>43043</x:v>
      </x:c>
      <x:c r="B675" s="153"/>
      <x:c r="C675" s="153"/>
      <x:c r="D675" s="153"/>
      <x:c r="E675" s="153"/>
      <x:c r="F675" s="153"/>
      <x:c r="G675" s="153" t="n">
        <x:v>1.16</x:v>
      </x:c>
    </x:row>
    <x:row r="676">
      <x:c r="A676" s="155" t="n">
        <x:v>43044</x:v>
      </x:c>
      <x:c r="B676" s="153"/>
      <x:c r="C676" s="153"/>
      <x:c r="D676" s="153"/>
      <x:c r="E676" s="153"/>
      <x:c r="F676" s="153"/>
      <x:c r="G676" s="153" t="n">
        <x:v>1.16</x:v>
      </x:c>
    </x:row>
    <x:row r="677">
      <x:c r="A677" s="155" t="n">
        <x:v>43045</x:v>
      </x:c>
      <x:c r="B677" s="153" t="n">
        <x:v>2.32</x:v>
      </x:c>
      <x:c r="C677" s="153" t="n">
        <x:v>0.46</x:v>
      </x:c>
      <x:c r="D677" s="153" t="n">
        <x:v>1.86</x:v>
      </x:c>
      <x:c r="E677" s="153" t="n">
        <x:v>111.7197</x:v>
      </x:c>
      <x:c r="F677" s="153" t="n">
        <x:v>9.4</x:v>
      </x:c>
      <x:c r="G677" s="153" t="n">
        <x:v>1.16</x:v>
      </x:c>
    </x:row>
    <x:row r="678">
      <x:c r="A678" s="155" t="n">
        <x:v>43046</x:v>
      </x:c>
      <x:c r="B678" s="153" t="n">
        <x:v>2.32</x:v>
      </x:c>
      <x:c r="C678" s="153" t="n">
        <x:v>0.44</x:v>
      </x:c>
      <x:c r="D678" s="153" t="n">
        <x:v>1.88</x:v>
      </x:c>
      <x:c r="E678" s="153" t="n">
        <x:v>111.9446</x:v>
      </x:c>
      <x:c r="F678" s="153" t="n">
        <x:v>9.89</x:v>
      </x:c>
      <x:c r="G678" s="153" t="n">
        <x:v>1.16</x:v>
      </x:c>
    </x:row>
    <x:row r="679">
      <x:c r="A679" s="155" t="n">
        <x:v>43047</x:v>
      </x:c>
      <x:c r="B679" s="153" t="n">
        <x:v>2.32</x:v>
      </x:c>
      <x:c r="C679" s="153" t="n">
        <x:v>0.45</x:v>
      </x:c>
      <x:c r="D679" s="153" t="n">
        <x:v>1.87</x:v>
      </x:c>
      <x:c r="E679" s="153" t="n">
        <x:v>111.6935</x:v>
      </x:c>
      <x:c r="F679" s="153" t="n">
        <x:v>9.78</x:v>
      </x:c>
      <x:c r="G679" s="153" t="n">
        <x:v>1.16</x:v>
      </x:c>
    </x:row>
    <x:row r="680">
      <x:c r="A680" s="155" t="n">
        <x:v>43048</x:v>
      </x:c>
      <x:c r="B680" s="153" t="n">
        <x:v>2.33</x:v>
      </x:c>
      <x:c r="C680" s="153" t="n">
        <x:v>0.46</x:v>
      </x:c>
      <x:c r="D680" s="153" t="n">
        <x:v>1.87</x:v>
      </x:c>
      <x:c r="E680" s="153" t="n">
        <x:v>111.5626</x:v>
      </x:c>
      <x:c r="F680" s="153" t="n">
        <x:v>10.5</x:v>
      </x:c>
      <x:c r="G680" s="153" t="n">
        <x:v>1.16</x:v>
      </x:c>
    </x:row>
    <x:row r="681">
      <x:c r="A681" s="155" t="n">
        <x:v>43049</x:v>
      </x:c>
      <x:c r="B681" s="153" t="n">
        <x:v>2.4</x:v>
      </x:c>
      <x:c r="C681" s="153" t="n">
        <x:v>0.52</x:v>
      </x:c>
      <x:c r="D681" s="153" t="n">
        <x:v>1.88</x:v>
      </x:c>
      <x:c r="E681" s="153"/>
      <x:c r="F681" s="153" t="n">
        <x:v>11.29</x:v>
      </x:c>
      <x:c r="G681" s="153" t="n">
        <x:v>1.16</x:v>
      </x:c>
    </x:row>
    <x:row r="682">
      <x:c r="A682" s="155" t="n">
        <x:v>43050</x:v>
      </x:c>
      <x:c r="B682" s="153"/>
      <x:c r="C682" s="153"/>
      <x:c r="D682" s="153"/>
      <x:c r="E682" s="153"/>
      <x:c r="F682" s="153"/>
      <x:c r="G682" s="153" t="n">
        <x:v>1.16</x:v>
      </x:c>
    </x:row>
    <x:row r="683">
      <x:c r="A683" s="155" t="n">
        <x:v>43051</x:v>
      </x:c>
      <x:c r="B683" s="153"/>
      <x:c r="C683" s="153"/>
      <x:c r="D683" s="153"/>
      <x:c r="E683" s="153"/>
      <x:c r="F683" s="153"/>
      <x:c r="G683" s="153" t="n">
        <x:v>1.16</x:v>
      </x:c>
    </x:row>
    <x:row r="684">
      <x:c r="A684" s="155" t="n">
        <x:v>43052</x:v>
      </x:c>
      <x:c r="B684" s="153" t="n">
        <x:v>2.4</x:v>
      </x:c>
      <x:c r="C684" s="153" t="n">
        <x:v>0.52</x:v>
      </x:c>
      <x:c r="D684" s="153" t="n">
        <x:v>1.88</x:v>
      </x:c>
      <x:c r="E684" s="153" t="n">
        <x:v>111.7833</x:v>
      </x:c>
      <x:c r="F684" s="153" t="n">
        <x:v>11.5</x:v>
      </x:c>
      <x:c r="G684" s="153" t="n">
        <x:v>1.16</x:v>
      </x:c>
    </x:row>
    <x:row r="685">
      <x:c r="A685" s="155" t="n">
        <x:v>43053</x:v>
      </x:c>
      <x:c r="B685" s="153" t="n">
        <x:v>2.38</x:v>
      </x:c>
      <x:c r="C685" s="153" t="n">
        <x:v>0.51</x:v>
      </x:c>
      <x:c r="D685" s="153" t="n">
        <x:v>1.87</x:v>
      </x:c>
      <x:c r="E685" s="153" t="n">
        <x:v>111.5097</x:v>
      </x:c>
      <x:c r="F685" s="153" t="n">
        <x:v>11.59</x:v>
      </x:c>
      <x:c r="G685" s="153" t="n">
        <x:v>1.16</x:v>
      </x:c>
    </x:row>
    <x:row r="686">
      <x:c r="A686" s="155" t="n">
        <x:v>43054</x:v>
      </x:c>
      <x:c r="B686" s="153" t="n">
        <x:v>2.33</x:v>
      </x:c>
      <x:c r="C686" s="153" t="n">
        <x:v>0.48</x:v>
      </x:c>
      <x:c r="D686" s="153" t="n">
        <x:v>1.85</x:v>
      </x:c>
      <x:c r="E686" s="153" t="n">
        <x:v>111.4809</x:v>
      </x:c>
      <x:c r="F686" s="153" t="n">
        <x:v>13.13</x:v>
      </x:c>
      <x:c r="G686" s="153" t="n">
        <x:v>1.16</x:v>
      </x:c>
    </x:row>
    <x:row r="687">
      <x:c r="A687" s="155" t="n">
        <x:v>43055</x:v>
      </x:c>
      <x:c r="B687" s="153" t="n">
        <x:v>2.37</x:v>
      </x:c>
      <x:c r="C687" s="153" t="n">
        <x:v>0.53</x:v>
      </x:c>
      <x:c r="D687" s="153" t="n">
        <x:v>1.84</x:v>
      </x:c>
      <x:c r="E687" s="153" t="n">
        <x:v>111.2568</x:v>
      </x:c>
      <x:c r="F687" s="153" t="n">
        <x:v>11.76</x:v>
      </x:c>
      <x:c r="G687" s="153" t="n">
        <x:v>1.16</x:v>
      </x:c>
    </x:row>
    <x:row r="688">
      <x:c r="A688" s="155" t="n">
        <x:v>43056</x:v>
      </x:c>
      <x:c r="B688" s="153" t="n">
        <x:v>2.35</x:v>
      </x:c>
      <x:c r="C688" s="153" t="n">
        <x:v>0.49</x:v>
      </x:c>
      <x:c r="D688" s="153" t="n">
        <x:v>1.86</x:v>
      </x:c>
      <x:c r="E688" s="153" t="n">
        <x:v>111.0016</x:v>
      </x:c>
      <x:c r="F688" s="153" t="n">
        <x:v>11.43</x:v>
      </x:c>
      <x:c r="G688" s="153" t="n">
        <x:v>1.16</x:v>
      </x:c>
    </x:row>
    <x:row r="689">
      <x:c r="A689" s="155" t="n">
        <x:v>43057</x:v>
      </x:c>
      <x:c r="B689" s="153"/>
      <x:c r="C689" s="153"/>
      <x:c r="D689" s="153"/>
      <x:c r="E689" s="153"/>
      <x:c r="F689" s="153"/>
      <x:c r="G689" s="153" t="n">
        <x:v>1.16</x:v>
      </x:c>
    </x:row>
    <x:row r="690">
      <x:c r="A690" s="155" t="n">
        <x:v>43058</x:v>
      </x:c>
      <x:c r="B690" s="153"/>
      <x:c r="C690" s="153"/>
      <x:c r="D690" s="153"/>
      <x:c r="E690" s="153"/>
      <x:c r="F690" s="153"/>
      <x:c r="G690" s="153" t="n">
        <x:v>1.16</x:v>
      </x:c>
    </x:row>
    <x:row r="691">
      <x:c r="A691" s="155" t="n">
        <x:v>43059</x:v>
      </x:c>
      <x:c r="B691" s="153" t="n">
        <x:v>2.37</x:v>
      </x:c>
      <x:c r="C691" s="153" t="n">
        <x:v>0.52</x:v>
      </x:c>
      <x:c r="D691" s="153" t="n">
        <x:v>1.85</x:v>
      </x:c>
      <x:c r="E691" s="153" t="n">
        <x:v>111.2599</x:v>
      </x:c>
      <x:c r="F691" s="153" t="n">
        <x:v>10.65</x:v>
      </x:c>
      <x:c r="G691" s="153" t="n">
        <x:v>1.16</x:v>
      </x:c>
    </x:row>
    <x:row r="692">
      <x:c r="A692" s="155" t="n">
        <x:v>43060</x:v>
      </x:c>
      <x:c r="B692" s="153" t="n">
        <x:v>2.36</x:v>
      </x:c>
      <x:c r="C692" s="153" t="n">
        <x:v>0.52</x:v>
      </x:c>
      <x:c r="D692" s="153" t="n">
        <x:v>1.84</x:v>
      </x:c>
      <x:c r="E692" s="153" t="n">
        <x:v>110.9828</x:v>
      </x:c>
      <x:c r="F692" s="153" t="n">
        <x:v>9.73</x:v>
      </x:c>
      <x:c r="G692" s="153" t="n">
        <x:v>1.16</x:v>
      </x:c>
    </x:row>
    <x:row r="693">
      <x:c r="A693" s="155" t="n">
        <x:v>43061</x:v>
      </x:c>
      <x:c r="B693" s="153" t="n">
        <x:v>2.32</x:v>
      </x:c>
      <x:c r="C693" s="153" t="n">
        <x:v>0.48</x:v>
      </x:c>
      <x:c r="D693" s="153" t="n">
        <x:v>1.84</x:v>
      </x:c>
      <x:c r="E693" s="153" t="n">
        <x:v>110.5632</x:v>
      </x:c>
      <x:c r="F693" s="153" t="n">
        <x:v>9.88</x:v>
      </x:c>
      <x:c r="G693" s="153" t="n">
        <x:v>1.16</x:v>
      </x:c>
    </x:row>
    <x:row r="694">
      <x:c r="A694" s="155" t="n">
        <x:v>43062</x:v>
      </x:c>
      <x:c r="B694" s="153"/>
      <x:c r="C694" s="153"/>
      <x:c r="D694" s="153"/>
      <x:c r="E694" s="153"/>
      <x:c r="F694" s="153"/>
      <x:c r="G694" s="153" t="n">
        <x:v>1.16</x:v>
      </x:c>
    </x:row>
    <x:row r="695">
      <x:c r="A695" s="155" t="n">
        <x:v>43063</x:v>
      </x:c>
      <x:c r="B695" s="153" t="n">
        <x:v>2.34</x:v>
      </x:c>
      <x:c r="C695" s="153" t="n">
        <x:v>0.5</x:v>
      </x:c>
      <x:c r="D695" s="153" t="n">
        <x:v>1.84</x:v>
      </x:c>
      <x:c r="E695" s="153" t="n">
        <x:v>110.0253</x:v>
      </x:c>
      <x:c r="F695" s="153" t="n">
        <x:v>9.67</x:v>
      </x:c>
      <x:c r="G695" s="153" t="n">
        <x:v>1.16</x:v>
      </x:c>
    </x:row>
    <x:row r="696">
      <x:c r="A696" s="155" t="n">
        <x:v>43064</x:v>
      </x:c>
      <x:c r="B696" s="153"/>
      <x:c r="C696" s="153"/>
      <x:c r="D696" s="153"/>
      <x:c r="E696" s="153"/>
      <x:c r="F696" s="153"/>
      <x:c r="G696" s="153" t="n">
        <x:v>1.16</x:v>
      </x:c>
    </x:row>
    <x:row r="697">
      <x:c r="A697" s="155" t="n">
        <x:v>43065</x:v>
      </x:c>
      <x:c r="B697" s="153"/>
      <x:c r="C697" s="153"/>
      <x:c r="D697" s="153"/>
      <x:c r="E697" s="153"/>
      <x:c r="F697" s="153"/>
      <x:c r="G697" s="153" t="n">
        <x:v>1.16</x:v>
      </x:c>
    </x:row>
    <x:row r="698">
      <x:c r="A698" s="155" t="n">
        <x:v>43066</x:v>
      </x:c>
      <x:c r="B698" s="153" t="n">
        <x:v>2.32</x:v>
      </x:c>
      <x:c r="C698" s="153" t="n">
        <x:v>0.49</x:v>
      </x:c>
      <x:c r="D698" s="153" t="n">
        <x:v>1.83</x:v>
      </x:c>
      <x:c r="E698" s="153" t="n">
        <x:v>110.1136</x:v>
      </x:c>
      <x:c r="F698" s="153" t="n">
        <x:v>9.87</x:v>
      </x:c>
      <x:c r="G698" s="153" t="n">
        <x:v>1.16</x:v>
      </x:c>
    </x:row>
    <x:row r="699">
      <x:c r="A699" s="155" t="n">
        <x:v>43067</x:v>
      </x:c>
      <x:c r="B699" s="153" t="n">
        <x:v>2.34</x:v>
      </x:c>
      <x:c r="C699" s="153" t="n">
        <x:v>0.5</x:v>
      </x:c>
      <x:c r="D699" s="153" t="n">
        <x:v>1.84</x:v>
      </x:c>
      <x:c r="E699" s="153" t="n">
        <x:v>110.3018</x:v>
      </x:c>
      <x:c r="F699" s="153" t="n">
        <x:v>10.03</x:v>
      </x:c>
      <x:c r="G699" s="153" t="n">
        <x:v>1.16</x:v>
      </x:c>
    </x:row>
    <x:row r="700">
      <x:c r="A700" s="155" t="n">
        <x:v>43068</x:v>
      </x:c>
      <x:c r="B700" s="153" t="n">
        <x:v>2.37</x:v>
      </x:c>
      <x:c r="C700" s="153" t="n">
        <x:v>0.53</x:v>
      </x:c>
      <x:c r="D700" s="153" t="n">
        <x:v>1.84</x:v>
      </x:c>
      <x:c r="E700" s="153" t="n">
        <x:v>110.3265</x:v>
      </x:c>
      <x:c r="F700" s="153" t="n">
        <x:v>10.7</x:v>
      </x:c>
      <x:c r="G700" s="153" t="n">
        <x:v>1.16</x:v>
      </x:c>
    </x:row>
    <x:row r="701">
      <x:c r="A701" s="155" t="n">
        <x:v>43069</x:v>
      </x:c>
      <x:c r="B701" s="153" t="n">
        <x:v>2.42</x:v>
      </x:c>
      <x:c r="C701" s="153" t="n">
        <x:v>0.56</x:v>
      </x:c>
      <x:c r="D701" s="153" t="n">
        <x:v>1.86</x:v>
      </x:c>
      <x:c r="E701" s="153" t="n">
        <x:v>110.4648</x:v>
      </x:c>
      <x:c r="F701" s="153" t="n">
        <x:v>11.28</x:v>
      </x:c>
      <x:c r="G701" s="153" t="n">
        <x:v>1.07</x:v>
      </x:c>
    </x:row>
    <x:row r="702">
      <x:c r="A702" s="155" t="n">
        <x:v>43070</x:v>
      </x:c>
      <x:c r="B702" s="153" t="n">
        <x:v>2.37</x:v>
      </x:c>
      <x:c r="C702" s="153" t="n">
        <x:v>0.51</x:v>
      </x:c>
      <x:c r="D702" s="153" t="n">
        <x:v>1.86</x:v>
      </x:c>
      <x:c r="E702" s="153" t="n">
        <x:v>110.1413</x:v>
      </x:c>
      <x:c r="F702" s="153" t="n">
        <x:v>11.43</x:v>
      </x:c>
      <x:c r="G702" s="153" t="n">
        <x:v>1.16</x:v>
      </x:c>
    </x:row>
    <x:row r="703">
      <x:c r="A703" s="155" t="n">
        <x:v>43071</x:v>
      </x:c>
      <x:c r="B703" s="153"/>
      <x:c r="C703" s="153"/>
      <x:c r="D703" s="153"/>
      <x:c r="E703" s="153"/>
      <x:c r="F703" s="153"/>
      <x:c r="G703" s="153" t="n">
        <x:v>1.16</x:v>
      </x:c>
    </x:row>
    <x:row r="704">
      <x:c r="A704" s="155" t="n">
        <x:v>43072</x:v>
      </x:c>
      <x:c r="B704" s="153"/>
      <x:c r="C704" s="153"/>
      <x:c r="D704" s="153"/>
      <x:c r="E704" s="153"/>
      <x:c r="F704" s="153"/>
      <x:c r="G704" s="153" t="n">
        <x:v>1.16</x:v>
      </x:c>
    </x:row>
    <x:row r="705">
      <x:c r="A705" s="155" t="n">
        <x:v>43073</x:v>
      </x:c>
      <x:c r="B705" s="153" t="n">
        <x:v>2.37</x:v>
      </x:c>
      <x:c r="C705" s="153" t="n">
        <x:v>0.5</x:v>
      </x:c>
      <x:c r="D705" s="153" t="n">
        <x:v>1.87</x:v>
      </x:c>
      <x:c r="E705" s="153" t="n">
        <x:v>110.397</x:v>
      </x:c>
      <x:c r="F705" s="153" t="n">
        <x:v>11.68</x:v>
      </x:c>
      <x:c r="G705" s="153" t="n">
        <x:v>1.16</x:v>
      </x:c>
    </x:row>
    <x:row r="706">
      <x:c r="A706" s="155" t="n">
        <x:v>43074</x:v>
      </x:c>
      <x:c r="B706" s="153" t="n">
        <x:v>2.36</x:v>
      </x:c>
      <x:c r="C706" s="153" t="n">
        <x:v>0.5</x:v>
      </x:c>
      <x:c r="D706" s="153" t="n">
        <x:v>1.86</x:v>
      </x:c>
      <x:c r="E706" s="153" t="n">
        <x:v>110.4905</x:v>
      </x:c>
      <x:c r="F706" s="153" t="n">
        <x:v>11.33</x:v>
      </x:c>
      <x:c r="G706" s="153" t="n">
        <x:v>1.16</x:v>
      </x:c>
    </x:row>
    <x:row r="707">
      <x:c r="A707" s="155" t="n">
        <x:v>43075</x:v>
      </x:c>
      <x:c r="B707" s="153" t="n">
        <x:v>2.33</x:v>
      </x:c>
      <x:c r="C707" s="153" t="n">
        <x:v>0.47</x:v>
      </x:c>
      <x:c r="D707" s="153" t="n">
        <x:v>1.86</x:v>
      </x:c>
      <x:c r="E707" s="153" t="n">
        <x:v>110.8711</x:v>
      </x:c>
      <x:c r="F707" s="153" t="n">
        <x:v>11.02</x:v>
      </x:c>
      <x:c r="G707" s="153" t="n">
        <x:v>1.16</x:v>
      </x:c>
    </x:row>
    <x:row r="708">
      <x:c r="A708" s="155" t="n">
        <x:v>43076</x:v>
      </x:c>
      <x:c r="B708" s="153" t="n">
        <x:v>2.37</x:v>
      </x:c>
      <x:c r="C708" s="153" t="n">
        <x:v>0.5</x:v>
      </x:c>
      <x:c r="D708" s="153" t="n">
        <x:v>1.87</x:v>
      </x:c>
      <x:c r="E708" s="153" t="n">
        <x:v>111.0178</x:v>
      </x:c>
      <x:c r="F708" s="153" t="n">
        <x:v>10.16</x:v>
      </x:c>
      <x:c r="G708" s="153" t="n">
        <x:v>1.16</x:v>
      </x:c>
    </x:row>
    <x:row r="709">
      <x:c r="A709" s="155" t="n">
        <x:v>43077</x:v>
      </x:c>
      <x:c r="B709" s="153" t="n">
        <x:v>2.38</x:v>
      </x:c>
      <x:c r="C709" s="153" t="n">
        <x:v>0.5</x:v>
      </x:c>
      <x:c r="D709" s="153" t="n">
        <x:v>1.88</x:v>
      </x:c>
      <x:c r="E709" s="153" t="n">
        <x:v>111.2273</x:v>
      </x:c>
      <x:c r="F709" s="153" t="n">
        <x:v>9.58</x:v>
      </x:c>
      <x:c r="G709" s="153" t="n">
        <x:v>1.16</x:v>
      </x:c>
    </x:row>
    <x:row r="710">
      <x:c r="A710" s="155" t="n">
        <x:v>43078</x:v>
      </x:c>
      <x:c r="B710" s="153"/>
      <x:c r="C710" s="153"/>
      <x:c r="D710" s="153"/>
      <x:c r="E710" s="153"/>
      <x:c r="F710" s="153"/>
      <x:c r="G710" s="153" t="n">
        <x:v>1.16</x:v>
      </x:c>
    </x:row>
    <x:row r="711">
      <x:c r="A711" s="155" t="n">
        <x:v>43079</x:v>
      </x:c>
      <x:c r="B711" s="153"/>
      <x:c r="C711" s="153"/>
      <x:c r="D711" s="153"/>
      <x:c r="E711" s="153"/>
      <x:c r="F711" s="153"/>
      <x:c r="G711" s="153" t="n">
        <x:v>1.16</x:v>
      </x:c>
    </x:row>
    <x:row r="712">
      <x:c r="A712" s="155" t="n">
        <x:v>43080</x:v>
      </x:c>
      <x:c r="B712" s="153" t="n">
        <x:v>2.39</x:v>
      </x:c>
      <x:c r="C712" s="153" t="n">
        <x:v>0.51</x:v>
      </x:c>
      <x:c r="D712" s="153" t="n">
        <x:v>1.88</x:v>
      </x:c>
      <x:c r="E712" s="153" t="n">
        <x:v>111.0827</x:v>
      </x:c>
      <x:c r="F712" s="153" t="n">
        <x:v>9.34</x:v>
      </x:c>
      <x:c r="G712" s="153" t="n">
        <x:v>1.16</x:v>
      </x:c>
    </x:row>
    <x:row r="713">
      <x:c r="A713" s="155" t="n">
        <x:v>43081</x:v>
      </x:c>
      <x:c r="B713" s="153" t="n">
        <x:v>2.4</x:v>
      </x:c>
      <x:c r="C713" s="153" t="n">
        <x:v>0.51</x:v>
      </x:c>
      <x:c r="D713" s="153" t="n">
        <x:v>1.89</x:v>
      </x:c>
      <x:c r="E713" s="153" t="n">
        <x:v>111.5214</x:v>
      </x:c>
      <x:c r="F713" s="153" t="n">
        <x:v>9.92</x:v>
      </x:c>
      <x:c r="G713" s="153" t="n">
        <x:v>1.17</x:v>
      </x:c>
    </x:row>
    <x:row r="714">
      <x:c r="A714" s="155" t="n">
        <x:v>43082</x:v>
      </x:c>
      <x:c r="B714" s="153" t="n">
        <x:v>2.36</x:v>
      </x:c>
      <x:c r="C714" s="153" t="n">
        <x:v>0.48</x:v>
      </x:c>
      <x:c r="D714" s="153" t="n">
        <x:v>1.88</x:v>
      </x:c>
      <x:c r="E714" s="153" t="n">
        <x:v>111.2759</x:v>
      </x:c>
      <x:c r="F714" s="153" t="n">
        <x:v>10.18</x:v>
      </x:c>
      <x:c r="G714" s="153" t="n">
        <x:v>1.17</x:v>
      </x:c>
    </x:row>
    <x:row r="715">
      <x:c r="A715" s="155" t="n">
        <x:v>43083</x:v>
      </x:c>
      <x:c r="B715" s="153" t="n">
        <x:v>2.35</x:v>
      </x:c>
      <x:c r="C715" s="153" t="n">
        <x:v>0.48</x:v>
      </x:c>
      <x:c r="D715" s="153" t="n">
        <x:v>1.87</x:v>
      </x:c>
      <x:c r="E715" s="153" t="n">
        <x:v>111.0893</x:v>
      </x:c>
      <x:c r="F715" s="153" t="n">
        <x:v>10.49</x:v>
      </x:c>
      <x:c r="G715" s="153" t="n">
        <x:v>1.41</x:v>
      </x:c>
    </x:row>
    <x:row r="716">
      <x:c r="A716" s="155" t="n">
        <x:v>43084</x:v>
      </x:c>
      <x:c r="B716" s="153" t="n">
        <x:v>2.35</x:v>
      </x:c>
      <x:c r="C716" s="153" t="n">
        <x:v>0.47</x:v>
      </x:c>
      <x:c r="D716" s="153" t="n">
        <x:v>1.88</x:v>
      </x:c>
      <x:c r="E716" s="153" t="n">
        <x:v>111.1286</x:v>
      </x:c>
      <x:c r="F716" s="153" t="n">
        <x:v>9.42</x:v>
      </x:c>
      <x:c r="G716" s="153" t="n">
        <x:v>1.41</x:v>
      </x:c>
    </x:row>
    <x:row r="717">
      <x:c r="A717" s="155" t="n">
        <x:v>43085</x:v>
      </x:c>
      <x:c r="B717" s="153"/>
      <x:c r="C717" s="153"/>
      <x:c r="D717" s="153"/>
      <x:c r="E717" s="153"/>
      <x:c r="F717" s="153"/>
      <x:c r="G717" s="153" t="n">
        <x:v>1.41</x:v>
      </x:c>
    </x:row>
    <x:row r="718">
      <x:c r="A718" s="155" t="n">
        <x:v>43086</x:v>
      </x:c>
      <x:c r="B718" s="153"/>
      <x:c r="C718" s="153"/>
      <x:c r="D718" s="153"/>
      <x:c r="E718" s="153"/>
      <x:c r="F718" s="153"/>
      <x:c r="G718" s="153" t="n">
        <x:v>1.41</x:v>
      </x:c>
    </x:row>
    <x:row r="719">
      <x:c r="A719" s="155" t="n">
        <x:v>43087</x:v>
      </x:c>
      <x:c r="B719" s="153" t="n">
        <x:v>2.39</x:v>
      </x:c>
      <x:c r="C719" s="153" t="n">
        <x:v>0.5</x:v>
      </x:c>
      <x:c r="D719" s="153" t="n">
        <x:v>1.89</x:v>
      </x:c>
      <x:c r="E719" s="153" t="n">
        <x:v>110.9086</x:v>
      </x:c>
      <x:c r="F719" s="153" t="n">
        <x:v>9.53</x:v>
      </x:c>
      <x:c r="G719" s="153" t="n">
        <x:v>1.42</x:v>
      </x:c>
    </x:row>
    <x:row r="720">
      <x:c r="A720" s="155" t="n">
        <x:v>43088</x:v>
      </x:c>
      <x:c r="B720" s="153" t="n">
        <x:v>2.46</x:v>
      </x:c>
      <x:c r="C720" s="153" t="n">
        <x:v>0.55</x:v>
      </x:c>
      <x:c r="D720" s="153" t="n">
        <x:v>1.91</x:v>
      </x:c>
      <x:c r="E720" s="153" t="n">
        <x:v>111.1255</x:v>
      </x:c>
      <x:c r="F720" s="153" t="n">
        <x:v>10.03</x:v>
      </x:c>
      <x:c r="G720" s="153" t="n">
        <x:v>1.42</x:v>
      </x:c>
    </x:row>
    <x:row r="721">
      <x:c r="A721" s="155" t="n">
        <x:v>43089</x:v>
      </x:c>
      <x:c r="B721" s="153" t="n">
        <x:v>2.49</x:v>
      </x:c>
      <x:c r="C721" s="153" t="n">
        <x:v>0.57</x:v>
      </x:c>
      <x:c r="D721" s="153" t="n">
        <x:v>1.92</x:v>
      </x:c>
      <x:c r="E721" s="153" t="n">
        <x:v>110.8361</x:v>
      </x:c>
      <x:c r="F721" s="153" t="n">
        <x:v>9.72</x:v>
      </x:c>
      <x:c r="G721" s="153" t="n">
        <x:v>1.42</x:v>
      </x:c>
    </x:row>
    <x:row r="722">
      <x:c r="A722" s="155" t="n">
        <x:v>43090</x:v>
      </x:c>
      <x:c r="B722" s="153" t="n">
        <x:v>2.48</x:v>
      </x:c>
      <x:c r="C722" s="153" t="n">
        <x:v>0.55</x:v>
      </x:c>
      <x:c r="D722" s="153" t="n">
        <x:v>1.93</x:v>
      </x:c>
      <x:c r="E722" s="153" t="n">
        <x:v>110.8786</x:v>
      </x:c>
      <x:c r="F722" s="153" t="n">
        <x:v>9.62</x:v>
      </x:c>
      <x:c r="G722" s="153" t="n">
        <x:v>1.42</x:v>
      </x:c>
    </x:row>
    <x:row r="723">
      <x:c r="A723" s="155" t="n">
        <x:v>43091</x:v>
      </x:c>
      <x:c r="B723" s="153" t="n">
        <x:v>2.48</x:v>
      </x:c>
      <x:c r="C723" s="153" t="n">
        <x:v>0.54</x:v>
      </x:c>
      <x:c r="D723" s="153" t="n">
        <x:v>1.94</x:v>
      </x:c>
      <x:c r="E723" s="153" t="n">
        <x:v>111.0997</x:v>
      </x:c>
      <x:c r="F723" s="153" t="n">
        <x:v>9.9</x:v>
      </x:c>
      <x:c r="G723" s="153" t="n">
        <x:v>1.42</x:v>
      </x:c>
    </x:row>
    <x:row r="724">
      <x:c r="A724" s="155" t="n">
        <x:v>43092</x:v>
      </x:c>
      <x:c r="B724" s="153"/>
      <x:c r="C724" s="153"/>
      <x:c r="D724" s="153"/>
      <x:c r="E724" s="153"/>
      <x:c r="F724" s="153"/>
      <x:c r="G724" s="153" t="n">
        <x:v>1.42</x:v>
      </x:c>
    </x:row>
    <x:row r="725">
      <x:c r="A725" s="155" t="n">
        <x:v>43093</x:v>
      </x:c>
      <x:c r="B725" s="153"/>
      <x:c r="C725" s="153"/>
      <x:c r="D725" s="153"/>
      <x:c r="E725" s="153"/>
      <x:c r="F725" s="153"/>
      <x:c r="G725" s="153" t="n">
        <x:v>1.42</x:v>
      </x:c>
    </x:row>
    <x:row r="726">
      <x:c r="A726" s="155" t="n">
        <x:v>43094</x:v>
      </x:c>
      <x:c r="B726" s="153"/>
      <x:c r="C726" s="153"/>
      <x:c r="D726" s="153"/>
      <x:c r="E726" s="153"/>
      <x:c r="F726" s="153"/>
      <x:c r="G726" s="153" t="n">
        <x:v>1.42</x:v>
      </x:c>
    </x:row>
    <x:row r="727">
      <x:c r="A727" s="155" t="n">
        <x:v>43095</x:v>
      </x:c>
      <x:c r="B727" s="153" t="n">
        <x:v>2.47</x:v>
      </x:c>
      <x:c r="C727" s="153" t="n">
        <x:v>0.53</x:v>
      </x:c>
      <x:c r="D727" s="153" t="n">
        <x:v>1.94</x:v>
      </x:c>
      <x:c r="E727" s="153" t="n">
        <x:v>110.9758</x:v>
      </x:c>
      <x:c r="F727" s="153" t="n">
        <x:v>10.25</x:v>
      </x:c>
      <x:c r="G727" s="153" t="n">
        <x:v>1.42</x:v>
      </x:c>
    </x:row>
    <x:row r="728">
      <x:c r="A728" s="155" t="n">
        <x:v>43096</x:v>
      </x:c>
      <x:c r="B728" s="153" t="n">
        <x:v>2.42</x:v>
      </x:c>
      <x:c r="C728" s="153" t="n">
        <x:v>0.48</x:v>
      </x:c>
      <x:c r="D728" s="153" t="n">
        <x:v>1.94</x:v>
      </x:c>
      <x:c r="E728" s="153" t="n">
        <x:v>110.8553</x:v>
      </x:c>
      <x:c r="F728" s="153" t="n">
        <x:v>10.47</x:v>
      </x:c>
      <x:c r="G728" s="153" t="n">
        <x:v>1.42</x:v>
      </x:c>
    </x:row>
    <x:row r="729">
      <x:c r="A729" s="155" t="n">
        <x:v>43097</x:v>
      </x:c>
      <x:c r="B729" s="153" t="n">
        <x:v>2.43</x:v>
      </x:c>
      <x:c r="C729" s="153" t="n">
        <x:v>0.47</x:v>
      </x:c>
      <x:c r="D729" s="153" t="n">
        <x:v>1.96</x:v>
      </x:c>
      <x:c r="E729" s="153" t="n">
        <x:v>110.5154</x:v>
      </x:c>
      <x:c r="F729" s="153" t="n">
        <x:v>10.18</x:v>
      </x:c>
      <x:c r="G729" s="153" t="n">
        <x:v>1.42</x:v>
      </x:c>
    </x:row>
    <x:row r="730">
      <x:c r="A730" s="155" t="n">
        <x:v>43098</x:v>
      </x:c>
      <x:c r="B730" s="153" t="n">
        <x:v>2.4</x:v>
      </x:c>
      <x:c r="C730" s="153" t="n">
        <x:v>0.44</x:v>
      </x:c>
      <x:c r="D730" s="153" t="n">
        <x:v>1.96</x:v>
      </x:c>
      <x:c r="E730" s="153" t="n">
        <x:v>110.0783</x:v>
      </x:c>
      <x:c r="F730" s="153" t="n">
        <x:v>11.04</x:v>
      </x:c>
      <x:c r="G730" s="153" t="n">
        <x:v>1.33</x:v>
      </x:c>
    </x:row>
    <x:row r="731">
      <x:c r="A731" s="155" t="n">
        <x:v>43099</x:v>
      </x:c>
      <x:c r="B731" s="153"/>
      <x:c r="C731" s="153"/>
      <x:c r="D731" s="153"/>
      <x:c r="E731" s="153"/>
      <x:c r="F731" s="153"/>
      <x:c r="G731" s="153" t="n">
        <x:v>1.33</x:v>
      </x:c>
    </x:row>
    <x:row r="732">
      <x:c r="A732" s="155" t="n">
        <x:v>43100</x:v>
      </x:c>
      <x:c r="B732" s="153"/>
      <x:c r="C732" s="153"/>
      <x:c r="D732" s="153"/>
      <x:c r="E732" s="153"/>
      <x:c r="F732" s="153"/>
      <x:c r="G732" s="153" t="n">
        <x:v>1.33</x:v>
      </x:c>
    </x:row>
    <x:row r="733">
      <x:c r="A733" s="155" t="n">
        <x:v>43101</x:v>
      </x:c>
      <x:c r="B733" s="153"/>
      <x:c r="C733" s="153"/>
      <x:c r="D733" s="153"/>
      <x:c r="E733" s="153"/>
      <x:c r="F733" s="153"/>
      <x:c r="G733" s="153" t="n">
        <x:v>1.33</x:v>
      </x:c>
    </x:row>
    <x:row r="734">
      <x:c r="A734" s="155" t="n">
        <x:v>43102</x:v>
      </x:c>
      <x:c r="B734" s="153" t="n">
        <x:v>2.46</x:v>
      </x:c>
      <x:c r="C734" s="153" t="n">
        <x:v>0.46</x:v>
      </x:c>
      <x:c r="D734" s="153" t="n">
        <x:v>2</x:v>
      </x:c>
      <x:c r="E734" s="153" t="n">
        <x:v>109.6445</x:v>
      </x:c>
      <x:c r="F734" s="153" t="n">
        <x:v>9.77</x:v>
      </x:c>
      <x:c r="G734" s="153" t="n">
        <x:v>1.42</x:v>
      </x:c>
    </x:row>
    <x:row r="735">
      <x:c r="A735" s="155" t="n">
        <x:v>43103</x:v>
      </x:c>
      <x:c r="B735" s="153" t="n">
        <x:v>2.44</x:v>
      </x:c>
      <x:c r="C735" s="153" t="n">
        <x:v>0.46</x:v>
      </x:c>
      <x:c r="D735" s="153" t="n">
        <x:v>1.98</x:v>
      </x:c>
      <x:c r="E735" s="153" t="n">
        <x:v>109.6751</x:v>
      </x:c>
      <x:c r="F735" s="153" t="n">
        <x:v>9.15</x:v>
      </x:c>
      <x:c r="G735" s="153" t="n">
        <x:v>1.42</x:v>
      </x:c>
    </x:row>
    <x:row r="736">
      <x:c r="A736" s="155" t="n">
        <x:v>43104</x:v>
      </x:c>
      <x:c r="B736" s="153" t="n">
        <x:v>2.46</x:v>
      </x:c>
      <x:c r="C736" s="153" t="n">
        <x:v>0.45</x:v>
      </x:c>
      <x:c r="D736" s="153" t="n">
        <x:v>2.01</x:v>
      </x:c>
      <x:c r="E736" s="153" t="n">
        <x:v>109.4777</x:v>
      </x:c>
      <x:c r="F736" s="153" t="n">
        <x:v>9.22</x:v>
      </x:c>
      <x:c r="G736" s="153" t="n">
        <x:v>1.42</x:v>
      </x:c>
    </x:row>
    <x:row r="737">
      <x:c r="A737" s="155" t="n">
        <x:v>43105</x:v>
      </x:c>
      <x:c r="B737" s="153" t="n">
        <x:v>2.47</x:v>
      </x:c>
      <x:c r="C737" s="153" t="n">
        <x:v>0.46</x:v>
      </x:c>
      <x:c r="D737" s="153" t="n">
        <x:v>2.01</x:v>
      </x:c>
      <x:c r="E737" s="153" t="n">
        <x:v>109.3496</x:v>
      </x:c>
      <x:c r="F737" s="153" t="n">
        <x:v>9.22</x:v>
      </x:c>
      <x:c r="G737" s="153" t="n">
        <x:v>1.42</x:v>
      </x:c>
    </x:row>
    <x:row r="738">
      <x:c r="A738" s="155" t="n">
        <x:v>43106</x:v>
      </x:c>
      <x:c r="B738" s="153"/>
      <x:c r="C738" s="153"/>
      <x:c r="D738" s="153"/>
      <x:c r="E738" s="153"/>
      <x:c r="F738" s="153"/>
      <x:c r="G738" s="153" t="n">
        <x:v>1.42</x:v>
      </x:c>
    </x:row>
    <x:row r="739">
      <x:c r="A739" s="155" t="n">
        <x:v>43107</x:v>
      </x:c>
      <x:c r="B739" s="153"/>
      <x:c r="C739" s="153"/>
      <x:c r="D739" s="153"/>
      <x:c r="E739" s="153"/>
      <x:c r="F739" s="153"/>
      <x:c r="G739" s="153" t="n">
        <x:v>1.42</x:v>
      </x:c>
    </x:row>
    <x:row r="740">
      <x:c r="A740" s="155" t="n">
        <x:v>43108</x:v>
      </x:c>
      <x:c r="B740" s="153" t="n">
        <x:v>2.49</x:v>
      </x:c>
      <x:c r="C740" s="153" t="n">
        <x:v>0.47</x:v>
      </x:c>
      <x:c r="D740" s="153" t="n">
        <x:v>2.02</x:v>
      </x:c>
      <x:c r="E740" s="153" t="n">
        <x:v>109.5681</x:v>
      </x:c>
      <x:c r="F740" s="153" t="n">
        <x:v>9.52</x:v>
      </x:c>
      <x:c r="G740" s="153" t="n">
        <x:v>1.42</x:v>
      </x:c>
    </x:row>
    <x:row r="741">
      <x:c r="A741" s="155" t="n">
        <x:v>43109</x:v>
      </x:c>
      <x:c r="B741" s="153" t="n">
        <x:v>2.55</x:v>
      </x:c>
      <x:c r="C741" s="153" t="n">
        <x:v>0.52</x:v>
      </x:c>
      <x:c r="D741" s="153" t="n">
        <x:v>2.03</x:v>
      </x:c>
      <x:c r="E741" s="153" t="n">
        <x:v>109.9025</x:v>
      </x:c>
      <x:c r="F741" s="153" t="n">
        <x:v>10.08</x:v>
      </x:c>
      <x:c r="G741" s="153" t="n">
        <x:v>1.42</x:v>
      </x:c>
    </x:row>
    <x:row r="742">
      <x:c r="A742" s="155" t="n">
        <x:v>43110</x:v>
      </x:c>
      <x:c r="B742" s="153" t="n">
        <x:v>2.55</x:v>
      </x:c>
      <x:c r="C742" s="153" t="n">
        <x:v>0.52</x:v>
      </x:c>
      <x:c r="D742" s="153" t="n">
        <x:v>2.03</x:v>
      </x:c>
      <x:c r="E742" s="153" t="n">
        <x:v>109.628</x:v>
      </x:c>
      <x:c r="F742" s="153" t="n">
        <x:v>9.82</x:v>
      </x:c>
      <x:c r="G742" s="153" t="n">
        <x:v>1.42</x:v>
      </x:c>
    </x:row>
    <x:row r="743">
      <x:c r="A743" s="155" t="n">
        <x:v>43111</x:v>
      </x:c>
      <x:c r="B743" s="153" t="n">
        <x:v>2.54</x:v>
      </x:c>
      <x:c r="C743" s="153" t="n">
        <x:v>0.54</x:v>
      </x:c>
      <x:c r="D743" s="153" t="n">
        <x:v>2</x:v>
      </x:c>
      <x:c r="E743" s="153" t="n">
        <x:v>109.4888</x:v>
      </x:c>
      <x:c r="F743" s="153" t="n">
        <x:v>9.88</x:v>
      </x:c>
      <x:c r="G743" s="153" t="n">
        <x:v>1.42</x:v>
      </x:c>
    </x:row>
    <x:row r="744">
      <x:c r="A744" s="155" t="n">
        <x:v>43112</x:v>
      </x:c>
      <x:c r="B744" s="153" t="n">
        <x:v>2.55</x:v>
      </x:c>
      <x:c r="C744" s="153" t="n">
        <x:v>0.54</x:v>
      </x:c>
      <x:c r="D744" s="153" t="n">
        <x:v>2.01</x:v>
      </x:c>
      <x:c r="E744" s="153" t="n">
        <x:v>108.901</x:v>
      </x:c>
      <x:c r="F744" s="153" t="n">
        <x:v>10.16</x:v>
      </x:c>
      <x:c r="G744" s="153" t="n">
        <x:v>1.42</x:v>
      </x:c>
    </x:row>
    <x:row r="745">
      <x:c r="A745" s="155" t="n">
        <x:v>43113</x:v>
      </x:c>
      <x:c r="B745" s="153"/>
      <x:c r="C745" s="153"/>
      <x:c r="D745" s="153"/>
      <x:c r="E745" s="153"/>
      <x:c r="F745" s="153"/>
      <x:c r="G745" s="153" t="n">
        <x:v>1.42</x:v>
      </x:c>
    </x:row>
    <x:row r="746">
      <x:c r="A746" s="155" t="n">
        <x:v>43114</x:v>
      </x:c>
      <x:c r="B746" s="153"/>
      <x:c r="C746" s="153"/>
      <x:c r="D746" s="153"/>
      <x:c r="E746" s="153"/>
      <x:c r="F746" s="153"/>
      <x:c r="G746" s="153" t="n">
        <x:v>1.42</x:v>
      </x:c>
    </x:row>
    <x:row r="747">
      <x:c r="A747" s="155" t="n">
        <x:v>43115</x:v>
      </x:c>
      <x:c r="B747" s="153"/>
      <x:c r="C747" s="153"/>
      <x:c r="D747" s="153"/>
      <x:c r="E747" s="153"/>
      <x:c r="F747" s="153"/>
      <x:c r="G747" s="153" t="n">
        <x:v>1.42</x:v>
      </x:c>
    </x:row>
    <x:row r="748">
      <x:c r="A748" s="155" t="n">
        <x:v>43116</x:v>
      </x:c>
      <x:c r="B748" s="153" t="n">
        <x:v>2.54</x:v>
      </x:c>
      <x:c r="C748" s="153" t="n">
        <x:v>0.51</x:v>
      </x:c>
      <x:c r="D748" s="153" t="n">
        <x:v>2.03</x:v>
      </x:c>
      <x:c r="E748" s="153" t="n">
        <x:v>108.3218</x:v>
      </x:c>
      <x:c r="F748" s="153" t="n">
        <x:v>11.66</x:v>
      </x:c>
      <x:c r="G748" s="153" t="n">
        <x:v>1.42</x:v>
      </x:c>
    </x:row>
    <x:row r="749">
      <x:c r="A749" s="155" t="n">
        <x:v>43117</x:v>
      </x:c>
      <x:c r="B749" s="153" t="n">
        <x:v>2.57</x:v>
      </x:c>
      <x:c r="C749" s="153" t="n">
        <x:v>0.53</x:v>
      </x:c>
      <x:c r="D749" s="153" t="n">
        <x:v>2.04</x:v>
      </x:c>
      <x:c r="E749" s="153" t="n">
        <x:v>108.1526</x:v>
      </x:c>
      <x:c r="F749" s="153" t="n">
        <x:v>11.91</x:v>
      </x:c>
      <x:c r="G749" s="153" t="n">
        <x:v>1.42</x:v>
      </x:c>
    </x:row>
    <x:row r="750">
      <x:c r="A750" s="155" t="n">
        <x:v>43118</x:v>
      </x:c>
      <x:c r="B750" s="153" t="n">
        <x:v>2.62</x:v>
      </x:c>
      <x:c r="C750" s="153" t="n">
        <x:v>0.57</x:v>
      </x:c>
      <x:c r="D750" s="153" t="n">
        <x:v>2.05</x:v>
      </x:c>
      <x:c r="E750" s="153" t="n">
        <x:v>108.0655</x:v>
      </x:c>
      <x:c r="F750" s="153" t="n">
        <x:v>12.22</x:v>
      </x:c>
      <x:c r="G750" s="153" t="n">
        <x:v>1.42</x:v>
      </x:c>
    </x:row>
    <x:row r="751">
      <x:c r="A751" s="155" t="n">
        <x:v>43119</x:v>
      </x:c>
      <x:c r="B751" s="153" t="n">
        <x:v>2.64</x:v>
      </x:c>
      <x:c r="C751" s="153" t="n">
        <x:v>0.58</x:v>
      </x:c>
      <x:c r="D751" s="153" t="n">
        <x:v>2.06</x:v>
      </x:c>
      <x:c r="E751" s="153" t="n">
        <x:v>107.9455</x:v>
      </x:c>
      <x:c r="F751" s="153" t="n">
        <x:v>11.27</x:v>
      </x:c>
      <x:c r="G751" s="153" t="n">
        <x:v>1.42</x:v>
      </x:c>
    </x:row>
    <x:row r="752">
      <x:c r="A752" s="155" t="n">
        <x:v>43120</x:v>
      </x:c>
      <x:c r="B752" s="153"/>
      <x:c r="C752" s="153"/>
      <x:c r="D752" s="153"/>
      <x:c r="E752" s="153"/>
      <x:c r="F752" s="153"/>
      <x:c r="G752" s="153" t="n">
        <x:v>1.42</x:v>
      </x:c>
    </x:row>
    <x:row r="753">
      <x:c r="A753" s="155" t="n">
        <x:v>43121</x:v>
      </x:c>
      <x:c r="B753" s="153"/>
      <x:c r="C753" s="153"/>
      <x:c r="D753" s="153"/>
      <x:c r="E753" s="153"/>
      <x:c r="F753" s="153"/>
      <x:c r="G753" s="153" t="n">
        <x:v>1.42</x:v>
      </x:c>
    </x:row>
    <x:row r="754">
      <x:c r="A754" s="155" t="n">
        <x:v>43122</x:v>
      </x:c>
      <x:c r="B754" s="153" t="n">
        <x:v>2.66</x:v>
      </x:c>
      <x:c r="C754" s="153" t="n">
        <x:v>0.6</x:v>
      </x:c>
      <x:c r="D754" s="153" t="n">
        <x:v>2.06</x:v>
      </x:c>
      <x:c r="E754" s="153" t="n">
        <x:v>108.107</x:v>
      </x:c>
      <x:c r="F754" s="153" t="n">
        <x:v>11.03</x:v>
      </x:c>
      <x:c r="G754" s="153" t="n">
        <x:v>1.42</x:v>
      </x:c>
    </x:row>
    <x:row r="755">
      <x:c r="A755" s="155" t="n">
        <x:v>43123</x:v>
      </x:c>
      <x:c r="B755" s="153" t="n">
        <x:v>2.63</x:v>
      </x:c>
      <x:c r="C755" s="153" t="n">
        <x:v>0.57</x:v>
      </x:c>
      <x:c r="D755" s="153" t="n">
        <x:v>2.06</x:v>
      </x:c>
      <x:c r="E755" s="153" t="n">
        <x:v>107.9979</x:v>
      </x:c>
      <x:c r="F755" s="153" t="n">
        <x:v>11.1</x:v>
      </x:c>
      <x:c r="G755" s="153" t="n">
        <x:v>1.42</x:v>
      </x:c>
    </x:row>
    <x:row r="756">
      <x:c r="A756" s="155" t="n">
        <x:v>43124</x:v>
      </x:c>
      <x:c r="B756" s="153" t="n">
        <x:v>2.65</x:v>
      </x:c>
      <x:c r="C756" s="153" t="n">
        <x:v>0.58</x:v>
      </x:c>
      <x:c r="D756" s="153" t="n">
        <x:v>2.07</x:v>
      </x:c>
      <x:c r="E756" s="153" t="n">
        <x:v>107.0802</x:v>
      </x:c>
      <x:c r="F756" s="153" t="n">
        <x:v>11.47</x:v>
      </x:c>
      <x:c r="G756" s="153" t="n">
        <x:v>1.42</x:v>
      </x:c>
    </x:row>
    <x:row r="757">
      <x:c r="A757" s="155" t="n">
        <x:v>43125</x:v>
      </x:c>
      <x:c r="B757" s="153" t="n">
        <x:v>2.63</x:v>
      </x:c>
      <x:c r="C757" s="153" t="n">
        <x:v>0.56</x:v>
      </x:c>
      <x:c r="D757" s="153" t="n">
        <x:v>2.07</x:v>
      </x:c>
      <x:c r="E757" s="153" t="n">
        <x:v>106.5052</x:v>
      </x:c>
      <x:c r="F757" s="153" t="n">
        <x:v>11.58</x:v>
      </x:c>
      <x:c r="G757" s="153" t="n">
        <x:v>1.42</x:v>
      </x:c>
    </x:row>
    <x:row r="758">
      <x:c r="A758" s="155" t="n">
        <x:v>43126</x:v>
      </x:c>
      <x:c r="B758" s="153" t="n">
        <x:v>2.66</x:v>
      </x:c>
      <x:c r="C758" s="153" t="n">
        <x:v>0.57</x:v>
      </x:c>
      <x:c r="D758" s="153" t="n">
        <x:v>2.09</x:v>
      </x:c>
      <x:c r="E758" s="153" t="n">
        <x:v>106.6911</x:v>
      </x:c>
      <x:c r="F758" s="153" t="n">
        <x:v>11.08</x:v>
      </x:c>
      <x:c r="G758" s="153" t="n">
        <x:v>1.42</x:v>
      </x:c>
    </x:row>
    <x:row r="759">
      <x:c r="A759" s="155" t="n">
        <x:v>43127</x:v>
      </x:c>
      <x:c r="B759" s="153"/>
      <x:c r="C759" s="153"/>
      <x:c r="D759" s="153"/>
      <x:c r="E759" s="153"/>
      <x:c r="F759" s="153"/>
      <x:c r="G759" s="153" t="n">
        <x:v>1.42</x:v>
      </x:c>
    </x:row>
    <x:row r="760">
      <x:c r="A760" s="155" t="n">
        <x:v>43128</x:v>
      </x:c>
      <x:c r="B760" s="153"/>
      <x:c r="C760" s="153"/>
      <x:c r="D760" s="153"/>
      <x:c r="E760" s="153"/>
      <x:c r="F760" s="153"/>
      <x:c r="G760" s="153" t="n">
        <x:v>1.42</x:v>
      </x:c>
    </x:row>
    <x:row r="761">
      <x:c r="A761" s="155" t="n">
        <x:v>43129</x:v>
      </x:c>
      <x:c r="B761" s="153" t="n">
        <x:v>2.7</x:v>
      </x:c>
      <x:c r="C761" s="153" t="n">
        <x:v>0.61</x:v>
      </x:c>
      <x:c r="D761" s="153" t="n">
        <x:v>2.09</x:v>
      </x:c>
      <x:c r="E761" s="153" t="n">
        <x:v>107.1142</x:v>
      </x:c>
      <x:c r="F761" s="153" t="n">
        <x:v>13.84</x:v>
      </x:c>
      <x:c r="G761" s="153" t="n">
        <x:v>1.42</x:v>
      </x:c>
    </x:row>
    <x:row r="762">
      <x:c r="A762" s="155" t="n">
        <x:v>43130</x:v>
      </x:c>
      <x:c r="B762" s="153" t="n">
        <x:v>2.73</x:v>
      </x:c>
      <x:c r="C762" s="153" t="n">
        <x:v>0.63</x:v>
      </x:c>
      <x:c r="D762" s="153" t="n">
        <x:v>2.1</x:v>
      </x:c>
      <x:c r="E762" s="153" t="n">
        <x:v>107.1064</x:v>
      </x:c>
      <x:c r="F762" s="153" t="n">
        <x:v>14.79</x:v>
      </x:c>
      <x:c r="G762" s="153" t="n">
        <x:v>1.42</x:v>
      </x:c>
    </x:row>
    <x:row r="763">
      <x:c r="A763" s="155" t="n">
        <x:v>43131</x:v>
      </x:c>
      <x:c r="B763" s="153" t="n">
        <x:v>2.72</x:v>
      </x:c>
      <x:c r="C763" s="153" t="n">
        <x:v>0.61</x:v>
      </x:c>
      <x:c r="D763" s="153" t="n">
        <x:v>2.11</x:v>
      </x:c>
      <x:c r="E763" s="153" t="n">
        <x:v>106.7696</x:v>
      </x:c>
      <x:c r="F763" s="153" t="n">
        <x:v>13.54</x:v>
      </x:c>
      <x:c r="G763" s="153" t="n">
        <x:v>1.34</x:v>
      </x:c>
    </x:row>
    <x:row r="764">
      <x:c r="A764" s="155" t="n">
        <x:v>43132</x:v>
      </x:c>
      <x:c r="B764" s="153" t="n">
        <x:v>2.78</x:v>
      </x:c>
      <x:c r="C764" s="153" t="n">
        <x:v>0.67</x:v>
      </x:c>
      <x:c r="D764" s="153" t="n">
        <x:v>2.11</x:v>
      </x:c>
      <x:c r="E764" s="153" t="n">
        <x:v>106.4877</x:v>
      </x:c>
      <x:c r="F764" s="153" t="n">
        <x:v>13.47</x:v>
      </x:c>
      <x:c r="G764" s="153" t="n">
        <x:v>1.42</x:v>
      </x:c>
    </x:row>
    <x:row r="765">
      <x:c r="A765" s="155" t="n">
        <x:v>43133</x:v>
      </x:c>
      <x:c r="B765" s="153" t="n">
        <x:v>2.84</x:v>
      </x:c>
      <x:c r="C765" s="153" t="n">
        <x:v>0.7</x:v>
      </x:c>
      <x:c r="D765" s="153" t="n">
        <x:v>2.14</x:v>
      </x:c>
      <x:c r="E765" s="153" t="n">
        <x:v>107.1151</x:v>
      </x:c>
      <x:c r="F765" s="153" t="n">
        <x:v>17.31</x:v>
      </x:c>
      <x:c r="G765" s="153" t="n">
        <x:v>1.42</x:v>
      </x:c>
    </x:row>
    <x:row r="766">
      <x:c r="A766" s="155" t="n">
        <x:v>43134</x:v>
      </x:c>
      <x:c r="B766" s="153"/>
      <x:c r="C766" s="153"/>
      <x:c r="D766" s="153"/>
      <x:c r="E766" s="153"/>
      <x:c r="F766" s="153"/>
      <x:c r="G766" s="153" t="n">
        <x:v>1.42</x:v>
      </x:c>
    </x:row>
    <x:row r="767">
      <x:c r="A767" s="155" t="n">
        <x:v>43135</x:v>
      </x:c>
      <x:c r="B767" s="153"/>
      <x:c r="C767" s="153"/>
      <x:c r="D767" s="153"/>
      <x:c r="E767" s="153"/>
      <x:c r="F767" s="153"/>
      <x:c r="G767" s="153" t="n">
        <x:v>1.42</x:v>
      </x:c>
    </x:row>
    <x:row r="768">
      <x:c r="A768" s="155" t="n">
        <x:v>43136</x:v>
      </x:c>
      <x:c r="B768" s="153" t="n">
        <x:v>2.77</x:v>
      </x:c>
      <x:c r="C768" s="153" t="n">
        <x:v>0.67</x:v>
      </x:c>
      <x:c r="D768" s="153" t="n">
        <x:v>2.1</x:v>
      </x:c>
      <x:c r="E768" s="153" t="n">
        <x:v>107.33</x:v>
      </x:c>
      <x:c r="F768" s="153" t="n">
        <x:v>37.32</x:v>
      </x:c>
      <x:c r="G768" s="153" t="n">
        <x:v>1.42</x:v>
      </x:c>
    </x:row>
    <x:row r="769">
      <x:c r="A769" s="155" t="n">
        <x:v>43137</x:v>
      </x:c>
      <x:c r="B769" s="153" t="n">
        <x:v>2.79</x:v>
      </x:c>
      <x:c r="C769" s="153" t="n">
        <x:v>0.69</x:v>
      </x:c>
      <x:c r="D769" s="153" t="n">
        <x:v>2.1</x:v>
      </x:c>
      <x:c r="E769" s="153" t="n">
        <x:v>107.5204</x:v>
      </x:c>
      <x:c r="F769" s="153" t="n">
        <x:v>29.98</x:v>
      </x:c>
      <x:c r="G769" s="153" t="n">
        <x:v>1.42</x:v>
      </x:c>
    </x:row>
    <x:row r="770">
      <x:c r="A770" s="155" t="n">
        <x:v>43138</x:v>
      </x:c>
      <x:c r="B770" s="153" t="n">
        <x:v>2.84</x:v>
      </x:c>
      <x:c r="C770" s="153" t="n">
        <x:v>0.74</x:v>
      </x:c>
      <x:c r="D770" s="153" t="n">
        <x:v>2.1</x:v>
      </x:c>
      <x:c r="E770" s="153" t="n">
        <x:v>107.7175</x:v>
      </x:c>
      <x:c r="F770" s="153" t="n">
        <x:v>27.73</x:v>
      </x:c>
      <x:c r="G770" s="153" t="n">
        <x:v>1.42</x:v>
      </x:c>
    </x:row>
    <x:row r="771">
      <x:c r="A771" s="155" t="n">
        <x:v>43139</x:v>
      </x:c>
      <x:c r="B771" s="153" t="n">
        <x:v>2.85</x:v>
      </x:c>
      <x:c r="C771" s="153" t="n">
        <x:v>0.76</x:v>
      </x:c>
      <x:c r="D771" s="153" t="n">
        <x:v>2.09</x:v>
      </x:c>
      <x:c r="E771" s="153" t="n">
        <x:v>108.3025</x:v>
      </x:c>
      <x:c r="F771" s="153" t="n">
        <x:v>33.46</x:v>
      </x:c>
      <x:c r="G771" s="153" t="n">
        <x:v>1.42</x:v>
      </x:c>
    </x:row>
    <x:row r="772">
      <x:c r="A772" s="155" t="n">
        <x:v>43140</x:v>
      </x:c>
      <x:c r="B772" s="153" t="n">
        <x:v>2.83</x:v>
      </x:c>
      <x:c r="C772" s="153" t="n">
        <x:v>0.78</x:v>
      </x:c>
      <x:c r="D772" s="153" t="n">
        <x:v>2.05</x:v>
      </x:c>
      <x:c r="E772" s="153" t="n">
        <x:v>108.2582</x:v>
      </x:c>
      <x:c r="F772" s="153" t="n">
        <x:v>29.06</x:v>
      </x:c>
      <x:c r="G772" s="153" t="n">
        <x:v>1.42</x:v>
      </x:c>
    </x:row>
    <x:row r="773">
      <x:c r="A773" s="155" t="n">
        <x:v>43141</x:v>
      </x:c>
      <x:c r="B773" s="153"/>
      <x:c r="C773" s="153"/>
      <x:c r="D773" s="153"/>
      <x:c r="E773" s="153"/>
      <x:c r="F773" s="153"/>
      <x:c r="G773" s="153" t="n">
        <x:v>1.42</x:v>
      </x:c>
    </x:row>
    <x:row r="774">
      <x:c r="A774" s="155" t="n">
        <x:v>43142</x:v>
      </x:c>
      <x:c r="B774" s="153"/>
      <x:c r="C774" s="153"/>
      <x:c r="D774" s="153"/>
      <x:c r="E774" s="153"/>
      <x:c r="F774" s="153"/>
      <x:c r="G774" s="153" t="n">
        <x:v>1.42</x:v>
      </x:c>
    </x:row>
    <x:row r="775">
      <x:c r="A775" s="155" t="n">
        <x:v>43143</x:v>
      </x:c>
      <x:c r="B775" s="153" t="n">
        <x:v>2.86</x:v>
      </x:c>
      <x:c r="C775" s="153" t="n">
        <x:v>0.79</x:v>
      </x:c>
      <x:c r="D775" s="153" t="n">
        <x:v>2.07</x:v>
      </x:c>
      <x:c r="E775" s="153" t="n">
        <x:v>108.0332</x:v>
      </x:c>
      <x:c r="F775" s="153" t="n">
        <x:v>25.61</x:v>
      </x:c>
      <x:c r="G775" s="153" t="n">
        <x:v>1.42</x:v>
      </x:c>
    </x:row>
    <x:row r="776">
      <x:c r="A776" s="155" t="n">
        <x:v>43144</x:v>
      </x:c>
      <x:c r="B776" s="153" t="n">
        <x:v>2.83</x:v>
      </x:c>
      <x:c r="C776" s="153" t="n">
        <x:v>0.78</x:v>
      </x:c>
      <x:c r="D776" s="153" t="n">
        <x:v>2.05</x:v>
      </x:c>
      <x:c r="E776" s="153" t="n">
        <x:v>107.7574</x:v>
      </x:c>
      <x:c r="F776" s="153" t="n">
        <x:v>24.97</x:v>
      </x:c>
      <x:c r="G776" s="153" t="n">
        <x:v>1.42</x:v>
      </x:c>
    </x:row>
    <x:row r="777">
      <x:c r="A777" s="155" t="n">
        <x:v>43145</x:v>
      </x:c>
      <x:c r="B777" s="153" t="n">
        <x:v>2.91</x:v>
      </x:c>
      <x:c r="C777" s="153" t="n">
        <x:v>0.82</x:v>
      </x:c>
      <x:c r="D777" s="153" t="n">
        <x:v>2.09</x:v>
      </x:c>
      <x:c r="E777" s="153" t="n">
        <x:v>107.4691</x:v>
      </x:c>
      <x:c r="F777" s="153" t="n">
        <x:v>19.26</x:v>
      </x:c>
      <x:c r="G777" s="153" t="n">
        <x:v>1.42</x:v>
      </x:c>
    </x:row>
    <x:row r="778">
      <x:c r="A778" s="155" t="n">
        <x:v>43146</x:v>
      </x:c>
      <x:c r="B778" s="153" t="n">
        <x:v>2.9</x:v>
      </x:c>
      <x:c r="C778" s="153" t="n">
        <x:v>0.79</x:v>
      </x:c>
      <x:c r="D778" s="153" t="n">
        <x:v>2.11</x:v>
      </x:c>
      <x:c r="E778" s="153" t="n">
        <x:v>106.9867</x:v>
      </x:c>
      <x:c r="F778" s="153" t="n">
        <x:v>19.13</x:v>
      </x:c>
      <x:c r="G778" s="153" t="n">
        <x:v>1.42</x:v>
      </x:c>
    </x:row>
    <x:row r="779">
      <x:c r="A779" s="155" t="n">
        <x:v>43147</x:v>
      </x:c>
      <x:c r="B779" s="153" t="n">
        <x:v>2.87</x:v>
      </x:c>
      <x:c r="C779" s="153" t="n">
        <x:v>0.78</x:v>
      </x:c>
      <x:c r="D779" s="153" t="n">
        <x:v>2.09</x:v>
      </x:c>
      <x:c r="E779" s="153" t="n">
        <x:v>107.0359</x:v>
      </x:c>
      <x:c r="F779" s="153" t="n">
        <x:v>19.46</x:v>
      </x:c>
      <x:c r="G779" s="153" t="n">
        <x:v>1.42</x:v>
      </x:c>
    </x:row>
    <x:row r="780">
      <x:c r="A780" s="155" t="n">
        <x:v>43148</x:v>
      </x:c>
      <x:c r="B780" s="153"/>
      <x:c r="C780" s="153"/>
      <x:c r="D780" s="153"/>
      <x:c r="E780" s="153"/>
      <x:c r="F780" s="153"/>
      <x:c r="G780" s="153" t="n">
        <x:v>1.42</x:v>
      </x:c>
    </x:row>
    <x:row r="781">
      <x:c r="A781" s="155" t="n">
        <x:v>43149</x:v>
      </x:c>
      <x:c r="B781" s="153"/>
      <x:c r="C781" s="153"/>
      <x:c r="D781" s="153"/>
      <x:c r="E781" s="153"/>
      <x:c r="F781" s="153"/>
      <x:c r="G781" s="153" t="n">
        <x:v>1.42</x:v>
      </x:c>
    </x:row>
    <x:row r="782">
      <x:c r="A782" s="155" t="n">
        <x:v>43150</x:v>
      </x:c>
      <x:c r="B782" s="153"/>
      <x:c r="C782" s="153"/>
      <x:c r="D782" s="153"/>
      <x:c r="E782" s="153"/>
      <x:c r="F782" s="153"/>
      <x:c r="G782" s="153" t="n">
        <x:v>1.42</x:v>
      </x:c>
    </x:row>
    <x:row r="783">
      <x:c r="A783" s="155" t="n">
        <x:v>43151</x:v>
      </x:c>
      <x:c r="B783" s="153" t="n">
        <x:v>2.88</x:v>
      </x:c>
      <x:c r="C783" s="153" t="n">
        <x:v>0.78</x:v>
      </x:c>
      <x:c r="D783" s="153" t="n">
        <x:v>2.1</x:v>
      </x:c>
      <x:c r="E783" s="153" t="n">
        <x:v>107.6249</x:v>
      </x:c>
      <x:c r="F783" s="153" t="n">
        <x:v>20.6</x:v>
      </x:c>
      <x:c r="G783" s="153" t="n">
        <x:v>1.42</x:v>
      </x:c>
    </x:row>
    <x:row r="784">
      <x:c r="A784" s="155" t="n">
        <x:v>43152</x:v>
      </x:c>
      <x:c r="B784" s="153" t="n">
        <x:v>2.94</x:v>
      </x:c>
      <x:c r="C784" s="153" t="n">
        <x:v>0.82</x:v>
      </x:c>
      <x:c r="D784" s="153" t="n">
        <x:v>2.12</x:v>
      </x:c>
      <x:c r="E784" s="153" t="n">
        <x:v>107.8679</x:v>
      </x:c>
      <x:c r="F784" s="153" t="n">
        <x:v>20.02</x:v>
      </x:c>
      <x:c r="G784" s="153" t="n">
        <x:v>1.42</x:v>
      </x:c>
    </x:row>
    <x:row r="785">
      <x:c r="A785" s="155" t="n">
        <x:v>43153</x:v>
      </x:c>
      <x:c r="B785" s="153" t="n">
        <x:v>2.92</x:v>
      </x:c>
      <x:c r="C785" s="153" t="n">
        <x:v>0.81</x:v>
      </x:c>
      <x:c r="D785" s="153" t="n">
        <x:v>2.11</x:v>
      </x:c>
      <x:c r="E785" s="153" t="n">
        <x:v>107.8668</x:v>
      </x:c>
      <x:c r="F785" s="153" t="n">
        <x:v>18.72</x:v>
      </x:c>
      <x:c r="G785" s="153" t="n">
        <x:v>1.42</x:v>
      </x:c>
    </x:row>
    <x:row r="786">
      <x:c r="A786" s="155" t="n">
        <x:v>43154</x:v>
      </x:c>
      <x:c r="B786" s="153" t="n">
        <x:v>2.88</x:v>
      </x:c>
      <x:c r="C786" s="153" t="n">
        <x:v>0.76</x:v>
      </x:c>
      <x:c r="D786" s="153" t="n">
        <x:v>2.12</x:v>
      </x:c>
      <x:c r="E786" s="153" t="n">
        <x:v>107.6804</x:v>
      </x:c>
      <x:c r="F786" s="153" t="n">
        <x:v>16.49</x:v>
      </x:c>
      <x:c r="G786" s="153" t="n">
        <x:v>1.42</x:v>
      </x:c>
    </x:row>
    <x:row r="787">
      <x:c r="A787" s="155" t="n">
        <x:v>43155</x:v>
      </x:c>
      <x:c r="B787" s="153"/>
      <x:c r="C787" s="153"/>
      <x:c r="D787" s="153"/>
      <x:c r="E787" s="153"/>
      <x:c r="F787" s="153"/>
      <x:c r="G787" s="153" t="n">
        <x:v>1.42</x:v>
      </x:c>
    </x:row>
    <x:row r="788">
      <x:c r="A788" s="155" t="n">
        <x:v>43156</x:v>
      </x:c>
      <x:c r="B788" s="153"/>
      <x:c r="C788" s="153"/>
      <x:c r="D788" s="153"/>
      <x:c r="E788" s="153"/>
      <x:c r="F788" s="153"/>
      <x:c r="G788" s="153" t="n">
        <x:v>1.42</x:v>
      </x:c>
    </x:row>
    <x:row r="789">
      <x:c r="A789" s="155" t="n">
        <x:v>43157</x:v>
      </x:c>
      <x:c r="B789" s="153" t="n">
        <x:v>2.86</x:v>
      </x:c>
      <x:c r="C789" s="153" t="n">
        <x:v>0.73</x:v>
      </x:c>
      <x:c r="D789" s="153" t="n">
        <x:v>2.13</x:v>
      </x:c>
      <x:c r="E789" s="153" t="n">
        <x:v>107.7347</x:v>
      </x:c>
      <x:c r="F789" s="153" t="n">
        <x:v>15.8</x:v>
      </x:c>
      <x:c r="G789" s="153" t="n">
        <x:v>1.42</x:v>
      </x:c>
    </x:row>
    <x:row r="790">
      <x:c r="A790" s="155" t="n">
        <x:v>43158</x:v>
      </x:c>
      <x:c r="B790" s="153" t="n">
        <x:v>2.9</x:v>
      </x:c>
      <x:c r="C790" s="153" t="n">
        <x:v>0.77</x:v>
      </x:c>
      <x:c r="D790" s="153" t="n">
        <x:v>2.13</x:v>
      </x:c>
      <x:c r="E790" s="153" t="n">
        <x:v>108.1731</x:v>
      </x:c>
      <x:c r="F790" s="153" t="n">
        <x:v>18.59</x:v>
      </x:c>
      <x:c r="G790" s="153" t="n">
        <x:v>1.42</x:v>
      </x:c>
    </x:row>
    <x:row r="791">
      <x:c r="A791" s="155" t="n">
        <x:v>43159</x:v>
      </x:c>
      <x:c r="B791" s="153" t="n">
        <x:v>2.87</x:v>
      </x:c>
      <x:c r="C791" s="153" t="n">
        <x:v>0.75</x:v>
      </x:c>
      <x:c r="D791" s="153" t="n">
        <x:v>2.12</x:v>
      </x:c>
      <x:c r="E791" s="153" t="n">
        <x:v>108.3903</x:v>
      </x:c>
      <x:c r="F791" s="153" t="n">
        <x:v>19.85</x:v>
      </x:c>
      <x:c r="G791" s="153" t="n">
        <x:v>1.35</x:v>
      </x:c>
    </x:row>
    <x:row r="792">
      <x:c r="A792" s="155" t="n">
        <x:v>43160</x:v>
      </x:c>
      <x:c r="B792" s="153" t="n">
        <x:v>2.81</x:v>
      </x:c>
      <x:c r="C792" s="153" t="n">
        <x:v>0.71</x:v>
      </x:c>
      <x:c r="D792" s="153" t="n">
        <x:v>2.1</x:v>
      </x:c>
      <x:c r="E792" s="153" t="n">
        <x:v>108.5358</x:v>
      </x:c>
      <x:c r="F792" s="153" t="n">
        <x:v>22.47</x:v>
      </x:c>
      <x:c r="G792" s="153" t="n">
        <x:v>1.42</x:v>
      </x:c>
    </x:row>
    <x:row r="793">
      <x:c r="A793" s="155" t="n">
        <x:v>43161</x:v>
      </x:c>
      <x:c r="B793" s="153" t="n">
        <x:v>2.86</x:v>
      </x:c>
      <x:c r="C793" s="153" t="n">
        <x:v>0.74</x:v>
      </x:c>
      <x:c r="D793" s="153" t="n">
        <x:v>2.12</x:v>
      </x:c>
      <x:c r="E793" s="153"/>
      <x:c r="F793" s="153" t="n">
        <x:v>19.59</x:v>
      </x:c>
      <x:c r="G793" s="153" t="n">
        <x:v>1.42</x:v>
      </x:c>
    </x:row>
    <x:row r="794">
      <x:c r="A794" s="155" t="n">
        <x:v>43162</x:v>
      </x:c>
      <x:c r="B794" s="153"/>
      <x:c r="C794" s="153"/>
      <x:c r="D794" s="153"/>
      <x:c r="E794" s="153"/>
      <x:c r="F794" s="153"/>
      <x:c r="G794" s="153" t="n">
        <x:v>1.42</x:v>
      </x:c>
    </x:row>
    <x:row r="795">
      <x:c r="A795" s="155" t="n">
        <x:v>43163</x:v>
      </x:c>
      <x:c r="B795" s="153"/>
      <x:c r="C795" s="153"/>
      <x:c r="D795" s="153"/>
      <x:c r="E795" s="153"/>
      <x:c r="F795" s="153"/>
      <x:c r="G795" s="153" t="n">
        <x:v>1.42</x:v>
      </x:c>
    </x:row>
    <x:row r="796">
      <x:c r="A796" s="155" t="n">
        <x:v>43164</x:v>
      </x:c>
      <x:c r="B796" s="153" t="n">
        <x:v>2.88</x:v>
      </x:c>
      <x:c r="C796" s="153" t="n">
        <x:v>0.75</x:v>
      </x:c>
      <x:c r="D796" s="153" t="n">
        <x:v>2.13</x:v>
      </x:c>
      <x:c r="E796" s="153" t="n">
        <x:v>108.3614</x:v>
      </x:c>
      <x:c r="F796" s="153" t="n">
        <x:v>18.73</x:v>
      </x:c>
      <x:c r="G796" s="153" t="n">
        <x:v>1.42</x:v>
      </x:c>
    </x:row>
    <x:row r="797">
      <x:c r="A797" s="155" t="n">
        <x:v>43165</x:v>
      </x:c>
      <x:c r="B797" s="153" t="n">
        <x:v>2.88</x:v>
      </x:c>
      <x:c r="C797" s="153" t="n">
        <x:v>0.76</x:v>
      </x:c>
      <x:c r="D797" s="153" t="n">
        <x:v>2.12</x:v>
      </x:c>
      <x:c r="E797" s="153" t="n">
        <x:v>107.7969</x:v>
      </x:c>
      <x:c r="F797" s="153" t="n">
        <x:v>18.36</x:v>
      </x:c>
      <x:c r="G797" s="153" t="n">
        <x:v>1.42</x:v>
      </x:c>
    </x:row>
    <x:row r="798">
      <x:c r="A798" s="155" t="n">
        <x:v>43166</x:v>
      </x:c>
      <x:c r="B798" s="153" t="n">
        <x:v>2.89</x:v>
      </x:c>
      <x:c r="C798" s="153" t="n">
        <x:v>0.76</x:v>
      </x:c>
      <x:c r="D798" s="153" t="n">
        <x:v>2.13</x:v>
      </x:c>
      <x:c r="E798" s="153" t="n">
        <x:v>108.0911</x:v>
      </x:c>
      <x:c r="F798" s="153" t="n">
        <x:v>17.76</x:v>
      </x:c>
      <x:c r="G798" s="153" t="n">
        <x:v>1.42</x:v>
      </x:c>
    </x:row>
    <x:row r="799">
      <x:c r="A799" s="155" t="n">
        <x:v>43167</x:v>
      </x:c>
      <x:c r="B799" s="153" t="n">
        <x:v>2.86</x:v>
      </x:c>
      <x:c r="C799" s="153" t="n">
        <x:v>0.75</x:v>
      </x:c>
      <x:c r="D799" s="153" t="n">
        <x:v>2.11</x:v>
      </x:c>
      <x:c r="E799" s="153" t="n">
        <x:v>108.2671</x:v>
      </x:c>
      <x:c r="F799" s="153" t="n">
        <x:v>16.54</x:v>
      </x:c>
      <x:c r="G799" s="153" t="n">
        <x:v>1.42</x:v>
      </x:c>
    </x:row>
    <x:row r="800">
      <x:c r="A800" s="155" t="n">
        <x:v>43168</x:v>
      </x:c>
      <x:c r="B800" s="153" t="n">
        <x:v>2.9</x:v>
      </x:c>
      <x:c r="C800" s="153" t="n">
        <x:v>0.78</x:v>
      </x:c>
      <x:c r="D800" s="153" t="n">
        <x:v>2.12</x:v>
      </x:c>
      <x:c r="E800" s="153" t="n">
        <x:v>107.923</x:v>
      </x:c>
      <x:c r="F800" s="153" t="n">
        <x:v>14.64</x:v>
      </x:c>
      <x:c r="G800" s="153" t="n">
        <x:v>1.42</x:v>
      </x:c>
    </x:row>
    <x:row r="801">
      <x:c r="A801" s="155" t="n">
        <x:v>43169</x:v>
      </x:c>
      <x:c r="B801" s="153"/>
      <x:c r="C801" s="153"/>
      <x:c r="D801" s="153"/>
      <x:c r="E801" s="153"/>
      <x:c r="F801" s="153"/>
      <x:c r="G801" s="153" t="n">
        <x:v>1.42</x:v>
      </x:c>
    </x:row>
    <x:row r="802">
      <x:c r="A802" s="155" t="n">
        <x:v>43170</x:v>
      </x:c>
      <x:c r="B802" s="153"/>
      <x:c r="C802" s="153"/>
      <x:c r="D802" s="153"/>
      <x:c r="E802" s="153"/>
      <x:c r="F802" s="153"/>
      <x:c r="G802" s="153" t="n">
        <x:v>1.42</x:v>
      </x:c>
    </x:row>
    <x:row r="803">
      <x:c r="A803" s="155" t="n">
        <x:v>43171</x:v>
      </x:c>
      <x:c r="B803" s="153" t="n">
        <x:v>2.87</x:v>
      </x:c>
      <x:c r="C803" s="153" t="n">
        <x:v>0.77</x:v>
      </x:c>
      <x:c r="D803" s="153" t="n">
        <x:v>2.1</x:v>
      </x:c>
      <x:c r="E803" s="153" t="n">
        <x:v>107.9438</x:v>
      </x:c>
      <x:c r="F803" s="153" t="n">
        <x:v>15.78</x:v>
      </x:c>
      <x:c r="G803" s="153" t="n">
        <x:v>1.42</x:v>
      </x:c>
    </x:row>
    <x:row r="804">
      <x:c r="A804" s="155" t="n">
        <x:v>43172</x:v>
      </x:c>
      <x:c r="B804" s="153" t="n">
        <x:v>2.84</x:v>
      </x:c>
      <x:c r="C804" s="153" t="n">
        <x:v>0.75</x:v>
      </x:c>
      <x:c r="D804" s="153" t="n">
        <x:v>2.09</x:v>
      </x:c>
      <x:c r="E804" s="153" t="n">
        <x:v>107.7384</x:v>
      </x:c>
      <x:c r="F804" s="153" t="n">
        <x:v>16.35</x:v>
      </x:c>
      <x:c r="G804" s="153" t="n">
        <x:v>1.42</x:v>
      </x:c>
    </x:row>
    <x:row r="805">
      <x:c r="A805" s="155" t="n">
        <x:v>43173</x:v>
      </x:c>
      <x:c r="B805" s="153" t="n">
        <x:v>2.81</x:v>
      </x:c>
      <x:c r="C805" s="153" t="n">
        <x:v>0.74</x:v>
      </x:c>
      <x:c r="D805" s="153" t="n">
        <x:v>2.07</x:v>
      </x:c>
      <x:c r="E805" s="153" t="n">
        <x:v>107.8623</x:v>
      </x:c>
      <x:c r="F805" s="153" t="n">
        <x:v>17.23</x:v>
      </x:c>
      <x:c r="G805" s="153" t="n">
        <x:v>1.42</x:v>
      </x:c>
    </x:row>
    <x:row r="806">
      <x:c r="A806" s="155" t="n">
        <x:v>43174</x:v>
      </x:c>
      <x:c r="B806" s="153" t="n">
        <x:v>2.82</x:v>
      </x:c>
      <x:c r="C806" s="153" t="n">
        <x:v>0.74</x:v>
      </x:c>
      <x:c r="D806" s="153" t="n">
        <x:v>2.08</x:v>
      </x:c>
      <x:c r="E806" s="153" t="n">
        <x:v>108.2032</x:v>
      </x:c>
      <x:c r="F806" s="153" t="n">
        <x:v>16.59</x:v>
      </x:c>
      <x:c r="G806" s="153" t="n">
        <x:v>1.43</x:v>
      </x:c>
    </x:row>
    <x:row r="807">
      <x:c r="A807" s="155" t="n">
        <x:v>43175</x:v>
      </x:c>
      <x:c r="B807" s="153" t="n">
        <x:v>2.85</x:v>
      </x:c>
      <x:c r="C807" s="153" t="n">
        <x:v>0.77</x:v>
      </x:c>
      <x:c r="D807" s="153" t="n">
        <x:v>2.08</x:v>
      </x:c>
      <x:c r="E807" s="153" t="n">
        <x:v>108.4332</x:v>
      </x:c>
      <x:c r="F807" s="153" t="n">
        <x:v>15.8</x:v>
      </x:c>
      <x:c r="G807" s="153" t="n">
        <x:v>1.43</x:v>
      </x:c>
    </x:row>
    <x:row r="808">
      <x:c r="A808" s="155" t="n">
        <x:v>43176</x:v>
      </x:c>
      <x:c r="B808" s="153"/>
      <x:c r="C808" s="153"/>
      <x:c r="D808" s="153"/>
      <x:c r="E808" s="153"/>
      <x:c r="F808" s="153"/>
      <x:c r="G808" s="153" t="n">
        <x:v>1.43</x:v>
      </x:c>
    </x:row>
    <x:row r="809">
      <x:c r="A809" s="155" t="n">
        <x:v>43177</x:v>
      </x:c>
      <x:c r="B809" s="153"/>
      <x:c r="C809" s="153"/>
      <x:c r="D809" s="153"/>
      <x:c r="E809" s="153"/>
      <x:c r="F809" s="153"/>
      <x:c r="G809" s="153" t="n">
        <x:v>1.43</x:v>
      </x:c>
    </x:row>
    <x:row r="810">
      <x:c r="A810" s="155" t="n">
        <x:v>43178</x:v>
      </x:c>
      <x:c r="B810" s="153" t="n">
        <x:v>2.85</x:v>
      </x:c>
      <x:c r="C810" s="153" t="n">
        <x:v>0.77</x:v>
      </x:c>
      <x:c r="D810" s="153" t="n">
        <x:v>2.08</x:v>
      </x:c>
      <x:c r="E810" s="153" t="n">
        <x:v>108.3145</x:v>
      </x:c>
      <x:c r="F810" s="153" t="n">
        <x:v>19.02</x:v>
      </x:c>
      <x:c r="G810" s="153" t="n">
        <x:v>1.43</x:v>
      </x:c>
    </x:row>
    <x:row r="811">
      <x:c r="A811" s="155" t="n">
        <x:v>43179</x:v>
      </x:c>
      <x:c r="B811" s="153" t="n">
        <x:v>2.89</x:v>
      </x:c>
      <x:c r="C811" s="153" t="n">
        <x:v>0.81</x:v>
      </x:c>
      <x:c r="D811" s="153" t="n">
        <x:v>2.08</x:v>
      </x:c>
      <x:c r="E811" s="153" t="n">
        <x:v>108.4953</x:v>
      </x:c>
      <x:c r="F811" s="153" t="n">
        <x:v>18.2</x:v>
      </x:c>
      <x:c r="G811" s="153" t="n">
        <x:v>1.44</x:v>
      </x:c>
    </x:row>
    <x:row r="812">
      <x:c r="A812" s="155" t="n">
        <x:v>43180</x:v>
      </x:c>
      <x:c r="B812" s="153" t="n">
        <x:v>2.89</x:v>
      </x:c>
      <x:c r="C812" s="153" t="n">
        <x:v>0.8</x:v>
      </x:c>
      <x:c r="D812" s="153" t="n">
        <x:v>2.09</x:v>
      </x:c>
      <x:c r="E812" s="153"/>
      <x:c r="F812" s="153" t="n">
        <x:v>17.86</x:v>
      </x:c>
      <x:c r="G812" s="153" t="n">
        <x:v>1.44</x:v>
      </x:c>
    </x:row>
    <x:row r="813">
      <x:c r="A813" s="155" t="n">
        <x:v>43181</x:v>
      </x:c>
      <x:c r="B813" s="153" t="n">
        <x:v>2.83</x:v>
      </x:c>
      <x:c r="C813" s="153" t="n">
        <x:v>0.75</x:v>
      </x:c>
      <x:c r="D813" s="153" t="n">
        <x:v>2.08</x:v>
      </x:c>
      <x:c r="E813" s="153" t="n">
        <x:v>107.9935</x:v>
      </x:c>
      <x:c r="F813" s="153" t="n">
        <x:v>23.34</x:v>
      </x:c>
      <x:c r="G813" s="153" t="n">
        <x:v>1.68</x:v>
      </x:c>
    </x:row>
    <x:row r="814">
      <x:c r="A814" s="155" t="n">
        <x:v>43182</x:v>
      </x:c>
      <x:c r="B814" s="153" t="n">
        <x:v>2.82</x:v>
      </x:c>
      <x:c r="C814" s="153" t="n">
        <x:v>0.75</x:v>
      </x:c>
      <x:c r="D814" s="153" t="n">
        <x:v>2.07</x:v>
      </x:c>
      <x:c r="E814" s="153" t="n">
        <x:v>107.7495</x:v>
      </x:c>
      <x:c r="F814" s="153" t="n">
        <x:v>24.87</x:v>
      </x:c>
      <x:c r="G814" s="153" t="n">
        <x:v>1.68</x:v>
      </x:c>
    </x:row>
    <x:row r="815">
      <x:c r="A815" s="155" t="n">
        <x:v>43183</x:v>
      </x:c>
      <x:c r="B815" s="153"/>
      <x:c r="C815" s="153"/>
      <x:c r="D815" s="153"/>
      <x:c r="E815" s="153"/>
      <x:c r="F815" s="153"/>
      <x:c r="G815" s="153" t="n">
        <x:v>1.68</x:v>
      </x:c>
    </x:row>
    <x:row r="816">
      <x:c r="A816" s="155" t="n">
        <x:v>43184</x:v>
      </x:c>
      <x:c r="B816" s="153"/>
      <x:c r="C816" s="153"/>
      <x:c r="D816" s="153"/>
      <x:c r="E816" s="153"/>
      <x:c r="F816" s="153"/>
      <x:c r="G816" s="153" t="n">
        <x:v>1.68</x:v>
      </x:c>
    </x:row>
    <x:row r="817">
      <x:c r="A817" s="155" t="n">
        <x:v>43185</x:v>
      </x:c>
      <x:c r="B817" s="153" t="n">
        <x:v>2.85</x:v>
      </x:c>
      <x:c r="C817" s="153" t="n">
        <x:v>0.77</x:v>
      </x:c>
      <x:c r="D817" s="153" t="n">
        <x:v>2.08</x:v>
      </x:c>
      <x:c r="E817" s="153" t="n">
        <x:v>107.1819</x:v>
      </x:c>
      <x:c r="F817" s="153" t="n">
        <x:v>21.03</x:v>
      </x:c>
      <x:c r="G817" s="153" t="n">
        <x:v>1.68</x:v>
      </x:c>
    </x:row>
    <x:row r="818">
      <x:c r="A818" s="155" t="n">
        <x:v>43186</x:v>
      </x:c>
      <x:c r="B818" s="153" t="n">
        <x:v>2.78</x:v>
      </x:c>
      <x:c r="C818" s="153" t="n">
        <x:v>0.71</x:v>
      </x:c>
      <x:c r="D818" s="153" t="n">
        <x:v>2.07</x:v>
      </x:c>
      <x:c r="E818" s="153" t="n">
        <x:v>107.3359</x:v>
      </x:c>
      <x:c r="F818" s="153" t="n">
        <x:v>22.5</x:v>
      </x:c>
      <x:c r="G818" s="153" t="n">
        <x:v>1.68</x:v>
      </x:c>
    </x:row>
    <x:row r="819">
      <x:c r="A819" s="155" t="n">
        <x:v>43187</x:v>
      </x:c>
      <x:c r="B819" s="153" t="n">
        <x:v>2.77</x:v>
      </x:c>
      <x:c r="C819" s="153" t="n">
        <x:v>0.72</x:v>
      </x:c>
      <x:c r="D819" s="153" t="n">
        <x:v>2.05</x:v>
      </x:c>
      <x:c r="E819" s="153" t="n">
        <x:v>107.5733</x:v>
      </x:c>
      <x:c r="F819" s="153" t="n">
        <x:v>22.87</x:v>
      </x:c>
      <x:c r="G819" s="153" t="n">
        <x:v>1.68</x:v>
      </x:c>
    </x:row>
    <x:row r="820">
      <x:c r="A820" s="155" t="n">
        <x:v>43188</x:v>
      </x:c>
      <x:c r="B820" s="153" t="n">
        <x:v>2.74</x:v>
      </x:c>
      <x:c r="C820" s="153" t="n">
        <x:v>0.69</x:v>
      </x:c>
      <x:c r="D820" s="153" t="n">
        <x:v>2.05</x:v>
      </x:c>
      <x:c r="E820" s="153" t="n">
        <x:v>107.665</x:v>
      </x:c>
      <x:c r="F820" s="153" t="n">
        <x:v>19.97</x:v>
      </x:c>
      <x:c r="G820" s="153" t="n">
        <x:v>1.68</x:v>
      </x:c>
    </x:row>
    <x:row r="821">
      <x:c r="A821" s="155" t="n">
        <x:v>43189</x:v>
      </x:c>
      <x:c r="B821" s="153"/>
      <x:c r="C821" s="153"/>
      <x:c r="D821" s="153"/>
      <x:c r="E821" s="153" t="n">
        <x:v>107.4784</x:v>
      </x:c>
      <x:c r="F821" s="153"/>
      <x:c r="G821" s="153" t="n">
        <x:v>1.67</x:v>
      </x:c>
    </x:row>
    <x:row r="822">
      <x:c r="A822" s="155" t="n">
        <x:v>43190</x:v>
      </x:c>
      <x:c r="B822" s="153"/>
      <x:c r="C822" s="153"/>
      <x:c r="D822" s="153"/>
      <x:c r="E822" s="153"/>
      <x:c r="F822" s="153"/>
      <x:c r="G822" s="153" t="n">
        <x:v>1.67</x:v>
      </x:c>
    </x:row>
    <x:row r="823">
      <x:c r="A823" s="155" t="n">
        <x:v>43191</x:v>
      </x:c>
      <x:c r="B823" s="153"/>
      <x:c r="C823" s="153"/>
      <x:c r="D823" s="153"/>
      <x:c r="E823" s="153"/>
      <x:c r="F823" s="153"/>
      <x:c r="G823" s="153" t="n">
        <x:v>1.67</x:v>
      </x:c>
    </x:row>
    <x:row r="824">
      <x:c r="A824" s="155" t="n">
        <x:v>43192</x:v>
      </x:c>
      <x:c r="B824" s="153" t="n">
        <x:v>2.73</x:v>
      </x:c>
      <x:c r="C824" s="153" t="n">
        <x:v>0.68</x:v>
      </x:c>
      <x:c r="D824" s="153" t="n">
        <x:v>2.05</x:v>
      </x:c>
      <x:c r="E824" s="153" t="n">
        <x:v>107.7033</x:v>
      </x:c>
      <x:c r="F824" s="153" t="n">
        <x:v>23.62</x:v>
      </x:c>
      <x:c r="G824" s="153" t="n">
        <x:v>1.68</x:v>
      </x:c>
    </x:row>
    <x:row r="825">
      <x:c r="A825" s="155" t="n">
        <x:v>43193</x:v>
      </x:c>
      <x:c r="B825" s="153" t="n">
        <x:v>2.79</x:v>
      </x:c>
      <x:c r="C825" s="153" t="n">
        <x:v>0.71</x:v>
      </x:c>
      <x:c r="D825" s="153" t="n">
        <x:v>2.08</x:v>
      </x:c>
      <x:c r="E825" s="153" t="n">
        <x:v>107.5624</x:v>
      </x:c>
      <x:c r="F825" s="153" t="n">
        <x:v>21.1</x:v>
      </x:c>
      <x:c r="G825" s="153" t="n">
        <x:v>1.69</x:v>
      </x:c>
    </x:row>
    <x:row r="826">
      <x:c r="A826" s="155" t="n">
        <x:v>43194</x:v>
      </x:c>
      <x:c r="B826" s="153" t="n">
        <x:v>2.79</x:v>
      </x:c>
      <x:c r="C826" s="153" t="n">
        <x:v>0.71</x:v>
      </x:c>
      <x:c r="D826" s="153" t="n">
        <x:v>2.08</x:v>
      </x:c>
      <x:c r="E826" s="153" t="n">
        <x:v>107.6361</x:v>
      </x:c>
      <x:c r="F826" s="153" t="n">
        <x:v>20.06</x:v>
      </x:c>
      <x:c r="G826" s="153" t="n">
        <x:v>1.69</x:v>
      </x:c>
    </x:row>
    <x:row r="827">
      <x:c r="A827" s="155" t="n">
        <x:v>43195</x:v>
      </x:c>
      <x:c r="B827" s="153" t="n">
        <x:v>2.83</x:v>
      </x:c>
      <x:c r="C827" s="153" t="n">
        <x:v>0.75</x:v>
      </x:c>
      <x:c r="D827" s="153" t="n">
        <x:v>2.08</x:v>
      </x:c>
      <x:c r="E827" s="153" t="n">
        <x:v>107.7281</x:v>
      </x:c>
      <x:c r="F827" s="153" t="n">
        <x:v>18.94</x:v>
      </x:c>
      <x:c r="G827" s="153" t="n">
        <x:v>1.69</x:v>
      </x:c>
    </x:row>
    <x:row r="828">
      <x:c r="A828" s="155" t="n">
        <x:v>43196</x:v>
      </x:c>
      <x:c r="B828" s="153" t="n">
        <x:v>2.77</x:v>
      </x:c>
      <x:c r="C828" s="153" t="n">
        <x:v>0.7</x:v>
      </x:c>
      <x:c r="D828" s="153" t="n">
        <x:v>2.07</x:v>
      </x:c>
      <x:c r="E828" s="153" t="n">
        <x:v>107.7886</x:v>
      </x:c>
      <x:c r="F828" s="153" t="n">
        <x:v>21.49</x:v>
      </x:c>
      <x:c r="G828" s="153" t="n">
        <x:v>1.69</x:v>
      </x:c>
    </x:row>
    <x:row r="829">
      <x:c r="A829" s="155" t="n">
        <x:v>43197</x:v>
      </x:c>
      <x:c r="B829" s="153"/>
      <x:c r="C829" s="153"/>
      <x:c r="D829" s="153"/>
      <x:c r="E829" s="153"/>
      <x:c r="F829" s="153"/>
      <x:c r="G829" s="153" t="n">
        <x:v>1.69</x:v>
      </x:c>
    </x:row>
    <x:row r="830">
      <x:c r="A830" s="155" t="n">
        <x:v>43198</x:v>
      </x:c>
      <x:c r="B830" s="153"/>
      <x:c r="C830" s="153"/>
      <x:c r="D830" s="153"/>
      <x:c r="E830" s="153"/>
      <x:c r="F830" s="153"/>
      <x:c r="G830" s="153" t="n">
        <x:v>1.69</x:v>
      </x:c>
    </x:row>
    <x:row r="831">
      <x:c r="A831" s="155" t="n">
        <x:v>43199</x:v>
      </x:c>
      <x:c r="B831" s="153" t="n">
        <x:v>2.78</x:v>
      </x:c>
      <x:c r="C831" s="153" t="n">
        <x:v>0.71</x:v>
      </x:c>
      <x:c r="D831" s="153" t="n">
        <x:v>2.07</x:v>
      </x:c>
      <x:c r="E831" s="153" t="n">
        <x:v>107.5316</x:v>
      </x:c>
      <x:c r="F831" s="153" t="n">
        <x:v>21.77</x:v>
      </x:c>
      <x:c r="G831" s="153" t="n">
        <x:v>1.69</x:v>
      </x:c>
    </x:row>
    <x:row r="832">
      <x:c r="A832" s="155" t="n">
        <x:v>43200</x:v>
      </x:c>
      <x:c r="B832" s="153" t="n">
        <x:v>2.8</x:v>
      </x:c>
      <x:c r="C832" s="153" t="n">
        <x:v>0.72</x:v>
      </x:c>
      <x:c r="D832" s="153" t="n">
        <x:v>2.08</x:v>
      </x:c>
      <x:c r="E832" s="153" t="n">
        <x:v>107.3659</x:v>
      </x:c>
      <x:c r="F832" s="153" t="n">
        <x:v>20.47</x:v>
      </x:c>
      <x:c r="G832" s="153" t="n">
        <x:v>1.69</x:v>
      </x:c>
    </x:row>
    <x:row r="833">
      <x:c r="A833" s="155" t="n">
        <x:v>43201</x:v>
      </x:c>
      <x:c r="B833" s="153" t="n">
        <x:v>2.79</x:v>
      </x:c>
      <x:c r="C833" s="153" t="n">
        <x:v>0.68</x:v>
      </x:c>
      <x:c r="D833" s="153" t="n">
        <x:v>2.11</x:v>
      </x:c>
      <x:c r="E833" s="153" t="n">
        <x:v>107.1224</x:v>
      </x:c>
      <x:c r="F833" s="153" t="n">
        <x:v>20.24</x:v>
      </x:c>
      <x:c r="G833" s="153" t="n">
        <x:v>1.69</x:v>
      </x:c>
    </x:row>
    <x:row r="834">
      <x:c r="A834" s="155" t="n">
        <x:v>43202</x:v>
      </x:c>
      <x:c r="B834" s="153" t="n">
        <x:v>2.83</x:v>
      </x:c>
      <x:c r="C834" s="153" t="n">
        <x:v>0.7</x:v>
      </x:c>
      <x:c r="D834" s="153" t="n">
        <x:v>2.13</x:v>
      </x:c>
      <x:c r="E834" s="153" t="n">
        <x:v>107.2905</x:v>
      </x:c>
      <x:c r="F834" s="153" t="n">
        <x:v>18.49</x:v>
      </x:c>
      <x:c r="G834" s="153" t="n">
        <x:v>1.69</x:v>
      </x:c>
    </x:row>
    <x:row r="835">
      <x:c r="A835" s="155" t="n">
        <x:v>43203</x:v>
      </x:c>
      <x:c r="B835" s="153" t="n">
        <x:v>2.82</x:v>
      </x:c>
      <x:c r="C835" s="153" t="n">
        <x:v>0.69</x:v>
      </x:c>
      <x:c r="D835" s="153" t="n">
        <x:v>2.13</x:v>
      </x:c>
      <x:c r="E835" s="153" t="n">
        <x:v>107.2368</x:v>
      </x:c>
      <x:c r="F835" s="153" t="n">
        <x:v>17.41</x:v>
      </x:c>
      <x:c r="G835" s="153" t="n">
        <x:v>1.69</x:v>
      </x:c>
    </x:row>
    <x:row r="836">
      <x:c r="A836" s="155" t="n">
        <x:v>43204</x:v>
      </x:c>
      <x:c r="B836" s="153"/>
      <x:c r="C836" s="153"/>
      <x:c r="D836" s="153"/>
      <x:c r="E836" s="153"/>
      <x:c r="F836" s="153"/>
      <x:c r="G836" s="153" t="n">
        <x:v>1.69</x:v>
      </x:c>
    </x:row>
    <x:row r="837">
      <x:c r="A837" s="155" t="n">
        <x:v>43205</x:v>
      </x:c>
      <x:c r="B837" s="153"/>
      <x:c r="C837" s="153"/>
      <x:c r="D837" s="153"/>
      <x:c r="E837" s="153"/>
      <x:c r="F837" s="153"/>
      <x:c r="G837" s="153" t="n">
        <x:v>1.69</x:v>
      </x:c>
    </x:row>
    <x:row r="838">
      <x:c r="A838" s="155" t="n">
        <x:v>43206</x:v>
      </x:c>
      <x:c r="B838" s="153" t="n">
        <x:v>2.83</x:v>
      </x:c>
      <x:c r="C838" s="153" t="n">
        <x:v>0.71</x:v>
      </x:c>
      <x:c r="D838" s="153" t="n">
        <x:v>2.12</x:v>
      </x:c>
      <x:c r="E838" s="153" t="n">
        <x:v>107.0595</x:v>
      </x:c>
      <x:c r="F838" s="153" t="n">
        <x:v>16.56</x:v>
      </x:c>
      <x:c r="G838" s="153" t="n">
        <x:v>1.69</x:v>
      </x:c>
    </x:row>
    <x:row r="839">
      <x:c r="A839" s="155" t="n">
        <x:v>43207</x:v>
      </x:c>
      <x:c r="B839" s="153" t="n">
        <x:v>2.82</x:v>
      </x:c>
      <x:c r="C839" s="153" t="n">
        <x:v>0.68</x:v>
      </x:c>
      <x:c r="D839" s="153" t="n">
        <x:v>2.14</x:v>
      </x:c>
      <x:c r="E839" s="153" t="n">
        <x:v>107.0344</x:v>
      </x:c>
      <x:c r="F839" s="153" t="n">
        <x:v>15.25</x:v>
      </x:c>
      <x:c r="G839" s="153" t="n">
        <x:v>1.69</x:v>
      </x:c>
    </x:row>
    <x:row r="840">
      <x:c r="A840" s="155" t="n">
        <x:v>43208</x:v>
      </x:c>
      <x:c r="B840" s="153" t="n">
        <x:v>2.87</x:v>
      </x:c>
      <x:c r="C840" s="153" t="n">
        <x:v>0.71</x:v>
      </x:c>
      <x:c r="D840" s="153" t="n">
        <x:v>2.16</x:v>
      </x:c>
      <x:c r="E840" s="153" t="n">
        <x:v>107.1096</x:v>
      </x:c>
      <x:c r="F840" s="153" t="n">
        <x:v>15.6</x:v>
      </x:c>
      <x:c r="G840" s="153" t="n">
        <x:v>1.69</x:v>
      </x:c>
    </x:row>
    <x:row r="841">
      <x:c r="A841" s="155" t="n">
        <x:v>43209</x:v>
      </x:c>
      <x:c r="B841" s="153" t="n">
        <x:v>2.92</x:v>
      </x:c>
      <x:c r="C841" s="153" t="n">
        <x:v>0.75</x:v>
      </x:c>
      <x:c r="D841" s="153" t="n">
        <x:v>2.17</x:v>
      </x:c>
      <x:c r="E841" s="153" t="n">
        <x:v>107.5197</x:v>
      </x:c>
      <x:c r="F841" s="153" t="n">
        <x:v>15.96</x:v>
      </x:c>
      <x:c r="G841" s="153" t="n">
        <x:v>1.69</x:v>
      </x:c>
    </x:row>
    <x:row r="842">
      <x:c r="A842" s="155" t="n">
        <x:v>43210</x:v>
      </x:c>
      <x:c r="B842" s="153" t="n">
        <x:v>2.96</x:v>
      </x:c>
      <x:c r="C842" s="153" t="n">
        <x:v>0.79</x:v>
      </x:c>
      <x:c r="D842" s="153" t="n">
        <x:v>2.17</x:v>
      </x:c>
      <x:c r="E842" s="153" t="n">
        <x:v>108.1787</x:v>
      </x:c>
      <x:c r="F842" s="153" t="n">
        <x:v>16.88</x:v>
      </x:c>
      <x:c r="G842" s="153" t="n">
        <x:v>1.7</x:v>
      </x:c>
    </x:row>
    <x:row r="843">
      <x:c r="A843" s="155" t="n">
        <x:v>43211</x:v>
      </x:c>
      <x:c r="B843" s="153"/>
      <x:c r="C843" s="153"/>
      <x:c r="D843" s="153"/>
      <x:c r="E843" s="153"/>
      <x:c r="F843" s="153"/>
      <x:c r="G843" s="153" t="n">
        <x:v>1.7</x:v>
      </x:c>
    </x:row>
    <x:row r="844">
      <x:c r="A844" s="155" t="n">
        <x:v>43212</x:v>
      </x:c>
      <x:c r="B844" s="153"/>
      <x:c r="C844" s="153"/>
      <x:c r="D844" s="153"/>
      <x:c r="E844" s="153"/>
      <x:c r="F844" s="153"/>
      <x:c r="G844" s="153" t="n">
        <x:v>1.7</x:v>
      </x:c>
    </x:row>
    <x:row r="845">
      <x:c r="A845" s="155" t="n">
        <x:v>43213</x:v>
      </x:c>
      <x:c r="B845" s="153" t="n">
        <x:v>2.98</x:v>
      </x:c>
      <x:c r="C845" s="153" t="n">
        <x:v>0.8</x:v>
      </x:c>
      <x:c r="D845" s="153" t="n">
        <x:v>2.18</x:v>
      </x:c>
      <x:c r="E845" s="153" t="n">
        <x:v>108.9332</x:v>
      </x:c>
      <x:c r="F845" s="153" t="n">
        <x:v>16.34</x:v>
      </x:c>
      <x:c r="G845" s="153" t="n">
        <x:v>1.7</x:v>
      </x:c>
    </x:row>
    <x:row r="846">
      <x:c r="A846" s="155" t="n">
        <x:v>43214</x:v>
      </x:c>
      <x:c r="B846" s="153" t="n">
        <x:v>3</x:v>
      </x:c>
      <x:c r="C846" s="153" t="n">
        <x:v>0.83</x:v>
      </x:c>
      <x:c r="D846" s="153" t="n">
        <x:v>2.17</x:v>
      </x:c>
      <x:c r="E846" s="153" t="n">
        <x:v>108.7906</x:v>
      </x:c>
      <x:c r="F846" s="153" t="n">
        <x:v>18.02</x:v>
      </x:c>
      <x:c r="G846" s="153" t="n">
        <x:v>1.7</x:v>
      </x:c>
    </x:row>
    <x:row r="847">
      <x:c r="A847" s="155" t="n">
        <x:v>43215</x:v>
      </x:c>
      <x:c r="B847" s="153" t="n">
        <x:v>3.03</x:v>
      </x:c>
      <x:c r="C847" s="153" t="n">
        <x:v>0.86</x:v>
      </x:c>
      <x:c r="D847" s="153" t="n">
        <x:v>2.17</x:v>
      </x:c>
      <x:c r="E847" s="153" t="n">
        <x:v>109.3447</x:v>
      </x:c>
      <x:c r="F847" s="153" t="n">
        <x:v>17.84</x:v>
      </x:c>
      <x:c r="G847" s="153" t="n">
        <x:v>1.7</x:v>
      </x:c>
    </x:row>
    <x:row r="848">
      <x:c r="A848" s="155" t="n">
        <x:v>43216</x:v>
      </x:c>
      <x:c r="B848" s="153" t="n">
        <x:v>3</x:v>
      </x:c>
      <x:c r="C848" s="153" t="n">
        <x:v>0.82</x:v>
      </x:c>
      <x:c r="D848" s="153" t="n">
        <x:v>2.18</x:v>
      </x:c>
      <x:c r="E848" s="153" t="n">
        <x:v>109.3646</x:v>
      </x:c>
      <x:c r="F848" s="153" t="n">
        <x:v>16.24</x:v>
      </x:c>
      <x:c r="G848" s="153" t="n">
        <x:v>1.7</x:v>
      </x:c>
    </x:row>
    <x:row r="849">
      <x:c r="A849" s="155" t="n">
        <x:v>43217</x:v>
      </x:c>
      <x:c r="B849" s="153" t="n">
        <x:v>2.96</x:v>
      </x:c>
      <x:c r="C849" s="153" t="n">
        <x:v>0.79</x:v>
      </x:c>
      <x:c r="D849" s="153" t="n">
        <x:v>2.17</x:v>
      </x:c>
      <x:c r="E849" s="153" t="n">
        <x:v>109.1735</x:v>
      </x:c>
      <x:c r="F849" s="153" t="n">
        <x:v>15.41</x:v>
      </x:c>
      <x:c r="G849" s="153" t="n">
        <x:v>1.7</x:v>
      </x:c>
    </x:row>
    <x:row r="850">
      <x:c r="A850" s="155" t="n">
        <x:v>43218</x:v>
      </x:c>
      <x:c r="B850" s="153"/>
      <x:c r="C850" s="153"/>
      <x:c r="D850" s="153"/>
      <x:c r="E850" s="153"/>
      <x:c r="F850" s="153"/>
      <x:c r="G850" s="153" t="n">
        <x:v>1.7</x:v>
      </x:c>
    </x:row>
    <x:row r="851">
      <x:c r="A851" s="155" t="n">
        <x:v>43219</x:v>
      </x:c>
      <x:c r="B851" s="153"/>
      <x:c r="C851" s="153"/>
      <x:c r="D851" s="153"/>
      <x:c r="E851" s="153"/>
      <x:c r="F851" s="153"/>
      <x:c r="G851" s="153" t="n">
        <x:v>1.7</x:v>
      </x:c>
    </x:row>
    <x:row r="852">
      <x:c r="A852" s="155" t="n">
        <x:v>43220</x:v>
      </x:c>
      <x:c r="B852" s="153" t="n">
        <x:v>2.95</x:v>
      </x:c>
      <x:c r="C852" s="153" t="n">
        <x:v>0.78</x:v>
      </x:c>
      <x:c r="D852" s="153" t="n">
        <x:v>2.17</x:v>
      </x:c>
      <x:c r="E852" s="153" t="n">
        <x:v>109.3363</x:v>
      </x:c>
      <x:c r="F852" s="153" t="n">
        <x:v>15.93</x:v>
      </x:c>
      <x:c r="G852" s="153" t="n">
        <x:v>1.69</x:v>
      </x:c>
    </x:row>
    <x:row r="853">
      <x:c r="A853" s="155" t="n">
        <x:v>43221</x:v>
      </x:c>
      <x:c r="B853" s="153" t="n">
        <x:v>2.97</x:v>
      </x:c>
      <x:c r="C853" s="153" t="n">
        <x:v>0.81</x:v>
      </x:c>
      <x:c r="D853" s="153" t="n">
        <x:v>2.16</x:v>
      </x:c>
      <x:c r="E853" s="153" t="n">
        <x:v>109.7445</x:v>
      </x:c>
      <x:c r="F853" s="153" t="n">
        <x:v>15.49</x:v>
      </x:c>
      <x:c r="G853" s="153" t="n">
        <x:v>1.7</x:v>
      </x:c>
    </x:row>
    <x:row r="854">
      <x:c r="A854" s="155" t="n">
        <x:v>43222</x:v>
      </x:c>
      <x:c r="B854" s="153" t="n">
        <x:v>2.97</x:v>
      </x:c>
      <x:c r="C854" s="153" t="n">
        <x:v>0.8</x:v>
      </x:c>
      <x:c r="D854" s="153" t="n">
        <x:v>2.17</x:v>
      </x:c>
      <x:c r="E854" s="153" t="n">
        <x:v>110.1625</x:v>
      </x:c>
      <x:c r="F854" s="153" t="n">
        <x:v>15.97</x:v>
      </x:c>
      <x:c r="G854" s="153" t="n">
        <x:v>1.7</x:v>
      </x:c>
    </x:row>
    <x:row r="855">
      <x:c r="A855" s="155" t="n">
        <x:v>43223</x:v>
      </x:c>
      <x:c r="B855" s="153" t="n">
        <x:v>2.94</x:v>
      </x:c>
      <x:c r="C855" s="153" t="n">
        <x:v>0.78</x:v>
      </x:c>
      <x:c r="D855" s="153" t="n">
        <x:v>2.16</x:v>
      </x:c>
      <x:c r="E855" s="153" t="n">
        <x:v>110.1803</x:v>
      </x:c>
      <x:c r="F855" s="153" t="n">
        <x:v>15.9</x:v>
      </x:c>
      <x:c r="G855" s="153" t="n">
        <x:v>1.7</x:v>
      </x:c>
    </x:row>
    <x:row r="856">
      <x:c r="A856" s="155" t="n">
        <x:v>43224</x:v>
      </x:c>
      <x:c r="B856" s="153" t="n">
        <x:v>2.95</x:v>
      </x:c>
      <x:c r="C856" s="153" t="n">
        <x:v>0.79</x:v>
      </x:c>
      <x:c r="D856" s="153" t="n">
        <x:v>2.16</x:v>
      </x:c>
      <x:c r="E856" s="153" t="n">
        <x:v>110.25</x:v>
      </x:c>
      <x:c r="F856" s="153" t="n">
        <x:v>14.77</x:v>
      </x:c>
      <x:c r="G856" s="153" t="n">
        <x:v>1.7</x:v>
      </x:c>
    </x:row>
    <x:row r="857">
      <x:c r="A857" s="155" t="n">
        <x:v>43225</x:v>
      </x:c>
      <x:c r="B857" s="153"/>
      <x:c r="C857" s="153"/>
      <x:c r="D857" s="153"/>
      <x:c r="E857" s="153"/>
      <x:c r="F857" s="153"/>
      <x:c r="G857" s="153" t="n">
        <x:v>1.7</x:v>
      </x:c>
    </x:row>
    <x:row r="858">
      <x:c r="A858" s="155" t="n">
        <x:v>43226</x:v>
      </x:c>
      <x:c r="B858" s="153"/>
      <x:c r="C858" s="153"/>
      <x:c r="D858" s="153"/>
      <x:c r="E858" s="153"/>
      <x:c r="F858" s="153"/>
      <x:c r="G858" s="153" t="n">
        <x:v>1.7</x:v>
      </x:c>
    </x:row>
    <x:row r="859">
      <x:c r="A859" s="155" t="n">
        <x:v>43227</x:v>
      </x:c>
      <x:c r="B859" s="153" t="n">
        <x:v>2.95</x:v>
      </x:c>
      <x:c r="C859" s="153" t="n">
        <x:v>0.78</x:v>
      </x:c>
      <x:c r="D859" s="153" t="n">
        <x:v>2.17</x:v>
      </x:c>
      <x:c r="E859" s="153" t="n">
        <x:v>110.5721</x:v>
      </x:c>
      <x:c r="F859" s="153" t="n">
        <x:v>14.75</x:v>
      </x:c>
      <x:c r="G859" s="153" t="n">
        <x:v>1.7</x:v>
      </x:c>
    </x:row>
    <x:row r="860">
      <x:c r="A860" s="155" t="n">
        <x:v>43228</x:v>
      </x:c>
      <x:c r="B860" s="153" t="n">
        <x:v>2.97</x:v>
      </x:c>
      <x:c r="C860" s="153" t="n">
        <x:v>0.81</x:v>
      </x:c>
      <x:c r="D860" s="153" t="n">
        <x:v>2.16</x:v>
      </x:c>
      <x:c r="E860" s="153" t="n">
        <x:v>111.063</x:v>
      </x:c>
      <x:c r="F860" s="153" t="n">
        <x:v>14.71</x:v>
      </x:c>
      <x:c r="G860" s="153" t="n">
        <x:v>1.7</x:v>
      </x:c>
    </x:row>
    <x:row r="861">
      <x:c r="A861" s="155" t="n">
        <x:v>43229</x:v>
      </x:c>
      <x:c r="B861" s="153" t="n">
        <x:v>3</x:v>
      </x:c>
      <x:c r="C861" s="153" t="n">
        <x:v>0.82</x:v>
      </x:c>
      <x:c r="D861" s="153" t="n">
        <x:v>2.18</x:v>
      </x:c>
      <x:c r="E861" s="153" t="n">
        <x:v>110.8818</x:v>
      </x:c>
      <x:c r="F861" s="153" t="n">
        <x:v>13.42</x:v>
      </x:c>
      <x:c r="G861" s="153" t="n">
        <x:v>1.7</x:v>
      </x:c>
    </x:row>
    <x:row r="862">
      <x:c r="A862" s="155" t="n">
        <x:v>43230</x:v>
      </x:c>
      <x:c r="B862" s="153" t="n">
        <x:v>2.97</x:v>
      </x:c>
      <x:c r="C862" s="153" t="n">
        <x:v>0.8</x:v>
      </x:c>
      <x:c r="D862" s="153" t="n">
        <x:v>2.17</x:v>
      </x:c>
      <x:c r="E862" s="153" t="n">
        <x:v>110.405</x:v>
      </x:c>
      <x:c r="F862" s="153" t="n">
        <x:v>13.23</x:v>
      </x:c>
      <x:c r="G862" s="153" t="n">
        <x:v>1.7</x:v>
      </x:c>
    </x:row>
    <x:row r="863">
      <x:c r="A863" s="155" t="n">
        <x:v>43231</x:v>
      </x:c>
      <x:c r="B863" s="153" t="n">
        <x:v>2.97</x:v>
      </x:c>
      <x:c r="C863" s="153" t="n">
        <x:v>0.82</x:v>
      </x:c>
      <x:c r="D863" s="153" t="n">
        <x:v>2.15</x:v>
      </x:c>
      <x:c r="E863" s="153" t="n">
        <x:v>110.2847</x:v>
      </x:c>
      <x:c r="F863" s="153" t="n">
        <x:v>12.65</x:v>
      </x:c>
      <x:c r="G863" s="153" t="n">
        <x:v>1.7</x:v>
      </x:c>
    </x:row>
    <x:row r="864">
      <x:c r="A864" s="155" t="n">
        <x:v>43232</x:v>
      </x:c>
      <x:c r="B864" s="153"/>
      <x:c r="C864" s="153"/>
      <x:c r="D864" s="153"/>
      <x:c r="E864" s="153"/>
      <x:c r="F864" s="153"/>
      <x:c r="G864" s="153" t="n">
        <x:v>1.7</x:v>
      </x:c>
    </x:row>
    <x:row r="865">
      <x:c r="A865" s="155" t="n">
        <x:v>43233</x:v>
      </x:c>
      <x:c r="B865" s="153"/>
      <x:c r="C865" s="153"/>
      <x:c r="D865" s="153"/>
      <x:c r="E865" s="153"/>
      <x:c r="F865" s="153"/>
      <x:c r="G865" s="153" t="n">
        <x:v>1.7</x:v>
      </x:c>
    </x:row>
    <x:row r="866">
      <x:c r="A866" s="155" t="n">
        <x:v>43234</x:v>
      </x:c>
      <x:c r="B866" s="153" t="n">
        <x:v>3</x:v>
      </x:c>
      <x:c r="C866" s="153" t="n">
        <x:v>0.85</x:v>
      </x:c>
      <x:c r="D866" s="153" t="n">
        <x:v>2.15</x:v>
      </x:c>
      <x:c r="E866" s="153" t="n">
        <x:v>110.408</x:v>
      </x:c>
      <x:c r="F866" s="153" t="n">
        <x:v>12.93</x:v>
      </x:c>
      <x:c r="G866" s="153" t="n">
        <x:v>1.7</x:v>
      </x:c>
    </x:row>
    <x:row r="867">
      <x:c r="A867" s="155" t="n">
        <x:v>43235</x:v>
      </x:c>
      <x:c r="B867" s="153" t="n">
        <x:v>3.08</x:v>
      </x:c>
      <x:c r="C867" s="153" t="n">
        <x:v>0.9</x:v>
      </x:c>
      <x:c r="D867" s="153" t="n">
        <x:v>2.18</x:v>
      </x:c>
      <x:c r="E867" s="153" t="n">
        <x:v>111.2292</x:v>
      </x:c>
      <x:c r="F867" s="153" t="n">
        <x:v>14.63</x:v>
      </x:c>
      <x:c r="G867" s="153" t="n">
        <x:v>1.7</x:v>
      </x:c>
    </x:row>
    <x:row r="868">
      <x:c r="A868" s="155" t="n">
        <x:v>43236</x:v>
      </x:c>
      <x:c r="B868" s="153" t="n">
        <x:v>3.09</x:v>
      </x:c>
      <x:c r="C868" s="153" t="n">
        <x:v>0.92</x:v>
      </x:c>
      <x:c r="D868" s="153" t="n">
        <x:v>2.17</x:v>
      </x:c>
      <x:c r="E868" s="153" t="n">
        <x:v>111.3068</x:v>
      </x:c>
      <x:c r="F868" s="153" t="n">
        <x:v>13.42</x:v>
      </x:c>
      <x:c r="G868" s="153" t="n">
        <x:v>1.7</x:v>
      </x:c>
    </x:row>
    <x:row r="869">
      <x:c r="A869" s="155" t="n">
        <x:v>43237</x:v>
      </x:c>
      <x:c r="B869" s="153" t="n">
        <x:v>3.11</x:v>
      </x:c>
      <x:c r="C869" s="153" t="n">
        <x:v>0.95</x:v>
      </x:c>
      <x:c r="D869" s="153" t="n">
        <x:v>2.16</x:v>
      </x:c>
      <x:c r="E869" s="153" t="n">
        <x:v>111.3547</x:v>
      </x:c>
      <x:c r="F869" s="153" t="n">
        <x:v>13.43</x:v>
      </x:c>
      <x:c r="G869" s="153" t="n">
        <x:v>1.7</x:v>
      </x:c>
    </x:row>
    <x:row r="870">
      <x:c r="A870" s="155" t="n">
        <x:v>43238</x:v>
      </x:c>
      <x:c r="B870" s="153" t="n">
        <x:v>3.06</x:v>
      </x:c>
      <x:c r="C870" s="153" t="n">
        <x:v>0.91</x:v>
      </x:c>
      <x:c r="D870" s="153" t="n">
        <x:v>2.15</x:v>
      </x:c>
      <x:c r="E870" s="153" t="n">
        <x:v>111.7171</x:v>
      </x:c>
      <x:c r="F870" s="153" t="n">
        <x:v>13.42</x:v>
      </x:c>
      <x:c r="G870" s="153" t="n">
        <x:v>1.7</x:v>
      </x:c>
    </x:row>
    <x:row r="871">
      <x:c r="A871" s="155" t="n">
        <x:v>43239</x:v>
      </x:c>
      <x:c r="B871" s="153"/>
      <x:c r="C871" s="153"/>
      <x:c r="D871" s="153"/>
      <x:c r="E871" s="153"/>
      <x:c r="F871" s="153"/>
      <x:c r="G871" s="153" t="n">
        <x:v>1.7</x:v>
      </x:c>
    </x:row>
    <x:row r="872">
      <x:c r="A872" s="155" t="n">
        <x:v>43240</x:v>
      </x:c>
      <x:c r="B872" s="153"/>
      <x:c r="C872" s="153"/>
      <x:c r="D872" s="153"/>
      <x:c r="E872" s="153"/>
      <x:c r="F872" s="153"/>
      <x:c r="G872" s="153" t="n">
        <x:v>1.7</x:v>
      </x:c>
    </x:row>
    <x:row r="873">
      <x:c r="A873" s="155" t="n">
        <x:v>43241</x:v>
      </x:c>
      <x:c r="B873" s="153" t="n">
        <x:v>3.06</x:v>
      </x:c>
      <x:c r="C873" s="153" t="n">
        <x:v>0.9</x:v>
      </x:c>
      <x:c r="D873" s="153" t="n">
        <x:v>2.16</x:v>
      </x:c>
      <x:c r="E873" s="153" t="n">
        <x:v>111.6394</x:v>
      </x:c>
      <x:c r="F873" s="153" t="n">
        <x:v>13.08</x:v>
      </x:c>
      <x:c r="G873" s="153" t="n">
        <x:v>1.7</x:v>
      </x:c>
    </x:row>
    <x:row r="874">
      <x:c r="A874" s="155" t="n">
        <x:v>43242</x:v>
      </x:c>
      <x:c r="B874" s="153" t="n">
        <x:v>3.06</x:v>
      </x:c>
      <x:c r="C874" s="153" t="n">
        <x:v>0.91</x:v>
      </x:c>
      <x:c r="D874" s="153" t="n">
        <x:v>2.15</x:v>
      </x:c>
      <x:c r="E874" s="153" t="n">
        <x:v>111.1945</x:v>
      </x:c>
      <x:c r="F874" s="153" t="n">
        <x:v>13.22</x:v>
      </x:c>
      <x:c r="G874" s="153" t="n">
        <x:v>1.7</x:v>
      </x:c>
    </x:row>
    <x:row r="875">
      <x:c r="A875" s="155" t="n">
        <x:v>43243</x:v>
      </x:c>
      <x:c r="B875" s="153" t="n">
        <x:v>3.01</x:v>
      </x:c>
      <x:c r="C875" s="153" t="n">
        <x:v>0.87</x:v>
      </x:c>
      <x:c r="D875" s="153" t="n">
        <x:v>2.14</x:v>
      </x:c>
      <x:c r="E875" s="153" t="n">
        <x:v>111.6933</x:v>
      </x:c>
      <x:c r="F875" s="153" t="n">
        <x:v>12.58</x:v>
      </x:c>
      <x:c r="G875" s="153" t="n">
        <x:v>1.7</x:v>
      </x:c>
    </x:row>
    <x:row r="876">
      <x:c r="A876" s="155" t="n">
        <x:v>43244</x:v>
      </x:c>
      <x:c r="B876" s="153" t="n">
        <x:v>2.98</x:v>
      </x:c>
      <x:c r="C876" s="153" t="n">
        <x:v>0.86</x:v>
      </x:c>
      <x:c r="D876" s="153" t="n">
        <x:v>2.12</x:v>
      </x:c>
      <x:c r="E876" s="153" t="n">
        <x:v>111.4885</x:v>
      </x:c>
      <x:c r="F876" s="153" t="n">
        <x:v>12.53</x:v>
      </x:c>
      <x:c r="G876" s="153" t="n">
        <x:v>1.7</x:v>
      </x:c>
    </x:row>
    <x:row r="877">
      <x:c r="A877" s="155" t="n">
        <x:v>43245</x:v>
      </x:c>
      <x:c r="B877" s="153" t="n">
        <x:v>2.93</x:v>
      </x:c>
      <x:c r="C877" s="153" t="n">
        <x:v>0.84</x:v>
      </x:c>
      <x:c r="D877" s="153" t="n">
        <x:v>2.09</x:v>
      </x:c>
      <x:c r="E877" s="153" t="n">
        <x:v>111.5843</x:v>
      </x:c>
      <x:c r="F877" s="153" t="n">
        <x:v>13.22</x:v>
      </x:c>
      <x:c r="G877" s="153" t="n">
        <x:v>1.7</x:v>
      </x:c>
    </x:row>
    <x:row r="878">
      <x:c r="A878" s="155" t="n">
        <x:v>43246</x:v>
      </x:c>
      <x:c r="B878" s="153"/>
      <x:c r="C878" s="153"/>
      <x:c r="D878" s="153"/>
      <x:c r="E878" s="153"/>
      <x:c r="F878" s="153"/>
      <x:c r="G878" s="153" t="n">
        <x:v>1.7</x:v>
      </x:c>
    </x:row>
    <x:row r="879">
      <x:c r="A879" s="155" t="n">
        <x:v>43247</x:v>
      </x:c>
      <x:c r="B879" s="153"/>
      <x:c r="C879" s="153"/>
      <x:c r="D879" s="153"/>
      <x:c r="E879" s="153"/>
      <x:c r="F879" s="153"/>
      <x:c r="G879" s="153" t="n">
        <x:v>1.7</x:v>
      </x:c>
    </x:row>
    <x:row r="880">
      <x:c r="A880" s="155" t="n">
        <x:v>43248</x:v>
      </x:c>
      <x:c r="B880" s="153"/>
      <x:c r="C880" s="153"/>
      <x:c r="D880" s="153"/>
      <x:c r="E880" s="153"/>
      <x:c r="F880" s="153"/>
      <x:c r="G880" s="153" t="n">
        <x:v>1.7</x:v>
      </x:c>
    </x:row>
    <x:row r="881">
      <x:c r="A881" s="155" t="n">
        <x:v>43249</x:v>
      </x:c>
      <x:c r="B881" s="153" t="n">
        <x:v>2.77</x:v>
      </x:c>
      <x:c r="C881" s="153" t="n">
        <x:v>0.73</x:v>
      </x:c>
      <x:c r="D881" s="153" t="n">
        <x:v>2.04</x:v>
      </x:c>
      <x:c r="E881" s="153" t="n">
        <x:v>112.2127</x:v>
      </x:c>
      <x:c r="F881" s="153" t="n">
        <x:v>17.02</x:v>
      </x:c>
      <x:c r="G881" s="153" t="n">
        <x:v>1.7</x:v>
      </x:c>
    </x:row>
    <x:row r="882">
      <x:c r="A882" s="155" t="n">
        <x:v>43250</x:v>
      </x:c>
      <x:c r="B882" s="153" t="n">
        <x:v>2.84</x:v>
      </x:c>
      <x:c r="C882" s="153" t="n">
        <x:v>0.78</x:v>
      </x:c>
      <x:c r="D882" s="153" t="n">
        <x:v>2.06</x:v>
      </x:c>
      <x:c r="E882" s="153" t="n">
        <x:v>111.6731</x:v>
      </x:c>
      <x:c r="F882" s="153" t="n">
        <x:v>14.94</x:v>
      </x:c>
      <x:c r="G882" s="153" t="n">
        <x:v>1.7</x:v>
      </x:c>
    </x:row>
    <x:row r="883">
      <x:c r="A883" s="155" t="n">
        <x:v>43251</x:v>
      </x:c>
      <x:c r="B883" s="153" t="n">
        <x:v>2.83</x:v>
      </x:c>
      <x:c r="C883" s="153" t="n">
        <x:v>0.76</x:v>
      </x:c>
      <x:c r="D883" s="153" t="n">
        <x:v>2.07</x:v>
      </x:c>
      <x:c r="E883" s="153" t="n">
        <x:v>111.9894</x:v>
      </x:c>
      <x:c r="F883" s="153" t="n">
        <x:v>15.43</x:v>
      </x:c>
      <x:c r="G883" s="153" t="n">
        <x:v>1.7</x:v>
      </x:c>
    </x:row>
    <x:row r="884">
      <x:c r="A884" s="155" t="n">
        <x:v>43252</x:v>
      </x:c>
      <x:c r="B884" s="153" t="n">
        <x:v>2.89</x:v>
      </x:c>
      <x:c r="C884" s="153" t="n">
        <x:v>0.8</x:v>
      </x:c>
      <x:c r="D884" s="153" t="n">
        <x:v>2.09</x:v>
      </x:c>
      <x:c r="E884" s="153" t="n">
        <x:v>111.8265</x:v>
      </x:c>
      <x:c r="F884" s="153" t="n">
        <x:v>13.46</x:v>
      </x:c>
      <x:c r="G884" s="153" t="n">
        <x:v>1.7</x:v>
      </x:c>
    </x:row>
    <x:row r="885">
      <x:c r="A885" s="155" t="n">
        <x:v>43253</x:v>
      </x:c>
      <x:c r="B885" s="153"/>
      <x:c r="C885" s="153"/>
      <x:c r="D885" s="153"/>
      <x:c r="E885" s="153"/>
      <x:c r="F885" s="153"/>
      <x:c r="G885" s="153" t="n">
        <x:v>1.7</x:v>
      </x:c>
    </x:row>
    <x:row r="886">
      <x:c r="A886" s="155" t="n">
        <x:v>43254</x:v>
      </x:c>
      <x:c r="B886" s="153"/>
      <x:c r="C886" s="153"/>
      <x:c r="D886" s="153"/>
      <x:c r="E886" s="153"/>
      <x:c r="F886" s="153"/>
      <x:c r="G886" s="153" t="n">
        <x:v>1.7</x:v>
      </x:c>
    </x:row>
    <x:row r="887">
      <x:c r="A887" s="155" t="n">
        <x:v>43255</x:v>
      </x:c>
      <x:c r="B887" s="153" t="n">
        <x:v>2.94</x:v>
      </x:c>
      <x:c r="C887" s="153" t="n">
        <x:v>0.82</x:v>
      </x:c>
      <x:c r="D887" s="153" t="n">
        <x:v>2.12</x:v>
      </x:c>
      <x:c r="E887" s="153" t="n">
        <x:v>111.8247</x:v>
      </x:c>
      <x:c r="F887" s="153" t="n">
        <x:v>12.74</x:v>
      </x:c>
      <x:c r="G887" s="153" t="n">
        <x:v>1.7</x:v>
      </x:c>
    </x:row>
    <x:row r="888">
      <x:c r="A888" s="155" t="n">
        <x:v>43256</x:v>
      </x:c>
      <x:c r="B888" s="153" t="n">
        <x:v>2.92</x:v>
      </x:c>
      <x:c r="C888" s="153" t="n">
        <x:v>0.79</x:v>
      </x:c>
      <x:c r="D888" s="153" t="n">
        <x:v>2.13</x:v>
      </x:c>
      <x:c r="E888" s="153" t="n">
        <x:v>112.264</x:v>
      </x:c>
      <x:c r="F888" s="153" t="n">
        <x:v>12.4</x:v>
      </x:c>
      <x:c r="G888" s="153" t="n">
        <x:v>1.7</x:v>
      </x:c>
    </x:row>
    <x:row r="889">
      <x:c r="A889" s="155" t="n">
        <x:v>43257</x:v>
      </x:c>
      <x:c r="B889" s="153" t="n">
        <x:v>2.97</x:v>
      </x:c>
      <x:c r="C889" s="153" t="n">
        <x:v>0.83</x:v>
      </x:c>
      <x:c r="D889" s="153" t="n">
        <x:v>2.14</x:v>
      </x:c>
      <x:c r="E889" s="153" t="n">
        <x:v>111.7525</x:v>
      </x:c>
      <x:c r="F889" s="153" t="n">
        <x:v>11.64</x:v>
      </x:c>
      <x:c r="G889" s="153" t="n">
        <x:v>1.7</x:v>
      </x:c>
    </x:row>
    <x:row r="890">
      <x:c r="A890" s="155" t="n">
        <x:v>43258</x:v>
      </x:c>
      <x:c r="B890" s="153" t="n">
        <x:v>2.93</x:v>
      </x:c>
      <x:c r="C890" s="153" t="n">
        <x:v>0.8</x:v>
      </x:c>
      <x:c r="D890" s="153" t="n">
        <x:v>2.13</x:v>
      </x:c>
      <x:c r="E890" s="153" t="n">
        <x:v>112.0725</x:v>
      </x:c>
      <x:c r="F890" s="153" t="n">
        <x:v>12.13</x:v>
      </x:c>
      <x:c r="G890" s="153" t="n">
        <x:v>1.7</x:v>
      </x:c>
    </x:row>
    <x:row r="891">
      <x:c r="A891" s="155" t="n">
        <x:v>43259</x:v>
      </x:c>
      <x:c r="B891" s="153" t="n">
        <x:v>2.93</x:v>
      </x:c>
      <x:c r="C891" s="153" t="n">
        <x:v>0.82</x:v>
      </x:c>
      <x:c r="D891" s="153" t="n">
        <x:v>2.11</x:v>
      </x:c>
      <x:c r="E891" s="153" t="n">
        <x:v>112.1066</x:v>
      </x:c>
      <x:c r="F891" s="153" t="n">
        <x:v>12.18</x:v>
      </x:c>
      <x:c r="G891" s="153" t="n">
        <x:v>1.7</x:v>
      </x:c>
    </x:row>
    <x:row r="892">
      <x:c r="A892" s="155" t="n">
        <x:v>43260</x:v>
      </x:c>
      <x:c r="B892" s="153"/>
      <x:c r="C892" s="153"/>
      <x:c r="D892" s="153"/>
      <x:c r="E892" s="153"/>
      <x:c r="F892" s="153"/>
      <x:c r="G892" s="153" t="n">
        <x:v>1.7</x:v>
      </x:c>
    </x:row>
    <x:row r="893">
      <x:c r="A893" s="155" t="n">
        <x:v>43261</x:v>
      </x:c>
      <x:c r="B893" s="153"/>
      <x:c r="C893" s="153"/>
      <x:c r="D893" s="153"/>
      <x:c r="E893" s="153"/>
      <x:c r="F893" s="153"/>
      <x:c r="G893" s="153" t="n">
        <x:v>1.7</x:v>
      </x:c>
    </x:row>
    <x:row r="894">
      <x:c r="A894" s="155" t="n">
        <x:v>43262</x:v>
      </x:c>
      <x:c r="B894" s="153" t="n">
        <x:v>2.96</x:v>
      </x:c>
      <x:c r="C894" s="153" t="n">
        <x:v>0.83</x:v>
      </x:c>
      <x:c r="D894" s="153" t="n">
        <x:v>2.13</x:v>
      </x:c>
      <x:c r="E894" s="153" t="n">
        <x:v>112.1106</x:v>
      </x:c>
      <x:c r="F894" s="153" t="n">
        <x:v>12.35</x:v>
      </x:c>
      <x:c r="G894" s="153" t="n">
        <x:v>1.7</x:v>
      </x:c>
    </x:row>
    <x:row r="895">
      <x:c r="A895" s="155" t="n">
        <x:v>43263</x:v>
      </x:c>
      <x:c r="B895" s="153" t="n">
        <x:v>2.96</x:v>
      </x:c>
      <x:c r="C895" s="153" t="n">
        <x:v>0.83</x:v>
      </x:c>
      <x:c r="D895" s="153" t="n">
        <x:v>2.13</x:v>
      </x:c>
      <x:c r="E895" s="153" t="n">
        <x:v>112.2138</x:v>
      </x:c>
      <x:c r="F895" s="153" t="n">
        <x:v>12.34</x:v>
      </x:c>
      <x:c r="G895" s="153" t="n">
        <x:v>1.7</x:v>
      </x:c>
    </x:row>
    <x:row r="896">
      <x:c r="A896" s="155" t="n">
        <x:v>43264</x:v>
      </x:c>
      <x:c r="B896" s="153" t="n">
        <x:v>2.98</x:v>
      </x:c>
      <x:c r="C896" s="153" t="n">
        <x:v>0.86</x:v>
      </x:c>
      <x:c r="D896" s="153" t="n">
        <x:v>2.12</x:v>
      </x:c>
      <x:c r="E896" s="153" t="n">
        <x:v>112.2577</x:v>
      </x:c>
      <x:c r="F896" s="153" t="n">
        <x:v>12.94</x:v>
      </x:c>
      <x:c r="G896" s="153" t="n">
        <x:v>1.7</x:v>
      </x:c>
    </x:row>
    <x:row r="897">
      <x:c r="A897" s="155" t="n">
        <x:v>43265</x:v>
      </x:c>
      <x:c r="B897" s="153" t="n">
        <x:v>2.94</x:v>
      </x:c>
      <x:c r="C897" s="153" t="n">
        <x:v>0.82</x:v>
      </x:c>
      <x:c r="D897" s="153" t="n">
        <x:v>2.12</x:v>
      </x:c>
      <x:c r="E897" s="153" t="n">
        <x:v>112.8593</x:v>
      </x:c>
      <x:c r="F897" s="153" t="n">
        <x:v>12.12</x:v>
      </x:c>
      <x:c r="G897" s="153" t="n">
        <x:v>1.9</x:v>
      </x:c>
    </x:row>
    <x:row r="898">
      <x:c r="A898" s="155" t="n">
        <x:v>43266</x:v>
      </x:c>
      <x:c r="B898" s="153" t="n">
        <x:v>2.93</x:v>
      </x:c>
      <x:c r="C898" s="153" t="n">
        <x:v>0.81</x:v>
      </x:c>
      <x:c r="D898" s="153" t="n">
        <x:v>2.12</x:v>
      </x:c>
      <x:c r="E898" s="153" t="n">
        <x:v>113.3379</x:v>
      </x:c>
      <x:c r="F898" s="153" t="n">
        <x:v>11.98</x:v>
      </x:c>
      <x:c r="G898" s="153" t="n">
        <x:v>1.9</x:v>
      </x:c>
    </x:row>
    <x:row r="899">
      <x:c r="A899" s="155" t="n">
        <x:v>43267</x:v>
      </x:c>
      <x:c r="B899" s="153"/>
      <x:c r="C899" s="153"/>
      <x:c r="D899" s="153"/>
      <x:c r="E899" s="153"/>
      <x:c r="F899" s="153"/>
      <x:c r="G899" s="153" t="n">
        <x:v>1.9</x:v>
      </x:c>
    </x:row>
    <x:row r="900">
      <x:c r="A900" s="155" t="n">
        <x:v>43268</x:v>
      </x:c>
      <x:c r="B900" s="153"/>
      <x:c r="C900" s="153"/>
      <x:c r="D900" s="153"/>
      <x:c r="E900" s="153"/>
      <x:c r="F900" s="153"/>
      <x:c r="G900" s="153" t="n">
        <x:v>1.9</x:v>
      </x:c>
    </x:row>
    <x:row r="901">
      <x:c r="A901" s="155" t="n">
        <x:v>43269</x:v>
      </x:c>
      <x:c r="B901" s="153" t="n">
        <x:v>2.92</x:v>
      </x:c>
      <x:c r="C901" s="153" t="n">
        <x:v>0.8</x:v>
      </x:c>
      <x:c r="D901" s="153" t="n">
        <x:v>2.12</x:v>
      </x:c>
      <x:c r="E901" s="153" t="n">
        <x:v>113.4899</x:v>
      </x:c>
      <x:c r="F901" s="153" t="n">
        <x:v>12.31</x:v>
      </x:c>
      <x:c r="G901" s="153" t="n">
        <x:v>1.9</x:v>
      </x:c>
    </x:row>
    <x:row r="902">
      <x:c r="A902" s="155" t="n">
        <x:v>43270</x:v>
      </x:c>
      <x:c r="B902" s="153" t="n">
        <x:v>2.89</x:v>
      </x:c>
      <x:c r="C902" s="153" t="n">
        <x:v>0.77</x:v>
      </x:c>
      <x:c r="D902" s="153" t="n">
        <x:v>2.12</x:v>
      </x:c>
      <x:c r="E902" s="153" t="n">
        <x:v>113.639</x:v>
      </x:c>
      <x:c r="F902" s="153" t="n">
        <x:v>13.35</x:v>
      </x:c>
      <x:c r="G902" s="153" t="n">
        <x:v>1.91</x:v>
      </x:c>
    </x:row>
    <x:row r="903">
      <x:c r="A903" s="155" t="n">
        <x:v>43271</x:v>
      </x:c>
      <x:c r="B903" s="153" t="n">
        <x:v>2.93</x:v>
      </x:c>
      <x:c r="C903" s="153" t="n">
        <x:v>0.81</x:v>
      </x:c>
      <x:c r="D903" s="153" t="n">
        <x:v>2.12</x:v>
      </x:c>
      <x:c r="E903" s="153" t="n">
        <x:v>113.4784</x:v>
      </x:c>
      <x:c r="F903" s="153" t="n">
        <x:v>12.79</x:v>
      </x:c>
      <x:c r="G903" s="153" t="n">
        <x:v>1.92</x:v>
      </x:c>
    </x:row>
    <x:row r="904">
      <x:c r="A904" s="155" t="n">
        <x:v>43272</x:v>
      </x:c>
      <x:c r="B904" s="153" t="n">
        <x:v>2.9</x:v>
      </x:c>
      <x:c r="C904" s="153" t="n">
        <x:v>0.79</x:v>
      </x:c>
      <x:c r="D904" s="153" t="n">
        <x:v>2.11</x:v>
      </x:c>
      <x:c r="E904" s="153" t="n">
        <x:v>113.6109</x:v>
      </x:c>
      <x:c r="F904" s="153" t="n">
        <x:v>14.64</x:v>
      </x:c>
      <x:c r="G904" s="153" t="n">
        <x:v>1.92</x:v>
      </x:c>
    </x:row>
    <x:row r="905">
      <x:c r="A905" s="155" t="n">
        <x:v>43273</x:v>
      </x:c>
      <x:c r="B905" s="153" t="n">
        <x:v>2.9</x:v>
      </x:c>
      <x:c r="C905" s="153" t="n">
        <x:v>0.78</x:v>
      </x:c>
      <x:c r="D905" s="153" t="n">
        <x:v>2.12</x:v>
      </x:c>
      <x:c r="E905" s="153" t="n">
        <x:v>113.3047</x:v>
      </x:c>
      <x:c r="F905" s="153" t="n">
        <x:v>13.77</x:v>
      </x:c>
      <x:c r="G905" s="153" t="n">
        <x:v>1.92</x:v>
      </x:c>
    </x:row>
    <x:row r="906">
      <x:c r="A906" s="155" t="n">
        <x:v>43274</x:v>
      </x:c>
      <x:c r="B906" s="153"/>
      <x:c r="C906" s="153"/>
      <x:c r="D906" s="153"/>
      <x:c r="E906" s="153"/>
      <x:c r="F906" s="153"/>
      <x:c r="G906" s="153" t="n">
        <x:v>1.92</x:v>
      </x:c>
    </x:row>
    <x:row r="907">
      <x:c r="A907" s="155" t="n">
        <x:v>43275</x:v>
      </x:c>
      <x:c r="B907" s="153"/>
      <x:c r="C907" s="153"/>
      <x:c r="D907" s="153"/>
      <x:c r="E907" s="153"/>
      <x:c r="F907" s="153"/>
      <x:c r="G907" s="153" t="n">
        <x:v>1.92</x:v>
      </x:c>
    </x:row>
    <x:row r="908">
      <x:c r="A908" s="155" t="n">
        <x:v>43276</x:v>
      </x:c>
      <x:c r="B908" s="153" t="n">
        <x:v>2.87</x:v>
      </x:c>
      <x:c r="C908" s="153" t="n">
        <x:v>0.77</x:v>
      </x:c>
      <x:c r="D908" s="153" t="n">
        <x:v>2.1</x:v>
      </x:c>
      <x:c r="E908" s="153" t="n">
        <x:v>113.286</x:v>
      </x:c>
      <x:c r="F908" s="153" t="n">
        <x:v>17.33</x:v>
      </x:c>
      <x:c r="G908" s="153" t="n">
        <x:v>1.92</x:v>
      </x:c>
    </x:row>
    <x:row r="909">
      <x:c r="A909" s="155" t="n">
        <x:v>43277</x:v>
      </x:c>
      <x:c r="B909" s="153" t="n">
        <x:v>2.88</x:v>
      </x:c>
      <x:c r="C909" s="153" t="n">
        <x:v>0.76</x:v>
      </x:c>
      <x:c r="D909" s="153" t="n">
        <x:v>2.12</x:v>
      </x:c>
      <x:c r="E909" s="153" t="n">
        <x:v>113.3016</x:v>
      </x:c>
      <x:c r="F909" s="153" t="n">
        <x:v>15.92</x:v>
      </x:c>
      <x:c r="G909" s="153" t="n">
        <x:v>1.92</x:v>
      </x:c>
    </x:row>
    <x:row r="910">
      <x:c r="A910" s="155" t="n">
        <x:v>43278</x:v>
      </x:c>
      <x:c r="B910" s="153" t="n">
        <x:v>2.83</x:v>
      </x:c>
      <x:c r="C910" s="153" t="n">
        <x:v>0.72</x:v>
      </x:c>
      <x:c r="D910" s="153" t="n">
        <x:v>2.11</x:v>
      </x:c>
      <x:c r="E910" s="153" t="n">
        <x:v>113.8971</x:v>
      </x:c>
      <x:c r="F910" s="153" t="n">
        <x:v>17.91</x:v>
      </x:c>
      <x:c r="G910" s="153" t="n">
        <x:v>1.91</x:v>
      </x:c>
    </x:row>
    <x:row r="911">
      <x:c r="A911" s="155" t="n">
        <x:v>43279</x:v>
      </x:c>
      <x:c r="B911" s="153" t="n">
        <x:v>2.84</x:v>
      </x:c>
      <x:c r="C911" s="153" t="n">
        <x:v>0.74</x:v>
      </x:c>
      <x:c r="D911" s="153" t="n">
        <x:v>2.1</x:v>
      </x:c>
      <x:c r="E911" s="153" t="n">
        <x:v>113.8405</x:v>
      </x:c>
      <x:c r="F911" s="153" t="n">
        <x:v>16.85</x:v>
      </x:c>
      <x:c r="G911" s="153" t="n">
        <x:v>1.91</x:v>
      </x:c>
    </x:row>
    <x:row r="912">
      <x:c r="A912" s="155" t="n">
        <x:v>43280</x:v>
      </x:c>
      <x:c r="B912" s="153" t="n">
        <x:v>2.85</x:v>
      </x:c>
      <x:c r="C912" s="153" t="n">
        <x:v>0.74</x:v>
      </x:c>
      <x:c r="D912" s="153" t="n">
        <x:v>2.11</x:v>
      </x:c>
      <x:c r="E912" s="153" t="n">
        <x:v>113.2586</x:v>
      </x:c>
      <x:c r="F912" s="153" t="n">
        <x:v>16.09</x:v>
      </x:c>
      <x:c r="G912" s="153" t="n">
        <x:v>1.91</x:v>
      </x:c>
    </x:row>
    <x:row r="913">
      <x:c r="A913" s="155" t="n">
        <x:v>43281</x:v>
      </x:c>
      <x:c r="B913" s="153"/>
      <x:c r="C913" s="153"/>
      <x:c r="D913" s="153"/>
      <x:c r="E913" s="153"/>
      <x:c r="F913" s="153"/>
      <x:c r="G913" s="153" t="n">
        <x:v>1.91</x:v>
      </x:c>
    </x:row>
    <x:row r="914">
      <x:c r="A914" s="155" t="n">
        <x:v>43282</x:v>
      </x:c>
      <x:c r="B914" s="153"/>
      <x:c r="C914" s="153"/>
      <x:c r="D914" s="153"/>
      <x:c r="E914" s="153"/>
      <x:c r="F914" s="153"/>
      <x:c r="G914" s="153" t="n">
        <x:v>1.91</x:v>
      </x:c>
    </x:row>
    <x:row r="915">
      <x:c r="A915" s="155" t="n">
        <x:v>43283</x:v>
      </x:c>
      <x:c r="B915" s="153" t="n">
        <x:v>2.87</x:v>
      </x:c>
      <x:c r="C915" s="153" t="n">
        <x:v>0.73</x:v>
      </x:c>
      <x:c r="D915" s="153" t="n">
        <x:v>2.14</x:v>
      </x:c>
      <x:c r="E915" s="153" t="n">
        <x:v>114.1673</x:v>
      </x:c>
      <x:c r="F915" s="153" t="n">
        <x:v>15.6</x:v>
      </x:c>
      <x:c r="G915" s="153" t="n">
        <x:v>1.91</x:v>
      </x:c>
    </x:row>
    <x:row r="916">
      <x:c r="A916" s="155" t="n">
        <x:v>43284</x:v>
      </x:c>
      <x:c r="B916" s="153" t="n">
        <x:v>2.83</x:v>
      </x:c>
      <x:c r="C916" s="153" t="n">
        <x:v>0.71</x:v>
      </x:c>
      <x:c r="D916" s="153" t="n">
        <x:v>2.12</x:v>
      </x:c>
      <x:c r="E916" s="153" t="n">
        <x:v>113.3222</x:v>
      </x:c>
      <x:c r="F916" s="153" t="n">
        <x:v>16.14</x:v>
      </x:c>
      <x:c r="G916" s="153" t="n">
        <x:v>1.91</x:v>
      </x:c>
    </x:row>
    <x:row r="917">
      <x:c r="A917" s="155" t="n">
        <x:v>43285</x:v>
      </x:c>
      <x:c r="B917" s="153"/>
      <x:c r="C917" s="153"/>
      <x:c r="D917" s="153"/>
      <x:c r="E917" s="153"/>
      <x:c r="F917" s="153"/>
      <x:c r="G917" s="153" t="n">
        <x:v>1.91</x:v>
      </x:c>
    </x:row>
    <x:row r="918">
      <x:c r="A918" s="155" t="n">
        <x:v>43286</x:v>
      </x:c>
      <x:c r="B918" s="153" t="n">
        <x:v>2.84</x:v>
      </x:c>
      <x:c r="C918" s="153" t="n">
        <x:v>0.71</x:v>
      </x:c>
      <x:c r="D918" s="153" t="n">
        <x:v>2.13</x:v>
      </x:c>
      <x:c r="E918" s="153" t="n">
        <x:v>112.9759</x:v>
      </x:c>
      <x:c r="F918" s="153" t="n">
        <x:v>14.97</x:v>
      </x:c>
      <x:c r="G918" s="153" t="n">
        <x:v>1.91</x:v>
      </x:c>
    </x:row>
    <x:row r="919">
      <x:c r="A919" s="155" t="n">
        <x:v>43287</x:v>
      </x:c>
      <x:c r="B919" s="153" t="n">
        <x:v>2.82</x:v>
      </x:c>
      <x:c r="C919" s="153" t="n">
        <x:v>0.7</x:v>
      </x:c>
      <x:c r="D919" s="153" t="n">
        <x:v>2.12</x:v>
      </x:c>
      <x:c r="E919" s="153" t="n">
        <x:v>112.6428</x:v>
      </x:c>
      <x:c r="F919" s="153" t="n">
        <x:v>13.37</x:v>
      </x:c>
      <x:c r="G919" s="153" t="n">
        <x:v>1.91</x:v>
      </x:c>
    </x:row>
    <x:row r="920">
      <x:c r="A920" s="155" t="n">
        <x:v>43288</x:v>
      </x:c>
      <x:c r="B920" s="153"/>
      <x:c r="C920" s="153"/>
      <x:c r="D920" s="153"/>
      <x:c r="E920" s="153"/>
      <x:c r="F920" s="153"/>
      <x:c r="G920" s="153" t="n">
        <x:v>1.91</x:v>
      </x:c>
    </x:row>
    <x:row r="921">
      <x:c r="A921" s="155" t="n">
        <x:v>43289</x:v>
      </x:c>
      <x:c r="B921" s="153"/>
      <x:c r="C921" s="153"/>
      <x:c r="D921" s="153"/>
      <x:c r="E921" s="153"/>
      <x:c r="F921" s="153"/>
      <x:c r="G921" s="153" t="n">
        <x:v>1.91</x:v>
      </x:c>
    </x:row>
    <x:row r="922">
      <x:c r="A922" s="155" t="n">
        <x:v>43290</x:v>
      </x:c>
      <x:c r="B922" s="153" t="n">
        <x:v>2.86</x:v>
      </x:c>
      <x:c r="C922" s="153" t="n">
        <x:v>0.73</x:v>
      </x:c>
      <x:c r="D922" s="153" t="n">
        <x:v>2.13</x:v>
      </x:c>
      <x:c r="E922" s="153" t="n">
        <x:v>112.6425</x:v>
      </x:c>
      <x:c r="F922" s="153" t="n">
        <x:v>12.69</x:v>
      </x:c>
      <x:c r="G922" s="153" t="n">
        <x:v>1.91</x:v>
      </x:c>
    </x:row>
    <x:row r="923">
      <x:c r="A923" s="155" t="n">
        <x:v>43291</x:v>
      </x:c>
      <x:c r="B923" s="153" t="n">
        <x:v>2.87</x:v>
      </x:c>
      <x:c r="C923" s="153" t="n">
        <x:v>0.74</x:v>
      </x:c>
      <x:c r="D923" s="153" t="n">
        <x:v>2.13</x:v>
      </x:c>
      <x:c r="E923" s="153" t="n">
        <x:v>112.5794</x:v>
      </x:c>
      <x:c r="F923" s="153" t="n">
        <x:v>12.64</x:v>
      </x:c>
      <x:c r="G923" s="153" t="n">
        <x:v>1.91</x:v>
      </x:c>
    </x:row>
    <x:row r="924">
      <x:c r="A924" s="155" t="n">
        <x:v>43292</x:v>
      </x:c>
      <x:c r="B924" s="153" t="n">
        <x:v>2.85</x:v>
      </x:c>
      <x:c r="C924" s="153" t="n">
        <x:v>0.74</x:v>
      </x:c>
      <x:c r="D924" s="153" t="n">
        <x:v>2.11</x:v>
      </x:c>
      <x:c r="E924" s="153" t="n">
        <x:v>112.8582</x:v>
      </x:c>
      <x:c r="F924" s="153" t="n">
        <x:v>13.63</x:v>
      </x:c>
      <x:c r="G924" s="153" t="n">
        <x:v>1.91</x:v>
      </x:c>
    </x:row>
    <x:row r="925">
      <x:c r="A925" s="155" t="n">
        <x:v>43293</x:v>
      </x:c>
      <x:c r="B925" s="153" t="n">
        <x:v>2.85</x:v>
      </x:c>
      <x:c r="C925" s="153" t="n">
        <x:v>0.75</x:v>
      </x:c>
      <x:c r="D925" s="153" t="n">
        <x:v>2.1</x:v>
      </x:c>
      <x:c r="E925" s="153" t="n">
        <x:v>112.779</x:v>
      </x:c>
      <x:c r="F925" s="153" t="n">
        <x:v>12.58</x:v>
      </x:c>
      <x:c r="G925" s="153" t="n">
        <x:v>1.91</x:v>
      </x:c>
    </x:row>
    <x:row r="926">
      <x:c r="A926" s="155" t="n">
        <x:v>43294</x:v>
      </x:c>
      <x:c r="B926" s="153" t="n">
        <x:v>2.83</x:v>
      </x:c>
      <x:c r="C926" s="153" t="n">
        <x:v>0.72</x:v>
      </x:c>
      <x:c r="D926" s="153" t="n">
        <x:v>2.11</x:v>
      </x:c>
      <x:c r="E926" s="153" t="n">
        <x:v>113.0705</x:v>
      </x:c>
      <x:c r="F926" s="153" t="n">
        <x:v>12.18</x:v>
      </x:c>
      <x:c r="G926" s="153" t="n">
        <x:v>1.91</x:v>
      </x:c>
    </x:row>
    <x:row r="927">
      <x:c r="A927" s="155" t="n">
        <x:v>43295</x:v>
      </x:c>
      <x:c r="B927" s="153"/>
      <x:c r="C927" s="153"/>
      <x:c r="D927" s="153"/>
      <x:c r="E927" s="153"/>
      <x:c r="F927" s="153"/>
      <x:c r="G927" s="153" t="n">
        <x:v>1.91</x:v>
      </x:c>
    </x:row>
    <x:row r="928">
      <x:c r="A928" s="155" t="n">
        <x:v>43296</x:v>
      </x:c>
      <x:c r="B928" s="153"/>
      <x:c r="C928" s="153"/>
      <x:c r="D928" s="153"/>
      <x:c r="E928" s="153"/>
      <x:c r="F928" s="153"/>
      <x:c r="G928" s="153" t="n">
        <x:v>1.91</x:v>
      </x:c>
    </x:row>
    <x:row r="929">
      <x:c r="A929" s="155" t="n">
        <x:v>43297</x:v>
      </x:c>
      <x:c r="B929" s="153" t="n">
        <x:v>2.85</x:v>
      </x:c>
      <x:c r="C929" s="153" t="n">
        <x:v>0.75</x:v>
      </x:c>
      <x:c r="D929" s="153" t="n">
        <x:v>2.1</x:v>
      </x:c>
      <x:c r="E929" s="153" t="n">
        <x:v>112.8437</x:v>
      </x:c>
      <x:c r="F929" s="153" t="n">
        <x:v>12.83</x:v>
      </x:c>
      <x:c r="G929" s="153" t="n">
        <x:v>1.91</x:v>
      </x:c>
    </x:row>
    <x:row r="930">
      <x:c r="A930" s="155" t="n">
        <x:v>43298</x:v>
      </x:c>
      <x:c r="B930" s="153" t="n">
        <x:v>2.86</x:v>
      </x:c>
      <x:c r="C930" s="153" t="n">
        <x:v>0.77</x:v>
      </x:c>
      <x:c r="D930" s="153" t="n">
        <x:v>2.09</x:v>
      </x:c>
      <x:c r="E930" s="153" t="n">
        <x:v>113.1504</x:v>
      </x:c>
      <x:c r="F930" s="153" t="n">
        <x:v>12.06</x:v>
      </x:c>
      <x:c r="G930" s="153" t="n">
        <x:v>1.91</x:v>
      </x:c>
    </x:row>
    <x:row r="931">
      <x:c r="A931" s="155" t="n">
        <x:v>43299</x:v>
      </x:c>
      <x:c r="B931" s="153" t="n">
        <x:v>2.88</x:v>
      </x:c>
      <x:c r="C931" s="153" t="n">
        <x:v>0.79</x:v>
      </x:c>
      <x:c r="D931" s="153" t="n">
        <x:v>2.09</x:v>
      </x:c>
      <x:c r="E931" s="153" t="n">
        <x:v>113.3348</x:v>
      </x:c>
      <x:c r="F931" s="153" t="n">
        <x:v>12.1</x:v>
      </x:c>
      <x:c r="G931" s="153" t="n">
        <x:v>1.91</x:v>
      </x:c>
    </x:row>
    <x:row r="932">
      <x:c r="A932" s="155" t="n">
        <x:v>43300</x:v>
      </x:c>
      <x:c r="B932" s="153" t="n">
        <x:v>2.84</x:v>
      </x:c>
      <x:c r="C932" s="153" t="n">
        <x:v>0.75</x:v>
      </x:c>
      <x:c r="D932" s="153" t="n">
        <x:v>2.09</x:v>
      </x:c>
      <x:c r="E932" s="153" t="n">
        <x:v>113.9463</x:v>
      </x:c>
      <x:c r="F932" s="153" t="n">
        <x:v>12.87</x:v>
      </x:c>
      <x:c r="G932" s="153" t="n">
        <x:v>1.91</x:v>
      </x:c>
    </x:row>
    <x:row r="933">
      <x:c r="A933" s="155" t="n">
        <x:v>43301</x:v>
      </x:c>
      <x:c r="B933" s="153" t="n">
        <x:v>2.89</x:v>
      </x:c>
      <x:c r="C933" s="153" t="n">
        <x:v>0.78</x:v>
      </x:c>
      <x:c r="D933" s="153" t="n">
        <x:v>2.11</x:v>
      </x:c>
      <x:c r="E933" s="153" t="n">
        <x:v>113.3213</x:v>
      </x:c>
      <x:c r="F933" s="153" t="n">
        <x:v>12.86</x:v>
      </x:c>
      <x:c r="G933" s="153" t="n">
        <x:v>1.91</x:v>
      </x:c>
    </x:row>
    <x:row r="934">
      <x:c r="A934" s="155" t="n">
        <x:v>43302</x:v>
      </x:c>
      <x:c r="B934" s="153"/>
      <x:c r="C934" s="153"/>
      <x:c r="D934" s="153"/>
      <x:c r="E934" s="153"/>
      <x:c r="F934" s="153"/>
      <x:c r="G934" s="153" t="n">
        <x:v>1.91</x:v>
      </x:c>
    </x:row>
    <x:row r="935">
      <x:c r="A935" s="155" t="n">
        <x:v>43303</x:v>
      </x:c>
      <x:c r="B935" s="153"/>
      <x:c r="C935" s="153"/>
      <x:c r="D935" s="153"/>
      <x:c r="E935" s="153"/>
      <x:c r="F935" s="153"/>
      <x:c r="G935" s="153" t="n">
        <x:v>1.91</x:v>
      </x:c>
    </x:row>
    <x:row r="936">
      <x:c r="A936" s="155" t="n">
        <x:v>43304</x:v>
      </x:c>
      <x:c r="B936" s="153" t="n">
        <x:v>2.96</x:v>
      </x:c>
      <x:c r="C936" s="153" t="n">
        <x:v>0.85</x:v>
      </x:c>
      <x:c r="D936" s="153" t="n">
        <x:v>2.11</x:v>
      </x:c>
      <x:c r="E936" s="153" t="n">
        <x:v>113.4246</x:v>
      </x:c>
      <x:c r="F936" s="153" t="n">
        <x:v>12.62</x:v>
      </x:c>
      <x:c r="G936" s="153" t="n">
        <x:v>1.91</x:v>
      </x:c>
    </x:row>
    <x:row r="937">
      <x:c r="A937" s="155" t="n">
        <x:v>43305</x:v>
      </x:c>
      <x:c r="B937" s="153" t="n">
        <x:v>2.95</x:v>
      </x:c>
      <x:c r="C937" s="153" t="n">
        <x:v>0.84</x:v>
      </x:c>
      <x:c r="D937" s="153" t="n">
        <x:v>2.11</x:v>
      </x:c>
      <x:c r="E937" s="153" t="n">
        <x:v>113.2045</x:v>
      </x:c>
      <x:c r="F937" s="153" t="n">
        <x:v>12.41</x:v>
      </x:c>
      <x:c r="G937" s="153" t="n">
        <x:v>1.91</x:v>
      </x:c>
    </x:row>
    <x:row r="938">
      <x:c r="A938" s="155" t="n">
        <x:v>43306</x:v>
      </x:c>
      <x:c r="B938" s="153" t="n">
        <x:v>2.94</x:v>
      </x:c>
      <x:c r="C938" s="153" t="n">
        <x:v>0.81</x:v>
      </x:c>
      <x:c r="D938" s="153" t="n">
        <x:v>2.13</x:v>
      </x:c>
      <x:c r="E938" s="153" t="n">
        <x:v>112.9221</x:v>
      </x:c>
      <x:c r="F938" s="153" t="n">
        <x:v>12.29</x:v>
      </x:c>
      <x:c r="G938" s="153" t="n">
        <x:v>1.91</x:v>
      </x:c>
    </x:row>
    <x:row r="939">
      <x:c r="A939" s="155" t="n">
        <x:v>43307</x:v>
      </x:c>
      <x:c r="B939" s="153" t="n">
        <x:v>2.98</x:v>
      </x:c>
      <x:c r="C939" s="153" t="n">
        <x:v>0.87</x:v>
      </x:c>
      <x:c r="D939" s="153" t="n">
        <x:v>2.11</x:v>
      </x:c>
      <x:c r="E939" s="153" t="n">
        <x:v>112.9179</x:v>
      </x:c>
      <x:c r="F939" s="153" t="n">
        <x:v>12.14</x:v>
      </x:c>
      <x:c r="G939" s="153" t="n">
        <x:v>1.91</x:v>
      </x:c>
    </x:row>
    <x:row r="940">
      <x:c r="A940" s="155" t="n">
        <x:v>43308</x:v>
      </x:c>
      <x:c r="B940" s="153" t="n">
        <x:v>2.96</x:v>
      </x:c>
      <x:c r="C940" s="153" t="n">
        <x:v>0.84</x:v>
      </x:c>
      <x:c r="D940" s="153" t="n">
        <x:v>2.12</x:v>
      </x:c>
      <x:c r="E940" s="153" t="n">
        <x:v>112.8125</x:v>
      </x:c>
      <x:c r="F940" s="153" t="n">
        <x:v>13.03</x:v>
      </x:c>
      <x:c r="G940" s="153" t="n">
        <x:v>1.91</x:v>
      </x:c>
    </x:row>
    <x:row r="941">
      <x:c r="A941" s="155" t="n">
        <x:v>43309</x:v>
      </x:c>
      <x:c r="B941" s="153"/>
      <x:c r="C941" s="153"/>
      <x:c r="D941" s="153"/>
      <x:c r="E941" s="153"/>
      <x:c r="F941" s="153"/>
      <x:c r="G941" s="153" t="n">
        <x:v>1.91</x:v>
      </x:c>
    </x:row>
    <x:row r="942">
      <x:c r="A942" s="155" t="n">
        <x:v>43310</x:v>
      </x:c>
      <x:c r="B942" s="153"/>
      <x:c r="C942" s="153"/>
      <x:c r="D942" s="153"/>
      <x:c r="E942" s="153"/>
      <x:c r="F942" s="153"/>
      <x:c r="G942" s="153" t="n">
        <x:v>1.91</x:v>
      </x:c>
    </x:row>
    <x:row r="943">
      <x:c r="A943" s="155" t="n">
        <x:v>43311</x:v>
      </x:c>
      <x:c r="B943" s="153" t="n">
        <x:v>2.98</x:v>
      </x:c>
      <x:c r="C943" s="153" t="n">
        <x:v>0.85</x:v>
      </x:c>
      <x:c r="D943" s="153" t="n">
        <x:v>2.13</x:v>
      </x:c>
      <x:c r="E943" s="153" t="n">
        <x:v>112.6044</x:v>
      </x:c>
      <x:c r="F943" s="153" t="n">
        <x:v>14.26</x:v>
      </x:c>
      <x:c r="G943" s="153" t="n">
        <x:v>1.91</x:v>
      </x:c>
    </x:row>
    <x:row r="944">
      <x:c r="A944" s="155" t="n">
        <x:v>43312</x:v>
      </x:c>
      <x:c r="B944" s="153" t="n">
        <x:v>2.96</x:v>
      </x:c>
      <x:c r="C944" s="153" t="n">
        <x:v>0.84</x:v>
      </x:c>
      <x:c r="D944" s="153" t="n">
        <x:v>2.12</x:v>
      </x:c>
      <x:c r="E944" s="153" t="n">
        <x:v>112.7299</x:v>
      </x:c>
      <x:c r="F944" s="153" t="n">
        <x:v>12.83</x:v>
      </x:c>
      <x:c r="G944" s="153" t="n">
        <x:v>1.91</x:v>
      </x:c>
    </x:row>
    <x:row r="945">
      <x:c r="A945" s="155" t="n">
        <x:v>43313</x:v>
      </x:c>
      <x:c r="B945" s="153" t="n">
        <x:v>3</x:v>
      </x:c>
      <x:c r="C945" s="153" t="n">
        <x:v>0.87</x:v>
      </x:c>
      <x:c r="D945" s="153" t="n">
        <x:v>2.13</x:v>
      </x:c>
      <x:c r="E945" s="153" t="n">
        <x:v>112.8899</x:v>
      </x:c>
      <x:c r="F945" s="153" t="n">
        <x:v>13.15</x:v>
      </x:c>
      <x:c r="G945" s="153" t="n">
        <x:v>1.91</x:v>
      </x:c>
    </x:row>
    <x:row r="946">
      <x:c r="A946" s="155" t="n">
        <x:v>43314</x:v>
      </x:c>
      <x:c r="B946" s="153" t="n">
        <x:v>2.98</x:v>
      </x:c>
      <x:c r="C946" s="153" t="n">
        <x:v>0.86</x:v>
      </x:c>
      <x:c r="D946" s="153" t="n">
        <x:v>2.12</x:v>
      </x:c>
      <x:c r="E946" s="153" t="n">
        <x:v>113.1679</x:v>
      </x:c>
      <x:c r="F946" s="153" t="n">
        <x:v>12.19</x:v>
      </x:c>
      <x:c r="G946" s="153" t="n">
        <x:v>1.91</x:v>
      </x:c>
    </x:row>
    <x:row r="947">
      <x:c r="A947" s="155" t="n">
        <x:v>43315</x:v>
      </x:c>
      <x:c r="B947" s="153" t="n">
        <x:v>2.95</x:v>
      </x:c>
      <x:c r="C947" s="153" t="n">
        <x:v>0.83</x:v>
      </x:c>
      <x:c r="D947" s="153" t="n">
        <x:v>2.12</x:v>
      </x:c>
      <x:c r="E947" s="153" t="n">
        <x:v>113.012</x:v>
      </x:c>
      <x:c r="F947" s="153" t="n">
        <x:v>11.64</x:v>
      </x:c>
      <x:c r="G947" s="153" t="n">
        <x:v>1.91</x:v>
      </x:c>
    </x:row>
    <x:row r="948">
      <x:c r="A948" s="155" t="n">
        <x:v>43316</x:v>
      </x:c>
      <x:c r="B948" s="153"/>
      <x:c r="C948" s="153"/>
      <x:c r="D948" s="153"/>
      <x:c r="E948" s="153"/>
      <x:c r="F948" s="153"/>
      <x:c r="G948" s="153" t="n">
        <x:v>1.91</x:v>
      </x:c>
    </x:row>
    <x:row r="949">
      <x:c r="A949" s="155" t="n">
        <x:v>43317</x:v>
      </x:c>
      <x:c r="B949" s="153"/>
      <x:c r="C949" s="153"/>
      <x:c r="D949" s="153"/>
      <x:c r="E949" s="153"/>
      <x:c r="F949" s="153"/>
      <x:c r="G949" s="153" t="n">
        <x:v>1.91</x:v>
      </x:c>
    </x:row>
    <x:row r="950">
      <x:c r="A950" s="155" t="n">
        <x:v>43318</x:v>
      </x:c>
      <x:c r="B950" s="153" t="n">
        <x:v>2.94</x:v>
      </x:c>
      <x:c r="C950" s="153" t="n">
        <x:v>0.83</x:v>
      </x:c>
      <x:c r="D950" s="153" t="n">
        <x:v>2.11</x:v>
      </x:c>
      <x:c r="E950" s="153" t="n">
        <x:v>113.229</x:v>
      </x:c>
      <x:c r="F950" s="153" t="n">
        <x:v>11.27</x:v>
      </x:c>
      <x:c r="G950" s="153" t="n">
        <x:v>1.91</x:v>
      </x:c>
    </x:row>
    <x:row r="951">
      <x:c r="A951" s="155" t="n">
        <x:v>43319</x:v>
      </x:c>
      <x:c r="B951" s="153" t="n">
        <x:v>2.98</x:v>
      </x:c>
      <x:c r="C951" s="153" t="n">
        <x:v>0.85</x:v>
      </x:c>
      <x:c r="D951" s="153" t="n">
        <x:v>2.13</x:v>
      </x:c>
      <x:c r="E951" s="153" t="n">
        <x:v>112.9759</x:v>
      </x:c>
      <x:c r="F951" s="153" t="n">
        <x:v>10.93</x:v>
      </x:c>
      <x:c r="G951" s="153" t="n">
        <x:v>1.91</x:v>
      </x:c>
    </x:row>
    <x:row r="952">
      <x:c r="A952" s="155" t="n">
        <x:v>43320</x:v>
      </x:c>
      <x:c r="B952" s="153" t="n">
        <x:v>2.96</x:v>
      </x:c>
      <x:c r="C952" s="153" t="n">
        <x:v>0.85</x:v>
      </x:c>
      <x:c r="D952" s="153" t="n">
        <x:v>2.11</x:v>
      </x:c>
      <x:c r="E952" s="153" t="n">
        <x:v>113.1411</x:v>
      </x:c>
      <x:c r="F952" s="153" t="n">
        <x:v>10.85</x:v>
      </x:c>
      <x:c r="G952" s="153" t="n">
        <x:v>1.91</x:v>
      </x:c>
    </x:row>
    <x:row r="953">
      <x:c r="A953" s="155" t="n">
        <x:v>43321</x:v>
      </x:c>
      <x:c r="B953" s="153" t="n">
        <x:v>2.93</x:v>
      </x:c>
      <x:c r="C953" s="153" t="n">
        <x:v>0.82</x:v>
      </x:c>
      <x:c r="D953" s="153" t="n">
        <x:v>2.11</x:v>
      </x:c>
      <x:c r="E953" s="153" t="n">
        <x:v>113.3806</x:v>
      </x:c>
      <x:c r="F953" s="153" t="n">
        <x:v>11.27</x:v>
      </x:c>
      <x:c r="G953" s="153" t="n">
        <x:v>1.91</x:v>
      </x:c>
    </x:row>
    <x:row r="954">
      <x:c r="A954" s="155" t="n">
        <x:v>43322</x:v>
      </x:c>
      <x:c r="B954" s="153" t="n">
        <x:v>2.87</x:v>
      </x:c>
      <x:c r="C954" s="153" t="n">
        <x:v>0.78</x:v>
      </x:c>
      <x:c r="D954" s="153" t="n">
        <x:v>2.09</x:v>
      </x:c>
      <x:c r="E954" s="153" t="n">
        <x:v>114.3005</x:v>
      </x:c>
      <x:c r="F954" s="153" t="n">
        <x:v>13.16</x:v>
      </x:c>
      <x:c r="G954" s="153" t="n">
        <x:v>1.91</x:v>
      </x:c>
    </x:row>
    <x:row r="955">
      <x:c r="A955" s="155" t="n">
        <x:v>43323</x:v>
      </x:c>
      <x:c r="B955" s="153"/>
      <x:c r="C955" s="153"/>
      <x:c r="D955" s="153"/>
      <x:c r="E955" s="153"/>
      <x:c r="F955" s="153"/>
      <x:c r="G955" s="153" t="n">
        <x:v>1.91</x:v>
      </x:c>
    </x:row>
    <x:row r="956">
      <x:c r="A956" s="155" t="n">
        <x:v>43324</x:v>
      </x:c>
      <x:c r="B956" s="153"/>
      <x:c r="C956" s="153"/>
      <x:c r="D956" s="153"/>
      <x:c r="E956" s="153"/>
      <x:c r="F956" s="153"/>
      <x:c r="G956" s="153" t="n">
        <x:v>1.91</x:v>
      </x:c>
    </x:row>
    <x:row r="957">
      <x:c r="A957" s="155" t="n">
        <x:v>43325</x:v>
      </x:c>
      <x:c r="B957" s="153" t="n">
        <x:v>2.88</x:v>
      </x:c>
      <x:c r="C957" s="153" t="n">
        <x:v>0.78</x:v>
      </x:c>
      <x:c r="D957" s="153" t="n">
        <x:v>2.1</x:v>
      </x:c>
      <x:c r="E957" s="153" t="n">
        <x:v>114.851</x:v>
      </x:c>
      <x:c r="F957" s="153" t="n">
        <x:v>14.78</x:v>
      </x:c>
      <x:c r="G957" s="153" t="n">
        <x:v>1.91</x:v>
      </x:c>
    </x:row>
    <x:row r="958">
      <x:c r="A958" s="155" t="n">
        <x:v>43326</x:v>
      </x:c>
      <x:c r="B958" s="153" t="n">
        <x:v>2.89</x:v>
      </x:c>
      <x:c r="C958" s="153" t="n">
        <x:v>0.8</x:v>
      </x:c>
      <x:c r="D958" s="153" t="n">
        <x:v>2.09</x:v>
      </x:c>
      <x:c r="E958" s="153" t="n">
        <x:v>114.658</x:v>
      </x:c>
      <x:c r="F958" s="153" t="n">
        <x:v>13.31</x:v>
      </x:c>
      <x:c r="G958" s="153" t="n">
        <x:v>1.91</x:v>
      </x:c>
    </x:row>
    <x:row r="959">
      <x:c r="A959" s="155" t="n">
        <x:v>43327</x:v>
      </x:c>
      <x:c r="B959" s="153" t="n">
        <x:v>2.86</x:v>
      </x:c>
      <x:c r="C959" s="153" t="n">
        <x:v>0.78</x:v>
      </x:c>
      <x:c r="D959" s="153" t="n">
        <x:v>2.08</x:v>
      </x:c>
      <x:c r="E959" s="153" t="n">
        <x:v>115.1526</x:v>
      </x:c>
      <x:c r="F959" s="153" t="n">
        <x:v>14.64</x:v>
      </x:c>
      <x:c r="G959" s="153" t="n">
        <x:v>1.91</x:v>
      </x:c>
    </x:row>
    <x:row r="960">
      <x:c r="A960" s="155" t="n">
        <x:v>43328</x:v>
      </x:c>
      <x:c r="B960" s="153" t="n">
        <x:v>2.87</x:v>
      </x:c>
      <x:c r="C960" s="153" t="n">
        <x:v>0.79</x:v>
      </x:c>
      <x:c r="D960" s="153" t="n">
        <x:v>2.08</x:v>
      </x:c>
      <x:c r="E960" s="153" t="n">
        <x:v>114.6416</x:v>
      </x:c>
      <x:c r="F960" s="153" t="n">
        <x:v>13.45</x:v>
      </x:c>
      <x:c r="G960" s="153" t="n">
        <x:v>1.92</x:v>
      </x:c>
    </x:row>
    <x:row r="961">
      <x:c r="A961" s="155" t="n">
        <x:v>43329</x:v>
      </x:c>
      <x:c r="B961" s="153" t="n">
        <x:v>2.87</x:v>
      </x:c>
      <x:c r="C961" s="153" t="n">
        <x:v>0.79</x:v>
      </x:c>
      <x:c r="D961" s="153" t="n">
        <x:v>2.08</x:v>
      </x:c>
      <x:c r="E961" s="153" t="n">
        <x:v>114.5339</x:v>
      </x:c>
      <x:c r="F961" s="153" t="n">
        <x:v>12.64</x:v>
      </x:c>
      <x:c r="G961" s="153" t="n">
        <x:v>1.92</x:v>
      </x:c>
    </x:row>
    <x:row r="962">
      <x:c r="A962" s="155" t="n">
        <x:v>43330</x:v>
      </x:c>
      <x:c r="B962" s="153"/>
      <x:c r="C962" s="153"/>
      <x:c r="D962" s="153"/>
      <x:c r="E962" s="153"/>
      <x:c r="F962" s="153"/>
      <x:c r="G962" s="153" t="n">
        <x:v>1.92</x:v>
      </x:c>
    </x:row>
    <x:row r="963">
      <x:c r="A963" s="155" t="n">
        <x:v>43331</x:v>
      </x:c>
      <x:c r="B963" s="153"/>
      <x:c r="C963" s="153"/>
      <x:c r="D963" s="153"/>
      <x:c r="E963" s="153"/>
      <x:c r="F963" s="153"/>
      <x:c r="G963" s="153" t="n">
        <x:v>1.92</x:v>
      </x:c>
    </x:row>
    <x:row r="964">
      <x:c r="A964" s="155" t="n">
        <x:v>43332</x:v>
      </x:c>
      <x:c r="B964" s="153" t="n">
        <x:v>2.82</x:v>
      </x:c>
      <x:c r="C964" s="153" t="n">
        <x:v>0.75</x:v>
      </x:c>
      <x:c r="D964" s="153" t="n">
        <x:v>2.07</x:v>
      </x:c>
      <x:c r="E964" s="153" t="n">
        <x:v>114.3504</x:v>
      </x:c>
      <x:c r="F964" s="153" t="n">
        <x:v>12.49</x:v>
      </x:c>
      <x:c r="G964" s="153" t="n">
        <x:v>1.92</x:v>
      </x:c>
    </x:row>
    <x:row r="965">
      <x:c r="A965" s="155" t="n">
        <x:v>43333</x:v>
      </x:c>
      <x:c r="B965" s="153" t="n">
        <x:v>2.85</x:v>
      </x:c>
      <x:c r="C965" s="153" t="n">
        <x:v>0.77</x:v>
      </x:c>
      <x:c r="D965" s="153" t="n">
        <x:v>2.08</x:v>
      </x:c>
      <x:c r="E965" s="153" t="n">
        <x:v>113.8604</x:v>
      </x:c>
      <x:c r="F965" s="153" t="n">
        <x:v>12.86</x:v>
      </x:c>
      <x:c r="G965" s="153" t="n">
        <x:v>1.92</x:v>
      </x:c>
    </x:row>
    <x:row r="966">
      <x:c r="A966" s="155" t="n">
        <x:v>43334</x:v>
      </x:c>
      <x:c r="B966" s="153" t="n">
        <x:v>2.82</x:v>
      </x:c>
      <x:c r="C966" s="153" t="n">
        <x:v>0.74</x:v>
      </x:c>
      <x:c r="D966" s="153" t="n">
        <x:v>2.08</x:v>
      </x:c>
      <x:c r="E966" s="153" t="n">
        <x:v>113.663</x:v>
      </x:c>
      <x:c r="F966" s="153" t="n">
        <x:v>12.25</x:v>
      </x:c>
      <x:c r="G966" s="153" t="n">
        <x:v>1.92</x:v>
      </x:c>
    </x:row>
    <x:row r="967">
      <x:c r="A967" s="155" t="n">
        <x:v>43335</x:v>
      </x:c>
      <x:c r="B967" s="153" t="n">
        <x:v>2.82</x:v>
      </x:c>
      <x:c r="C967" s="153" t="n">
        <x:v>0.73</x:v>
      </x:c>
      <x:c r="D967" s="153" t="n">
        <x:v>2.09</x:v>
      </x:c>
      <x:c r="E967" s="153" t="n">
        <x:v>114.0932</x:v>
      </x:c>
      <x:c r="F967" s="153" t="n">
        <x:v>12.41</x:v>
      </x:c>
      <x:c r="G967" s="153" t="n">
        <x:v>1.92</x:v>
      </x:c>
    </x:row>
    <x:row r="968">
      <x:c r="A968" s="155" t="n">
        <x:v>43336</x:v>
      </x:c>
      <x:c r="B968" s="153" t="n">
        <x:v>2.82</x:v>
      </x:c>
      <x:c r="C968" s="153" t="n">
        <x:v>0.73</x:v>
      </x:c>
      <x:c r="D968" s="153" t="n">
        <x:v>2.09</x:v>
      </x:c>
      <x:c r="E968" s="153" t="n">
        <x:v>113.5985</x:v>
      </x:c>
      <x:c r="F968" s="153" t="n">
        <x:v>11.99</x:v>
      </x:c>
      <x:c r="G968" s="153" t="n">
        <x:v>1.92</x:v>
      </x:c>
    </x:row>
    <x:row r="969">
      <x:c r="A969" s="155" t="n">
        <x:v>43337</x:v>
      </x:c>
      <x:c r="B969" s="153"/>
      <x:c r="C969" s="153"/>
      <x:c r="D969" s="153"/>
      <x:c r="E969" s="153"/>
      <x:c r="F969" s="153"/>
      <x:c r="G969" s="153" t="n">
        <x:v>1.92</x:v>
      </x:c>
    </x:row>
    <x:row r="970">
      <x:c r="A970" s="155" t="n">
        <x:v>43338</x:v>
      </x:c>
      <x:c r="B970" s="153"/>
      <x:c r="C970" s="153"/>
      <x:c r="D970" s="153"/>
      <x:c r="E970" s="153"/>
      <x:c r="F970" s="153"/>
      <x:c r="G970" s="153" t="n">
        <x:v>1.92</x:v>
      </x:c>
    </x:row>
    <x:row r="971">
      <x:c r="A971" s="155" t="n">
        <x:v>43339</x:v>
      </x:c>
      <x:c r="B971" s="153" t="n">
        <x:v>2.85</x:v>
      </x:c>
      <x:c r="C971" s="153" t="n">
        <x:v>0.74</x:v>
      </x:c>
      <x:c r="D971" s="153" t="n">
        <x:v>2.11</x:v>
      </x:c>
      <x:c r="E971" s="153" t="n">
        <x:v>113.2721</x:v>
      </x:c>
      <x:c r="F971" s="153" t="n">
        <x:v>12.16</x:v>
      </x:c>
      <x:c r="G971" s="153" t="n">
        <x:v>1.92</x:v>
      </x:c>
    </x:row>
    <x:row r="972">
      <x:c r="A972" s="155" t="n">
        <x:v>43340</x:v>
      </x:c>
      <x:c r="B972" s="153" t="n">
        <x:v>2.88</x:v>
      </x:c>
      <x:c r="C972" s="153" t="n">
        <x:v>0.77</x:v>
      </x:c>
      <x:c r="D972" s="153" t="n">
        <x:v>2.11</x:v>
      </x:c>
      <x:c r="E972" s="153" t="n">
        <x:v>113.3444</x:v>
      </x:c>
      <x:c r="F972" s="153" t="n">
        <x:v>12.5</x:v>
      </x:c>
      <x:c r="G972" s="153" t="n">
        <x:v>1.92</x:v>
      </x:c>
    </x:row>
    <x:row r="973">
      <x:c r="A973" s="155" t="n">
        <x:v>43341</x:v>
      </x:c>
      <x:c r="B973" s="153" t="n">
        <x:v>2.89</x:v>
      </x:c>
      <x:c r="C973" s="153" t="n">
        <x:v>0.77</x:v>
      </x:c>
      <x:c r="D973" s="153" t="n">
        <x:v>2.12</x:v>
      </x:c>
      <x:c r="E973" s="153" t="n">
        <x:v>113.6461</x:v>
      </x:c>
      <x:c r="F973" s="153" t="n">
        <x:v>12.25</x:v>
      </x:c>
      <x:c r="G973" s="153" t="n">
        <x:v>1.92</x:v>
      </x:c>
    </x:row>
    <x:row r="974">
      <x:c r="A974" s="155" t="n">
        <x:v>43342</x:v>
      </x:c>
      <x:c r="B974" s="153" t="n">
        <x:v>2.86</x:v>
      </x:c>
      <x:c r="C974" s="153" t="n">
        <x:v>0.76</x:v>
      </x:c>
      <x:c r="D974" s="153" t="n">
        <x:v>2.1</x:v>
      </x:c>
      <x:c r="E974" s="153" t="n">
        <x:v>114.0899</x:v>
      </x:c>
      <x:c r="F974" s="153" t="n">
        <x:v>13.53</x:v>
      </x:c>
      <x:c r="G974" s="153" t="n">
        <x:v>1.92</x:v>
      </x:c>
    </x:row>
    <x:row r="975">
      <x:c r="A975" s="155" t="n">
        <x:v>43343</x:v>
      </x:c>
      <x:c r="B975" s="153" t="n">
        <x:v>2.86</x:v>
      </x:c>
      <x:c r="C975" s="153" t="n">
        <x:v>0.78</x:v>
      </x:c>
      <x:c r="D975" s="153" t="n">
        <x:v>2.08</x:v>
      </x:c>
      <x:c r="E975" s="153" t="n">
        <x:v>114.2755</x:v>
      </x:c>
      <x:c r="F975" s="153" t="n">
        <x:v>12.86</x:v>
      </x:c>
      <x:c r="G975" s="153" t="n">
        <x:v>1.91</x:v>
      </x:c>
    </x:row>
    <x:row r="976">
      <x:c r="A976" s="155" t="n">
        <x:v>43344</x:v>
      </x:c>
      <x:c r="B976" s="153"/>
      <x:c r="C976" s="153"/>
      <x:c r="D976" s="153"/>
      <x:c r="E976" s="153"/>
      <x:c r="F976" s="153"/>
      <x:c r="G976" s="153" t="n">
        <x:v>1.91</x:v>
      </x:c>
    </x:row>
    <x:row r="977">
      <x:c r="A977" s="155" t="n">
        <x:v>43345</x:v>
      </x:c>
      <x:c r="B977" s="153"/>
      <x:c r="C977" s="153"/>
      <x:c r="D977" s="153"/>
      <x:c r="E977" s="153"/>
      <x:c r="F977" s="153"/>
      <x:c r="G977" s="153" t="n">
        <x:v>1.91</x:v>
      </x:c>
    </x:row>
    <x:row r="978">
      <x:c r="A978" s="155" t="n">
        <x:v>43346</x:v>
      </x:c>
      <x:c r="B978" s="153"/>
      <x:c r="C978" s="153"/>
      <x:c r="D978" s="153"/>
      <x:c r="E978" s="153"/>
      <x:c r="F978" s="153"/>
      <x:c r="G978" s="153" t="n">
        <x:v>1.91</x:v>
      </x:c>
    </x:row>
    <x:row r="979">
      <x:c r="A979" s="155" t="n">
        <x:v>43347</x:v>
      </x:c>
      <x:c r="B979" s="153" t="n">
        <x:v>2.9</x:v>
      </x:c>
      <x:c r="C979" s="153" t="n">
        <x:v>0.8</x:v>
      </x:c>
      <x:c r="D979" s="153" t="n">
        <x:v>2.1</x:v>
      </x:c>
      <x:c r="E979" s="153" t="n">
        <x:v>114.8584</x:v>
      </x:c>
      <x:c r="F979" s="153" t="n">
        <x:v>13.16</x:v>
      </x:c>
      <x:c r="G979" s="153" t="n">
        <x:v>1.92</x:v>
      </x:c>
    </x:row>
    <x:row r="980">
      <x:c r="A980" s="155" t="n">
        <x:v>43348</x:v>
      </x:c>
      <x:c r="B980" s="153" t="n">
        <x:v>2.9</x:v>
      </x:c>
      <x:c r="C980" s="153" t="n">
        <x:v>0.81</x:v>
      </x:c>
      <x:c r="D980" s="153" t="n">
        <x:v>2.09</x:v>
      </x:c>
      <x:c r="E980" s="153" t="n">
        <x:v>114.7477</x:v>
      </x:c>
      <x:c r="F980" s="153" t="n">
        <x:v>13.91</x:v>
      </x:c>
      <x:c r="G980" s="153" t="n">
        <x:v>1.92</x:v>
      </x:c>
    </x:row>
    <x:row r="981">
      <x:c r="A981" s="155" t="n">
        <x:v>43349</x:v>
      </x:c>
      <x:c r="B981" s="153" t="n">
        <x:v>2.88</x:v>
      </x:c>
      <x:c r="C981" s="153" t="n">
        <x:v>0.8</x:v>
      </x:c>
      <x:c r="D981" s="153" t="n">
        <x:v>2.08</x:v>
      </x:c>
      <x:c r="E981" s="153" t="n">
        <x:v>114.6479</x:v>
      </x:c>
      <x:c r="F981" s="153" t="n">
        <x:v>14.65</x:v>
      </x:c>
      <x:c r="G981" s="153" t="n">
        <x:v>1.92</x:v>
      </x:c>
    </x:row>
    <x:row r="982">
      <x:c r="A982" s="155" t="n">
        <x:v>43350</x:v>
      </x:c>
      <x:c r="B982" s="153" t="n">
        <x:v>2.94</x:v>
      </x:c>
      <x:c r="C982" s="153" t="n">
        <x:v>0.84</x:v>
      </x:c>
      <x:c r="D982" s="153" t="n">
        <x:v>2.1</x:v>
      </x:c>
      <x:c r="E982" s="153" t="n">
        <x:v>114.5816</x:v>
      </x:c>
      <x:c r="F982" s="153" t="n">
        <x:v>14.88</x:v>
      </x:c>
      <x:c r="G982" s="153" t="n">
        <x:v>1.92</x:v>
      </x:c>
    </x:row>
    <x:row r="983">
      <x:c r="A983" s="155" t="n">
        <x:v>43351</x:v>
      </x:c>
      <x:c r="B983" s="153"/>
      <x:c r="C983" s="153"/>
      <x:c r="D983" s="153"/>
      <x:c r="E983" s="153"/>
      <x:c r="F983" s="153"/>
      <x:c r="G983" s="153" t="n">
        <x:v>1.92</x:v>
      </x:c>
    </x:row>
    <x:row r="984">
      <x:c r="A984" s="155" t="n">
        <x:v>43352</x:v>
      </x:c>
      <x:c r="B984" s="153"/>
      <x:c r="C984" s="153"/>
      <x:c r="D984" s="153"/>
      <x:c r="E984" s="153"/>
      <x:c r="F984" s="153"/>
      <x:c r="G984" s="153" t="n">
        <x:v>1.92</x:v>
      </x:c>
    </x:row>
    <x:row r="985">
      <x:c r="A985" s="155" t="n">
        <x:v>43353</x:v>
      </x:c>
      <x:c r="B985" s="153" t="n">
        <x:v>2.94</x:v>
      </x:c>
      <x:c r="C985" s="153" t="n">
        <x:v>0.84</x:v>
      </x:c>
      <x:c r="D985" s="153" t="n">
        <x:v>2.1</x:v>
      </x:c>
      <x:c r="E985" s="153" t="n">
        <x:v>114.6802</x:v>
      </x:c>
      <x:c r="F985" s="153" t="n">
        <x:v>14.16</x:v>
      </x:c>
      <x:c r="G985" s="153" t="n">
        <x:v>1.92</x:v>
      </x:c>
    </x:row>
    <x:row r="986">
      <x:c r="A986" s="155" t="n">
        <x:v>43354</x:v>
      </x:c>
      <x:c r="B986" s="153" t="n">
        <x:v>2.98</x:v>
      </x:c>
      <x:c r="C986" s="153" t="n">
        <x:v>0.86</x:v>
      </x:c>
      <x:c r="D986" s="153" t="n">
        <x:v>2.12</x:v>
      </x:c>
      <x:c r="E986" s="153" t="n">
        <x:v>114.7051</x:v>
      </x:c>
      <x:c r="F986" s="153" t="n">
        <x:v>13.22</x:v>
      </x:c>
      <x:c r="G986" s="153" t="n">
        <x:v>1.92</x:v>
      </x:c>
    </x:row>
    <x:row r="987">
      <x:c r="A987" s="155" t="n">
        <x:v>43355</x:v>
      </x:c>
      <x:c r="B987" s="153" t="n">
        <x:v>2.97</x:v>
      </x:c>
      <x:c r="C987" s="153" t="n">
        <x:v>0.85</x:v>
      </x:c>
      <x:c r="D987" s="153" t="n">
        <x:v>2.12</x:v>
      </x:c>
      <x:c r="E987" s="153" t="n">
        <x:v>114.2192</x:v>
      </x:c>
      <x:c r="F987" s="153" t="n">
        <x:v>13.14</x:v>
      </x:c>
      <x:c r="G987" s="153" t="n">
        <x:v>1.92</x:v>
      </x:c>
    </x:row>
    <x:row r="988">
      <x:c r="A988" s="155" t="n">
        <x:v>43356</x:v>
      </x:c>
      <x:c r="B988" s="153" t="n">
        <x:v>2.97</x:v>
      </x:c>
      <x:c r="C988" s="153" t="n">
        <x:v>0.87</x:v>
      </x:c>
      <x:c r="D988" s="153" t="n">
        <x:v>2.1</x:v>
      </x:c>
      <x:c r="E988" s="153" t="n">
        <x:v>113.9268</x:v>
      </x:c>
      <x:c r="F988" s="153" t="n">
        <x:v>12.37</x:v>
      </x:c>
      <x:c r="G988" s="153" t="n">
        <x:v>1.92</x:v>
      </x:c>
    </x:row>
    <x:row r="989">
      <x:c r="A989" s="155" t="n">
        <x:v>43357</x:v>
      </x:c>
      <x:c r="B989" s="153" t="n">
        <x:v>2.99</x:v>
      </x:c>
      <x:c r="C989" s="153" t="n">
        <x:v>0.89</x:v>
      </x:c>
      <x:c r="D989" s="153" t="n">
        <x:v>2.1</x:v>
      </x:c>
      <x:c r="E989" s="153" t="n">
        <x:v>114.0657</x:v>
      </x:c>
      <x:c r="F989" s="153" t="n">
        <x:v>12.07</x:v>
      </x:c>
      <x:c r="G989" s="153" t="n">
        <x:v>1.92</x:v>
      </x:c>
    </x:row>
    <x:row r="990">
      <x:c r="A990" s="155" t="n">
        <x:v>43358</x:v>
      </x:c>
      <x:c r="B990" s="153"/>
      <x:c r="C990" s="153"/>
      <x:c r="D990" s="153"/>
      <x:c r="E990" s="153"/>
      <x:c r="F990" s="153"/>
      <x:c r="G990" s="153" t="n">
        <x:v>1.92</x:v>
      </x:c>
    </x:row>
    <x:row r="991">
      <x:c r="A991" s="155" t="n">
        <x:v>43359</x:v>
      </x:c>
      <x:c r="B991" s="153"/>
      <x:c r="C991" s="153"/>
      <x:c r="D991" s="153"/>
      <x:c r="E991" s="153"/>
      <x:c r="F991" s="153"/>
      <x:c r="G991" s="153" t="n">
        <x:v>1.92</x:v>
      </x:c>
    </x:row>
    <x:row r="992">
      <x:c r="A992" s="155" t="n">
        <x:v>43360</x:v>
      </x:c>
      <x:c r="B992" s="153" t="n">
        <x:v>2.99</x:v>
      </x:c>
      <x:c r="C992" s="153" t="n">
        <x:v>0.89</x:v>
      </x:c>
      <x:c r="D992" s="153" t="n">
        <x:v>2.1</x:v>
      </x:c>
      <x:c r="E992" s="153" t="n">
        <x:v>113.9158</x:v>
      </x:c>
      <x:c r="F992" s="153" t="n">
        <x:v>13.68</x:v>
      </x:c>
      <x:c r="G992" s="153" t="n">
        <x:v>1.92</x:v>
      </x:c>
    </x:row>
    <x:row r="993">
      <x:c r="A993" s="155" t="n">
        <x:v>43361</x:v>
      </x:c>
      <x:c r="B993" s="153" t="n">
        <x:v>3.05</x:v>
      </x:c>
      <x:c r="C993" s="153" t="n">
        <x:v>0.92</x:v>
      </x:c>
      <x:c r="D993" s="153" t="n">
        <x:v>2.13</x:v>
      </x:c>
      <x:c r="E993" s="153" t="n">
        <x:v>113.7739</x:v>
      </x:c>
      <x:c r="F993" s="153" t="n">
        <x:v>12.79</x:v>
      </x:c>
      <x:c r="G993" s="153" t="n">
        <x:v>1.92</x:v>
      </x:c>
    </x:row>
    <x:row r="994">
      <x:c r="A994" s="155" t="n">
        <x:v>43362</x:v>
      </x:c>
      <x:c r="B994" s="153" t="n">
        <x:v>3.08</x:v>
      </x:c>
      <x:c r="C994" s="153" t="n">
        <x:v>0.93</x:v>
      </x:c>
      <x:c r="D994" s="153" t="n">
        <x:v>2.15</x:v>
      </x:c>
      <x:c r="E994" s="153" t="n">
        <x:v>113.6532</x:v>
      </x:c>
      <x:c r="F994" s="153" t="n">
        <x:v>11.75</x:v>
      </x:c>
      <x:c r="G994" s="153" t="n">
        <x:v>1.92</x:v>
      </x:c>
    </x:row>
    <x:row r="995">
      <x:c r="A995" s="155" t="n">
        <x:v>43363</x:v>
      </x:c>
      <x:c r="B995" s="153" t="n">
        <x:v>3.07</x:v>
      </x:c>
      <x:c r="C995" s="153" t="n">
        <x:v>0.92</x:v>
      </x:c>
      <x:c r="D995" s="153" t="n">
        <x:v>2.15</x:v>
      </x:c>
      <x:c r="E995" s="153" t="n">
        <x:v>113.4989</x:v>
      </x:c>
      <x:c r="F995" s="153" t="n">
        <x:v>11.8</x:v>
      </x:c>
      <x:c r="G995" s="153" t="n">
        <x:v>1.92</x:v>
      </x:c>
    </x:row>
    <x:row r="996">
      <x:c r="A996" s="155" t="n">
        <x:v>43364</x:v>
      </x:c>
      <x:c r="B996" s="153" t="n">
        <x:v>3.07</x:v>
      </x:c>
      <x:c r="C996" s="153" t="n">
        <x:v>0.92</x:v>
      </x:c>
      <x:c r="D996" s="153" t="n">
        <x:v>2.15</x:v>
      </x:c>
      <x:c r="E996" s="153" t="n">
        <x:v>113.5099</x:v>
      </x:c>
      <x:c r="F996" s="153" t="n">
        <x:v>11.68</x:v>
      </x:c>
      <x:c r="G996" s="153" t="n">
        <x:v>1.92</x:v>
      </x:c>
    </x:row>
    <x:row r="997">
      <x:c r="A997" s="155" t="n">
        <x:v>43365</x:v>
      </x:c>
      <x:c r="B997" s="153"/>
      <x:c r="C997" s="153"/>
      <x:c r="D997" s="153"/>
      <x:c r="E997" s="153"/>
      <x:c r="F997" s="153"/>
      <x:c r="G997" s="153" t="n">
        <x:v>1.92</x:v>
      </x:c>
    </x:row>
    <x:row r="998">
      <x:c r="A998" s="155" t="n">
        <x:v>43366</x:v>
      </x:c>
      <x:c r="B998" s="153"/>
      <x:c r="C998" s="153"/>
      <x:c r="D998" s="153"/>
      <x:c r="E998" s="153"/>
      <x:c r="F998" s="153"/>
      <x:c r="G998" s="153" t="n">
        <x:v>1.92</x:v>
      </x:c>
    </x:row>
    <x:row r="999">
      <x:c r="A999" s="155" t="n">
        <x:v>43367</x:v>
      </x:c>
      <x:c r="B999" s="153" t="n">
        <x:v>3.08</x:v>
      </x:c>
      <x:c r="C999" s="153" t="n">
        <x:v>0.92</x:v>
      </x:c>
      <x:c r="D999" s="153" t="n">
        <x:v>2.16</x:v>
      </x:c>
      <x:c r="E999" s="153" t="n">
        <x:v>113.5301</x:v>
      </x:c>
      <x:c r="F999" s="153" t="n">
        <x:v>12.2</x:v>
      </x:c>
      <x:c r="G999" s="153" t="n">
        <x:v>1.93</x:v>
      </x:c>
    </x:row>
    <x:row r="1000">
      <x:c r="A1000" s="155" t="n">
        <x:v>43368</x:v>
      </x:c>
      <x:c r="B1000" s="153" t="n">
        <x:v>3.1</x:v>
      </x:c>
      <x:c r="C1000" s="153" t="n">
        <x:v>0.94</x:v>
      </x:c>
      <x:c r="D1000" s="153" t="n">
        <x:v>2.16</x:v>
      </x:c>
      <x:c r="E1000" s="153" t="n">
        <x:v>113.7202</x:v>
      </x:c>
      <x:c r="F1000" s="153" t="n">
        <x:v>12.42</x:v>
      </x:c>
      <x:c r="G1000" s="153" t="n">
        <x:v>1.93</x:v>
      </x:c>
    </x:row>
    <x:row r="1001">
      <x:c r="A1001" s="155" t="n">
        <x:v>43369</x:v>
      </x:c>
      <x:c r="B1001" s="153" t="n">
        <x:v>3.06</x:v>
      </x:c>
      <x:c r="C1001" s="153" t="n">
        <x:v>0.92</x:v>
      </x:c>
      <x:c r="D1001" s="153" t="n">
        <x:v>2.14</x:v>
      </x:c>
      <x:c r="E1001" s="153" t="n">
        <x:v>113.6739</x:v>
      </x:c>
      <x:c r="F1001" s="153" t="n">
        <x:v>12.89</x:v>
      </x:c>
      <x:c r="G1001" s="153" t="n">
        <x:v>1.93</x:v>
      </x:c>
    </x:row>
    <x:row r="1002">
      <x:c r="A1002" s="155" t="n">
        <x:v>43370</x:v>
      </x:c>
      <x:c r="B1002" s="153" t="n">
        <x:v>3.06</x:v>
      </x:c>
      <x:c r="C1002" s="153" t="n">
        <x:v>0.91</x:v>
      </x:c>
      <x:c r="D1002" s="153" t="n">
        <x:v>2.15</x:v>
      </x:c>
      <x:c r="E1002" s="153" t="n">
        <x:v>113.9784</x:v>
      </x:c>
      <x:c r="F1002" s="153" t="n">
        <x:v>12.41</x:v>
      </x:c>
      <x:c r="G1002" s="153" t="n">
        <x:v>2.18</x:v>
      </x:c>
    </x:row>
    <x:row r="1003">
      <x:c r="A1003" s="155" t="n">
        <x:v>43371</x:v>
      </x:c>
      <x:c r="B1003" s="153" t="n">
        <x:v>3.05</x:v>
      </x:c>
      <x:c r="C1003" s="153" t="n">
        <x:v>0.91</x:v>
      </x:c>
      <x:c r="D1003" s="153" t="n">
        <x:v>2.14</x:v>
      </x:c>
      <x:c r="E1003" s="153" t="n">
        <x:v>113.8077</x:v>
      </x:c>
      <x:c r="F1003" s="153" t="n">
        <x:v>12.12</x:v>
      </x:c>
      <x:c r="G1003" s="153" t="n">
        <x:v>2.18</x:v>
      </x:c>
    </x:row>
    <x:row r="1004">
      <x:c r="A1004" s="155" t="n">
        <x:v>43372</x:v>
      </x:c>
      <x:c r="B1004" s="153"/>
      <x:c r="C1004" s="153"/>
      <x:c r="D1004" s="153"/>
      <x:c r="E1004" s="153"/>
      <x:c r="F1004" s="153"/>
      <x:c r="G1004" s="153" t="n">
        <x:v>2.18</x:v>
      </x:c>
    </x:row>
    <x:row r="1005">
      <x:c r="A1005" s="155" t="n">
        <x:v>43373</x:v>
      </x:c>
      <x:c r="B1005" s="153"/>
      <x:c r="C1005" s="153"/>
      <x:c r="D1005" s="153"/>
      <x:c r="E1005" s="153"/>
      <x:c r="F1005" s="153"/>
      <x:c r="G1005" s="153" t="n">
        <x:v>2.18</x:v>
      </x:c>
    </x:row>
    <x:row r="1006">
      <x:c r="A1006" s="155" t="n">
        <x:v>43374</x:v>
      </x:c>
      <x:c r="B1006" s="153" t="n">
        <x:v>3.09</x:v>
      </x:c>
      <x:c r="C1006" s="153" t="n">
        <x:v>0.95</x:v>
      </x:c>
      <x:c r="D1006" s="153" t="n">
        <x:v>2.14</x:v>
      </x:c>
      <x:c r="E1006" s="153" t="n">
        <x:v>113.8235</x:v>
      </x:c>
      <x:c r="F1006" s="153" t="n">
        <x:v>12</x:v>
      </x:c>
      <x:c r="G1006" s="153" t="n">
        <x:v>2.18</x:v>
      </x:c>
    </x:row>
    <x:row r="1007">
      <x:c r="A1007" s="155" t="n">
        <x:v>43375</x:v>
      </x:c>
      <x:c r="B1007" s="153" t="n">
        <x:v>3.05</x:v>
      </x:c>
      <x:c r="C1007" s="153" t="n">
        <x:v>0.93</x:v>
      </x:c>
      <x:c r="D1007" s="153" t="n">
        <x:v>2.12</x:v>
      </x:c>
      <x:c r="E1007" s="153" t="n">
        <x:v>113.8954</x:v>
      </x:c>
      <x:c r="F1007" s="153" t="n">
        <x:v>12.05</x:v>
      </x:c>
      <x:c r="G1007" s="153" t="n">
        <x:v>2.18</x:v>
      </x:c>
    </x:row>
    <x:row r="1008">
      <x:c r="A1008" s="155" t="n">
        <x:v>43376</x:v>
      </x:c>
      <x:c r="B1008" s="153" t="n">
        <x:v>3.15</x:v>
      </x:c>
      <x:c r="C1008" s="153" t="n">
        <x:v>0.99</x:v>
      </x:c>
      <x:c r="D1008" s="153" t="n">
        <x:v>2.16</x:v>
      </x:c>
      <x:c r="E1008" s="153" t="n">
        <x:v>114.1569</x:v>
      </x:c>
      <x:c r="F1008" s="153" t="n">
        <x:v>11.61</x:v>
      </x:c>
      <x:c r="G1008" s="153" t="n">
        <x:v>2.18</x:v>
      </x:c>
    </x:row>
    <x:row r="1009">
      <x:c r="A1009" s="155" t="n">
        <x:v>43377</x:v>
      </x:c>
      <x:c r="B1009" s="153" t="n">
        <x:v>3.19</x:v>
      </x:c>
      <x:c r="C1009" s="153" t="n">
        <x:v>1.03</x:v>
      </x:c>
      <x:c r="D1009" s="153" t="n">
        <x:v>2.16</x:v>
      </x:c>
      <x:c r="E1009" s="153" t="n">
        <x:v>114.6867</x:v>
      </x:c>
      <x:c r="F1009" s="153" t="n">
        <x:v>14.22</x:v>
      </x:c>
      <x:c r="G1009" s="153" t="n">
        <x:v>2.18</x:v>
      </x:c>
    </x:row>
    <x:row r="1010">
      <x:c r="A1010" s="155" t="n">
        <x:v>43378</x:v>
      </x:c>
      <x:c r="B1010" s="153" t="n">
        <x:v>3.23</x:v>
      </x:c>
      <x:c r="C1010" s="153" t="n">
        <x:v>1.07</x:v>
      </x:c>
      <x:c r="D1010" s="153" t="n">
        <x:v>2.16</x:v>
      </x:c>
      <x:c r="E1010" s="153" t="n">
        <x:v>114.561</x:v>
      </x:c>
      <x:c r="F1010" s="153" t="n">
        <x:v>14.82</x:v>
      </x:c>
      <x:c r="G1010" s="153" t="n">
        <x:v>2.18</x:v>
      </x:c>
    </x:row>
    <x:row r="1011">
      <x:c r="A1011" s="155" t="n">
        <x:v>43379</x:v>
      </x:c>
      <x:c r="B1011" s="153"/>
      <x:c r="C1011" s="153"/>
      <x:c r="D1011" s="153"/>
      <x:c r="E1011" s="153"/>
      <x:c r="F1011" s="153"/>
      <x:c r="G1011" s="153" t="n">
        <x:v>2.18</x:v>
      </x:c>
    </x:row>
    <x:row r="1012">
      <x:c r="A1012" s="155" t="n">
        <x:v>43380</x:v>
      </x:c>
      <x:c r="B1012" s="153"/>
      <x:c r="C1012" s="153"/>
      <x:c r="D1012" s="153"/>
      <x:c r="E1012" s="153"/>
      <x:c r="F1012" s="153"/>
      <x:c r="G1012" s="153" t="n">
        <x:v>2.18</x:v>
      </x:c>
    </x:row>
    <x:row r="1013">
      <x:c r="A1013" s="155" t="n">
        <x:v>43381</x:v>
      </x:c>
      <x:c r="B1013" s="153"/>
      <x:c r="C1013" s="153"/>
      <x:c r="D1013" s="153"/>
      <x:c r="E1013" s="153"/>
      <x:c r="F1013" s="153" t="n">
        <x:v>15.69</x:v>
      </x:c>
      <x:c r="G1013" s="153" t="n">
        <x:v>2.18</x:v>
      </x:c>
    </x:row>
    <x:row r="1014">
      <x:c r="A1014" s="155" t="n">
        <x:v>43382</x:v>
      </x:c>
      <x:c r="B1014" s="153" t="n">
        <x:v>3.21</x:v>
      </x:c>
      <x:c r="C1014" s="153" t="n">
        <x:v>1.04</x:v>
      </x:c>
      <x:c r="D1014" s="153" t="n">
        <x:v>2.17</x:v>
      </x:c>
      <x:c r="E1014" s="153" t="n">
        <x:v>114.6583</x:v>
      </x:c>
      <x:c r="F1014" s="153" t="n">
        <x:v>15.95</x:v>
      </x:c>
      <x:c r="G1014" s="153" t="n">
        <x:v>2.18</x:v>
      </x:c>
    </x:row>
    <x:row r="1015">
      <x:c r="A1015" s="155" t="n">
        <x:v>43383</x:v>
      </x:c>
      <x:c r="B1015" s="153" t="n">
        <x:v>3.22</x:v>
      </x:c>
      <x:c r="C1015" s="153" t="n">
        <x:v>1.06</x:v>
      </x:c>
      <x:c r="D1015" s="153" t="n">
        <x:v>2.16</x:v>
      </x:c>
      <x:c r="E1015" s="153" t="n">
        <x:v>114.6072</x:v>
      </x:c>
      <x:c r="F1015" s="153" t="n">
        <x:v>22.96</x:v>
      </x:c>
      <x:c r="G1015" s="153" t="n">
        <x:v>2.18</x:v>
      </x:c>
    </x:row>
    <x:row r="1016">
      <x:c r="A1016" s="155" t="n">
        <x:v>43384</x:v>
      </x:c>
      <x:c r="B1016" s="153" t="n">
        <x:v>3.14</x:v>
      </x:c>
      <x:c r="C1016" s="153" t="n">
        <x:v>1.02</x:v>
      </x:c>
      <x:c r="D1016" s="153" t="n">
        <x:v>2.12</x:v>
      </x:c>
      <x:c r="E1016" s="153" t="n">
        <x:v>114.4074</x:v>
      </x:c>
      <x:c r="F1016" s="153" t="n">
        <x:v>24.98</x:v>
      </x:c>
      <x:c r="G1016" s="153" t="n">
        <x:v>2.18</x:v>
      </x:c>
    </x:row>
    <x:row r="1017">
      <x:c r="A1017" s="155" t="n">
        <x:v>43385</x:v>
      </x:c>
      <x:c r="B1017" s="153" t="n">
        <x:v>3.15</x:v>
      </x:c>
      <x:c r="C1017" s="153" t="n">
        <x:v>1.03</x:v>
      </x:c>
      <x:c r="D1017" s="153" t="n">
        <x:v>2.12</x:v>
      </x:c>
      <x:c r="E1017" s="153" t="n">
        <x:v>114.3691</x:v>
      </x:c>
      <x:c r="F1017" s="153" t="n">
        <x:v>21.31</x:v>
      </x:c>
      <x:c r="G1017" s="153" t="n">
        <x:v>2.18</x:v>
      </x:c>
    </x:row>
    <x:row r="1018">
      <x:c r="A1018" s="155" t="n">
        <x:v>43386</x:v>
      </x:c>
      <x:c r="B1018" s="153"/>
      <x:c r="C1018" s="153"/>
      <x:c r="D1018" s="153"/>
      <x:c r="E1018" s="153"/>
      <x:c r="F1018" s="153"/>
      <x:c r="G1018" s="153" t="n">
        <x:v>2.18</x:v>
      </x:c>
    </x:row>
    <x:row r="1019">
      <x:c r="A1019" s="155" t="n">
        <x:v>43387</x:v>
      </x:c>
      <x:c r="B1019" s="153"/>
      <x:c r="C1019" s="153"/>
      <x:c r="D1019" s="153"/>
      <x:c r="E1019" s="153"/>
      <x:c r="F1019" s="153"/>
      <x:c r="G1019" s="153" t="n">
        <x:v>2.18</x:v>
      </x:c>
    </x:row>
    <x:row r="1020">
      <x:c r="A1020" s="155" t="n">
        <x:v>43388</x:v>
      </x:c>
      <x:c r="B1020" s="153" t="n">
        <x:v>3.16</x:v>
      </x:c>
      <x:c r="C1020" s="153" t="n">
        <x:v>1.03</x:v>
      </x:c>
      <x:c r="D1020" s="153" t="n">
        <x:v>2.13</x:v>
      </x:c>
      <x:c r="E1020" s="153" t="n">
        <x:v>114.045</x:v>
      </x:c>
      <x:c r="F1020" s="153" t="n">
        <x:v>21.3</x:v>
      </x:c>
      <x:c r="G1020" s="153" t="n">
        <x:v>2.18</x:v>
      </x:c>
    </x:row>
    <x:row r="1021">
      <x:c r="A1021" s="155" t="n">
        <x:v>43389</x:v>
      </x:c>
      <x:c r="B1021" s="153" t="n">
        <x:v>3.16</x:v>
      </x:c>
      <x:c r="C1021" s="153" t="n">
        <x:v>1.03</x:v>
      </x:c>
      <x:c r="D1021" s="153" t="n">
        <x:v>2.13</x:v>
      </x:c>
      <x:c r="E1021" s="153" t="n">
        <x:v>113.8963</x:v>
      </x:c>
      <x:c r="F1021" s="153" t="n">
        <x:v>17.62</x:v>
      </x:c>
      <x:c r="G1021" s="153" t="n">
        <x:v>2.18</x:v>
      </x:c>
    </x:row>
    <x:row r="1022">
      <x:c r="A1022" s="155" t="n">
        <x:v>43390</x:v>
      </x:c>
      <x:c r="B1022" s="153" t="n">
        <x:v>3.19</x:v>
      </x:c>
      <x:c r="C1022" s="153" t="n">
        <x:v>1.06</x:v>
      </x:c>
      <x:c r="D1022" s="153" t="n">
        <x:v>2.13</x:v>
      </x:c>
      <x:c r="E1022" s="153" t="n">
        <x:v>114.1755</x:v>
      </x:c>
      <x:c r="F1022" s="153" t="n">
        <x:v>17.4</x:v>
      </x:c>
      <x:c r="G1022" s="153" t="n">
        <x:v>2.19</x:v>
      </x:c>
    </x:row>
    <x:row r="1023">
      <x:c r="A1023" s="155" t="n">
        <x:v>43391</x:v>
      </x:c>
      <x:c r="B1023" s="153" t="n">
        <x:v>3.17</x:v>
      </x:c>
      <x:c r="C1023" s="153" t="n">
        <x:v>1.07</x:v>
      </x:c>
      <x:c r="D1023" s="153" t="n">
        <x:v>2.1</x:v>
      </x:c>
      <x:c r="E1023" s="153" t="n">
        <x:v>114.8164</x:v>
      </x:c>
      <x:c r="F1023" s="153" t="n">
        <x:v>20.06</x:v>
      </x:c>
      <x:c r="G1023" s="153" t="n">
        <x:v>2.19</x:v>
      </x:c>
    </x:row>
    <x:row r="1024">
      <x:c r="A1024" s="155" t="n">
        <x:v>43392</x:v>
      </x:c>
      <x:c r="B1024" s="153" t="n">
        <x:v>3.2</x:v>
      </x:c>
      <x:c r="C1024" s="153" t="n">
        <x:v>1.09</x:v>
      </x:c>
      <x:c r="D1024" s="153" t="n">
        <x:v>2.11</x:v>
      </x:c>
      <x:c r="E1024" s="153" t="n">
        <x:v>114.8567</x:v>
      </x:c>
      <x:c r="F1024" s="153" t="n">
        <x:v>19.89</x:v>
      </x:c>
      <x:c r="G1024" s="153" t="n">
        <x:v>2.19</x:v>
      </x:c>
    </x:row>
    <x:row r="1025">
      <x:c r="A1025" s="155" t="n">
        <x:v>43393</x:v>
      </x:c>
      <x:c r="B1025" s="153"/>
      <x:c r="C1025" s="153"/>
      <x:c r="D1025" s="153"/>
      <x:c r="E1025" s="153"/>
      <x:c r="F1025" s="153"/>
      <x:c r="G1025" s="153" t="n">
        <x:v>2.19</x:v>
      </x:c>
    </x:row>
    <x:row r="1026">
      <x:c r="A1026" s="155" t="n">
        <x:v>43394</x:v>
      </x:c>
      <x:c r="B1026" s="153"/>
      <x:c r="C1026" s="153"/>
      <x:c r="D1026" s="153"/>
      <x:c r="E1026" s="153"/>
      <x:c r="F1026" s="153"/>
      <x:c r="G1026" s="153" t="n">
        <x:v>2.19</x:v>
      </x:c>
    </x:row>
    <x:row r="1027">
      <x:c r="A1027" s="155" t="n">
        <x:v>43395</x:v>
      </x:c>
      <x:c r="B1027" s="153" t="n">
        <x:v>3.2</x:v>
      </x:c>
      <x:c r="C1027" s="153" t="n">
        <x:v>1.09</x:v>
      </x:c>
      <x:c r="D1027" s="153" t="n">
        <x:v>2.11</x:v>
      </x:c>
      <x:c r="E1027" s="153" t="n">
        <x:v>115.1782</x:v>
      </x:c>
      <x:c r="F1027" s="153" t="n">
        <x:v>19.64</x:v>
      </x:c>
      <x:c r="G1027" s="153" t="n">
        <x:v>2.19</x:v>
      </x:c>
    </x:row>
    <x:row r="1028">
      <x:c r="A1028" s="155" t="n">
        <x:v>43396</x:v>
      </x:c>
      <x:c r="B1028" s="153" t="n">
        <x:v>3.17</x:v>
      </x:c>
      <x:c r="C1028" s="153" t="n">
        <x:v>1.08</x:v>
      </x:c>
      <x:c r="D1028" s="153" t="n">
        <x:v>2.09</x:v>
      </x:c>
      <x:c r="E1028" s="153" t="n">
        <x:v>115.1651</x:v>
      </x:c>
      <x:c r="F1028" s="153" t="n">
        <x:v>20.71</x:v>
      </x:c>
      <x:c r="G1028" s="153" t="n">
        <x:v>2.2</x:v>
      </x:c>
    </x:row>
    <x:row r="1029">
      <x:c r="A1029" s="155" t="n">
        <x:v>43397</x:v>
      </x:c>
      <x:c r="B1029" s="153" t="n">
        <x:v>3.1</x:v>
      </x:c>
      <x:c r="C1029" s="153" t="n">
        <x:v>1.03</x:v>
      </x:c>
      <x:c r="D1029" s="153" t="n">
        <x:v>2.07</x:v>
      </x:c>
      <x:c r="E1029" s="153" t="n">
        <x:v>115.3755</x:v>
      </x:c>
      <x:c r="F1029" s="153" t="n">
        <x:v>25.23</x:v>
      </x:c>
      <x:c r="G1029" s="153" t="n">
        <x:v>2.2</x:v>
      </x:c>
    </x:row>
    <x:row r="1030">
      <x:c r="A1030" s="155" t="n">
        <x:v>43398</x:v>
      </x:c>
      <x:c r="B1030" s="153" t="n">
        <x:v>3.14</x:v>
      </x:c>
      <x:c r="C1030" s="153" t="n">
        <x:v>1.09</x:v>
      </x:c>
      <x:c r="D1030" s="153" t="n">
        <x:v>2.05</x:v>
      </x:c>
      <x:c r="E1030" s="153" t="n">
        <x:v>115.4831</x:v>
      </x:c>
      <x:c r="F1030" s="153" t="n">
        <x:v>24.22</x:v>
      </x:c>
      <x:c r="G1030" s="153" t="n">
        <x:v>2.2</x:v>
      </x:c>
    </x:row>
    <x:row r="1031">
      <x:c r="A1031" s="155" t="n">
        <x:v>43399</x:v>
      </x:c>
      <x:c r="B1031" s="153" t="n">
        <x:v>3.08</x:v>
      </x:c>
      <x:c r="C1031" s="153" t="n">
        <x:v>1.02</x:v>
      </x:c>
      <x:c r="D1031" s="153" t="n">
        <x:v>2.06</x:v>
      </x:c>
      <x:c r="E1031" s="153" t="n">
        <x:v>115.473</x:v>
      </x:c>
      <x:c r="F1031" s="153" t="n">
        <x:v>24.16</x:v>
      </x:c>
      <x:c r="G1031" s="153" t="n">
        <x:v>2.2</x:v>
      </x:c>
    </x:row>
    <x:row r="1032">
      <x:c r="A1032" s="155" t="n">
        <x:v>43400</x:v>
      </x:c>
      <x:c r="B1032" s="153"/>
      <x:c r="C1032" s="153"/>
      <x:c r="D1032" s="153"/>
      <x:c r="E1032" s="153"/>
      <x:c r="F1032" s="153"/>
      <x:c r="G1032" s="153" t="n">
        <x:v>2.2</x:v>
      </x:c>
    </x:row>
    <x:row r="1033">
      <x:c r="A1033" s="155" t="n">
        <x:v>43401</x:v>
      </x:c>
      <x:c r="B1033" s="153"/>
      <x:c r="C1033" s="153"/>
      <x:c r="D1033" s="153"/>
      <x:c r="E1033" s="153"/>
      <x:c r="F1033" s="153"/>
      <x:c r="G1033" s="153" t="n">
        <x:v>2.2</x:v>
      </x:c>
    </x:row>
    <x:row r="1034">
      <x:c r="A1034" s="155" t="n">
        <x:v>43402</x:v>
      </x:c>
      <x:c r="B1034" s="153" t="n">
        <x:v>3.08</x:v>
      </x:c>
      <x:c r="C1034" s="153" t="n">
        <x:v>1.02</x:v>
      </x:c>
      <x:c r="D1034" s="153" t="n">
        <x:v>2.06</x:v>
      </x:c>
      <x:c r="E1034" s="153" t="n">
        <x:v>115.8936</x:v>
      </x:c>
      <x:c r="F1034" s="153" t="n">
        <x:v>24.7</x:v>
      </x:c>
      <x:c r="G1034" s="153" t="n">
        <x:v>2.2</x:v>
      </x:c>
    </x:row>
    <x:row r="1035">
      <x:c r="A1035" s="155" t="n">
        <x:v>43403</x:v>
      </x:c>
      <x:c r="B1035" s="153" t="n">
        <x:v>3.12</x:v>
      </x:c>
      <x:c r="C1035" s="153" t="n">
        <x:v>1.07</x:v>
      </x:c>
      <x:c r="D1035" s="153" t="n">
        <x:v>2.05</x:v>
      </x:c>
      <x:c r="E1035" s="153" t="n">
        <x:v>116.2357</x:v>
      </x:c>
      <x:c r="F1035" s="153" t="n">
        <x:v>23.35</x:v>
      </x:c>
      <x:c r="G1035" s="153" t="n">
        <x:v>2.2</x:v>
      </x:c>
    </x:row>
    <x:row r="1036">
      <x:c r="A1036" s="155" t="n">
        <x:v>43404</x:v>
      </x:c>
      <x:c r="B1036" s="153" t="n">
        <x:v>3.15</x:v>
      </x:c>
      <x:c r="C1036" s="153" t="n">
        <x:v>1.1</x:v>
      </x:c>
      <x:c r="D1036" s="153" t="n">
        <x:v>2.05</x:v>
      </x:c>
      <x:c r="E1036" s="153" t="n">
        <x:v>116.5281</x:v>
      </x:c>
      <x:c r="F1036" s="153" t="n">
        <x:v>21.23</x:v>
      </x:c>
      <x:c r="G1036" s="153" t="n">
        <x:v>2.2</x:v>
      </x:c>
    </x:row>
    <x:row r="1037">
      <x:c r="A1037" s="155" t="n">
        <x:v>43405</x:v>
      </x:c>
      <x:c r="B1037" s="153" t="n">
        <x:v>3.14</x:v>
      </x:c>
      <x:c r="C1037" s="153" t="n">
        <x:v>1.12</x:v>
      </x:c>
      <x:c r="D1037" s="153" t="n">
        <x:v>2.02</x:v>
      </x:c>
      <x:c r="E1037" s="153" t="n">
        <x:v>115.8657</x:v>
      </x:c>
      <x:c r="F1037" s="153" t="n">
        <x:v>19.34</x:v>
      </x:c>
      <x:c r="G1037" s="153" t="n">
        <x:v>2.2</x:v>
      </x:c>
    </x:row>
    <x:row r="1038">
      <x:c r="A1038" s="155" t="n">
        <x:v>43406</x:v>
      </x:c>
      <x:c r="B1038" s="153" t="n">
        <x:v>3.22</x:v>
      </x:c>
      <x:c r="C1038" s="153" t="n">
        <x:v>1.16</x:v>
      </x:c>
      <x:c r="D1038" s="153" t="n">
        <x:v>2.06</x:v>
      </x:c>
      <x:c r="E1038" s="153" t="n">
        <x:v>115.643</x:v>
      </x:c>
      <x:c r="F1038" s="153" t="n">
        <x:v>19.51</x:v>
      </x:c>
      <x:c r="G1038" s="153" t="n">
        <x:v>2.19</x:v>
      </x:c>
    </x:row>
    <x:row r="1039">
      <x:c r="A1039" s="155" t="n">
        <x:v>43407</x:v>
      </x:c>
      <x:c r="B1039" s="153"/>
      <x:c r="C1039" s="153"/>
      <x:c r="D1039" s="153"/>
      <x:c r="E1039" s="153"/>
      <x:c r="F1039" s="153"/>
      <x:c r="G1039" s="153" t="n">
        <x:v>2.19</x:v>
      </x:c>
    </x:row>
    <x:row r="1040">
      <x:c r="A1040" s="155" t="n">
        <x:v>43408</x:v>
      </x:c>
      <x:c r="B1040" s="153"/>
      <x:c r="C1040" s="153"/>
      <x:c r="D1040" s="153"/>
      <x:c r="E1040" s="153"/>
      <x:c r="F1040" s="153"/>
      <x:c r="G1040" s="153" t="n">
        <x:v>2.19</x:v>
      </x:c>
    </x:row>
    <x:row r="1041">
      <x:c r="A1041" s="155" t="n">
        <x:v>43409</x:v>
      </x:c>
      <x:c r="B1041" s="153" t="n">
        <x:v>3.2</x:v>
      </x:c>
      <x:c r="C1041" s="153" t="n">
        <x:v>1.14</x:v>
      </x:c>
      <x:c r="D1041" s="153" t="n">
        <x:v>2.06</x:v>
      </x:c>
      <x:c r="E1041" s="153" t="n">
        <x:v>115.703</x:v>
      </x:c>
      <x:c r="F1041" s="153" t="n">
        <x:v>19.96</x:v>
      </x:c>
      <x:c r="G1041" s="153" t="n">
        <x:v>2.2</x:v>
      </x:c>
    </x:row>
    <x:row r="1042">
      <x:c r="A1042" s="155" t="n">
        <x:v>43410</x:v>
      </x:c>
      <x:c r="B1042" s="153" t="n">
        <x:v>3.22</x:v>
      </x:c>
      <x:c r="C1042" s="153" t="n">
        <x:v>1.15</x:v>
      </x:c>
      <x:c r="D1042" s="153" t="n">
        <x:v>2.07</x:v>
      </x:c>
      <x:c r="E1042" s="153" t="n">
        <x:v>115.5622</x:v>
      </x:c>
      <x:c r="F1042" s="153" t="n">
        <x:v>19.91</x:v>
      </x:c>
      <x:c r="G1042" s="153" t="n">
        <x:v>2.2</x:v>
      </x:c>
    </x:row>
    <x:row r="1043">
      <x:c r="A1043" s="155" t="n">
        <x:v>43411</x:v>
      </x:c>
      <x:c r="B1043" s="153" t="n">
        <x:v>3.22</x:v>
      </x:c>
      <x:c r="C1043" s="153" t="n">
        <x:v>1.15</x:v>
      </x:c>
      <x:c r="D1043" s="153" t="n">
        <x:v>2.07</x:v>
      </x:c>
      <x:c r="E1043" s="153" t="n">
        <x:v>115.2519</x:v>
      </x:c>
      <x:c r="F1043" s="153" t="n">
        <x:v>16.36</x:v>
      </x:c>
      <x:c r="G1043" s="153" t="n">
        <x:v>2.2</x:v>
      </x:c>
    </x:row>
    <x:row r="1044">
      <x:c r="A1044" s="155" t="n">
        <x:v>43412</x:v>
      </x:c>
      <x:c r="B1044" s="153" t="n">
        <x:v>3.24</x:v>
      </x:c>
      <x:c r="C1044" s="153" t="n">
        <x:v>1.17</x:v>
      </x:c>
      <x:c r="D1044" s="153" t="n">
        <x:v>2.07</x:v>
      </x:c>
      <x:c r="E1044" s="153" t="n">
        <x:v>115.6478</x:v>
      </x:c>
      <x:c r="F1044" s="153" t="n">
        <x:v>16.72</x:v>
      </x:c>
      <x:c r="G1044" s="153" t="n">
        <x:v>2.2</x:v>
      </x:c>
    </x:row>
    <x:row r="1045">
      <x:c r="A1045" s="155" t="n">
        <x:v>43413</x:v>
      </x:c>
      <x:c r="B1045" s="153" t="n">
        <x:v>3.19</x:v>
      </x:c>
      <x:c r="C1045" s="153" t="n">
        <x:v>1.15</x:v>
      </x:c>
      <x:c r="D1045" s="153" t="n">
        <x:v>2.04</x:v>
      </x:c>
      <x:c r="E1045" s="153" t="n">
        <x:v>116.4778</x:v>
      </x:c>
      <x:c r="F1045" s="153" t="n">
        <x:v>17.36</x:v>
      </x:c>
      <x:c r="G1045" s="153" t="n">
        <x:v>2.19</x:v>
      </x:c>
    </x:row>
    <x:row r="1046">
      <x:c r="A1046" s="155" t="n">
        <x:v>43414</x:v>
      </x:c>
      <x:c r="B1046" s="153"/>
      <x:c r="C1046" s="153"/>
      <x:c r="D1046" s="153"/>
      <x:c r="E1046" s="153"/>
      <x:c r="F1046" s="153"/>
      <x:c r="G1046" s="153" t="n">
        <x:v>2.19</x:v>
      </x:c>
    </x:row>
    <x:row r="1047">
      <x:c r="A1047" s="155" t="n">
        <x:v>43415</x:v>
      </x:c>
      <x:c r="B1047" s="153"/>
      <x:c r="C1047" s="153"/>
      <x:c r="D1047" s="153"/>
      <x:c r="E1047" s="153"/>
      <x:c r="F1047" s="153"/>
      <x:c r="G1047" s="153" t="n">
        <x:v>2.19</x:v>
      </x:c>
    </x:row>
    <x:row r="1048">
      <x:c r="A1048" s="155" t="n">
        <x:v>43416</x:v>
      </x:c>
      <x:c r="B1048" s="153"/>
      <x:c r="C1048" s="153"/>
      <x:c r="D1048" s="153"/>
      <x:c r="E1048" s="153"/>
      <x:c r="F1048" s="153" t="n">
        <x:v>20.45</x:v>
      </x:c>
      <x:c r="G1048" s="153" t="n">
        <x:v>2.19</x:v>
      </x:c>
    </x:row>
    <x:row r="1049">
      <x:c r="A1049" s="155" t="n">
        <x:v>43417</x:v>
      </x:c>
      <x:c r="B1049" s="153" t="n">
        <x:v>3.14</x:v>
      </x:c>
      <x:c r="C1049" s="153" t="n">
        <x:v>1.12</x:v>
      </x:c>
      <x:c r="D1049" s="153" t="n">
        <x:v>2.02</x:v>
      </x:c>
      <x:c r="E1049" s="153" t="n">
        <x:v>116.6694</x:v>
      </x:c>
      <x:c r="F1049" s="153" t="n">
        <x:v>20.02</x:v>
      </x:c>
      <x:c r="G1049" s="153" t="n">
        <x:v>2.2</x:v>
      </x:c>
    </x:row>
    <x:row r="1050">
      <x:c r="A1050" s="155" t="n">
        <x:v>43418</x:v>
      </x:c>
      <x:c r="B1050" s="153" t="n">
        <x:v>3.12</x:v>
      </x:c>
      <x:c r="C1050" s="153" t="n">
        <x:v>1.12</x:v>
      </x:c>
      <x:c r="D1050" s="153" t="n">
        <x:v>2</x:v>
      </x:c>
      <x:c r="E1050" s="153" t="n">
        <x:v>116.498</x:v>
      </x:c>
      <x:c r="F1050" s="153" t="n">
        <x:v>21.25</x:v>
      </x:c>
      <x:c r="G1050" s="153" t="n">
        <x:v>2.2</x:v>
      </x:c>
    </x:row>
    <x:row r="1051">
      <x:c r="A1051" s="155" t="n">
        <x:v>43419</x:v>
      </x:c>
      <x:c r="B1051" s="153" t="n">
        <x:v>3.11</x:v>
      </x:c>
      <x:c r="C1051" s="153" t="n">
        <x:v>1.11</x:v>
      </x:c>
      <x:c r="D1051" s="153" t="n">
        <x:v>2</x:v>
      </x:c>
      <x:c r="E1051" s="153" t="n">
        <x:v>116.3861</x:v>
      </x:c>
      <x:c r="F1051" s="153" t="n">
        <x:v>19.98</x:v>
      </x:c>
      <x:c r="G1051" s="153" t="n">
        <x:v>2.2</x:v>
      </x:c>
    </x:row>
    <x:row r="1052">
      <x:c r="A1052" s="155" t="n">
        <x:v>43420</x:v>
      </x:c>
      <x:c r="B1052" s="153" t="n">
        <x:v>3.08</x:v>
      </x:c>
      <x:c r="C1052" s="153" t="n">
        <x:v>1.06</x:v>
      </x:c>
      <x:c r="D1052" s="153" t="n">
        <x:v>2.02</x:v>
      </x:c>
      <x:c r="E1052" s="153" t="n">
        <x:v>115.9258</x:v>
      </x:c>
      <x:c r="F1052" s="153" t="n">
        <x:v>18.14</x:v>
      </x:c>
      <x:c r="G1052" s="153" t="n">
        <x:v>2.2</x:v>
      </x:c>
    </x:row>
    <x:row r="1053">
      <x:c r="A1053" s="155" t="n">
        <x:v>43421</x:v>
      </x:c>
      <x:c r="B1053" s="153"/>
      <x:c r="C1053" s="153"/>
      <x:c r="D1053" s="153"/>
      <x:c r="E1053" s="153"/>
      <x:c r="F1053" s="153"/>
      <x:c r="G1053" s="153" t="n">
        <x:v>2.2</x:v>
      </x:c>
    </x:row>
    <x:row r="1054">
      <x:c r="A1054" s="155" t="n">
        <x:v>43422</x:v>
      </x:c>
      <x:c r="B1054" s="153"/>
      <x:c r="C1054" s="153"/>
      <x:c r="D1054" s="153"/>
      <x:c r="E1054" s="153"/>
      <x:c r="F1054" s="153"/>
      <x:c r="G1054" s="153" t="n">
        <x:v>2.2</x:v>
      </x:c>
    </x:row>
    <x:row r="1055">
      <x:c r="A1055" s="155" t="n">
        <x:v>43423</x:v>
      </x:c>
      <x:c r="B1055" s="153" t="n">
        <x:v>3.06</x:v>
      </x:c>
      <x:c r="C1055" s="153" t="n">
        <x:v>1.07</x:v>
      </x:c>
      <x:c r="D1055" s="153" t="n">
        <x:v>1.99</x:v>
      </x:c>
      <x:c r="E1055" s="153" t="n">
        <x:v>115.9859</x:v>
      </x:c>
      <x:c r="F1055" s="153" t="n">
        <x:v>20.1</x:v>
      </x:c>
      <x:c r="G1055" s="153" t="n">
        <x:v>2.2</x:v>
      </x:c>
    </x:row>
    <x:row r="1056">
      <x:c r="A1056" s="155" t="n">
        <x:v>43424</x:v>
      </x:c>
      <x:c r="B1056" s="153" t="n">
        <x:v>3.06</x:v>
      </x:c>
      <x:c r="C1056" s="153" t="n">
        <x:v>1.09</x:v>
      </x:c>
      <x:c r="D1056" s="153" t="n">
        <x:v>1.97</x:v>
      </x:c>
      <x:c r="E1056" s="153" t="n">
        <x:v>116.2367</x:v>
      </x:c>
      <x:c r="F1056" s="153" t="n">
        <x:v>22.48</x:v>
      </x:c>
      <x:c r="G1056" s="153" t="n">
        <x:v>2.2</x:v>
      </x:c>
    </x:row>
    <x:row r="1057">
      <x:c r="A1057" s="155" t="n">
        <x:v>43425</x:v>
      </x:c>
      <x:c r="B1057" s="153" t="n">
        <x:v>3.06</x:v>
      </x:c>
      <x:c r="C1057" s="153" t="n">
        <x:v>1.09</x:v>
      </x:c>
      <x:c r="D1057" s="153" t="n">
        <x:v>1.97</x:v>
      </x:c>
      <x:c r="E1057" s="153" t="n">
        <x:v>116.092</x:v>
      </x:c>
      <x:c r="F1057" s="153" t="n">
        <x:v>20.8</x:v>
      </x:c>
      <x:c r="G1057" s="153" t="n">
        <x:v>2.2</x:v>
      </x:c>
    </x:row>
    <x:row r="1058">
      <x:c r="A1058" s="155" t="n">
        <x:v>43426</x:v>
      </x:c>
      <x:c r="B1058" s="153"/>
      <x:c r="C1058" s="153"/>
      <x:c r="D1058" s="153"/>
      <x:c r="E1058" s="153"/>
      <x:c r="F1058" s="153"/>
      <x:c r="G1058" s="153" t="n">
        <x:v>2.2</x:v>
      </x:c>
    </x:row>
    <x:row r="1059">
      <x:c r="A1059" s="155" t="n">
        <x:v>43427</x:v>
      </x:c>
      <x:c r="B1059" s="153" t="n">
        <x:v>3.05</x:v>
      </x:c>
      <x:c r="C1059" s="153" t="n">
        <x:v>1.09</x:v>
      </x:c>
      <x:c r="D1059" s="153" t="n">
        <x:v>1.96</x:v>
      </x:c>
      <x:c r="E1059" s="153" t="n">
        <x:v>116.4713</x:v>
      </x:c>
      <x:c r="F1059" s="153" t="n">
        <x:v>21.52</x:v>
      </x:c>
      <x:c r="G1059" s="153" t="n">
        <x:v>2.2</x:v>
      </x:c>
    </x:row>
    <x:row r="1060">
      <x:c r="A1060" s="155" t="n">
        <x:v>43428</x:v>
      </x:c>
      <x:c r="B1060" s="153"/>
      <x:c r="C1060" s="153"/>
      <x:c r="D1060" s="153"/>
      <x:c r="E1060" s="153"/>
      <x:c r="F1060" s="153"/>
      <x:c r="G1060" s="153" t="n">
        <x:v>2.2</x:v>
      </x:c>
    </x:row>
    <x:row r="1061">
      <x:c r="A1061" s="155" t="n">
        <x:v>43429</x:v>
      </x:c>
      <x:c r="B1061" s="153"/>
      <x:c r="C1061" s="153"/>
      <x:c r="D1061" s="153"/>
      <x:c r="E1061" s="153"/>
      <x:c r="F1061" s="153"/>
      <x:c r="G1061" s="153" t="n">
        <x:v>2.2</x:v>
      </x:c>
    </x:row>
    <x:row r="1062">
      <x:c r="A1062" s="155" t="n">
        <x:v>43430</x:v>
      </x:c>
      <x:c r="B1062" s="153" t="n">
        <x:v>3.07</x:v>
      </x:c>
      <x:c r="C1062" s="153" t="n">
        <x:v>1.11</x:v>
      </x:c>
      <x:c r="D1062" s="153" t="n">
        <x:v>1.96</x:v>
      </x:c>
      <x:c r="E1062" s="153" t="n">
        <x:v>116.6208</x:v>
      </x:c>
      <x:c r="F1062" s="153" t="n">
        <x:v>18.9</x:v>
      </x:c>
      <x:c r="G1062" s="153" t="n">
        <x:v>2.2</x:v>
      </x:c>
    </x:row>
    <x:row r="1063">
      <x:c r="A1063" s="155" t="n">
        <x:v>43431</x:v>
      </x:c>
      <x:c r="B1063" s="153" t="n">
        <x:v>3.06</x:v>
      </x:c>
      <x:c r="C1063" s="153" t="n">
        <x:v>1.15</x:v>
      </x:c>
      <x:c r="D1063" s="153" t="n">
        <x:v>1.91</x:v>
      </x:c>
      <x:c r="E1063" s="153" t="n">
        <x:v>116.9001</x:v>
      </x:c>
      <x:c r="F1063" s="153" t="n">
        <x:v>19.02</x:v>
      </x:c>
      <x:c r="G1063" s="153" t="n">
        <x:v>2.2</x:v>
      </x:c>
    </x:row>
    <x:row r="1064">
      <x:c r="A1064" s="155" t="n">
        <x:v>43432</x:v>
      </x:c>
      <x:c r="B1064" s="153" t="n">
        <x:v>3.06</x:v>
      </x:c>
      <x:c r="C1064" s="153" t="n">
        <x:v>1.12</x:v>
      </x:c>
      <x:c r="D1064" s="153" t="n">
        <x:v>1.94</x:v>
      </x:c>
      <x:c r="E1064" s="153" t="n">
        <x:v>116.8343</x:v>
      </x:c>
      <x:c r="F1064" s="153" t="n">
        <x:v>18.49</x:v>
      </x:c>
      <x:c r="G1064" s="153" t="n">
        <x:v>2.2</x:v>
      </x:c>
    </x:row>
    <x:row r="1065">
      <x:c r="A1065" s="155" t="n">
        <x:v>43433</x:v>
      </x:c>
      <x:c r="B1065" s="153" t="n">
        <x:v>3.03</x:v>
      </x:c>
      <x:c r="C1065" s="153" t="n">
        <x:v>1.05</x:v>
      </x:c>
      <x:c r="D1065" s="153" t="n">
        <x:v>1.98</x:v>
      </x:c>
      <x:c r="E1065" s="153" t="n">
        <x:v>116.1961</x:v>
      </x:c>
      <x:c r="F1065" s="153" t="n">
        <x:v>18.79</x:v>
      </x:c>
      <x:c r="G1065" s="153" t="n">
        <x:v>2.2</x:v>
      </x:c>
    </x:row>
    <x:row r="1066">
      <x:c r="A1066" s="155" t="n">
        <x:v>43434</x:v>
      </x:c>
      <x:c r="B1066" s="153" t="n">
        <x:v>3.01</x:v>
      </x:c>
      <x:c r="C1066" s="153" t="n">
        <x:v>1.04</x:v>
      </x:c>
      <x:c r="D1066" s="153" t="n">
        <x:v>1.97</x:v>
      </x:c>
      <x:c r="E1066" s="153" t="n">
        <x:v>116.413</x:v>
      </x:c>
      <x:c r="F1066" s="153" t="n">
        <x:v>18.07</x:v>
      </x:c>
      <x:c r="G1066" s="153" t="n">
        <x:v>2.2</x:v>
      </x:c>
    </x:row>
    <x:row r="1067">
      <x:c r="A1067" s="155" t="n">
        <x:v>43435</x:v>
      </x:c>
      <x:c r="B1067" s="153"/>
      <x:c r="C1067" s="153"/>
      <x:c r="D1067" s="153"/>
      <x:c r="E1067" s="153"/>
      <x:c r="F1067" s="153"/>
      <x:c r="G1067" s="153" t="n">
        <x:v>2.2</x:v>
      </x:c>
    </x:row>
    <x:row r="1068">
      <x:c r="A1068" s="155" t="n">
        <x:v>43436</x:v>
      </x:c>
      <x:c r="B1068" s="153"/>
      <x:c r="C1068" s="153"/>
      <x:c r="D1068" s="153"/>
      <x:c r="E1068" s="153"/>
      <x:c r="F1068" s="153"/>
      <x:c r="G1068" s="153" t="n">
        <x:v>2.2</x:v>
      </x:c>
    </x:row>
    <x:row r="1069">
      <x:c r="A1069" s="155" t="n">
        <x:v>43437</x:v>
      </x:c>
      <x:c r="B1069" s="153" t="n">
        <x:v>2.98</x:v>
      </x:c>
      <x:c r="C1069" s="153" t="n">
        <x:v>1.02</x:v>
      </x:c>
      <x:c r="D1069" s="153" t="n">
        <x:v>1.96</x:v>
      </x:c>
      <x:c r="E1069" s="153" t="n">
        <x:v>115.9057</x:v>
      </x:c>
      <x:c r="F1069" s="153" t="n">
        <x:v>16.44</x:v>
      </x:c>
      <x:c r="G1069" s="153" t="n">
        <x:v>2.19</x:v>
      </x:c>
    </x:row>
    <x:row r="1070">
      <x:c r="A1070" s="155" t="n">
        <x:v>43438</x:v>
      </x:c>
      <x:c r="B1070" s="153" t="n">
        <x:v>2.91</x:v>
      </x:c>
      <x:c r="C1070" s="153" t="n">
        <x:v>0.97</x:v>
      </x:c>
      <x:c r="D1070" s="153" t="n">
        <x:v>1.94</x:v>
      </x:c>
      <x:c r="E1070" s="153" t="n">
        <x:v>116.0028</x:v>
      </x:c>
      <x:c r="F1070" s="153" t="n">
        <x:v>20.74</x:v>
      </x:c>
      <x:c r="G1070" s="153" t="n">
        <x:v>2.2</x:v>
      </x:c>
    </x:row>
    <x:row r="1071">
      <x:c r="A1071" s="155" t="n">
        <x:v>43439</x:v>
      </x:c>
      <x:c r="B1071" s="153"/>
      <x:c r="C1071" s="153"/>
      <x:c r="D1071" s="153"/>
      <x:c r="E1071" s="153"/>
      <x:c r="F1071" s="153"/>
      <x:c r="G1071" s="153" t="n">
        <x:v>2.2</x:v>
      </x:c>
    </x:row>
    <x:row r="1072">
      <x:c r="A1072" s="155" t="n">
        <x:v>43440</x:v>
      </x:c>
      <x:c r="B1072" s="153" t="n">
        <x:v>2.87</x:v>
      </x:c>
      <x:c r="C1072" s="153" t="n">
        <x:v>0.97</x:v>
      </x:c>
      <x:c r="D1072" s="153" t="n">
        <x:v>1.9</x:v>
      </x:c>
      <x:c r="E1072" s="153" t="n">
        <x:v>116.3991</x:v>
      </x:c>
      <x:c r="F1072" s="153" t="n">
        <x:v>21.19</x:v>
      </x:c>
      <x:c r="G1072" s="153" t="n">
        <x:v>2.2</x:v>
      </x:c>
    </x:row>
    <x:row r="1073">
      <x:c r="A1073" s="155" t="n">
        <x:v>43441</x:v>
      </x:c>
      <x:c r="B1073" s="153" t="n">
        <x:v>2.85</x:v>
      </x:c>
      <x:c r="C1073" s="153" t="n">
        <x:v>0.96</x:v>
      </x:c>
      <x:c r="D1073" s="153" t="n">
        <x:v>1.89</x:v>
      </x:c>
      <x:c r="E1073" s="153" t="n">
        <x:v>116.0847</x:v>
      </x:c>
      <x:c r="F1073" s="153" t="n">
        <x:v>23.23</x:v>
      </x:c>
      <x:c r="G1073" s="153" t="n">
        <x:v>2.19</x:v>
      </x:c>
    </x:row>
    <x:row r="1074">
      <x:c r="A1074" s="155" t="n">
        <x:v>43442</x:v>
      </x:c>
      <x:c r="B1074" s="153"/>
      <x:c r="C1074" s="153"/>
      <x:c r="D1074" s="153"/>
      <x:c r="E1074" s="153"/>
      <x:c r="F1074" s="153"/>
      <x:c r="G1074" s="153" t="n">
        <x:v>2.19</x:v>
      </x:c>
    </x:row>
    <x:row r="1075">
      <x:c r="A1075" s="155" t="n">
        <x:v>43443</x:v>
      </x:c>
      <x:c r="B1075" s="153"/>
      <x:c r="C1075" s="153"/>
      <x:c r="D1075" s="153"/>
      <x:c r="E1075" s="153"/>
      <x:c r="F1075" s="153"/>
      <x:c r="G1075" s="153" t="n">
        <x:v>2.19</x:v>
      </x:c>
    </x:row>
    <x:row r="1076">
      <x:c r="A1076" s="155" t="n">
        <x:v>43444</x:v>
      </x:c>
      <x:c r="B1076" s="153" t="n">
        <x:v>2.85</x:v>
      </x:c>
      <x:c r="C1076" s="153" t="n">
        <x:v>0.99</x:v>
      </x:c>
      <x:c r="D1076" s="153" t="n">
        <x:v>1.86</x:v>
      </x:c>
      <x:c r="E1076" s="153" t="n">
        <x:v>116.6746</x:v>
      </x:c>
      <x:c r="F1076" s="153" t="n">
        <x:v>22.64</x:v>
      </x:c>
      <x:c r="G1076" s="153" t="n">
        <x:v>2.2</x:v>
      </x:c>
    </x:row>
    <x:row r="1077">
      <x:c r="A1077" s="155" t="n">
        <x:v>43445</x:v>
      </x:c>
      <x:c r="B1077" s="153" t="n">
        <x:v>2.89</x:v>
      </x:c>
      <x:c r="C1077" s="153" t="n">
        <x:v>1.06</x:v>
      </x:c>
      <x:c r="D1077" s="153" t="n">
        <x:v>1.83</x:v>
      </x:c>
      <x:c r="E1077" s="153" t="n">
        <x:v>116.7564</x:v>
      </x:c>
      <x:c r="F1077" s="153" t="n">
        <x:v>21.76</x:v>
      </x:c>
      <x:c r="G1077" s="153" t="n">
        <x:v>2.19</x:v>
      </x:c>
    </x:row>
    <x:row r="1078">
      <x:c r="A1078" s="155" t="n">
        <x:v>43446</x:v>
      </x:c>
      <x:c r="B1078" s="153" t="n">
        <x:v>2.91</x:v>
      </x:c>
      <x:c r="C1078" s="153" t="n">
        <x:v>1.08</x:v>
      </x:c>
      <x:c r="D1078" s="153" t="n">
        <x:v>1.83</x:v>
      </x:c>
      <x:c r="E1078" s="153" t="n">
        <x:v>116.2214</x:v>
      </x:c>
      <x:c r="F1078" s="153" t="n">
        <x:v>21.46</x:v>
      </x:c>
      <x:c r="G1078" s="153" t="n">
        <x:v>2.19</x:v>
      </x:c>
    </x:row>
    <x:row r="1079">
      <x:c r="A1079" s="155" t="n">
        <x:v>43447</x:v>
      </x:c>
      <x:c r="B1079" s="153" t="n">
        <x:v>2.91</x:v>
      </x:c>
      <x:c r="C1079" s="153" t="n">
        <x:v>1.08</x:v>
      </x:c>
      <x:c r="D1079" s="153" t="n">
        <x:v>1.83</x:v>
      </x:c>
      <x:c r="E1079" s="153" t="n">
        <x:v>116.3974</x:v>
      </x:c>
      <x:c r="F1079" s="153" t="n">
        <x:v>20.65</x:v>
      </x:c>
      <x:c r="G1079" s="153" t="n">
        <x:v>2.19</x:v>
      </x:c>
    </x:row>
    <x:row r="1080">
      <x:c r="A1080" s="155" t="n">
        <x:v>43448</x:v>
      </x:c>
      <x:c r="B1080" s="153" t="n">
        <x:v>2.89</x:v>
      </x:c>
      <x:c r="C1080" s="153" t="n">
        <x:v>1.07</x:v>
      </x:c>
      <x:c r="D1080" s="153" t="n">
        <x:v>1.82</x:v>
      </x:c>
      <x:c r="E1080" s="153" t="n">
        <x:v>116.79</x:v>
      </x:c>
      <x:c r="F1080" s="153" t="n">
        <x:v>21.63</x:v>
      </x:c>
      <x:c r="G1080" s="153" t="n">
        <x:v>2.19</x:v>
      </x:c>
    </x:row>
    <x:row r="1081">
      <x:c r="A1081" s="155" t="n">
        <x:v>43449</x:v>
      </x:c>
      <x:c r="B1081" s="153"/>
      <x:c r="C1081" s="153"/>
      <x:c r="D1081" s="153"/>
      <x:c r="E1081" s="153"/>
      <x:c r="F1081" s="153"/>
      <x:c r="G1081" s="153" t="n">
        <x:v>2.19</x:v>
      </x:c>
    </x:row>
    <x:row r="1082">
      <x:c r="A1082" s="155" t="n">
        <x:v>43450</x:v>
      </x:c>
      <x:c r="B1082" s="153"/>
      <x:c r="C1082" s="153"/>
      <x:c r="D1082" s="153"/>
      <x:c r="E1082" s="153"/>
      <x:c r="F1082" s="153"/>
      <x:c r="G1082" s="153" t="n">
        <x:v>2.19</x:v>
      </x:c>
    </x:row>
    <x:row r="1083">
      <x:c r="A1083" s="155" t="n">
        <x:v>43451</x:v>
      </x:c>
      <x:c r="B1083" s="153" t="n">
        <x:v>2.86</x:v>
      </x:c>
      <x:c r="C1083" s="153" t="n">
        <x:v>1.05</x:v>
      </x:c>
      <x:c r="D1083" s="153" t="n">
        <x:v>1.81</x:v>
      </x:c>
      <x:c r="E1083" s="153" t="n">
        <x:v>116.4532</x:v>
      </x:c>
      <x:c r="F1083" s="153" t="n">
        <x:v>24.52</x:v>
      </x:c>
      <x:c r="G1083" s="153" t="n">
        <x:v>2.2</x:v>
      </x:c>
    </x:row>
    <x:row r="1084">
      <x:c r="A1084" s="155" t="n">
        <x:v>43452</x:v>
      </x:c>
      <x:c r="B1084" s="153" t="n">
        <x:v>2.82</x:v>
      </x:c>
      <x:c r="C1084" s="153" t="n">
        <x:v>1.01</x:v>
      </x:c>
      <x:c r="D1084" s="153" t="n">
        <x:v>1.81</x:v>
      </x:c>
      <x:c r="E1084" s="153" t="n">
        <x:v>116.4127</x:v>
      </x:c>
      <x:c r="F1084" s="153" t="n">
        <x:v>25.58</x:v>
      </x:c>
      <x:c r="G1084" s="153" t="n">
        <x:v>2.2</x:v>
      </x:c>
    </x:row>
    <x:row r="1085">
      <x:c r="A1085" s="155" t="n">
        <x:v>43453</x:v>
      </x:c>
      <x:c r="B1085" s="153" t="n">
        <x:v>2.77</x:v>
      </x:c>
      <x:c r="C1085" s="153" t="n">
        <x:v>0.97</x:v>
      </x:c>
      <x:c r="D1085" s="153" t="n">
        <x:v>1.8</x:v>
      </x:c>
      <x:c r="E1085" s="153" t="n">
        <x:v>116.0676</x:v>
      </x:c>
      <x:c r="F1085" s="153" t="n">
        <x:v>25.58</x:v>
      </x:c>
      <x:c r="G1085" s="153" t="n">
        <x:v>2.2</x:v>
      </x:c>
    </x:row>
    <x:row r="1086">
      <x:c r="A1086" s="155" t="n">
        <x:v>43454</x:v>
      </x:c>
      <x:c r="B1086" s="153" t="n">
        <x:v>2.79</x:v>
      </x:c>
      <x:c r="C1086" s="153" t="n">
        <x:v>1.03</x:v>
      </x:c>
      <x:c r="D1086" s="153" t="n">
        <x:v>1.76</x:v>
      </x:c>
      <x:c r="E1086" s="153" t="n">
        <x:v>116.0183</x:v>
      </x:c>
      <x:c r="F1086" s="153" t="n">
        <x:v>28.38</x:v>
      </x:c>
      <x:c r="G1086" s="153" t="n">
        <x:v>2.4</x:v>
      </x:c>
    </x:row>
    <x:row r="1087">
      <x:c r="A1087" s="155" t="n">
        <x:v>43455</x:v>
      </x:c>
      <x:c r="B1087" s="153" t="n">
        <x:v>2.79</x:v>
      </x:c>
      <x:c r="C1087" s="153" t="n">
        <x:v>1.02</x:v>
      </x:c>
      <x:c r="D1087" s="153" t="n">
        <x:v>1.77</x:v>
      </x:c>
      <x:c r="E1087" s="153" t="n">
        <x:v>116.2227</x:v>
      </x:c>
      <x:c r="F1087" s="153" t="n">
        <x:v>30.11</x:v>
      </x:c>
      <x:c r="G1087" s="153" t="n">
        <x:v>2.4</x:v>
      </x:c>
    </x:row>
    <x:row r="1088">
      <x:c r="A1088" s="155" t="n">
        <x:v>43456</x:v>
      </x:c>
      <x:c r="B1088" s="153"/>
      <x:c r="C1088" s="153"/>
      <x:c r="D1088" s="153"/>
      <x:c r="E1088" s="153"/>
      <x:c r="F1088" s="153"/>
      <x:c r="G1088" s="153" t="n">
        <x:v>2.4</x:v>
      </x:c>
    </x:row>
    <x:row r="1089">
      <x:c r="A1089" s="155" t="n">
        <x:v>43457</x:v>
      </x:c>
      <x:c r="B1089" s="153"/>
      <x:c r="C1089" s="153"/>
      <x:c r="D1089" s="153"/>
      <x:c r="E1089" s="153"/>
      <x:c r="F1089" s="153"/>
      <x:c r="G1089" s="153" t="n">
        <x:v>2.4</x:v>
      </x:c>
    </x:row>
    <x:row r="1090">
      <x:c r="A1090" s="155" t="n">
        <x:v>43458</x:v>
      </x:c>
      <x:c r="B1090" s="153" t="n">
        <x:v>2.74</x:v>
      </x:c>
      <x:c r="C1090" s="153" t="n">
        <x:v>0.99</x:v>
      </x:c>
      <x:c r="D1090" s="153" t="n">
        <x:v>1.75</x:v>
      </x:c>
      <x:c r="E1090" s="153" t="n">
        <x:v>116.2182</x:v>
      </x:c>
      <x:c r="F1090" s="153" t="n">
        <x:v>36.07</x:v>
      </x:c>
      <x:c r="G1090" s="153" t="n">
        <x:v>2.4</x:v>
      </x:c>
    </x:row>
    <x:row r="1091">
      <x:c r="A1091" s="155" t="n">
        <x:v>43459</x:v>
      </x:c>
      <x:c r="B1091" s="153"/>
      <x:c r="C1091" s="153"/>
      <x:c r="D1091" s="153"/>
      <x:c r="E1091" s="153"/>
      <x:c r="F1091" s="153"/>
      <x:c r="G1091" s="153" t="n">
        <x:v>2.4</x:v>
      </x:c>
    </x:row>
    <x:row r="1092">
      <x:c r="A1092" s="155" t="n">
        <x:v>43460</x:v>
      </x:c>
      <x:c r="B1092" s="153" t="n">
        <x:v>2.81</x:v>
      </x:c>
      <x:c r="C1092" s="153" t="n">
        <x:v>1.04</x:v>
      </x:c>
      <x:c r="D1092" s="153" t="n">
        <x:v>1.77</x:v>
      </x:c>
      <x:c r="E1092" s="153" t="n">
        <x:v>116.1162</x:v>
      </x:c>
      <x:c r="F1092" s="153" t="n">
        <x:v>30.41</x:v>
      </x:c>
      <x:c r="G1092" s="153" t="n">
        <x:v>2.4</x:v>
      </x:c>
    </x:row>
    <x:row r="1093">
      <x:c r="A1093" s="155" t="n">
        <x:v>43461</x:v>
      </x:c>
      <x:c r="B1093" s="153" t="n">
        <x:v>2.77</x:v>
      </x:c>
      <x:c r="C1093" s="153" t="n">
        <x:v>1.03</x:v>
      </x:c>
      <x:c r="D1093" s="153" t="n">
        <x:v>1.74</x:v>
      </x:c>
      <x:c r="E1093" s="153" t="n">
        <x:v>115.9927</x:v>
      </x:c>
      <x:c r="F1093" s="153" t="n">
        <x:v>29.96</x:v>
      </x:c>
      <x:c r="G1093" s="153" t="n">
        <x:v>2.4</x:v>
      </x:c>
    </x:row>
    <x:row r="1094">
      <x:c r="A1094" s="155" t="n">
        <x:v>43462</x:v>
      </x:c>
      <x:c r="B1094" s="153" t="n">
        <x:v>2.72</x:v>
      </x:c>
      <x:c r="C1094" s="153" t="n">
        <x:v>0.99</x:v>
      </x:c>
      <x:c r="D1094" s="153" t="n">
        <x:v>1.73</x:v>
      </x:c>
      <x:c r="E1094" s="153" t="n">
        <x:v>115.7232</x:v>
      </x:c>
      <x:c r="F1094" s="153" t="n">
        <x:v>28.34</x:v>
      </x:c>
      <x:c r="G1094" s="153" t="n">
        <x:v>2.4</x:v>
      </x:c>
    </x:row>
    <x:row r="1095">
      <x:c r="A1095" s="155" t="n">
        <x:v>43463</x:v>
      </x:c>
      <x:c r="B1095" s="153"/>
      <x:c r="C1095" s="153"/>
      <x:c r="D1095" s="153"/>
      <x:c r="E1095" s="153"/>
      <x:c r="F1095" s="153"/>
      <x:c r="G1095" s="153" t="n">
        <x:v>2.4</x:v>
      </x:c>
    </x:row>
    <x:row r="1096">
      <x:c r="A1096" s="155" t="n">
        <x:v>43464</x:v>
      </x:c>
      <x:c r="B1096" s="153"/>
      <x:c r="C1096" s="153"/>
      <x:c r="D1096" s="153"/>
      <x:c r="E1096" s="153"/>
      <x:c r="F1096" s="153"/>
      <x:c r="G1096" s="153" t="n">
        <x:v>2.4</x:v>
      </x:c>
    </x:row>
    <x:row r="1097">
      <x:c r="A1097" s="155" t="n">
        <x:v>43465</x:v>
      </x:c>
      <x:c r="B1097" s="153" t="n">
        <x:v>2.69</x:v>
      </x:c>
      <x:c r="C1097" s="153" t="n">
        <x:v>0.98</x:v>
      </x:c>
      <x:c r="D1097" s="153" t="n">
        <x:v>1.71</x:v>
      </x:c>
      <x:c r="E1097" s="153" t="n">
        <x:v>115.5674</x:v>
      </x:c>
      <x:c r="F1097" s="153" t="n">
        <x:v>25.42</x:v>
      </x:c>
      <x:c r="G1097" s="153" t="n">
        <x:v>2.4</x:v>
      </x:c>
    </x:row>
    <x:row r="1098">
      <x:c r="A1098" s="155" t="n">
        <x:v>43466</x:v>
      </x:c>
      <x:c r="B1098" s="153"/>
      <x:c r="C1098" s="153"/>
      <x:c r="D1098" s="153"/>
      <x:c r="E1098" s="153"/>
      <x:c r="F1098" s="153"/>
      <x:c r="G1098" s="153" t="n">
        <x:v>2.4</x:v>
      </x:c>
    </x:row>
    <x:row r="1099">
      <x:c r="A1099" s="155" t="n">
        <x:v>43467</x:v>
      </x:c>
      <x:c r="B1099" s="153" t="n">
        <x:v>2.66</x:v>
      </x:c>
      <x:c r="C1099" s="153" t="n">
        <x:v>0.96</x:v>
      </x:c>
      <x:c r="D1099" s="153" t="n">
        <x:v>1.7</x:v>
      </x:c>
      <x:c r="E1099" s="153" t="n">
        <x:v>115.7689</x:v>
      </x:c>
      <x:c r="F1099" s="153" t="n">
        <x:v>23.22</x:v>
      </x:c>
      <x:c r="G1099" s="153" t="n">
        <x:v>2.4</x:v>
      </x:c>
    </x:row>
    <x:row r="1100">
      <x:c r="A1100" s="155" t="n">
        <x:v>43468</x:v>
      </x:c>
      <x:c r="B1100" s="153" t="n">
        <x:v>2.56</x:v>
      </x:c>
      <x:c r="C1100" s="153" t="n">
        <x:v>0.88</x:v>
      </x:c>
      <x:c r="D1100" s="153" t="n">
        <x:v>1.68</x:v>
      </x:c>
      <x:c r="E1100" s="153" t="n">
        <x:v>115.4622</x:v>
      </x:c>
      <x:c r="F1100" s="153" t="n">
        <x:v>25.45</x:v>
      </x:c>
      <x:c r="G1100" s="153" t="n">
        <x:v>2.4</x:v>
      </x:c>
    </x:row>
    <x:row r="1101">
      <x:c r="A1101" s="155" t="n">
        <x:v>43469</x:v>
      </x:c>
      <x:c r="B1101" s="153" t="n">
        <x:v>2.67</x:v>
      </x:c>
      <x:c r="C1101" s="153" t="n">
        <x:v>0.91</x:v>
      </x:c>
      <x:c r="D1101" s="153" t="n">
        <x:v>1.76</x:v>
      </x:c>
      <x:c r="E1101" s="153" t="n">
        <x:v>114.9821</x:v>
      </x:c>
      <x:c r="F1101" s="153" t="n">
        <x:v>21.38</x:v>
      </x:c>
      <x:c r="G1101" s="153" t="n">
        <x:v>2.4</x:v>
      </x:c>
    </x:row>
    <x:row r="1102">
      <x:c r="A1102" s="155" t="n">
        <x:v>43470</x:v>
      </x:c>
      <x:c r="B1102" s="153"/>
      <x:c r="C1102" s="153"/>
      <x:c r="D1102" s="153"/>
      <x:c r="E1102" s="153"/>
      <x:c r="F1102" s="153"/>
      <x:c r="G1102" s="153" t="n">
        <x:v>2.4</x:v>
      </x:c>
    </x:row>
    <x:row r="1103">
      <x:c r="A1103" s="155" t="n">
        <x:v>43471</x:v>
      </x:c>
      <x:c r="B1103" s="153"/>
      <x:c r="C1103" s="153"/>
      <x:c r="D1103" s="153"/>
      <x:c r="E1103" s="153"/>
      <x:c r="F1103" s="153"/>
      <x:c r="G1103" s="153" t="n">
        <x:v>2.4</x:v>
      </x:c>
    </x:row>
    <x:row r="1104">
      <x:c r="A1104" s="155" t="n">
        <x:v>43472</x:v>
      </x:c>
      <x:c r="B1104" s="153" t="n">
        <x:v>2.7</x:v>
      </x:c>
      <x:c r="C1104" s="153" t="n">
        <x:v>0.92</x:v>
      </x:c>
      <x:c r="D1104" s="153" t="n">
        <x:v>1.78</x:v>
      </x:c>
      <x:c r="E1104" s="153" t="n">
        <x:v>114.5628</x:v>
      </x:c>
      <x:c r="F1104" s="153" t="n">
        <x:v>21.4</x:v>
      </x:c>
      <x:c r="G1104" s="153" t="n">
        <x:v>2.4</x:v>
      </x:c>
    </x:row>
    <x:row r="1105">
      <x:c r="A1105" s="155" t="n">
        <x:v>43473</x:v>
      </x:c>
      <x:c r="B1105" s="153" t="n">
        <x:v>2.73</x:v>
      </x:c>
      <x:c r="C1105" s="153" t="n">
        <x:v>0.91</x:v>
      </x:c>
      <x:c r="D1105" s="153" t="n">
        <x:v>1.82</x:v>
      </x:c>
      <x:c r="E1105" s="153" t="n">
        <x:v>114.7281</x:v>
      </x:c>
      <x:c r="F1105" s="153" t="n">
        <x:v>20.47</x:v>
      </x:c>
      <x:c r="G1105" s="153" t="n">
        <x:v>2.4</x:v>
      </x:c>
    </x:row>
    <x:row r="1106">
      <x:c r="A1106" s="155" t="n">
        <x:v>43474</x:v>
      </x:c>
      <x:c r="B1106" s="153" t="n">
        <x:v>2.74</x:v>
      </x:c>
      <x:c r="C1106" s="153" t="n">
        <x:v>0.91</x:v>
      </x:c>
      <x:c r="D1106" s="153" t="n">
        <x:v>1.83</x:v>
      </x:c>
      <x:c r="E1106" s="153" t="n">
        <x:v>114.1406</x:v>
      </x:c>
      <x:c r="F1106" s="153" t="n">
        <x:v>19.98</x:v>
      </x:c>
      <x:c r="G1106" s="153" t="n">
        <x:v>2.4</x:v>
      </x:c>
    </x:row>
    <x:row r="1107">
      <x:c r="A1107" s="155" t="n">
        <x:v>43475</x:v>
      </x:c>
      <x:c r="B1107" s="153" t="n">
        <x:v>2.74</x:v>
      </x:c>
      <x:c r="C1107" s="153" t="n">
        <x:v>0.93</x:v>
      </x:c>
      <x:c r="D1107" s="153" t="n">
        <x:v>1.81</x:v>
      </x:c>
      <x:c r="E1107" s="153" t="n">
        <x:v>114.0496</x:v>
      </x:c>
      <x:c r="F1107" s="153" t="n">
        <x:v>19.5</x:v>
      </x:c>
      <x:c r="G1107" s="153" t="n">
        <x:v>2.4</x:v>
      </x:c>
    </x:row>
    <x:row r="1108">
      <x:c r="A1108" s="155" t="n">
        <x:v>43476</x:v>
      </x:c>
      <x:c r="B1108" s="153" t="n">
        <x:v>2.71</x:v>
      </x:c>
      <x:c r="C1108" s="153" t="n">
        <x:v>0.88</x:v>
      </x:c>
      <x:c r="D1108" s="153" t="n">
        <x:v>1.83</x:v>
      </x:c>
      <x:c r="E1108" s="153" t="n">
        <x:v>114.0404</x:v>
      </x:c>
      <x:c r="F1108" s="153" t="n">
        <x:v>18.19</x:v>
      </x:c>
      <x:c r="G1108" s="153" t="n">
        <x:v>2.4</x:v>
      </x:c>
    </x:row>
    <x:row r="1109">
      <x:c r="A1109" s="155" t="n">
        <x:v>43477</x:v>
      </x:c>
      <x:c r="B1109" s="153"/>
      <x:c r="C1109" s="153"/>
      <x:c r="D1109" s="153"/>
      <x:c r="E1109" s="153"/>
      <x:c r="F1109" s="153"/>
      <x:c r="G1109" s="153" t="n">
        <x:v>2.4</x:v>
      </x:c>
    </x:row>
    <x:row r="1110">
      <x:c r="A1110" s="155" t="n">
        <x:v>43478</x:v>
      </x:c>
      <x:c r="B1110" s="153"/>
      <x:c r="C1110" s="153"/>
      <x:c r="D1110" s="153"/>
      <x:c r="E1110" s="153"/>
      <x:c r="F1110" s="153"/>
      <x:c r="G1110" s="153" t="n">
        <x:v>2.4</x:v>
      </x:c>
    </x:row>
    <x:row r="1111">
      <x:c r="A1111" s="155" t="n">
        <x:v>43479</x:v>
      </x:c>
      <x:c r="B1111" s="153" t="n">
        <x:v>2.71</x:v>
      </x:c>
      <x:c r="C1111" s="153" t="n">
        <x:v>0.9</x:v>
      </x:c>
      <x:c r="D1111" s="153" t="n">
        <x:v>1.81</x:v>
      </x:c>
      <x:c r="E1111" s="153"/>
      <x:c r="F1111" s="153" t="n">
        <x:v>19.07</x:v>
      </x:c>
      <x:c r="G1111" s="153" t="n">
        <x:v>2.4</x:v>
      </x:c>
    </x:row>
    <x:row r="1112">
      <x:c r="A1112" s="155" t="n">
        <x:v>43480</x:v>
      </x:c>
      <x:c r="B1112" s="153" t="n">
        <x:v>2.72</x:v>
      </x:c>
      <x:c r="C1112" s="153" t="n">
        <x:v>0.91</x:v>
      </x:c>
      <x:c r="D1112" s="153" t="n">
        <x:v>1.81</x:v>
      </x:c>
      <x:c r="E1112" s="153" t="n">
        <x:v>114.3402</x:v>
      </x:c>
      <x:c r="F1112" s="153" t="n">
        <x:v>18.6</x:v>
      </x:c>
      <x:c r="G1112" s="153" t="n">
        <x:v>2.4</x:v>
      </x:c>
    </x:row>
    <x:row r="1113">
      <x:c r="A1113" s="155" t="n">
        <x:v>43481</x:v>
      </x:c>
      <x:c r="B1113" s="153" t="n">
        <x:v>2.73</x:v>
      </x:c>
      <x:c r="C1113" s="153" t="n">
        <x:v>0.91</x:v>
      </x:c>
      <x:c r="D1113" s="153" t="n">
        <x:v>1.82</x:v>
      </x:c>
      <x:c r="E1113" s="153" t="n">
        <x:v>114.137</x:v>
      </x:c>
      <x:c r="F1113" s="153" t="n">
        <x:v>19.04</x:v>
      </x:c>
      <x:c r="G1113" s="153" t="n">
        <x:v>2.4</x:v>
      </x:c>
    </x:row>
    <x:row r="1114">
      <x:c r="A1114" s="155" t="n">
        <x:v>43482</x:v>
      </x:c>
      <x:c r="B1114" s="153" t="n">
        <x:v>2.75</x:v>
      </x:c>
      <x:c r="C1114" s="153" t="n">
        <x:v>0.96</x:v>
      </x:c>
      <x:c r="D1114" s="153" t="n">
        <x:v>1.79</x:v>
      </x:c>
      <x:c r="E1114" s="153" t="n">
        <x:v>114.4115</x:v>
      </x:c>
      <x:c r="F1114" s="153" t="n">
        <x:v>18.06</x:v>
      </x:c>
      <x:c r="G1114" s="153" t="n">
        <x:v>2.4</x:v>
      </x:c>
    </x:row>
    <x:row r="1115">
      <x:c r="A1115" s="155" t="n">
        <x:v>43483</x:v>
      </x:c>
      <x:c r="B1115" s="153" t="n">
        <x:v>2.79</x:v>
      </x:c>
      <x:c r="C1115" s="153" t="n">
        <x:v>0.96</x:v>
      </x:c>
      <x:c r="D1115" s="153" t="n">
        <x:v>1.83</x:v>
      </x:c>
      <x:c r="E1115" s="153" t="n">
        <x:v>114.558</x:v>
      </x:c>
      <x:c r="F1115" s="153" t="n">
        <x:v>17.8</x:v>
      </x:c>
      <x:c r="G1115" s="153" t="n">
        <x:v>2.4</x:v>
      </x:c>
    </x:row>
    <x:row r="1116">
      <x:c r="A1116" s="155" t="n">
        <x:v>43484</x:v>
      </x:c>
      <x:c r="B1116" s="153"/>
      <x:c r="C1116" s="153"/>
      <x:c r="D1116" s="153"/>
      <x:c r="E1116" s="153"/>
      <x:c r="F1116" s="153"/>
      <x:c r="G1116" s="153" t="n">
        <x:v>2.4</x:v>
      </x:c>
    </x:row>
    <x:row r="1117">
      <x:c r="A1117" s="155" t="n">
        <x:v>43485</x:v>
      </x:c>
      <x:c r="B1117" s="153"/>
      <x:c r="C1117" s="153"/>
      <x:c r="D1117" s="153"/>
      <x:c r="E1117" s="153"/>
      <x:c r="F1117" s="153"/>
      <x:c r="G1117" s="153" t="n">
        <x:v>2.4</x:v>
      </x:c>
    </x:row>
    <x:row r="1118">
      <x:c r="A1118" s="155" t="n">
        <x:v>43486</x:v>
      </x:c>
      <x:c r="B1118" s="153"/>
      <x:c r="C1118" s="153"/>
      <x:c r="D1118" s="153"/>
      <x:c r="E1118" s="153"/>
      <x:c r="F1118" s="153"/>
      <x:c r="G1118" s="153" t="n">
        <x:v>2.4</x:v>
      </x:c>
    </x:row>
    <x:row r="1119">
      <x:c r="A1119" s="155" t="n">
        <x:v>43487</x:v>
      </x:c>
      <x:c r="B1119" s="153" t="n">
        <x:v>2.74</x:v>
      </x:c>
      <x:c r="C1119" s="153" t="n">
        <x:v>0.95</x:v>
      </x:c>
      <x:c r="D1119" s="153" t="n">
        <x:v>1.79</x:v>
      </x:c>
      <x:c r="E1119" s="153" t="n">
        <x:v>114.7541</x:v>
      </x:c>
      <x:c r="F1119" s="153" t="n">
        <x:v>20.8</x:v>
      </x:c>
      <x:c r="G1119" s="153" t="n">
        <x:v>2.4</x:v>
      </x:c>
    </x:row>
    <x:row r="1120">
      <x:c r="A1120" s="155" t="n">
        <x:v>43488</x:v>
      </x:c>
      <x:c r="B1120" s="153" t="n">
        <x:v>2.76</x:v>
      </x:c>
      <x:c r="C1120" s="153" t="n">
        <x:v>0.96</x:v>
      </x:c>
      <x:c r="D1120" s="153" t="n">
        <x:v>1.8</x:v>
      </x:c>
      <x:c r="E1120" s="153" t="n">
        <x:v>114.5759</x:v>
      </x:c>
      <x:c r="F1120" s="153" t="n">
        <x:v>19.52</x:v>
      </x:c>
      <x:c r="G1120" s="153" t="n">
        <x:v>2.4</x:v>
      </x:c>
    </x:row>
    <x:row r="1121">
      <x:c r="A1121" s="155" t="n">
        <x:v>43489</x:v>
      </x:c>
      <x:c r="B1121" s="153" t="n">
        <x:v>2.72</x:v>
      </x:c>
      <x:c r="C1121" s="153" t="n">
        <x:v>0.95</x:v>
      </x:c>
      <x:c r="D1121" s="153" t="n">
        <x:v>1.77</x:v>
      </x:c>
      <x:c r="E1121" s="153" t="n">
        <x:v>114.617</x:v>
      </x:c>
      <x:c r="F1121" s="153" t="n">
        <x:v>18.89</x:v>
      </x:c>
      <x:c r="G1121" s="153" t="n">
        <x:v>2.4</x:v>
      </x:c>
    </x:row>
    <x:row r="1122">
      <x:c r="A1122" s="155" t="n">
        <x:v>43490</x:v>
      </x:c>
      <x:c r="B1122" s="153" t="n">
        <x:v>2.76</x:v>
      </x:c>
      <x:c r="C1122" s="153" t="n">
        <x:v>0.97</x:v>
      </x:c>
      <x:c r="D1122" s="153" t="n">
        <x:v>1.79</x:v>
      </x:c>
      <x:c r="E1122" s="153" t="n">
        <x:v>114.0197</x:v>
      </x:c>
      <x:c r="F1122" s="153" t="n">
        <x:v>17.42</x:v>
      </x:c>
      <x:c r="G1122" s="153" t="n">
        <x:v>2.4</x:v>
      </x:c>
    </x:row>
    <x:row r="1123">
      <x:c r="A1123" s="155" t="n">
        <x:v>43491</x:v>
      </x:c>
      <x:c r="B1123" s="153"/>
      <x:c r="C1123" s="153"/>
      <x:c r="D1123" s="153"/>
      <x:c r="E1123" s="153"/>
      <x:c r="F1123" s="153"/>
      <x:c r="G1123" s="153" t="n">
        <x:v>2.4</x:v>
      </x:c>
    </x:row>
    <x:row r="1124">
      <x:c r="A1124" s="155" t="n">
        <x:v>43492</x:v>
      </x:c>
      <x:c r="B1124" s="153"/>
      <x:c r="C1124" s="153"/>
      <x:c r="D1124" s="153"/>
      <x:c r="E1124" s="153"/>
      <x:c r="F1124" s="153"/>
      <x:c r="G1124" s="153" t="n">
        <x:v>2.4</x:v>
      </x:c>
    </x:row>
    <x:row r="1125">
      <x:c r="A1125" s="155" t="n">
        <x:v>43493</x:v>
      </x:c>
      <x:c r="B1125" s="153" t="n">
        <x:v>2.75</x:v>
      </x:c>
      <x:c r="C1125" s="153" t="n">
        <x:v>0.97</x:v>
      </x:c>
      <x:c r="D1125" s="153" t="n">
        <x:v>1.78</x:v>
      </x:c>
      <x:c r="E1125" s="153" t="n">
        <x:v>114.0522</x:v>
      </x:c>
      <x:c r="F1125" s="153" t="n">
        <x:v>18.87</x:v>
      </x:c>
      <x:c r="G1125" s="153" t="n">
        <x:v>2.4</x:v>
      </x:c>
    </x:row>
    <x:row r="1126">
      <x:c r="A1126" s="155" t="n">
        <x:v>43494</x:v>
      </x:c>
      <x:c r="B1126" s="153" t="n">
        <x:v>2.72</x:v>
      </x:c>
      <x:c r="C1126" s="153" t="n">
        <x:v>0.94</x:v>
      </x:c>
      <x:c r="D1126" s="153" t="n">
        <x:v>1.78</x:v>
      </x:c>
      <x:c r="E1126" s="153" t="n">
        <x:v>114.026</x:v>
      </x:c>
      <x:c r="F1126" s="153" t="n">
        <x:v>19.13</x:v>
      </x:c>
      <x:c r="G1126" s="153" t="n">
        <x:v>2.4</x:v>
      </x:c>
    </x:row>
    <x:row r="1127">
      <x:c r="A1127" s="155" t="n">
        <x:v>43495</x:v>
      </x:c>
      <x:c r="B1127" s="153" t="n">
        <x:v>2.7</x:v>
      </x:c>
      <x:c r="C1127" s="153" t="n">
        <x:v>0.86</x:v>
      </x:c>
      <x:c r="D1127" s="153" t="n">
        <x:v>1.84</x:v>
      </x:c>
      <x:c r="E1127" s="153" t="n">
        <x:v>114.0731</x:v>
      </x:c>
      <x:c r="F1127" s="153" t="n">
        <x:v>17.66</x:v>
      </x:c>
      <x:c r="G1127" s="153" t="n">
        <x:v>2.4</x:v>
      </x:c>
    </x:row>
    <x:row r="1128">
      <x:c r="A1128" s="155" t="n">
        <x:v>43496</x:v>
      </x:c>
      <x:c r="B1128" s="153" t="n">
        <x:v>2.63</x:v>
      </x:c>
      <x:c r="C1128" s="153" t="n">
        <x:v>0.78</x:v>
      </x:c>
      <x:c r="D1128" s="153" t="n">
        <x:v>1.85</x:v>
      </x:c>
      <x:c r="E1128" s="153" t="n">
        <x:v>113.5504</x:v>
      </x:c>
      <x:c r="F1128" s="153" t="n">
        <x:v>16.57</x:v>
      </x:c>
      <x:c r="G1128" s="153" t="n">
        <x:v>2.4</x:v>
      </x:c>
    </x:row>
    <x:row r="1129">
      <x:c r="A1129" s="155" t="n">
        <x:v>43497</x:v>
      </x:c>
      <x:c r="B1129" s="153" t="n">
        <x:v>2.7</x:v>
      </x:c>
      <x:c r="C1129" s="153" t="n">
        <x:v>0.82</x:v>
      </x:c>
      <x:c r="D1129" s="153" t="n">
        <x:v>1.88</x:v>
      </x:c>
      <x:c r="E1129" s="153" t="n">
        <x:v>113.7548</x:v>
      </x:c>
      <x:c r="F1129" s="153" t="n">
        <x:v>16.14</x:v>
      </x:c>
      <x:c r="G1129" s="153" t="n">
        <x:v>2.4</x:v>
      </x:c>
    </x:row>
    <x:row r="1130">
      <x:c r="A1130" s="155" t="n">
        <x:v>43498</x:v>
      </x:c>
      <x:c r="B1130" s="153"/>
      <x:c r="C1130" s="153"/>
      <x:c r="D1130" s="153"/>
      <x:c r="E1130" s="153"/>
      <x:c r="F1130" s="153"/>
      <x:c r="G1130" s="153" t="n">
        <x:v>2.4</x:v>
      </x:c>
    </x:row>
    <x:row r="1131">
      <x:c r="A1131" s="155" t="n">
        <x:v>43499</x:v>
      </x:c>
      <x:c r="B1131" s="153"/>
      <x:c r="C1131" s="153"/>
      <x:c r="D1131" s="153"/>
      <x:c r="E1131" s="153"/>
      <x:c r="F1131" s="153"/>
      <x:c r="G1131" s="153" t="n">
        <x:v>2.4</x:v>
      </x:c>
    </x:row>
    <x:row r="1132">
      <x:c r="A1132" s="155" t="n">
        <x:v>43500</x:v>
      </x:c>
      <x:c r="B1132" s="153" t="n">
        <x:v>2.73</x:v>
      </x:c>
      <x:c r="C1132" s="153" t="n">
        <x:v>0.86</x:v>
      </x:c>
      <x:c r="D1132" s="153" t="n">
        <x:v>1.87</x:v>
      </x:c>
      <x:c r="E1132" s="153" t="n">
        <x:v>113.8766</x:v>
      </x:c>
      <x:c r="F1132" s="153" t="n">
        <x:v>15.73</x:v>
      </x:c>
      <x:c r="G1132" s="153" t="n">
        <x:v>2.4</x:v>
      </x:c>
    </x:row>
    <x:row r="1133">
      <x:c r="A1133" s="155" t="n">
        <x:v>43501</x:v>
      </x:c>
      <x:c r="B1133" s="153" t="n">
        <x:v>2.71</x:v>
      </x:c>
      <x:c r="C1133" s="153" t="n">
        <x:v>0.84</x:v>
      </x:c>
      <x:c r="D1133" s="153" t="n">
        <x:v>1.87</x:v>
      </x:c>
      <x:c r="E1133" s="153" t="n">
        <x:v>114.0431</x:v>
      </x:c>
      <x:c r="F1133" s="153" t="n">
        <x:v>15.57</x:v>
      </x:c>
      <x:c r="G1133" s="153" t="n">
        <x:v>2.4</x:v>
      </x:c>
    </x:row>
    <x:row r="1134">
      <x:c r="A1134" s="155" t="n">
        <x:v>43502</x:v>
      </x:c>
      <x:c r="B1134" s="153" t="n">
        <x:v>2.7</x:v>
      </x:c>
      <x:c r="C1134" s="153" t="n">
        <x:v>0.84</x:v>
      </x:c>
      <x:c r="D1134" s="153" t="n">
        <x:v>1.86</x:v>
      </x:c>
      <x:c r="E1134" s="153" t="n">
        <x:v>114.2305</x:v>
      </x:c>
      <x:c r="F1134" s="153" t="n">
        <x:v>15.38</x:v>
      </x:c>
      <x:c r="G1134" s="153" t="n">
        <x:v>2.4</x:v>
      </x:c>
    </x:row>
    <x:row r="1135">
      <x:c r="A1135" s="155" t="n">
        <x:v>43503</x:v>
      </x:c>
      <x:c r="B1135" s="153" t="n">
        <x:v>2.65</x:v>
      </x:c>
      <x:c r="C1135" s="153" t="n">
        <x:v>0.81</x:v>
      </x:c>
      <x:c r="D1135" s="153" t="n">
        <x:v>1.84</x:v>
      </x:c>
      <x:c r="E1135" s="153" t="n">
        <x:v>114.4339</x:v>
      </x:c>
      <x:c r="F1135" s="153" t="n">
        <x:v>16.37</x:v>
      </x:c>
      <x:c r="G1135" s="153" t="n">
        <x:v>2.4</x:v>
      </x:c>
    </x:row>
    <x:row r="1136">
      <x:c r="A1136" s="155" t="n">
        <x:v>43504</x:v>
      </x:c>
      <x:c r="B1136" s="153" t="n">
        <x:v>2.63</x:v>
      </x:c>
      <x:c r="C1136" s="153" t="n">
        <x:v>0.81</x:v>
      </x:c>
      <x:c r="D1136" s="153" t="n">
        <x:v>1.82</x:v>
      </x:c>
      <x:c r="E1136" s="153" t="n">
        <x:v>114.5003</x:v>
      </x:c>
      <x:c r="F1136" s="153" t="n">
        <x:v>15.72</x:v>
      </x:c>
      <x:c r="G1136" s="153" t="n">
        <x:v>2.4</x:v>
      </x:c>
    </x:row>
    <x:row r="1137">
      <x:c r="A1137" s="155" t="n">
        <x:v>43505</x:v>
      </x:c>
      <x:c r="B1137" s="153"/>
      <x:c r="C1137" s="153"/>
      <x:c r="D1137" s="153"/>
      <x:c r="E1137" s="153"/>
      <x:c r="F1137" s="153"/>
      <x:c r="G1137" s="153" t="n">
        <x:v>2.4</x:v>
      </x:c>
    </x:row>
    <x:row r="1138">
      <x:c r="A1138" s="155" t="n">
        <x:v>43506</x:v>
      </x:c>
      <x:c r="B1138" s="153"/>
      <x:c r="C1138" s="153"/>
      <x:c r="D1138" s="153"/>
      <x:c r="E1138" s="153"/>
      <x:c r="F1138" s="153"/>
      <x:c r="G1138" s="153" t="n">
        <x:v>2.4</x:v>
      </x:c>
    </x:row>
    <x:row r="1139">
      <x:c r="A1139" s="155" t="n">
        <x:v>43507</x:v>
      </x:c>
      <x:c r="B1139" s="153" t="n">
        <x:v>2.65</x:v>
      </x:c>
      <x:c r="C1139" s="153" t="n">
        <x:v>0.83</x:v>
      </x:c>
      <x:c r="D1139" s="153" t="n">
        <x:v>1.82</x:v>
      </x:c>
      <x:c r="E1139" s="153" t="n">
        <x:v>115.031</x:v>
      </x:c>
      <x:c r="F1139" s="153" t="n">
        <x:v>15.97</x:v>
      </x:c>
      <x:c r="G1139" s="153" t="n">
        <x:v>2.4</x:v>
      </x:c>
    </x:row>
    <x:row r="1140">
      <x:c r="A1140" s="155" t="n">
        <x:v>43508</x:v>
      </x:c>
      <x:c r="B1140" s="153" t="n">
        <x:v>2.68</x:v>
      </x:c>
      <x:c r="C1140" s="153" t="n">
        <x:v>0.85</x:v>
      </x:c>
      <x:c r="D1140" s="153" t="n">
        <x:v>1.83</x:v>
      </x:c>
      <x:c r="E1140" s="153" t="n">
        <x:v>114.7297</x:v>
      </x:c>
      <x:c r="F1140" s="153" t="n">
        <x:v>15.43</x:v>
      </x:c>
      <x:c r="G1140" s="153" t="n">
        <x:v>2.4</x:v>
      </x:c>
    </x:row>
    <x:row r="1141">
      <x:c r="A1141" s="155" t="n">
        <x:v>43509</x:v>
      </x:c>
      <x:c r="B1141" s="153" t="n">
        <x:v>2.71</x:v>
      </x:c>
      <x:c r="C1141" s="153" t="n">
        <x:v>0.85</x:v>
      </x:c>
      <x:c r="D1141" s="153" t="n">
        <x:v>1.86</x:v>
      </x:c>
      <x:c r="E1141" s="153" t="n">
        <x:v>114.9407</x:v>
      </x:c>
      <x:c r="F1141" s="153" t="n">
        <x:v>15.65</x:v>
      </x:c>
      <x:c r="G1141" s="153" t="n">
        <x:v>2.4</x:v>
      </x:c>
    </x:row>
    <x:row r="1142">
      <x:c r="A1142" s="155" t="n">
        <x:v>43510</x:v>
      </x:c>
      <x:c r="B1142" s="153" t="n">
        <x:v>2.66</x:v>
      </x:c>
      <x:c r="C1142" s="153" t="n">
        <x:v>0.81</x:v>
      </x:c>
      <x:c r="D1142" s="153" t="n">
        <x:v>1.85</x:v>
      </x:c>
      <x:c r="E1142" s="153" t="n">
        <x:v>115.1007</x:v>
      </x:c>
      <x:c r="F1142" s="153" t="n">
        <x:v>16.22</x:v>
      </x:c>
      <x:c r="G1142" s="153" t="n">
        <x:v>2.4</x:v>
      </x:c>
    </x:row>
    <x:row r="1143">
      <x:c r="A1143" s="155" t="n">
        <x:v>43511</x:v>
      </x:c>
      <x:c r="B1143" s="153" t="n">
        <x:v>2.66</x:v>
      </x:c>
      <x:c r="C1143" s="153" t="n">
        <x:v>0.8</x:v>
      </x:c>
      <x:c r="D1143" s="153" t="n">
        <x:v>1.86</x:v>
      </x:c>
      <x:c r="E1143" s="153" t="n">
        <x:v>114.9923</x:v>
      </x:c>
      <x:c r="F1143" s="153" t="n">
        <x:v>14.91</x:v>
      </x:c>
      <x:c r="G1143" s="153" t="n">
        <x:v>2.4</x:v>
      </x:c>
    </x:row>
    <x:row r="1144">
      <x:c r="A1144" s="155" t="n">
        <x:v>43512</x:v>
      </x:c>
      <x:c r="B1144" s="153"/>
      <x:c r="C1144" s="153"/>
      <x:c r="D1144" s="153"/>
      <x:c r="E1144" s="153"/>
      <x:c r="F1144" s="153"/>
      <x:c r="G1144" s="153" t="n">
        <x:v>2.4</x:v>
      </x:c>
    </x:row>
    <x:row r="1145">
      <x:c r="A1145" s="155" t="n">
        <x:v>43513</x:v>
      </x:c>
      <x:c r="B1145" s="153"/>
      <x:c r="C1145" s="153"/>
      <x:c r="D1145" s="153"/>
      <x:c r="E1145" s="153"/>
      <x:c r="F1145" s="153"/>
      <x:c r="G1145" s="153" t="n">
        <x:v>2.4</x:v>
      </x:c>
    </x:row>
    <x:row r="1146">
      <x:c r="A1146" s="155" t="n">
        <x:v>43514</x:v>
      </x:c>
      <x:c r="B1146" s="153"/>
      <x:c r="C1146" s="153"/>
      <x:c r="D1146" s="153"/>
      <x:c r="E1146" s="153"/>
      <x:c r="F1146" s="153"/>
      <x:c r="G1146" s="153" t="n">
        <x:v>2.4</x:v>
      </x:c>
    </x:row>
    <x:row r="1147">
      <x:c r="A1147" s="155" t="n">
        <x:v>43515</x:v>
      </x:c>
      <x:c r="B1147" s="153" t="n">
        <x:v>2.65</x:v>
      </x:c>
      <x:c r="C1147" s="153" t="n">
        <x:v>0.78</x:v>
      </x:c>
      <x:c r="D1147" s="153" t="n">
        <x:v>1.87</x:v>
      </x:c>
      <x:c r="E1147" s="153" t="n">
        <x:v>114.57</x:v>
      </x:c>
      <x:c r="F1147" s="153" t="n">
        <x:v>14.88</x:v>
      </x:c>
      <x:c r="G1147" s="153" t="n">
        <x:v>2.4</x:v>
      </x:c>
    </x:row>
    <x:row r="1148">
      <x:c r="A1148" s="155" t="n">
        <x:v>43516</x:v>
      </x:c>
      <x:c r="B1148" s="153" t="n">
        <x:v>2.65</x:v>
      </x:c>
      <x:c r="C1148" s="153" t="n">
        <x:v>0.76</x:v>
      </x:c>
      <x:c r="D1148" s="153" t="n">
        <x:v>1.89</x:v>
      </x:c>
      <x:c r="E1148" s="153"/>
      <x:c r="F1148" s="153" t="n">
        <x:v>14.02</x:v>
      </x:c>
      <x:c r="G1148" s="153" t="n">
        <x:v>2.4</x:v>
      </x:c>
    </x:row>
    <x:row r="1149">
      <x:c r="A1149" s="155" t="n">
        <x:v>43517</x:v>
      </x:c>
      <x:c r="B1149" s="153" t="n">
        <x:v>2.69</x:v>
      </x:c>
      <x:c r="C1149" s="153" t="n">
        <x:v>0.78</x:v>
      </x:c>
      <x:c r="D1149" s="153" t="n">
        <x:v>1.91</x:v>
      </x:c>
      <x:c r="E1149" s="153" t="n">
        <x:v>114.5091</x:v>
      </x:c>
      <x:c r="F1149" s="153" t="n">
        <x:v>14.46</x:v>
      </x:c>
      <x:c r="G1149" s="153" t="n">
        <x:v>2.4</x:v>
      </x:c>
    </x:row>
    <x:row r="1150">
      <x:c r="A1150" s="155" t="n">
        <x:v>43518</x:v>
      </x:c>
      <x:c r="B1150" s="153" t="n">
        <x:v>2.65</x:v>
      </x:c>
      <x:c r="C1150" s="153" t="n">
        <x:v>0.74</x:v>
      </x:c>
      <x:c r="D1150" s="153" t="n">
        <x:v>1.91</x:v>
      </x:c>
      <x:c r="E1150" s="153" t="n">
        <x:v>114.2716</x:v>
      </x:c>
      <x:c r="F1150" s="153" t="n">
        <x:v>13.51</x:v>
      </x:c>
      <x:c r="G1150" s="153" t="n">
        <x:v>2.4</x:v>
      </x:c>
    </x:row>
    <x:row r="1151">
      <x:c r="A1151" s="155" t="n">
        <x:v>43519</x:v>
      </x:c>
      <x:c r="B1151" s="153"/>
      <x:c r="C1151" s="153"/>
      <x:c r="D1151" s="153"/>
      <x:c r="E1151" s="153"/>
      <x:c r="F1151" s="153"/>
      <x:c r="G1151" s="153" t="n">
        <x:v>2.4</x:v>
      </x:c>
    </x:row>
    <x:row r="1152">
      <x:c r="A1152" s="155" t="n">
        <x:v>43520</x:v>
      </x:c>
      <x:c r="B1152" s="153"/>
      <x:c r="C1152" s="153"/>
      <x:c r="D1152" s="153"/>
      <x:c r="E1152" s="153"/>
      <x:c r="F1152" s="153"/>
      <x:c r="G1152" s="153" t="n">
        <x:v>2.4</x:v>
      </x:c>
    </x:row>
    <x:row r="1153">
      <x:c r="A1153" s="155" t="n">
        <x:v>43521</x:v>
      </x:c>
      <x:c r="B1153" s="153" t="n">
        <x:v>2.67</x:v>
      </x:c>
      <x:c r="C1153" s="153" t="n">
        <x:v>0.75</x:v>
      </x:c>
      <x:c r="D1153" s="153" t="n">
        <x:v>1.92</x:v>
      </x:c>
      <x:c r="E1153" s="153" t="n">
        <x:v>114.1457</x:v>
      </x:c>
      <x:c r="F1153" s="153" t="n">
        <x:v>14.85</x:v>
      </x:c>
      <x:c r="G1153" s="153" t="n">
        <x:v>2.4</x:v>
      </x:c>
    </x:row>
    <x:row r="1154">
      <x:c r="A1154" s="155" t="n">
        <x:v>43522</x:v>
      </x:c>
      <x:c r="B1154" s="153" t="n">
        <x:v>2.64</x:v>
      </x:c>
      <x:c r="C1154" s="153" t="n">
        <x:v>0.72</x:v>
      </x:c>
      <x:c r="D1154" s="153" t="n">
        <x:v>1.92</x:v>
      </x:c>
      <x:c r="E1154" s="153" t="n">
        <x:v>114.0687</x:v>
      </x:c>
      <x:c r="F1154" s="153" t="n">
        <x:v>15.17</x:v>
      </x:c>
      <x:c r="G1154" s="153" t="n">
        <x:v>2.4</x:v>
      </x:c>
    </x:row>
    <x:row r="1155">
      <x:c r="A1155" s="155" t="n">
        <x:v>43523</x:v>
      </x:c>
      <x:c r="B1155" s="153" t="n">
        <x:v>2.69</x:v>
      </x:c>
      <x:c r="C1155" s="153" t="n">
        <x:v>0.76</x:v>
      </x:c>
      <x:c r="D1155" s="153" t="n">
        <x:v>1.93</x:v>
      </x:c>
      <x:c r="E1155" s="153" t="n">
        <x:v>114.0363</x:v>
      </x:c>
      <x:c r="F1155" s="153" t="n">
        <x:v>14.7</x:v>
      </x:c>
      <x:c r="G1155" s="153" t="n">
        <x:v>2.4</x:v>
      </x:c>
    </x:row>
    <x:row r="1156">
      <x:c r="A1156" s="155" t="n">
        <x:v>43524</x:v>
      </x:c>
      <x:c r="B1156" s="153" t="n">
        <x:v>2.73</x:v>
      </x:c>
      <x:c r="C1156" s="153" t="n">
        <x:v>0.78</x:v>
      </x:c>
      <x:c r="D1156" s="153" t="n">
        <x:v>1.95</x:v>
      </x:c>
      <x:c r="E1156" s="153" t="n">
        <x:v>114.1991</x:v>
      </x:c>
      <x:c r="F1156" s="153" t="n">
        <x:v>14.78</x:v>
      </x:c>
      <x:c r="G1156" s="153" t="n">
        <x:v>2.4</x:v>
      </x:c>
    </x:row>
    <x:row r="1157">
      <x:c r="A1157" s="155" t="n">
        <x:v>43525</x:v>
      </x:c>
      <x:c r="B1157" s="153" t="n">
        <x:v>2.76</x:v>
      </x:c>
      <x:c r="C1157" s="153" t="n">
        <x:v>0.8</x:v>
      </x:c>
      <x:c r="D1157" s="153" t="n">
        <x:v>1.96</x:v>
      </x:c>
      <x:c r="E1157" s="153" t="n">
        <x:v>114.537</x:v>
      </x:c>
      <x:c r="F1157" s="153" t="n">
        <x:v>13.57</x:v>
      </x:c>
      <x:c r="G1157" s="153" t="n">
        <x:v>2.4</x:v>
      </x:c>
    </x:row>
    <x:row r="1158">
      <x:c r="A1158" s="155" t="n">
        <x:v>43526</x:v>
      </x:c>
      <x:c r="B1158" s="153"/>
      <x:c r="C1158" s="153"/>
      <x:c r="D1158" s="153"/>
      <x:c r="E1158" s="153"/>
      <x:c r="F1158" s="153"/>
      <x:c r="G1158" s="153" t="n">
        <x:v>2.4</x:v>
      </x:c>
    </x:row>
    <x:row r="1159">
      <x:c r="A1159" s="155" t="n">
        <x:v>43527</x:v>
      </x:c>
      <x:c r="B1159" s="153"/>
      <x:c r="C1159" s="153"/>
      <x:c r="D1159" s="153"/>
      <x:c r="E1159" s="153"/>
      <x:c r="F1159" s="153"/>
      <x:c r="G1159" s="153" t="n">
        <x:v>2.4</x:v>
      </x:c>
    </x:row>
    <x:row r="1160">
      <x:c r="A1160" s="155" t="n">
        <x:v>43528</x:v>
      </x:c>
      <x:c r="B1160" s="153" t="n">
        <x:v>2.72</x:v>
      </x:c>
      <x:c r="C1160" s="153" t="n">
        <x:v>0.78</x:v>
      </x:c>
      <x:c r="D1160" s="153" t="n">
        <x:v>1.94</x:v>
      </x:c>
      <x:c r="E1160" s="153" t="n">
        <x:v>114.6925</x:v>
      </x:c>
      <x:c r="F1160" s="153" t="n">
        <x:v>14.63</x:v>
      </x:c>
      <x:c r="G1160" s="153" t="n">
        <x:v>2.4</x:v>
      </x:c>
    </x:row>
    <x:row r="1161">
      <x:c r="A1161" s="155" t="n">
        <x:v>43529</x:v>
      </x:c>
      <x:c r="B1161" s="153" t="n">
        <x:v>2.72</x:v>
      </x:c>
      <x:c r="C1161" s="153" t="n">
        <x:v>0.79</x:v>
      </x:c>
      <x:c r="D1161" s="153" t="n">
        <x:v>1.93</x:v>
      </x:c>
      <x:c r="E1161" s="153" t="n">
        <x:v>114.804</x:v>
      </x:c>
      <x:c r="F1161" s="153" t="n">
        <x:v>14.74</x:v>
      </x:c>
      <x:c r="G1161" s="153" t="n">
        <x:v>2.4</x:v>
      </x:c>
    </x:row>
    <x:row r="1162">
      <x:c r="A1162" s="155" t="n">
        <x:v>43530</x:v>
      </x:c>
      <x:c r="B1162" s="153" t="n">
        <x:v>2.69</x:v>
      </x:c>
      <x:c r="C1162" s="153" t="n">
        <x:v>0.78</x:v>
      </x:c>
      <x:c r="D1162" s="153" t="n">
        <x:v>1.91</x:v>
      </x:c>
      <x:c r="E1162" s="153" t="n">
        <x:v>114.9714</x:v>
      </x:c>
      <x:c r="F1162" s="153" t="n">
        <x:v>15.74</x:v>
      </x:c>
      <x:c r="G1162" s="153" t="n">
        <x:v>2.4</x:v>
      </x:c>
    </x:row>
    <x:row r="1163">
      <x:c r="A1163" s="155" t="n">
        <x:v>43531</x:v>
      </x:c>
      <x:c r="B1163" s="153" t="n">
        <x:v>2.64</x:v>
      </x:c>
      <x:c r="C1163" s="153" t="n">
        <x:v>0.74</x:v>
      </x:c>
      <x:c r="D1163" s="153" t="n">
        <x:v>1.9</x:v>
      </x:c>
      <x:c r="E1163" s="153" t="n">
        <x:v>115.4919</x:v>
      </x:c>
      <x:c r="F1163" s="153" t="n">
        <x:v>16.59</x:v>
      </x:c>
      <x:c r="G1163" s="153" t="n">
        <x:v>2.4</x:v>
      </x:c>
    </x:row>
    <x:row r="1164">
      <x:c r="A1164" s="155" t="n">
        <x:v>43532</x:v>
      </x:c>
      <x:c r="B1164" s="153" t="n">
        <x:v>2.62</x:v>
      </x:c>
      <x:c r="C1164" s="153" t="n">
        <x:v>0.72</x:v>
      </x:c>
      <x:c r="D1164" s="153" t="n">
        <x:v>1.9</x:v>
      </x:c>
      <x:c r="E1164" s="153" t="n">
        <x:v>115.3599</x:v>
      </x:c>
      <x:c r="F1164" s="153" t="n">
        <x:v>16.05</x:v>
      </x:c>
      <x:c r="G1164" s="153" t="n">
        <x:v>2.4</x:v>
      </x:c>
    </x:row>
    <x:row r="1165">
      <x:c r="A1165" s="155" t="n">
        <x:v>43533</x:v>
      </x:c>
      <x:c r="B1165" s="153"/>
      <x:c r="C1165" s="153"/>
      <x:c r="D1165" s="153"/>
      <x:c r="E1165" s="153"/>
      <x:c r="F1165" s="153"/>
      <x:c r="G1165" s="153" t="n">
        <x:v>2.4</x:v>
      </x:c>
    </x:row>
    <x:row r="1166">
      <x:c r="A1166" s="155" t="n">
        <x:v>43534</x:v>
      </x:c>
      <x:c r="B1166" s="153"/>
      <x:c r="C1166" s="153"/>
      <x:c r="D1166" s="153"/>
      <x:c r="E1166" s="153"/>
      <x:c r="F1166" s="153"/>
      <x:c r="G1166" s="153" t="n">
        <x:v>2.4</x:v>
      </x:c>
    </x:row>
    <x:row r="1167">
      <x:c r="A1167" s="155" t="n">
        <x:v>43535</x:v>
      </x:c>
      <x:c r="B1167" s="153" t="n">
        <x:v>2.64</x:v>
      </x:c>
      <x:c r="C1167" s="153" t="n">
        <x:v>0.73</x:v>
      </x:c>
      <x:c r="D1167" s="153" t="n">
        <x:v>1.91</x:v>
      </x:c>
      <x:c r="E1167" s="153" t="n">
        <x:v>115.2967</x:v>
      </x:c>
      <x:c r="F1167" s="153" t="n">
        <x:v>14.33</x:v>
      </x:c>
      <x:c r="G1167" s="153" t="n">
        <x:v>2.4</x:v>
      </x:c>
    </x:row>
    <x:row r="1168">
      <x:c r="A1168" s="155" t="n">
        <x:v>43536</x:v>
      </x:c>
      <x:c r="B1168" s="153" t="n">
        <x:v>2.61</x:v>
      </x:c>
      <x:c r="C1168" s="153" t="n">
        <x:v>0.71</x:v>
      </x:c>
      <x:c r="D1168" s="153" t="n">
        <x:v>1.9</x:v>
      </x:c>
      <x:c r="E1168" s="153" t="n">
        <x:v>114.939</x:v>
      </x:c>
      <x:c r="F1168" s="153" t="n">
        <x:v>13.77</x:v>
      </x:c>
      <x:c r="G1168" s="153" t="n">
        <x:v>2.4</x:v>
      </x:c>
    </x:row>
    <x:row r="1169">
      <x:c r="A1169" s="155" t="n">
        <x:v>43537</x:v>
      </x:c>
      <x:c r="B1169" s="153" t="n">
        <x:v>2.61</x:v>
      </x:c>
      <x:c r="C1169" s="153" t="n">
        <x:v>0.69</x:v>
      </x:c>
      <x:c r="D1169" s="153" t="n">
        <x:v>1.92</x:v>
      </x:c>
      <x:c r="E1169" s="153" t="n">
        <x:v>114.7372</x:v>
      </x:c>
      <x:c r="F1169" s="153" t="n">
        <x:v>13.41</x:v>
      </x:c>
      <x:c r="G1169" s="153" t="n">
        <x:v>2.4</x:v>
      </x:c>
    </x:row>
    <x:row r="1170">
      <x:c r="A1170" s="155" t="n">
        <x:v>43538</x:v>
      </x:c>
      <x:c r="B1170" s="153" t="n">
        <x:v>2.63</x:v>
      </x:c>
      <x:c r="C1170" s="153" t="n">
        <x:v>0.69</x:v>
      </x:c>
      <x:c r="D1170" s="153" t="n">
        <x:v>1.94</x:v>
      </x:c>
      <x:c r="E1170" s="153" t="n">
        <x:v>114.79</x:v>
      </x:c>
      <x:c r="F1170" s="153" t="n">
        <x:v>13.5</x:v>
      </x:c>
      <x:c r="G1170" s="153" t="n">
        <x:v>2.4</x:v>
      </x:c>
    </x:row>
    <x:row r="1171">
      <x:c r="A1171" s="155" t="n">
        <x:v>43539</x:v>
      </x:c>
      <x:c r="B1171" s="153" t="n">
        <x:v>2.59</x:v>
      </x:c>
      <x:c r="C1171" s="153" t="n">
        <x:v>0.65</x:v>
      </x:c>
      <x:c r="D1171" s="153" t="n">
        <x:v>1.94</x:v>
      </x:c>
      <x:c r="E1171" s="153" t="n">
        <x:v>114.5815</x:v>
      </x:c>
      <x:c r="F1171" s="153" t="n">
        <x:v>12.88</x:v>
      </x:c>
      <x:c r="G1171" s="153" t="n">
        <x:v>2.4</x:v>
      </x:c>
    </x:row>
    <x:row r="1172">
      <x:c r="A1172" s="155" t="n">
        <x:v>43540</x:v>
      </x:c>
      <x:c r="B1172" s="153"/>
      <x:c r="C1172" s="153"/>
      <x:c r="D1172" s="153"/>
      <x:c r="E1172" s="153"/>
      <x:c r="F1172" s="153"/>
      <x:c r="G1172" s="153" t="n">
        <x:v>2.4</x:v>
      </x:c>
    </x:row>
    <x:row r="1173">
      <x:c r="A1173" s="155" t="n">
        <x:v>43541</x:v>
      </x:c>
      <x:c r="B1173" s="153"/>
      <x:c r="C1173" s="153"/>
      <x:c r="D1173" s="153"/>
      <x:c r="E1173" s="153"/>
      <x:c r="F1173" s="153"/>
      <x:c r="G1173" s="153" t="n">
        <x:v>2.4</x:v>
      </x:c>
    </x:row>
    <x:row r="1174">
      <x:c r="A1174" s="155" t="n">
        <x:v>43542</x:v>
      </x:c>
      <x:c r="B1174" s="153" t="n">
        <x:v>2.6</x:v>
      </x:c>
      <x:c r="C1174" s="153" t="n">
        <x:v>0.64</x:v>
      </x:c>
      <x:c r="D1174" s="153" t="n">
        <x:v>1.96</x:v>
      </x:c>
      <x:c r="E1174" s="153" t="n">
        <x:v>114.4375</x:v>
      </x:c>
      <x:c r="F1174" s="153" t="n">
        <x:v>13.1</x:v>
      </x:c>
      <x:c r="G1174" s="153" t="n">
        <x:v>2.4</x:v>
      </x:c>
    </x:row>
    <x:row r="1175">
      <x:c r="A1175" s="155" t="n">
        <x:v>43543</x:v>
      </x:c>
      <x:c r="B1175" s="153" t="n">
        <x:v>2.61</x:v>
      </x:c>
      <x:c r="C1175" s="153" t="n">
        <x:v>0.66</x:v>
      </x:c>
      <x:c r="D1175" s="153" t="n">
        <x:v>1.95</x:v>
      </x:c>
      <x:c r="E1175" s="153" t="n">
        <x:v>114.2324</x:v>
      </x:c>
      <x:c r="F1175" s="153" t="n">
        <x:v>13.56</x:v>
      </x:c>
      <x:c r="G1175" s="153" t="n">
        <x:v>2.4</x:v>
      </x:c>
    </x:row>
    <x:row r="1176">
      <x:c r="A1176" s="155" t="n">
        <x:v>43544</x:v>
      </x:c>
      <x:c r="B1176" s="153" t="n">
        <x:v>2.54</x:v>
      </x:c>
      <x:c r="C1176" s="153" t="n">
        <x:v>0.58</x:v>
      </x:c>
      <x:c r="D1176" s="153" t="n">
        <x:v>1.96</x:v>
      </x:c>
      <x:c r="E1176" s="153" t="n">
        <x:v>114.1509</x:v>
      </x:c>
      <x:c r="F1176" s="153" t="n">
        <x:v>13.91</x:v>
      </x:c>
      <x:c r="G1176" s="153" t="n">
        <x:v>2.41</x:v>
      </x:c>
    </x:row>
    <x:row r="1177">
      <x:c r="A1177" s="155" t="n">
        <x:v>43545</x:v>
      </x:c>
      <x:c r="B1177" s="153" t="n">
        <x:v>2.54</x:v>
      </x:c>
      <x:c r="C1177" s="153" t="n">
        <x:v>0.58</x:v>
      </x:c>
      <x:c r="D1177" s="153" t="n">
        <x:v>1.96</x:v>
      </x:c>
      <x:c r="E1177" s="153" t="n">
        <x:v>114.1684</x:v>
      </x:c>
      <x:c r="F1177" s="153" t="n">
        <x:v>13.63</x:v>
      </x:c>
      <x:c r="G1177" s="153" t="n">
        <x:v>2.41</x:v>
      </x:c>
    </x:row>
    <x:row r="1178">
      <x:c r="A1178" s="155" t="n">
        <x:v>43546</x:v>
      </x:c>
      <x:c r="B1178" s="153" t="n">
        <x:v>2.44</x:v>
      </x:c>
      <x:c r="C1178" s="153" t="n">
        <x:v>0.54</x:v>
      </x:c>
      <x:c r="D1178" s="153" t="n">
        <x:v>1.9</x:v>
      </x:c>
      <x:c r="E1178" s="153" t="n">
        <x:v>114.6856</x:v>
      </x:c>
      <x:c r="F1178" s="153" t="n">
        <x:v>16.48</x:v>
      </x:c>
      <x:c r="G1178" s="153" t="n">
        <x:v>2.41</x:v>
      </x:c>
    </x:row>
    <x:row r="1179">
      <x:c r="A1179" s="155" t="n">
        <x:v>43547</x:v>
      </x:c>
      <x:c r="B1179" s="153"/>
      <x:c r="C1179" s="153"/>
      <x:c r="D1179" s="153"/>
      <x:c r="E1179" s="153"/>
      <x:c r="F1179" s="153"/>
      <x:c r="G1179" s="153" t="n">
        <x:v>2.41</x:v>
      </x:c>
    </x:row>
    <x:row r="1180">
      <x:c r="A1180" s="155" t="n">
        <x:v>43548</x:v>
      </x:c>
      <x:c r="B1180" s="153"/>
      <x:c r="C1180" s="153"/>
      <x:c r="D1180" s="153"/>
      <x:c r="E1180" s="153"/>
      <x:c r="F1180" s="153"/>
      <x:c r="G1180" s="153" t="n">
        <x:v>2.41</x:v>
      </x:c>
    </x:row>
    <x:row r="1181">
      <x:c r="A1181" s="155" t="n">
        <x:v>43549</x:v>
      </x:c>
      <x:c r="B1181" s="153" t="n">
        <x:v>2.43</x:v>
      </x:c>
      <x:c r="C1181" s="153" t="n">
        <x:v>0.55</x:v>
      </x:c>
      <x:c r="D1181" s="153" t="n">
        <x:v>1.88</x:v>
      </x:c>
      <x:c r="E1181" s="153" t="n">
        <x:v>114.4171</x:v>
      </x:c>
      <x:c r="F1181" s="153" t="n">
        <x:v>16.33</x:v>
      </x:c>
      <x:c r="G1181" s="153" t="n">
        <x:v>2.4</x:v>
      </x:c>
    </x:row>
    <x:row r="1182">
      <x:c r="A1182" s="155" t="n">
        <x:v>43550</x:v>
      </x:c>
      <x:c r="B1182" s="153" t="n">
        <x:v>2.41</x:v>
      </x:c>
      <x:c r="C1182" s="153" t="n">
        <x:v>0.55</x:v>
      </x:c>
      <x:c r="D1182" s="153" t="n">
        <x:v>1.86</x:v>
      </x:c>
      <x:c r="E1182" s="153" t="n">
        <x:v>114.6414</x:v>
      </x:c>
      <x:c r="F1182" s="153" t="n">
        <x:v>14.68</x:v>
      </x:c>
      <x:c r="G1182" s="153" t="n">
        <x:v>2.4</x:v>
      </x:c>
    </x:row>
    <x:row r="1183">
      <x:c r="A1183" s="155" t="n">
        <x:v>43551</x:v>
      </x:c>
      <x:c r="B1183" s="153" t="n">
        <x:v>2.39</x:v>
      </x:c>
      <x:c r="C1183" s="153" t="n">
        <x:v>0.55</x:v>
      </x:c>
      <x:c r="D1183" s="153" t="n">
        <x:v>1.84</x:v>
      </x:c>
      <x:c r="E1183" s="153" t="n">
        <x:v>115.1243</x:v>
      </x:c>
      <x:c r="F1183" s="153" t="n">
        <x:v>15.15</x:v>
      </x:c>
      <x:c r="G1183" s="153" t="n">
        <x:v>2.41</x:v>
      </x:c>
    </x:row>
    <x:row r="1184">
      <x:c r="A1184" s="155" t="n">
        <x:v>43552</x:v>
      </x:c>
      <x:c r="B1184" s="153" t="n">
        <x:v>2.39</x:v>
      </x:c>
      <x:c r="C1184" s="153" t="n">
        <x:v>0.56</x:v>
      </x:c>
      <x:c r="D1184" s="153" t="n">
        <x:v>1.83</x:v>
      </x:c>
      <x:c r="E1184" s="153" t="n">
        <x:v>115.2581</x:v>
      </x:c>
      <x:c r="F1184" s="153" t="n">
        <x:v>14.43</x:v>
      </x:c>
      <x:c r="G1184" s="153" t="n">
        <x:v>2.41</x:v>
      </x:c>
    </x:row>
    <x:row r="1185">
      <x:c r="A1185" s="155" t="n">
        <x:v>43553</x:v>
      </x:c>
      <x:c r="B1185" s="153" t="n">
        <x:v>2.41</x:v>
      </x:c>
      <x:c r="C1185" s="153" t="n">
        <x:v>0.53</x:v>
      </x:c>
      <x:c r="D1185" s="153" t="n">
        <x:v>1.88</x:v>
      </x:c>
      <x:c r="E1185" s="153" t="n">
        <x:v>115.1371</x:v>
      </x:c>
      <x:c r="F1185" s="153" t="n">
        <x:v>13.71</x:v>
      </x:c>
      <x:c r="G1185" s="153" t="n">
        <x:v>2.43</x:v>
      </x:c>
    </x:row>
    <x:row r="1186">
      <x:c r="A1186" s="155" t="n">
        <x:v>43554</x:v>
      </x:c>
      <x:c r="B1186" s="153"/>
      <x:c r="C1186" s="153"/>
      <x:c r="D1186" s="153"/>
      <x:c r="E1186" s="153"/>
      <x:c r="F1186" s="153"/>
      <x:c r="G1186" s="153" t="n">
        <x:v>2.43</x:v>
      </x:c>
    </x:row>
    <x:row r="1187">
      <x:c r="A1187" s="155" t="n">
        <x:v>43555</x:v>
      </x:c>
      <x:c r="B1187" s="153"/>
      <x:c r="C1187" s="153"/>
      <x:c r="D1187" s="153"/>
      <x:c r="E1187" s="153"/>
      <x:c r="F1187" s="153"/>
      <x:c r="G1187" s="153" t="n">
        <x:v>2.43</x:v>
      </x:c>
    </x:row>
    <x:row r="1188">
      <x:c r="A1188" s="155" t="n">
        <x:v>43556</x:v>
      </x:c>
      <x:c r="B1188" s="153" t="n">
        <x:v>2.49</x:v>
      </x:c>
      <x:c r="C1188" s="153" t="n">
        <x:v>0.59</x:v>
      </x:c>
      <x:c r="D1188" s="153" t="n">
        <x:v>1.9</x:v>
      </x:c>
      <x:c r="E1188" s="153" t="n">
        <x:v>114.9362</x:v>
      </x:c>
      <x:c r="F1188" s="153" t="n">
        <x:v>13.4</x:v>
      </x:c>
      <x:c r="G1188" s="153" t="n">
        <x:v>2.41</x:v>
      </x:c>
    </x:row>
    <x:row r="1189">
      <x:c r="A1189" s="155" t="n">
        <x:v>43557</x:v>
      </x:c>
      <x:c r="B1189" s="153" t="n">
        <x:v>2.48</x:v>
      </x:c>
      <x:c r="C1189" s="153" t="n">
        <x:v>0.58</x:v>
      </x:c>
      <x:c r="D1189" s="153" t="n">
        <x:v>1.9</x:v>
      </x:c>
      <x:c r="E1189" s="153" t="n">
        <x:v>115.1173</x:v>
      </x:c>
      <x:c r="F1189" s="153" t="n">
        <x:v>13.36</x:v>
      </x:c>
      <x:c r="G1189" s="153" t="n">
        <x:v>2.41</x:v>
      </x:c>
    </x:row>
    <x:row r="1190">
      <x:c r="A1190" s="155" t="n">
        <x:v>43558</x:v>
      </x:c>
      <x:c r="B1190" s="153" t="n">
        <x:v>2.52</x:v>
      </x:c>
      <x:c r="C1190" s="153" t="n">
        <x:v>0.61</x:v>
      </x:c>
      <x:c r="D1190" s="153" t="n">
        <x:v>1.91</x:v>
      </x:c>
      <x:c r="E1190" s="153" t="n">
        <x:v>114.7211</x:v>
      </x:c>
      <x:c r="F1190" s="153" t="n">
        <x:v>13.74</x:v>
      </x:c>
      <x:c r="G1190" s="153" t="n">
        <x:v>2.41</x:v>
      </x:c>
    </x:row>
    <x:row r="1191">
      <x:c r="A1191" s="155" t="n">
        <x:v>43559</x:v>
      </x:c>
      <x:c r="B1191" s="153" t="n">
        <x:v>2.51</x:v>
      </x:c>
      <x:c r="C1191" s="153" t="n">
        <x:v>0.61</x:v>
      </x:c>
      <x:c r="D1191" s="153" t="n">
        <x:v>1.9</x:v>
      </x:c>
      <x:c r="E1191" s="153" t="n">
        <x:v>114.9697</x:v>
      </x:c>
      <x:c r="F1191" s="153" t="n">
        <x:v>13.58</x:v>
      </x:c>
      <x:c r="G1191" s="153" t="n">
        <x:v>2.41</x:v>
      </x:c>
    </x:row>
    <x:row r="1192">
      <x:c r="A1192" s="155" t="n">
        <x:v>43560</x:v>
      </x:c>
      <x:c r="B1192" s="153" t="n">
        <x:v>2.5</x:v>
      </x:c>
      <x:c r="C1192" s="153" t="n">
        <x:v>0.6</x:v>
      </x:c>
      <x:c r="D1192" s="153" t="n">
        <x:v>1.9</x:v>
      </x:c>
      <x:c r="E1192" s="153" t="n">
        <x:v>114.9726</x:v>
      </x:c>
      <x:c r="F1192" s="153" t="n">
        <x:v>12.82</x:v>
      </x:c>
      <x:c r="G1192" s="153" t="n">
        <x:v>2.41</x:v>
      </x:c>
    </x:row>
    <x:row r="1193">
      <x:c r="A1193" s="155" t="n">
        <x:v>43561</x:v>
      </x:c>
      <x:c r="B1193" s="153"/>
      <x:c r="C1193" s="153"/>
      <x:c r="D1193" s="153"/>
      <x:c r="E1193" s="153"/>
      <x:c r="F1193" s="153"/>
      <x:c r="G1193" s="153" t="n">
        <x:v>2.41</x:v>
      </x:c>
    </x:row>
    <x:row r="1194">
      <x:c r="A1194" s="155" t="n">
        <x:v>43562</x:v>
      </x:c>
      <x:c r="B1194" s="153"/>
      <x:c r="C1194" s="153"/>
      <x:c r="D1194" s="153"/>
      <x:c r="E1194" s="153"/>
      <x:c r="F1194" s="153"/>
      <x:c r="G1194" s="153" t="n">
        <x:v>2.41</x:v>
      </x:c>
    </x:row>
    <x:row r="1195">
      <x:c r="A1195" s="155" t="n">
        <x:v>43563</x:v>
      </x:c>
      <x:c r="B1195" s="153" t="n">
        <x:v>2.52</x:v>
      </x:c>
      <x:c r="C1195" s="153" t="n">
        <x:v>0.61</x:v>
      </x:c>
      <x:c r="D1195" s="153" t="n">
        <x:v>1.91</x:v>
      </x:c>
      <x:c r="E1195" s="153" t="n">
        <x:v>114.6893</x:v>
      </x:c>
      <x:c r="F1195" s="153" t="n">
        <x:v>13.18</x:v>
      </x:c>
      <x:c r="G1195" s="153" t="n">
        <x:v>2.41</x:v>
      </x:c>
    </x:row>
    <x:row r="1196">
      <x:c r="A1196" s="155" t="n">
        <x:v>43564</x:v>
      </x:c>
      <x:c r="B1196" s="153" t="n">
        <x:v>2.51</x:v>
      </x:c>
      <x:c r="C1196" s="153" t="n">
        <x:v>0.6</x:v>
      </x:c>
      <x:c r="D1196" s="153" t="n">
        <x:v>1.91</x:v>
      </x:c>
      <x:c r="E1196" s="153" t="n">
        <x:v>114.5321</x:v>
      </x:c>
      <x:c r="F1196" s="153" t="n">
        <x:v>14.28</x:v>
      </x:c>
      <x:c r="G1196" s="153" t="n">
        <x:v>2.41</x:v>
      </x:c>
    </x:row>
    <x:row r="1197">
      <x:c r="A1197" s="155" t="n">
        <x:v>43565</x:v>
      </x:c>
      <x:c r="B1197" s="153" t="n">
        <x:v>2.48</x:v>
      </x:c>
      <x:c r="C1197" s="153" t="n">
        <x:v>0.54</x:v>
      </x:c>
      <x:c r="D1197" s="153" t="n">
        <x:v>1.94</x:v>
      </x:c>
      <x:c r="E1197" s="153" t="n">
        <x:v>114.4269</x:v>
      </x:c>
      <x:c r="F1197" s="153" t="n">
        <x:v>13.3</x:v>
      </x:c>
      <x:c r="G1197" s="153" t="n">
        <x:v>2.41</x:v>
      </x:c>
    </x:row>
    <x:row r="1198">
      <x:c r="A1198" s="155" t="n">
        <x:v>43566</x:v>
      </x:c>
      <x:c r="B1198" s="153" t="n">
        <x:v>2.51</x:v>
      </x:c>
      <x:c r="C1198" s="153" t="n">
        <x:v>0.57</x:v>
      </x:c>
      <x:c r="D1198" s="153" t="n">
        <x:v>1.94</x:v>
      </x:c>
      <x:c r="E1198" s="153" t="n">
        <x:v>114.6303</x:v>
      </x:c>
      <x:c r="F1198" s="153" t="n">
        <x:v>13.02</x:v>
      </x:c>
      <x:c r="G1198" s="153" t="n">
        <x:v>2.41</x:v>
      </x:c>
    </x:row>
    <x:row r="1199">
      <x:c r="A1199" s="155" t="n">
        <x:v>43567</x:v>
      </x:c>
      <x:c r="B1199" s="153" t="n">
        <x:v>2.56</x:v>
      </x:c>
      <x:c r="C1199" s="153" t="n">
        <x:v>0.61</x:v>
      </x:c>
      <x:c r="D1199" s="153" t="n">
        <x:v>1.95</x:v>
      </x:c>
      <x:c r="E1199" s="153" t="n">
        <x:v>114.3531</x:v>
      </x:c>
      <x:c r="F1199" s="153" t="n">
        <x:v>12.01</x:v>
      </x:c>
      <x:c r="G1199" s="153" t="n">
        <x:v>2.41</x:v>
      </x:c>
    </x:row>
    <x:row r="1200">
      <x:c r="A1200" s="155" t="n">
        <x:v>43568</x:v>
      </x:c>
      <x:c r="B1200" s="153"/>
      <x:c r="C1200" s="153"/>
      <x:c r="D1200" s="153"/>
      <x:c r="E1200" s="153"/>
      <x:c r="F1200" s="153"/>
      <x:c r="G1200" s="153" t="n">
        <x:v>2.41</x:v>
      </x:c>
    </x:row>
    <x:row r="1201">
      <x:c r="A1201" s="155" t="n">
        <x:v>43569</x:v>
      </x:c>
      <x:c r="B1201" s="153"/>
      <x:c r="C1201" s="153"/>
      <x:c r="D1201" s="153"/>
      <x:c r="E1201" s="153"/>
      <x:c r="F1201" s="153"/>
      <x:c r="G1201" s="153" t="n">
        <x:v>2.41</x:v>
      </x:c>
    </x:row>
    <x:row r="1202">
      <x:c r="A1202" s="155" t="n">
        <x:v>43570</x:v>
      </x:c>
      <x:c r="B1202" s="153" t="n">
        <x:v>2.55</x:v>
      </x:c>
      <x:c r="C1202" s="153" t="n">
        <x:v>0.61</x:v>
      </x:c>
      <x:c r="D1202" s="153" t="n">
        <x:v>1.94</x:v>
      </x:c>
      <x:c r="E1202" s="153" t="n">
        <x:v>114.495</x:v>
      </x:c>
      <x:c r="F1202" s="153" t="n">
        <x:v>12.32</x:v>
      </x:c>
      <x:c r="G1202" s="153" t="n">
        <x:v>2.41</x:v>
      </x:c>
    </x:row>
    <x:row r="1203">
      <x:c r="A1203" s="155" t="n">
        <x:v>43571</x:v>
      </x:c>
      <x:c r="B1203" s="153" t="n">
        <x:v>2.6</x:v>
      </x:c>
      <x:c r="C1203" s="153" t="n">
        <x:v>0.64</x:v>
      </x:c>
      <x:c r="D1203" s="153" t="n">
        <x:v>1.96</x:v>
      </x:c>
      <x:c r="E1203" s="153" t="n">
        <x:v>114.6756</x:v>
      </x:c>
      <x:c r="F1203" s="153" t="n">
        <x:v>12.18</x:v>
      </x:c>
      <x:c r="G1203" s="153" t="n">
        <x:v>2.41</x:v>
      </x:c>
    </x:row>
    <x:row r="1204">
      <x:c r="A1204" s="155" t="n">
        <x:v>43572</x:v>
      </x:c>
      <x:c r="B1204" s="153" t="n">
        <x:v>2.59</x:v>
      </x:c>
      <x:c r="C1204" s="153" t="n">
        <x:v>0.65</x:v>
      </x:c>
      <x:c r="D1204" s="153" t="n">
        <x:v>1.94</x:v>
      </x:c>
      <x:c r="E1204" s="153" t="n">
        <x:v>114.5141</x:v>
      </x:c>
      <x:c r="F1204" s="153" t="n">
        <x:v>12.6</x:v>
      </x:c>
      <x:c r="G1204" s="153" t="n">
        <x:v>2.42</x:v>
      </x:c>
    </x:row>
    <x:row r="1205">
      <x:c r="A1205" s="155" t="n">
        <x:v>43573</x:v>
      </x:c>
      <x:c r="B1205" s="153" t="n">
        <x:v>2.57</x:v>
      </x:c>
      <x:c r="C1205" s="153" t="n">
        <x:v>0.62</x:v>
      </x:c>
      <x:c r="D1205" s="153" t="n">
        <x:v>1.95</x:v>
      </x:c>
      <x:c r="E1205" s="153" t="n">
        <x:v>114.7073</x:v>
      </x:c>
      <x:c r="F1205" s="153" t="n">
        <x:v>12.09</x:v>
      </x:c>
      <x:c r="G1205" s="153" t="n">
        <x:v>2.43</x:v>
      </x:c>
    </x:row>
    <x:row r="1206">
      <x:c r="A1206" s="155" t="n">
        <x:v>43574</x:v>
      </x:c>
      <x:c r="B1206" s="153"/>
      <x:c r="C1206" s="153"/>
      <x:c r="D1206" s="153"/>
      <x:c r="E1206" s="153" t="n">
        <x:v>114.6977</x:v>
      </x:c>
      <x:c r="F1206" s="153"/>
      <x:c r="G1206" s="153" t="n">
        <x:v>2.44</x:v>
      </x:c>
    </x:row>
    <x:row r="1207">
      <x:c r="A1207" s="155" t="n">
        <x:v>43575</x:v>
      </x:c>
      <x:c r="B1207" s="153"/>
      <x:c r="C1207" s="153"/>
      <x:c r="D1207" s="153"/>
      <x:c r="E1207" s="153"/>
      <x:c r="F1207" s="153"/>
      <x:c r="G1207" s="153" t="n">
        <x:v>2.44</x:v>
      </x:c>
    </x:row>
    <x:row r="1208">
      <x:c r="A1208" s="155" t="n">
        <x:v>43576</x:v>
      </x:c>
      <x:c r="B1208" s="153"/>
      <x:c r="C1208" s="153"/>
      <x:c r="D1208" s="153"/>
      <x:c r="E1208" s="153"/>
      <x:c r="F1208" s="153"/>
      <x:c r="G1208" s="153" t="n">
        <x:v>2.44</x:v>
      </x:c>
    </x:row>
    <x:row r="1209">
      <x:c r="A1209" s="155" t="n">
        <x:v>43577</x:v>
      </x:c>
      <x:c r="B1209" s="153" t="n">
        <x:v>2.59</x:v>
      </x:c>
      <x:c r="C1209" s="153" t="n">
        <x:v>0.64</x:v>
      </x:c>
      <x:c r="D1209" s="153" t="n">
        <x:v>1.95</x:v>
      </x:c>
      <x:c r="E1209" s="153" t="n">
        <x:v>114.7694</x:v>
      </x:c>
      <x:c r="F1209" s="153" t="n">
        <x:v>12.42</x:v>
      </x:c>
      <x:c r="G1209" s="153" t="n">
        <x:v>2.44</x:v>
      </x:c>
    </x:row>
    <x:row r="1210">
      <x:c r="A1210" s="155" t="n">
        <x:v>43578</x:v>
      </x:c>
      <x:c r="B1210" s="153" t="n">
        <x:v>2.57</x:v>
      </x:c>
      <x:c r="C1210" s="153" t="n">
        <x:v>0.62</x:v>
      </x:c>
      <x:c r="D1210" s="153" t="n">
        <x:v>1.95</x:v>
      </x:c>
      <x:c r="E1210" s="153" t="n">
        <x:v>115.1578</x:v>
      </x:c>
      <x:c r="F1210" s="153" t="n">
        <x:v>12.28</x:v>
      </x:c>
      <x:c r="G1210" s="153" t="n">
        <x:v>2.44</x:v>
      </x:c>
    </x:row>
    <x:row r="1211">
      <x:c r="A1211" s="155" t="n">
        <x:v>43579</x:v>
      </x:c>
      <x:c r="B1211" s="153" t="n">
        <x:v>2.53</x:v>
      </x:c>
      <x:c r="C1211" s="153" t="n">
        <x:v>0.57</x:v>
      </x:c>
      <x:c r="D1211" s="153" t="n">
        <x:v>1.96</x:v>
      </x:c>
      <x:c r="E1211" s="153" t="n">
        <x:v>115.4187</x:v>
      </x:c>
      <x:c r="F1211" s="153" t="n">
        <x:v>13.14</x:v>
      </x:c>
      <x:c r="G1211" s="153" t="n">
        <x:v>2.44</x:v>
      </x:c>
    </x:row>
    <x:row r="1212">
      <x:c r="A1212" s="155" t="n">
        <x:v>43580</x:v>
      </x:c>
      <x:c r="B1212" s="153" t="n">
        <x:v>2.54</x:v>
      </x:c>
      <x:c r="C1212" s="153" t="n">
        <x:v>0.56</x:v>
      </x:c>
      <x:c r="D1212" s="153" t="n">
        <x:v>1.98</x:v>
      </x:c>
      <x:c r="E1212" s="153" t="n">
        <x:v>115.7709</x:v>
      </x:c>
      <x:c r="F1212" s="153" t="n">
        <x:v>13.25</x:v>
      </x:c>
      <x:c r="G1212" s="153" t="n">
        <x:v>2.44</x:v>
      </x:c>
    </x:row>
    <x:row r="1213">
      <x:c r="A1213" s="155" t="n">
        <x:v>43581</x:v>
      </x:c>
      <x:c r="B1213" s="153" t="n">
        <x:v>2.51</x:v>
      </x:c>
      <x:c r="C1213" s="153" t="n">
        <x:v>0.54</x:v>
      </x:c>
      <x:c r="D1213" s="153" t="n">
        <x:v>1.97</x:v>
      </x:c>
      <x:c r="E1213" s="153" t="n">
        <x:v>115.4767</x:v>
      </x:c>
      <x:c r="F1213" s="153" t="n">
        <x:v>12.73</x:v>
      </x:c>
      <x:c r="G1213" s="153" t="n">
        <x:v>2.44</x:v>
      </x:c>
    </x:row>
    <x:row r="1214">
      <x:c r="A1214" s="155" t="n">
        <x:v>43582</x:v>
      </x:c>
      <x:c r="B1214" s="153"/>
      <x:c r="C1214" s="153"/>
      <x:c r="D1214" s="153"/>
      <x:c r="E1214" s="153"/>
      <x:c r="F1214" s="153"/>
      <x:c r="G1214" s="153" t="n">
        <x:v>2.44</x:v>
      </x:c>
    </x:row>
    <x:row r="1215">
      <x:c r="A1215" s="155" t="n">
        <x:v>43583</x:v>
      </x:c>
      <x:c r="B1215" s="153"/>
      <x:c r="C1215" s="153"/>
      <x:c r="D1215" s="153"/>
      <x:c r="E1215" s="153"/>
      <x:c r="F1215" s="153"/>
      <x:c r="G1215" s="153" t="n">
        <x:v>2.44</x:v>
      </x:c>
    </x:row>
    <x:row r="1216">
      <x:c r="A1216" s="155" t="n">
        <x:v>43584</x:v>
      </x:c>
      <x:c r="B1216" s="153" t="n">
        <x:v>2.54</x:v>
      </x:c>
      <x:c r="C1216" s="153" t="n">
        <x:v>0.58</x:v>
      </x:c>
      <x:c r="D1216" s="153" t="n">
        <x:v>1.96</x:v>
      </x:c>
      <x:c r="E1216" s="153" t="n">
        <x:v>115.5227</x:v>
      </x:c>
      <x:c r="F1216" s="153" t="n">
        <x:v>13.11</x:v>
      </x:c>
      <x:c r="G1216" s="153" t="n">
        <x:v>2.45</x:v>
      </x:c>
    </x:row>
    <x:row r="1217">
      <x:c r="A1217" s="155" t="n">
        <x:v>43585</x:v>
      </x:c>
      <x:c r="B1217" s="153" t="n">
        <x:v>2.51</x:v>
      </x:c>
      <x:c r="C1217" s="153" t="n">
        <x:v>0.56</x:v>
      </x:c>
      <x:c r="D1217" s="153" t="n">
        <x:v>1.95</x:v>
      </x:c>
      <x:c r="E1217" s="153" t="n">
        <x:v>115.3281</x:v>
      </x:c>
      <x:c r="F1217" s="153" t="n">
        <x:v>13.12</x:v>
      </x:c>
      <x:c r="G1217" s="153" t="n">
        <x:v>2.45</x:v>
      </x:c>
    </x:row>
    <x:row r="1218">
      <x:c r="A1218" s="155" t="n">
        <x:v>43586</x:v>
      </x:c>
      <x:c r="B1218" s="153" t="n">
        <x:v>2.52</x:v>
      </x:c>
      <x:c r="C1218" s="153" t="n">
        <x:v>0.59</x:v>
      </x:c>
      <x:c r="D1218" s="153" t="n">
        <x:v>1.93</x:v>
      </x:c>
      <x:c r="E1218" s="153" t="n">
        <x:v>115.0022</x:v>
      </x:c>
      <x:c r="F1218" s="153" t="n">
        <x:v>14.8</x:v>
      </x:c>
      <x:c r="G1218" s="153" t="n">
        <x:v>2.45</x:v>
      </x:c>
    </x:row>
    <x:row r="1219">
      <x:c r="A1219" s="155" t="n">
        <x:v>43587</x:v>
      </x:c>
      <x:c r="B1219" s="153" t="n">
        <x:v>2.55</x:v>
      </x:c>
      <x:c r="C1219" s="153" t="n">
        <x:v>0.66</x:v>
      </x:c>
      <x:c r="D1219" s="153" t="n">
        <x:v>1.89</x:v>
      </x:c>
      <x:c r="E1219" s="153" t="n">
        <x:v>115.5617</x:v>
      </x:c>
      <x:c r="F1219" s="153" t="n">
        <x:v>14.42</x:v>
      </x:c>
      <x:c r="G1219" s="153" t="n">
        <x:v>2.41</x:v>
      </x:c>
    </x:row>
    <x:row r="1220">
      <x:c r="A1220" s="155" t="n">
        <x:v>43588</x:v>
      </x:c>
      <x:c r="B1220" s="153" t="n">
        <x:v>2.54</x:v>
      </x:c>
      <x:c r="C1220" s="153" t="n">
        <x:v>0.63</x:v>
      </x:c>
      <x:c r="D1220" s="153" t="n">
        <x:v>1.91</x:v>
      </x:c>
      <x:c r="E1220" s="153" t="n">
        <x:v>115.2646</x:v>
      </x:c>
      <x:c r="F1220" s="153" t="n">
        <x:v>12.87</x:v>
      </x:c>
      <x:c r="G1220" s="153" t="n">
        <x:v>2.4</x:v>
      </x:c>
    </x:row>
    <x:row r="1221">
      <x:c r="A1221" s="155" t="n">
        <x:v>43589</x:v>
      </x:c>
      <x:c r="B1221" s="153"/>
      <x:c r="C1221" s="153"/>
      <x:c r="D1221" s="153"/>
      <x:c r="E1221" s="153"/>
      <x:c r="F1221" s="153"/>
      <x:c r="G1221" s="153" t="n">
        <x:v>2.4</x:v>
      </x:c>
    </x:row>
    <x:row r="1222">
      <x:c r="A1222" s="155" t="n">
        <x:v>43590</x:v>
      </x:c>
      <x:c r="B1222" s="153"/>
      <x:c r="C1222" s="153"/>
      <x:c r="D1222" s="153"/>
      <x:c r="E1222" s="153"/>
      <x:c r="F1222" s="153"/>
      <x:c r="G1222" s="153" t="n">
        <x:v>2.4</x:v>
      </x:c>
    </x:row>
    <x:row r="1223">
      <x:c r="A1223" s="155" t="n">
        <x:v>43591</x:v>
      </x:c>
      <x:c r="B1223" s="153" t="n">
        <x:v>2.51</x:v>
      </x:c>
      <x:c r="C1223" s="153" t="n">
        <x:v>0.6</x:v>
      </x:c>
      <x:c r="D1223" s="153" t="n">
        <x:v>1.91</x:v>
      </x:c>
      <x:c r="E1223" s="153" t="n">
        <x:v>115.3811</x:v>
      </x:c>
      <x:c r="F1223" s="153" t="n">
        <x:v>15.44</x:v>
      </x:c>
      <x:c r="G1223" s="153" t="n">
        <x:v>2.4</x:v>
      </x:c>
    </x:row>
    <x:row r="1224">
      <x:c r="A1224" s="155" t="n">
        <x:v>43592</x:v>
      </x:c>
      <x:c r="B1224" s="153" t="n">
        <x:v>2.45</x:v>
      </x:c>
      <x:c r="C1224" s="153" t="n">
        <x:v>0.58</x:v>
      </x:c>
      <x:c r="D1224" s="153" t="n">
        <x:v>1.87</x:v>
      </x:c>
      <x:c r="E1224" s="153" t="n">
        <x:v>115.6116</x:v>
      </x:c>
      <x:c r="F1224" s="153" t="n">
        <x:v>19.32</x:v>
      </x:c>
      <x:c r="G1224" s="153" t="n">
        <x:v>2.4</x:v>
      </x:c>
    </x:row>
    <x:row r="1225">
      <x:c r="A1225" s="155" t="n">
        <x:v>43593</x:v>
      </x:c>
      <x:c r="B1225" s="153" t="n">
        <x:v>2.49</x:v>
      </x:c>
      <x:c r="C1225" s="153" t="n">
        <x:v>0.62</x:v>
      </x:c>
      <x:c r="D1225" s="153" t="n">
        <x:v>1.87</x:v>
      </x:c>
      <x:c r="E1225" s="153" t="n">
        <x:v>115.5171</x:v>
      </x:c>
      <x:c r="F1225" s="153" t="n">
        <x:v>19.4</x:v>
      </x:c>
      <x:c r="G1225" s="153" t="n">
        <x:v>2.39</x:v>
      </x:c>
    </x:row>
    <x:row r="1226">
      <x:c r="A1226" s="155" t="n">
        <x:v>43594</x:v>
      </x:c>
      <x:c r="B1226" s="153" t="n">
        <x:v>2.45</x:v>
      </x:c>
      <x:c r="C1226" s="153" t="n">
        <x:v>0.6</x:v>
      </x:c>
      <x:c r="D1226" s="153" t="n">
        <x:v>1.85</x:v>
      </x:c>
      <x:c r="E1226" s="153" t="n">
        <x:v>115.8421</x:v>
      </x:c>
      <x:c r="F1226" s="153" t="n">
        <x:v>19.1</x:v>
      </x:c>
      <x:c r="G1226" s="153" t="n">
        <x:v>2.38</x:v>
      </x:c>
    </x:row>
    <x:row r="1227">
      <x:c r="A1227" s="155" t="n">
        <x:v>43595</x:v>
      </x:c>
      <x:c r="B1227" s="153" t="n">
        <x:v>2.47</x:v>
      </x:c>
      <x:c r="C1227" s="153" t="n">
        <x:v>0.59</x:v>
      </x:c>
      <x:c r="D1227" s="153" t="n">
        <x:v>1.88</x:v>
      </x:c>
      <x:c r="E1227" s="153" t="n">
        <x:v>115.5334</x:v>
      </x:c>
      <x:c r="F1227" s="153" t="n">
        <x:v>16.04</x:v>
      </x:c>
      <x:c r="G1227" s="153" t="n">
        <x:v>2.38</x:v>
      </x:c>
    </x:row>
    <x:row r="1228">
      <x:c r="A1228" s="155" t="n">
        <x:v>43596</x:v>
      </x:c>
      <x:c r="B1228" s="153"/>
      <x:c r="C1228" s="153"/>
      <x:c r="D1228" s="153"/>
      <x:c r="E1228" s="153"/>
      <x:c r="F1228" s="153"/>
      <x:c r="G1228" s="153" t="n">
        <x:v>2.38</x:v>
      </x:c>
    </x:row>
    <x:row r="1229">
      <x:c r="A1229" s="155" t="n">
        <x:v>43597</x:v>
      </x:c>
      <x:c r="B1229" s="153"/>
      <x:c r="C1229" s="153"/>
      <x:c r="D1229" s="153"/>
      <x:c r="E1229" s="153"/>
      <x:c r="F1229" s="153"/>
      <x:c r="G1229" s="153" t="n">
        <x:v>2.38</x:v>
      </x:c>
    </x:row>
    <x:row r="1230">
      <x:c r="A1230" s="155" t="n">
        <x:v>43598</x:v>
      </x:c>
      <x:c r="B1230" s="153" t="n">
        <x:v>2.4</x:v>
      </x:c>
      <x:c r="C1230" s="153" t="n">
        <x:v>0.55</x:v>
      </x:c>
      <x:c r="D1230" s="153" t="n">
        <x:v>1.85</x:v>
      </x:c>
      <x:c r="E1230" s="153" t="n">
        <x:v>115.915</x:v>
      </x:c>
      <x:c r="F1230" s="153" t="n">
        <x:v>20.55</x:v>
      </x:c>
      <x:c r="G1230" s="153" t="n">
        <x:v>2.38</x:v>
      </x:c>
    </x:row>
    <x:row r="1231">
      <x:c r="A1231" s="155" t="n">
        <x:v>43599</x:v>
      </x:c>
      <x:c r="B1231" s="153" t="n">
        <x:v>2.42</x:v>
      </x:c>
      <x:c r="C1231" s="153" t="n">
        <x:v>0.56</x:v>
      </x:c>
      <x:c r="D1231" s="153" t="n">
        <x:v>1.86</x:v>
      </x:c>
      <x:c r="E1231" s="153" t="n">
        <x:v>115.9425</x:v>
      </x:c>
      <x:c r="F1231" s="153" t="n">
        <x:v>18.06</x:v>
      </x:c>
      <x:c r="G1231" s="153" t="n">
        <x:v>2.38</x:v>
      </x:c>
    </x:row>
    <x:row r="1232">
      <x:c r="A1232" s="155" t="n">
        <x:v>43600</x:v>
      </x:c>
      <x:c r="B1232" s="153" t="n">
        <x:v>2.37</x:v>
      </x:c>
      <x:c r="C1232" s="153" t="n">
        <x:v>0.54</x:v>
      </x:c>
      <x:c r="D1232" s="153" t="n">
        <x:v>1.83</x:v>
      </x:c>
      <x:c r="E1232" s="153" t="n">
        <x:v>115.8565</x:v>
      </x:c>
      <x:c r="F1232" s="153" t="n">
        <x:v>16.44</x:v>
      </x:c>
      <x:c r="G1232" s="153" t="n">
        <x:v>2.4</x:v>
      </x:c>
    </x:row>
    <x:row r="1233">
      <x:c r="A1233" s="155" t="n">
        <x:v>43601</x:v>
      </x:c>
      <x:c r="B1233" s="153" t="n">
        <x:v>2.4</x:v>
      </x:c>
      <x:c r="C1233" s="153" t="n">
        <x:v>0.56</x:v>
      </x:c>
      <x:c r="D1233" s="153" t="n">
        <x:v>1.84</x:v>
      </x:c>
      <x:c r="E1233" s="153" t="n">
        <x:v>116.0346</x:v>
      </x:c>
      <x:c r="F1233" s="153" t="n">
        <x:v>15.29</x:v>
      </x:c>
      <x:c r="G1233" s="153" t="n">
        <x:v>2.39</x:v>
      </x:c>
    </x:row>
    <x:row r="1234">
      <x:c r="A1234" s="155" t="n">
        <x:v>43602</x:v>
      </x:c>
      <x:c r="B1234" s="153" t="n">
        <x:v>2.39</x:v>
      </x:c>
      <x:c r="C1234" s="153" t="n">
        <x:v>0.58</x:v>
      </x:c>
      <x:c r="D1234" s="153" t="n">
        <x:v>1.81</x:v>
      </x:c>
      <x:c r="E1234" s="153" t="n">
        <x:v>116.448</x:v>
      </x:c>
      <x:c r="F1234" s="153" t="n">
        <x:v>15.96</x:v>
      </x:c>
      <x:c r="G1234" s="153" t="n">
        <x:v>2.39</x:v>
      </x:c>
    </x:row>
    <x:row r="1235">
      <x:c r="A1235" s="155" t="n">
        <x:v>43603</x:v>
      </x:c>
      <x:c r="B1235" s="153"/>
      <x:c r="C1235" s="153"/>
      <x:c r="D1235" s="153"/>
      <x:c r="E1235" s="153"/>
      <x:c r="F1235" s="153"/>
      <x:c r="G1235" s="153" t="n">
        <x:v>2.39</x:v>
      </x:c>
    </x:row>
    <x:row r="1236">
      <x:c r="A1236" s="155" t="n">
        <x:v>43604</x:v>
      </x:c>
      <x:c r="B1236" s="153"/>
      <x:c r="C1236" s="153"/>
      <x:c r="D1236" s="153"/>
      <x:c r="E1236" s="153"/>
      <x:c r="F1236" s="153"/>
      <x:c r="G1236" s="153" t="n">
        <x:v>2.39</x:v>
      </x:c>
    </x:row>
    <x:row r="1237">
      <x:c r="A1237" s="155" t="n">
        <x:v>43605</x:v>
      </x:c>
      <x:c r="B1237" s="153" t="n">
        <x:v>2.41</x:v>
      </x:c>
      <x:c r="C1237" s="153" t="n">
        <x:v>0.6</x:v>
      </x:c>
      <x:c r="D1237" s="153" t="n">
        <x:v>1.81</x:v>
      </x:c>
      <x:c r="E1237" s="153" t="n">
        <x:v>116.3119</x:v>
      </x:c>
      <x:c r="F1237" s="153" t="n">
        <x:v>16.31</x:v>
      </x:c>
      <x:c r="G1237" s="153" t="n">
        <x:v>2.39</x:v>
      </x:c>
    </x:row>
    <x:row r="1238">
      <x:c r="A1238" s="155" t="n">
        <x:v>43606</x:v>
      </x:c>
      <x:c r="B1238" s="153" t="n">
        <x:v>2.43</x:v>
      </x:c>
      <x:c r="C1238" s="153" t="n">
        <x:v>0.6</x:v>
      </x:c>
      <x:c r="D1238" s="153" t="n">
        <x:v>1.83</x:v>
      </x:c>
      <x:c r="E1238" s="153" t="n">
        <x:v>116.2844</x:v>
      </x:c>
      <x:c r="F1238" s="153" t="n">
        <x:v>14.95</x:v>
      </x:c>
      <x:c r="G1238" s="153" t="n">
        <x:v>2.39</x:v>
      </x:c>
    </x:row>
    <x:row r="1239">
      <x:c r="A1239" s="155" t="n">
        <x:v>43607</x:v>
      </x:c>
      <x:c r="B1239" s="153" t="n">
        <x:v>2.39</x:v>
      </x:c>
      <x:c r="C1239" s="153" t="n">
        <x:v>0.6</x:v>
      </x:c>
      <x:c r="D1239" s="153" t="n">
        <x:v>1.79</x:v>
      </x:c>
      <x:c r="E1239" s="153" t="n">
        <x:v>116.2412</x:v>
      </x:c>
      <x:c r="F1239" s="153" t="n">
        <x:v>14.75</x:v>
      </x:c>
      <x:c r="G1239" s="153" t="n">
        <x:v>2.38</x:v>
      </x:c>
    </x:row>
    <x:row r="1240">
      <x:c r="A1240" s="155" t="n">
        <x:v>43608</x:v>
      </x:c>
      <x:c r="B1240" s="153" t="n">
        <x:v>2.31</x:v>
      </x:c>
      <x:c r="C1240" s="153" t="n">
        <x:v>0.58</x:v>
      </x:c>
      <x:c r="D1240" s="153" t="n">
        <x:v>1.73</x:v>
      </x:c>
      <x:c r="E1240" s="153" t="n">
        <x:v>116.2368</x:v>
      </x:c>
      <x:c r="F1240" s="153" t="n">
        <x:v>16.92</x:v>
      </x:c>
      <x:c r="G1240" s="153" t="n">
        <x:v>2.38</x:v>
      </x:c>
    </x:row>
    <x:row r="1241">
      <x:c r="A1241" s="155" t="n">
        <x:v>43609</x:v>
      </x:c>
      <x:c r="B1241" s="153" t="n">
        <x:v>2.32</x:v>
      </x:c>
      <x:c r="C1241" s="153" t="n">
        <x:v>0.56</x:v>
      </x:c>
      <x:c r="D1241" s="153" t="n">
        <x:v>1.76</x:v>
      </x:c>
      <x:c r="E1241" s="153" t="n">
        <x:v>116.0806</x:v>
      </x:c>
      <x:c r="F1241" s="153" t="n">
        <x:v>15.85</x:v>
      </x:c>
      <x:c r="G1241" s="153" t="n">
        <x:v>2.38</x:v>
      </x:c>
    </x:row>
    <x:row r="1242">
      <x:c r="A1242" s="155" t="n">
        <x:v>43610</x:v>
      </x:c>
      <x:c r="B1242" s="153"/>
      <x:c r="C1242" s="153"/>
      <x:c r="D1242" s="153"/>
      <x:c r="E1242" s="153"/>
      <x:c r="F1242" s="153"/>
      <x:c r="G1242" s="153" t="n">
        <x:v>2.38</x:v>
      </x:c>
    </x:row>
    <x:row r="1243">
      <x:c r="A1243" s="155" t="n">
        <x:v>43611</x:v>
      </x:c>
      <x:c r="B1243" s="153"/>
      <x:c r="C1243" s="153"/>
      <x:c r="D1243" s="153"/>
      <x:c r="E1243" s="153"/>
      <x:c r="F1243" s="153"/>
      <x:c r="G1243" s="153" t="n">
        <x:v>2.38</x:v>
      </x:c>
    </x:row>
    <x:row r="1244">
      <x:c r="A1244" s="155" t="n">
        <x:v>43612</x:v>
      </x:c>
      <x:c r="B1244" s="153"/>
      <x:c r="C1244" s="153"/>
      <x:c r="D1244" s="153"/>
      <x:c r="E1244" s="153"/>
      <x:c r="F1244" s="153"/>
      <x:c r="G1244" s="153" t="n">
        <x:v>2.38</x:v>
      </x:c>
    </x:row>
    <x:row r="1245">
      <x:c r="A1245" s="155" t="n">
        <x:v>43613</x:v>
      </x:c>
      <x:c r="B1245" s="153" t="n">
        <x:v>2.26</x:v>
      </x:c>
      <x:c r="C1245" s="153" t="n">
        <x:v>0.53</x:v>
      </x:c>
      <x:c r="D1245" s="153" t="n">
        <x:v>1.73</x:v>
      </x:c>
      <x:c r="E1245" s="153" t="n">
        <x:v>116.3174</x:v>
      </x:c>
      <x:c r="F1245" s="153" t="n">
        <x:v>17.5</x:v>
      </x:c>
      <x:c r="G1245" s="153" t="n">
        <x:v>2.39</x:v>
      </x:c>
    </x:row>
    <x:row r="1246">
      <x:c r="A1246" s="155" t="n">
        <x:v>43614</x:v>
      </x:c>
      <x:c r="B1246" s="153" t="n">
        <x:v>2.25</x:v>
      </x:c>
      <x:c r="C1246" s="153" t="n">
        <x:v>0.5</x:v>
      </x:c>
      <x:c r="D1246" s="153" t="n">
        <x:v>1.75</x:v>
      </x:c>
      <x:c r="E1246" s="153" t="n">
        <x:v>116.5535</x:v>
      </x:c>
      <x:c r="F1246" s="153" t="n">
        <x:v>17.9</x:v>
      </x:c>
      <x:c r="G1246" s="153" t="n">
        <x:v>2.39</x:v>
      </x:c>
    </x:row>
    <x:row r="1247">
      <x:c r="A1247" s="155" t="n">
        <x:v>43615</x:v>
      </x:c>
      <x:c r="B1247" s="153" t="n">
        <x:v>2.22</x:v>
      </x:c>
      <x:c r="C1247" s="153" t="n">
        <x:v>0.48</x:v>
      </x:c>
      <x:c r="D1247" s="153" t="n">
        <x:v>1.74</x:v>
      </x:c>
      <x:c r="E1247" s="153" t="n">
        <x:v>116.3989</x:v>
      </x:c>
      <x:c r="F1247" s="153" t="n">
        <x:v>17.3</x:v>
      </x:c>
      <x:c r="G1247" s="153" t="n">
        <x:v>2.39</x:v>
      </x:c>
    </x:row>
    <x:row r="1248">
      <x:c r="A1248" s="155" t="n">
        <x:v>43616</x:v>
      </x:c>
      <x:c r="B1248" s="153" t="n">
        <x:v>2.14</x:v>
      </x:c>
      <x:c r="C1248" s="153" t="n">
        <x:v>0.4</x:v>
      </x:c>
      <x:c r="D1248" s="153" t="n">
        <x:v>1.74</x:v>
      </x:c>
      <x:c r="E1248" s="153" t="n">
        <x:v>116.7273</x:v>
      </x:c>
      <x:c r="F1248" s="153" t="n">
        <x:v>18.71</x:v>
      </x:c>
      <x:c r="G1248" s="153" t="n">
        <x:v>2.4</x:v>
      </x:c>
    </x:row>
    <x:row r="1249">
      <x:c r="A1249" s="155" t="n">
        <x:v>43617</x:v>
      </x:c>
      <x:c r="B1249" s="153"/>
      <x:c r="C1249" s="153"/>
      <x:c r="D1249" s="153"/>
      <x:c r="E1249" s="153"/>
      <x:c r="F1249" s="153"/>
      <x:c r="G1249" s="153" t="n">
        <x:v>2.4</x:v>
      </x:c>
    </x:row>
    <x:row r="1250">
      <x:c r="A1250" s="155" t="n">
        <x:v>43618</x:v>
      </x:c>
      <x:c r="B1250" s="153"/>
      <x:c r="C1250" s="153"/>
      <x:c r="D1250" s="153"/>
      <x:c r="E1250" s="153"/>
      <x:c r="F1250" s="153"/>
      <x:c r="G1250" s="153" t="n">
        <x:v>2.4</x:v>
      </x:c>
    </x:row>
    <x:row r="1251">
      <x:c r="A1251" s="155" t="n">
        <x:v>43619</x:v>
      </x:c>
      <x:c r="B1251" s="153" t="n">
        <x:v>2.07</x:v>
      </x:c>
      <x:c r="C1251" s="153" t="n">
        <x:v>0.34</x:v>
      </x:c>
      <x:c r="D1251" s="153" t="n">
        <x:v>1.73</x:v>
      </x:c>
      <x:c r="E1251" s="153" t="n">
        <x:v>116.4764</x:v>
      </x:c>
      <x:c r="F1251" s="153" t="n">
        <x:v>18.86</x:v>
      </x:c>
      <x:c r="G1251" s="153" t="n">
        <x:v>2.38</x:v>
      </x:c>
    </x:row>
    <x:row r="1252">
      <x:c r="A1252" s="155" t="n">
        <x:v>43620</x:v>
      </x:c>
      <x:c r="B1252" s="153" t="n">
        <x:v>2.12</x:v>
      </x:c>
      <x:c r="C1252" s="153" t="n">
        <x:v>0.38</x:v>
      </x:c>
      <x:c r="D1252" s="153" t="n">
        <x:v>1.74</x:v>
      </x:c>
      <x:c r="E1252" s="153" t="n">
        <x:v>116.091</x:v>
      </x:c>
      <x:c r="F1252" s="153" t="n">
        <x:v>16.97</x:v>
      </x:c>
      <x:c r="G1252" s="153" t="n">
        <x:v>2.38</x:v>
      </x:c>
    </x:row>
    <x:row r="1253">
      <x:c r="A1253" s="155" t="n">
        <x:v>43621</x:v>
      </x:c>
      <x:c r="B1253" s="153" t="n">
        <x:v>2.12</x:v>
      </x:c>
      <x:c r="C1253" s="153" t="n">
        <x:v>0.37</x:v>
      </x:c>
      <x:c r="D1253" s="153" t="n">
        <x:v>1.75</x:v>
      </x:c>
      <x:c r="E1253" s="153" t="n">
        <x:v>116.03</x:v>
      </x:c>
      <x:c r="F1253" s="153" t="n">
        <x:v>16.09</x:v>
      </x:c>
      <x:c r="G1253" s="153" t="n">
        <x:v>2.38</x:v>
      </x:c>
    </x:row>
    <x:row r="1254">
      <x:c r="A1254" s="155" t="n">
        <x:v>43622</x:v>
      </x:c>
      <x:c r="B1254" s="153" t="n">
        <x:v>2.12</x:v>
      </x:c>
      <x:c r="C1254" s="153" t="n">
        <x:v>0.39</x:v>
      </x:c>
      <x:c r="D1254" s="153" t="n">
        <x:v>1.73</x:v>
      </x:c>
      <x:c r="E1254" s="153" t="n">
        <x:v>115.9771</x:v>
      </x:c>
      <x:c r="F1254" s="153" t="n">
        <x:v>15.93</x:v>
      </x:c>
      <x:c r="G1254" s="153" t="n">
        <x:v>2.37</x:v>
      </x:c>
    </x:row>
    <x:row r="1255">
      <x:c r="A1255" s="155" t="n">
        <x:v>43623</x:v>
      </x:c>
      <x:c r="B1255" s="153" t="n">
        <x:v>2.09</x:v>
      </x:c>
      <x:c r="C1255" s="153" t="n">
        <x:v>0.35</x:v>
      </x:c>
      <x:c r="D1255" s="153" t="n">
        <x:v>1.74</x:v>
      </x:c>
      <x:c r="E1255" s="153" t="n">
        <x:v>115.7368</x:v>
      </x:c>
      <x:c r="F1255" s="153" t="n">
        <x:v>16.3</x:v>
      </x:c>
      <x:c r="G1255" s="153" t="n">
        <x:v>2.37</x:v>
      </x:c>
    </x:row>
    <x:row r="1256">
      <x:c r="A1256" s="155" t="n">
        <x:v>43624</x:v>
      </x:c>
      <x:c r="B1256" s="153"/>
      <x:c r="C1256" s="153"/>
      <x:c r="D1256" s="153"/>
      <x:c r="E1256" s="153"/>
      <x:c r="F1256" s="153"/>
      <x:c r="G1256" s="153" t="n">
        <x:v>2.37</x:v>
      </x:c>
    </x:row>
    <x:row r="1257">
      <x:c r="A1257" s="155" t="n">
        <x:v>43625</x:v>
      </x:c>
      <x:c r="B1257" s="153"/>
      <x:c r="C1257" s="153"/>
      <x:c r="D1257" s="153"/>
      <x:c r="E1257" s="153"/>
      <x:c r="F1257" s="153"/>
      <x:c r="G1257" s="153" t="n">
        <x:v>2.37</x:v>
      </x:c>
    </x:row>
    <x:row r="1258">
      <x:c r="A1258" s="155" t="n">
        <x:v>43626</x:v>
      </x:c>
      <x:c r="B1258" s="153" t="n">
        <x:v>2.15</x:v>
      </x:c>
      <x:c r="C1258" s="153" t="n">
        <x:v>0.42</x:v>
      </x:c>
      <x:c r="D1258" s="153" t="n">
        <x:v>1.73</x:v>
      </x:c>
      <x:c r="E1258" s="153" t="n">
        <x:v>115.5001</x:v>
      </x:c>
      <x:c r="F1258" s="153" t="n">
        <x:v>15.94</x:v>
      </x:c>
      <x:c r="G1258" s="153" t="n">
        <x:v>2.37</x:v>
      </x:c>
    </x:row>
    <x:row r="1259">
      <x:c r="A1259" s="155" t="n">
        <x:v>43627</x:v>
      </x:c>
      <x:c r="B1259" s="153" t="n">
        <x:v>2.15</x:v>
      </x:c>
      <x:c r="C1259" s="153" t="n">
        <x:v>0.43</x:v>
      </x:c>
      <x:c r="D1259" s="153" t="n">
        <x:v>1.72</x:v>
      </x:c>
      <x:c r="E1259" s="153" t="n">
        <x:v>115.3794</x:v>
      </x:c>
      <x:c r="F1259" s="153" t="n">
        <x:v>15.99</x:v>
      </x:c>
      <x:c r="G1259" s="153" t="n">
        <x:v>2.37</x:v>
      </x:c>
    </x:row>
    <x:row r="1260">
      <x:c r="A1260" s="155" t="n">
        <x:v>43628</x:v>
      </x:c>
      <x:c r="B1260" s="153" t="n">
        <x:v>2.13</x:v>
      </x:c>
      <x:c r="C1260" s="153" t="n">
        <x:v>0.42</x:v>
      </x:c>
      <x:c r="D1260" s="153" t="n">
        <x:v>1.71</x:v>
      </x:c>
      <x:c r="E1260" s="153" t="n">
        <x:v>115.438</x:v>
      </x:c>
      <x:c r="F1260" s="153" t="n">
        <x:v>15.91</x:v>
      </x:c>
      <x:c r="G1260" s="153" t="n">
        <x:v>2.37</x:v>
      </x:c>
    </x:row>
    <x:row r="1261">
      <x:c r="A1261" s="155" t="n">
        <x:v>43629</x:v>
      </x:c>
      <x:c r="B1261" s="153" t="n">
        <x:v>2.1</x:v>
      </x:c>
      <x:c r="C1261" s="153" t="n">
        <x:v>0.42</x:v>
      </x:c>
      <x:c r="D1261" s="153" t="n">
        <x:v>1.68</x:v>
      </x:c>
      <x:c r="E1261" s="153" t="n">
        <x:v>115.6275</x:v>
      </x:c>
      <x:c r="F1261" s="153" t="n">
        <x:v>15.82</x:v>
      </x:c>
      <x:c r="G1261" s="153" t="n">
        <x:v>2.37</x:v>
      </x:c>
    </x:row>
    <x:row r="1262">
      <x:c r="A1262" s="155" t="n">
        <x:v>43630</x:v>
      </x:c>
      <x:c r="B1262" s="153" t="n">
        <x:v>2.09</x:v>
      </x:c>
      <x:c r="C1262" s="153" t="n">
        <x:v>0.46</x:v>
      </x:c>
      <x:c r="D1262" s="153" t="n">
        <x:v>1.63</x:v>
      </x:c>
      <x:c r="E1262" s="153" t="n">
        <x:v>115.9057</x:v>
      </x:c>
      <x:c r="F1262" s="153" t="n">
        <x:v>15.28</x:v>
      </x:c>
      <x:c r="G1262" s="153" t="n">
        <x:v>2.36</x:v>
      </x:c>
    </x:row>
    <x:row r="1263">
      <x:c r="A1263" s="155" t="n">
        <x:v>43631</x:v>
      </x:c>
      <x:c r="B1263" s="153"/>
      <x:c r="C1263" s="153"/>
      <x:c r="D1263" s="153"/>
      <x:c r="E1263" s="153"/>
      <x:c r="F1263" s="153"/>
      <x:c r="G1263" s="153" t="n">
        <x:v>2.36</x:v>
      </x:c>
    </x:row>
    <x:row r="1264">
      <x:c r="A1264" s="155" t="n">
        <x:v>43632</x:v>
      </x:c>
      <x:c r="B1264" s="153"/>
      <x:c r="C1264" s="153"/>
      <x:c r="D1264" s="153"/>
      <x:c r="E1264" s="153"/>
      <x:c r="F1264" s="153"/>
      <x:c r="G1264" s="153" t="n">
        <x:v>2.36</x:v>
      </x:c>
    </x:row>
    <x:row r="1265">
      <x:c r="A1265" s="155" t="n">
        <x:v>43633</x:v>
      </x:c>
      <x:c r="B1265" s="153" t="n">
        <x:v>2.09</x:v>
      </x:c>
      <x:c r="C1265" s="153" t="n">
        <x:v>0.48</x:v>
      </x:c>
      <x:c r="D1265" s="153" t="n">
        <x:v>1.61</x:v>
      </x:c>
      <x:c r="E1265" s="153" t="n">
        <x:v>115.9684</x:v>
      </x:c>
      <x:c r="F1265" s="153" t="n">
        <x:v>15.35</x:v>
      </x:c>
      <x:c r="G1265" s="153" t="n">
        <x:v>2.38</x:v>
      </x:c>
    </x:row>
    <x:row r="1266">
      <x:c r="A1266" s="155" t="n">
        <x:v>43634</x:v>
      </x:c>
      <x:c r="B1266" s="153" t="n">
        <x:v>2.06</x:v>
      </x:c>
      <x:c r="C1266" s="153" t="n">
        <x:v>0.42</x:v>
      </x:c>
      <x:c r="D1266" s="153" t="n">
        <x:v>1.64</x:v>
      </x:c>
      <x:c r="E1266" s="153" t="n">
        <x:v>115.8797</x:v>
      </x:c>
      <x:c r="F1266" s="153" t="n">
        <x:v>15.15</x:v>
      </x:c>
      <x:c r="G1266" s="153" t="n">
        <x:v>2.37</x:v>
      </x:c>
    </x:row>
    <x:row r="1267">
      <x:c r="A1267" s="155" t="n">
        <x:v>43635</x:v>
      </x:c>
      <x:c r="B1267" s="153" t="n">
        <x:v>2.03</x:v>
      </x:c>
      <x:c r="C1267" s="153" t="n">
        <x:v>0.36</x:v>
      </x:c>
      <x:c r="D1267" s="153" t="n">
        <x:v>1.67</x:v>
      </x:c>
      <x:c r="E1267" s="153" t="n">
        <x:v>115.7889</x:v>
      </x:c>
      <x:c r="F1267" s="153" t="n">
        <x:v>14.33</x:v>
      </x:c>
      <x:c r="G1267" s="153" t="n">
        <x:v>2.37</x:v>
      </x:c>
    </x:row>
    <x:row r="1268">
      <x:c r="A1268" s="155" t="n">
        <x:v>43636</x:v>
      </x:c>
      <x:c r="B1268" s="153" t="n">
        <x:v>2.01</x:v>
      </x:c>
      <x:c r="C1268" s="153" t="n">
        <x:v>0.27</x:v>
      </x:c>
      <x:c r="D1268" s="153" t="n">
        <x:v>1.74</x:v>
      </x:c>
      <x:c r="E1268" s="153" t="n">
        <x:v>114.8046</x:v>
      </x:c>
      <x:c r="F1268" s="153" t="n">
        <x:v>14.75</x:v>
      </x:c>
      <x:c r="G1268" s="153" t="n">
        <x:v>2.37</x:v>
      </x:c>
    </x:row>
    <x:row r="1269">
      <x:c r="A1269" s="155" t="n">
        <x:v>43637</x:v>
      </x:c>
      <x:c r="B1269" s="153" t="n">
        <x:v>2.07</x:v>
      </x:c>
      <x:c r="C1269" s="153" t="n">
        <x:v>0.34</x:v>
      </x:c>
      <x:c r="D1269" s="153" t="n">
        <x:v>1.73</x:v>
      </x:c>
      <x:c r="E1269" s="153" t="n">
        <x:v>114.8377</x:v>
      </x:c>
      <x:c r="F1269" s="153" t="n">
        <x:v>15.4</x:v>
      </x:c>
      <x:c r="G1269" s="153" t="n">
        <x:v>2.38</x:v>
      </x:c>
    </x:row>
    <x:row r="1270">
      <x:c r="A1270" s="155" t="n">
        <x:v>43638</x:v>
      </x:c>
      <x:c r="B1270" s="153"/>
      <x:c r="C1270" s="153"/>
      <x:c r="D1270" s="153"/>
      <x:c r="E1270" s="153"/>
      <x:c r="F1270" s="153"/>
      <x:c r="G1270" s="153" t="n">
        <x:v>2.38</x:v>
      </x:c>
    </x:row>
    <x:row r="1271">
      <x:c r="A1271" s="155" t="n">
        <x:v>43639</x:v>
      </x:c>
      <x:c r="B1271" s="153"/>
      <x:c r="C1271" s="153"/>
      <x:c r="D1271" s="153"/>
      <x:c r="E1271" s="153"/>
      <x:c r="F1271" s="153"/>
      <x:c r="G1271" s="153" t="n">
        <x:v>2.38</x:v>
      </x:c>
    </x:row>
    <x:row r="1272">
      <x:c r="A1272" s="155" t="n">
        <x:v>43640</x:v>
      </x:c>
      <x:c r="B1272" s="153" t="n">
        <x:v>2.02</x:v>
      </x:c>
      <x:c r="C1272" s="153" t="n">
        <x:v>0.31</x:v>
      </x:c>
      <x:c r="D1272" s="153" t="n">
        <x:v>1.71</x:v>
      </x:c>
      <x:c r="E1272" s="153" t="n">
        <x:v>114.6559</x:v>
      </x:c>
      <x:c r="F1272" s="153" t="n">
        <x:v>15.26</x:v>
      </x:c>
      <x:c r="G1272" s="153" t="n">
        <x:v>2.38</x:v>
      </x:c>
    </x:row>
    <x:row r="1273">
      <x:c r="A1273" s="155" t="n">
        <x:v>43641</x:v>
      </x:c>
      <x:c r="B1273" s="153" t="n">
        <x:v>2</x:v>
      </x:c>
      <x:c r="C1273" s="153" t="n">
        <x:v>0.33</x:v>
      </x:c>
      <x:c r="D1273" s="153" t="n">
        <x:v>1.67</x:v>
      </x:c>
      <x:c r="E1273" s="153" t="n">
        <x:v>114.6363</x:v>
      </x:c>
      <x:c r="F1273" s="153" t="n">
        <x:v>16.28</x:v>
      </x:c>
      <x:c r="G1273" s="153" t="n">
        <x:v>2.38</x:v>
      </x:c>
    </x:row>
    <x:row r="1274">
      <x:c r="A1274" s="155" t="n">
        <x:v>43642</x:v>
      </x:c>
      <x:c r="B1274" s="153" t="n">
        <x:v>2.05</x:v>
      </x:c>
      <x:c r="C1274" s="153" t="n">
        <x:v>0.35</x:v>
      </x:c>
      <x:c r="D1274" s="153" t="n">
        <x:v>1.7</x:v>
      </x:c>
      <x:c r="E1274" s="153" t="n">
        <x:v>114.5608</x:v>
      </x:c>
      <x:c r="F1274" s="153" t="n">
        <x:v>16.21</x:v>
      </x:c>
      <x:c r="G1274" s="153" t="n">
        <x:v>2.38</x:v>
      </x:c>
    </x:row>
    <x:row r="1275">
      <x:c r="A1275" s="155" t="n">
        <x:v>43643</x:v>
      </x:c>
      <x:c r="B1275" s="153" t="n">
        <x:v>2.01</x:v>
      </x:c>
      <x:c r="C1275" s="153" t="n">
        <x:v>0.33</x:v>
      </x:c>
      <x:c r="D1275" s="153" t="n">
        <x:v>1.68</x:v>
      </x:c>
      <x:c r="E1275" s="153" t="n">
        <x:v>114.665</x:v>
      </x:c>
      <x:c r="F1275" s="153" t="n">
        <x:v>15.82</x:v>
      </x:c>
      <x:c r="G1275" s="153" t="n">
        <x:v>2.38</x:v>
      </x:c>
    </x:row>
    <x:row r="1276">
      <x:c r="A1276" s="155" t="n">
        <x:v>43644</x:v>
      </x:c>
      <x:c r="B1276" s="153" t="n">
        <x:v>2</x:v>
      </x:c>
      <x:c r="C1276" s="153" t="n">
        <x:v>0.31</x:v>
      </x:c>
      <x:c r="D1276" s="153" t="n">
        <x:v>1.69</x:v>
      </x:c>
      <x:c r="E1276" s="153" t="n">
        <x:v>114.5821</x:v>
      </x:c>
      <x:c r="F1276" s="153" t="n">
        <x:v>15.08</x:v>
      </x:c>
      <x:c r="G1276" s="153" t="n">
        <x:v>2.4</x:v>
      </x:c>
    </x:row>
    <x:row r="1277">
      <x:c r="A1277" s="155" t="n">
        <x:v>43645</x:v>
      </x:c>
      <x:c r="B1277" s="153"/>
      <x:c r="C1277" s="153"/>
      <x:c r="D1277" s="153"/>
      <x:c r="E1277" s="153"/>
      <x:c r="F1277" s="153"/>
      <x:c r="G1277" s="153" t="n">
        <x:v>2.4</x:v>
      </x:c>
    </x:row>
    <x:row r="1278">
      <x:c r="A1278" s="155" t="n">
        <x:v>43646</x:v>
      </x:c>
      <x:c r="B1278" s="153"/>
      <x:c r="C1278" s="153"/>
      <x:c r="D1278" s="153"/>
      <x:c r="E1278" s="153"/>
      <x:c r="F1278" s="153"/>
      <x:c r="G1278" s="153" t="n">
        <x:v>2.4</x:v>
      </x:c>
    </x:row>
    <x:row r="1279">
      <x:c r="A1279" s="155" t="n">
        <x:v>43647</x:v>
      </x:c>
      <x:c r="B1279" s="153" t="n">
        <x:v>2.03</x:v>
      </x:c>
      <x:c r="C1279" s="153" t="n">
        <x:v>0.34</x:v>
      </x:c>
      <x:c r="D1279" s="153" t="n">
        <x:v>1.69</x:v>
      </x:c>
      <x:c r="E1279" s="153" t="n">
        <x:v>114.7239</x:v>
      </x:c>
      <x:c r="F1279" s="153" t="n">
        <x:v>14.06</x:v>
      </x:c>
      <x:c r="G1279" s="153" t="n">
        <x:v>2.39</x:v>
      </x:c>
    </x:row>
    <x:row r="1280">
      <x:c r="A1280" s="155" t="n">
        <x:v>43648</x:v>
      </x:c>
      <x:c r="B1280" s="153" t="n">
        <x:v>1.98</x:v>
      </x:c>
      <x:c r="C1280" s="153" t="n">
        <x:v>0.33</x:v>
      </x:c>
      <x:c r="D1280" s="153" t="n">
        <x:v>1.65</x:v>
      </x:c>
      <x:c r="E1280" s="153" t="n">
        <x:v>114.8258</x:v>
      </x:c>
      <x:c r="F1280" s="153" t="n">
        <x:v>12.93</x:v>
      </x:c>
      <x:c r="G1280" s="153" t="n">
        <x:v>2.4</x:v>
      </x:c>
    </x:row>
    <x:row r="1281">
      <x:c r="A1281" s="155" t="n">
        <x:v>43649</x:v>
      </x:c>
      <x:c r="B1281" s="153" t="n">
        <x:v>1.96</x:v>
      </x:c>
      <x:c r="C1281" s="153" t="n">
        <x:v>0.31</x:v>
      </x:c>
      <x:c r="D1281" s="153" t="n">
        <x:v>1.65</x:v>
      </x:c>
      <x:c r="E1281" s="153" t="n">
        <x:v>114.8135</x:v>
      </x:c>
      <x:c r="F1281" s="153" t="n">
        <x:v>12.57</x:v>
      </x:c>
      <x:c r="G1281" s="153" t="n">
        <x:v>2.41</x:v>
      </x:c>
    </x:row>
    <x:row r="1282">
      <x:c r="A1282" s="155" t="n">
        <x:v>43650</x:v>
      </x:c>
      <x:c r="B1282" s="153"/>
      <x:c r="C1282" s="153"/>
      <x:c r="D1282" s="153"/>
      <x:c r="E1282" s="153"/>
      <x:c r="F1282" s="153"/>
      <x:c r="G1282" s="153" t="n">
        <x:v>2.41</x:v>
      </x:c>
    </x:row>
    <x:row r="1283">
      <x:c r="A1283" s="155" t="n">
        <x:v>43651</x:v>
      </x:c>
      <x:c r="B1283" s="153" t="n">
        <x:v>2.04</x:v>
      </x:c>
      <x:c r="C1283" s="153" t="n">
        <x:v>0.35</x:v>
      </x:c>
      <x:c r="D1283" s="153" t="n">
        <x:v>1.69</x:v>
      </x:c>
      <x:c r="E1283" s="153" t="n">
        <x:v>115.1132</x:v>
      </x:c>
      <x:c r="F1283" s="153" t="n">
        <x:v>13.28</x:v>
      </x:c>
      <x:c r="G1283" s="153" t="n">
        <x:v>2.42</x:v>
      </x:c>
    </x:row>
    <x:row r="1284">
      <x:c r="A1284" s="155" t="n">
        <x:v>43652</x:v>
      </x:c>
      <x:c r="B1284" s="153"/>
      <x:c r="C1284" s="153"/>
      <x:c r="D1284" s="153"/>
      <x:c r="E1284" s="153"/>
      <x:c r="F1284" s="153"/>
      <x:c r="G1284" s="153" t="n">
        <x:v>2.42</x:v>
      </x:c>
    </x:row>
    <x:row r="1285">
      <x:c r="A1285" s="155" t="n">
        <x:v>43653</x:v>
      </x:c>
      <x:c r="B1285" s="153"/>
      <x:c r="C1285" s="153"/>
      <x:c r="D1285" s="153"/>
      <x:c r="E1285" s="153"/>
      <x:c r="F1285" s="153"/>
      <x:c r="G1285" s="153" t="n">
        <x:v>2.42</x:v>
      </x:c>
    </x:row>
    <x:row r="1286">
      <x:c r="A1286" s="155" t="n">
        <x:v>43654</x:v>
      </x:c>
      <x:c r="B1286" s="153" t="n">
        <x:v>2.05</x:v>
      </x:c>
      <x:c r="C1286" s="153" t="n">
        <x:v>0.35</x:v>
      </x:c>
      <x:c r="D1286" s="153" t="n">
        <x:v>1.7</x:v>
      </x:c>
      <x:c r="E1286" s="153" t="n">
        <x:v>115.0254</x:v>
      </x:c>
      <x:c r="F1286" s="153" t="n">
        <x:v>13.96</x:v>
      </x:c>
      <x:c r="G1286" s="153" t="n">
        <x:v>2.41</x:v>
      </x:c>
    </x:row>
    <x:row r="1287">
      <x:c r="A1287" s="155" t="n">
        <x:v>43655</x:v>
      </x:c>
      <x:c r="B1287" s="153" t="n">
        <x:v>2.07</x:v>
      </x:c>
      <x:c r="C1287" s="153" t="n">
        <x:v>0.36</x:v>
      </x:c>
      <x:c r="D1287" s="153" t="n">
        <x:v>1.71</x:v>
      </x:c>
      <x:c r="E1287" s="153" t="n">
        <x:v>115.1017</x:v>
      </x:c>
      <x:c r="F1287" s="153" t="n">
        <x:v>14.09</x:v>
      </x:c>
      <x:c r="G1287" s="153" t="n">
        <x:v>2.41</x:v>
      </x:c>
    </x:row>
    <x:row r="1288">
      <x:c r="A1288" s="155" t="n">
        <x:v>43656</x:v>
      </x:c>
      <x:c r="B1288" s="153" t="n">
        <x:v>2.07</x:v>
      </x:c>
      <x:c r="C1288" s="153" t="n">
        <x:v>0.33</x:v>
      </x:c>
      <x:c r="D1288" s="153" t="n">
        <x:v>1.74</x:v>
      </x:c>
      <x:c r="E1288" s="153" t="n">
        <x:v>115.0879</x:v>
      </x:c>
      <x:c r="F1288" s="153" t="n">
        <x:v>13.03</x:v>
      </x:c>
      <x:c r="G1288" s="153" t="n">
        <x:v>2.41</x:v>
      </x:c>
    </x:row>
    <x:row r="1289">
      <x:c r="A1289" s="155" t="n">
        <x:v>43657</x:v>
      </x:c>
      <x:c r="B1289" s="153" t="n">
        <x:v>2.13</x:v>
      </x:c>
      <x:c r="C1289" s="153" t="n">
        <x:v>0.36</x:v>
      </x:c>
      <x:c r="D1289" s="153" t="n">
        <x:v>1.77</x:v>
      </x:c>
      <x:c r="E1289" s="153" t="n">
        <x:v>114.8361</x:v>
      </x:c>
      <x:c r="F1289" s="153" t="n">
        <x:v>12.93</x:v>
      </x:c>
      <x:c r="G1289" s="153" t="n">
        <x:v>2.4</x:v>
      </x:c>
    </x:row>
    <x:row r="1290">
      <x:c r="A1290" s="155" t="n">
        <x:v>43658</x:v>
      </x:c>
      <x:c r="B1290" s="153" t="n">
        <x:v>2.12</x:v>
      </x:c>
      <x:c r="C1290" s="153" t="n">
        <x:v>0.35</x:v>
      </x:c>
      <x:c r="D1290" s="153" t="n">
        <x:v>1.77</x:v>
      </x:c>
      <x:c r="E1290" s="153" t="n">
        <x:v>114.7685</x:v>
      </x:c>
      <x:c r="F1290" s="153" t="n">
        <x:v>12.39</x:v>
      </x:c>
      <x:c r="G1290" s="153" t="n">
        <x:v>2.38</x:v>
      </x:c>
    </x:row>
    <x:row r="1291">
      <x:c r="A1291" s="155" t="n">
        <x:v>43659</x:v>
      </x:c>
      <x:c r="B1291" s="153"/>
      <x:c r="C1291" s="153"/>
      <x:c r="D1291" s="153"/>
      <x:c r="E1291" s="153"/>
      <x:c r="F1291" s="153"/>
      <x:c r="G1291" s="153" t="n">
        <x:v>2.38</x:v>
      </x:c>
    </x:row>
    <x:row r="1292">
      <x:c r="A1292" s="155" t="n">
        <x:v>43660</x:v>
      </x:c>
      <x:c r="B1292" s="153"/>
      <x:c r="C1292" s="153"/>
      <x:c r="D1292" s="153"/>
      <x:c r="E1292" s="153"/>
      <x:c r="F1292" s="153"/>
      <x:c r="G1292" s="153" t="n">
        <x:v>2.38</x:v>
      </x:c>
    </x:row>
    <x:row r="1293">
      <x:c r="A1293" s="155" t="n">
        <x:v>43661</x:v>
      </x:c>
      <x:c r="B1293" s="153" t="n">
        <x:v>2.09</x:v>
      </x:c>
      <x:c r="C1293" s="153" t="n">
        <x:v>0.32</x:v>
      </x:c>
      <x:c r="D1293" s="153" t="n">
        <x:v>1.77</x:v>
      </x:c>
      <x:c r="E1293" s="153" t="n">
        <x:v>114.6819</x:v>
      </x:c>
      <x:c r="F1293" s="153" t="n">
        <x:v>12.68</x:v>
      </x:c>
      <x:c r="G1293" s="153" t="n">
        <x:v>2.4</x:v>
      </x:c>
    </x:row>
    <x:row r="1294">
      <x:c r="A1294" s="155" t="n">
        <x:v>43662</x:v>
      </x:c>
      <x:c r="B1294" s="153" t="n">
        <x:v>2.13</x:v>
      </x:c>
      <x:c r="C1294" s="153" t="n">
        <x:v>0.33</x:v>
      </x:c>
      <x:c r="D1294" s="153" t="n">
        <x:v>1.8</x:v>
      </x:c>
      <x:c r="E1294" s="153" t="n">
        <x:v>115.0111</x:v>
      </x:c>
      <x:c r="F1294" s="153" t="n">
        <x:v>12.86</x:v>
      </x:c>
      <x:c r="G1294" s="153" t="n">
        <x:v>2.41</x:v>
      </x:c>
    </x:row>
    <x:row r="1295">
      <x:c r="A1295" s="155" t="n">
        <x:v>43663</x:v>
      </x:c>
      <x:c r="B1295" s="153" t="n">
        <x:v>2.06</x:v>
      </x:c>
      <x:c r="C1295" s="153" t="n">
        <x:v>0.31</x:v>
      </x:c>
      <x:c r="D1295" s="153" t="n">
        <x:v>1.75</x:v>
      </x:c>
      <x:c r="E1295" s="153" t="n">
        <x:v>114.8819</x:v>
      </x:c>
      <x:c r="F1295" s="153" t="n">
        <x:v>13.97</x:v>
      </x:c>
      <x:c r="G1295" s="153" t="n">
        <x:v>2.41</x:v>
      </x:c>
    </x:row>
    <x:row r="1296">
      <x:c r="A1296" s="155" t="n">
        <x:v>43664</x:v>
      </x:c>
      <x:c r="B1296" s="153" t="n">
        <x:v>2.04</x:v>
      </x:c>
      <x:c r="C1296" s="153" t="n">
        <x:v>0.25</x:v>
      </x:c>
      <x:c r="D1296" s="153" t="n">
        <x:v>1.79</x:v>
      </x:c>
      <x:c r="E1296" s="153" t="n">
        <x:v>114.8744</x:v>
      </x:c>
      <x:c r="F1296" s="153" t="n">
        <x:v>13.53</x:v>
      </x:c>
      <x:c r="G1296" s="153" t="n">
        <x:v>2.41</x:v>
      </x:c>
    </x:row>
    <x:row r="1297">
      <x:c r="A1297" s="155" t="n">
        <x:v>43665</x:v>
      </x:c>
      <x:c r="B1297" s="153" t="n">
        <x:v>2.05</x:v>
      </x:c>
      <x:c r="C1297" s="153" t="n">
        <x:v>0.25</x:v>
      </x:c>
      <x:c r="D1297" s="153" t="n">
        <x:v>1.8</x:v>
      </x:c>
      <x:c r="E1297" s="153" t="n">
        <x:v>114.8695</x:v>
      </x:c>
      <x:c r="F1297" s="153" t="n">
        <x:v>14.45</x:v>
      </x:c>
      <x:c r="G1297" s="153" t="n">
        <x:v>2.41</x:v>
      </x:c>
    </x:row>
    <x:row r="1298">
      <x:c r="A1298" s="155" t="n">
        <x:v>43666</x:v>
      </x:c>
      <x:c r="B1298" s="153"/>
      <x:c r="C1298" s="153"/>
      <x:c r="D1298" s="153"/>
      <x:c r="E1298" s="153"/>
      <x:c r="F1298" s="153"/>
      <x:c r="G1298" s="153" t="n">
        <x:v>2.41</x:v>
      </x:c>
    </x:row>
    <x:row r="1299">
      <x:c r="A1299" s="155" t="n">
        <x:v>43667</x:v>
      </x:c>
      <x:c r="B1299" s="153"/>
      <x:c r="C1299" s="153"/>
      <x:c r="D1299" s="153"/>
      <x:c r="E1299" s="153"/>
      <x:c r="F1299" s="153"/>
      <x:c r="G1299" s="153" t="n">
        <x:v>2.41</x:v>
      </x:c>
    </x:row>
    <x:row r="1300">
      <x:c r="A1300" s="155" t="n">
        <x:v>43668</x:v>
      </x:c>
      <x:c r="B1300" s="153" t="n">
        <x:v>2.05</x:v>
      </x:c>
      <x:c r="C1300" s="153" t="n">
        <x:v>0.26</x:v>
      </x:c>
      <x:c r="D1300" s="153" t="n">
        <x:v>1.79</x:v>
      </x:c>
      <x:c r="E1300" s="153" t="n">
        <x:v>115.0018</x:v>
      </x:c>
      <x:c r="F1300" s="153" t="n">
        <x:v>13.53</x:v>
      </x:c>
      <x:c r="G1300" s="153" t="n">
        <x:v>2.4</x:v>
      </x:c>
    </x:row>
    <x:row r="1301">
      <x:c r="A1301" s="155" t="n">
        <x:v>43669</x:v>
      </x:c>
      <x:c r="B1301" s="153" t="n">
        <x:v>2.08</x:v>
      </x:c>
      <x:c r="C1301" s="153" t="n">
        <x:v>0.27</x:v>
      </x:c>
      <x:c r="D1301" s="153" t="n">
        <x:v>1.81</x:v>
      </x:c>
      <x:c r="E1301" s="153" t="n">
        <x:v>115.2995</x:v>
      </x:c>
      <x:c r="F1301" s="153" t="n">
        <x:v>12.61</x:v>
      </x:c>
      <x:c r="G1301" s="153" t="n">
        <x:v>2.4</x:v>
      </x:c>
    </x:row>
    <x:row r="1302">
      <x:c r="A1302" s="155" t="n">
        <x:v>43670</x:v>
      </x:c>
      <x:c r="B1302" s="153" t="n">
        <x:v>2.05</x:v>
      </x:c>
      <x:c r="C1302" s="153" t="n">
        <x:v>0.26</x:v>
      </x:c>
      <x:c r="D1302" s="153" t="n">
        <x:v>1.79</x:v>
      </x:c>
      <x:c r="E1302" s="153" t="n">
        <x:v>115.2436</x:v>
      </x:c>
      <x:c r="F1302" s="153" t="n">
        <x:v>12.07</x:v>
      </x:c>
      <x:c r="G1302" s="153" t="n">
        <x:v>2.4</x:v>
      </x:c>
    </x:row>
    <x:row r="1303">
      <x:c r="A1303" s="155" t="n">
        <x:v>43671</x:v>
      </x:c>
      <x:c r="B1303" s="153" t="n">
        <x:v>2.08</x:v>
      </x:c>
      <x:c r="C1303" s="153" t="n">
        <x:v>0.28</x:v>
      </x:c>
      <x:c r="D1303" s="153" t="n">
        <x:v>1.8</x:v>
      </x:c>
      <x:c r="E1303" s="153" t="n">
        <x:v>115.2982</x:v>
      </x:c>
      <x:c r="F1303" s="153" t="n">
        <x:v>12.74</x:v>
      </x:c>
      <x:c r="G1303" s="153" t="n">
        <x:v>2.4</x:v>
      </x:c>
    </x:row>
    <x:row r="1304">
      <x:c r="A1304" s="155" t="n">
        <x:v>43672</x:v>
      </x:c>
      <x:c r="B1304" s="153" t="n">
        <x:v>2.08</x:v>
      </x:c>
      <x:c r="C1304" s="153" t="n">
        <x:v>0.3</x:v>
      </x:c>
      <x:c r="D1304" s="153" t="n">
        <x:v>1.78</x:v>
      </x:c>
      <x:c r="E1304" s="153" t="n">
        <x:v>115.5449</x:v>
      </x:c>
      <x:c r="F1304" s="153" t="n">
        <x:v>12.16</x:v>
      </x:c>
      <x:c r="G1304" s="153" t="n">
        <x:v>2.4</x:v>
      </x:c>
    </x:row>
    <x:row r="1305">
      <x:c r="A1305" s="155" t="n">
        <x:v>43673</x:v>
      </x:c>
      <x:c r="B1305" s="153"/>
      <x:c r="C1305" s="153"/>
      <x:c r="D1305" s="153"/>
      <x:c r="E1305" s="153"/>
      <x:c r="F1305" s="153"/>
      <x:c r="G1305" s="153" t="n">
        <x:v>2.4</x:v>
      </x:c>
    </x:row>
    <x:row r="1306">
      <x:c r="A1306" s="155" t="n">
        <x:v>43674</x:v>
      </x:c>
      <x:c r="B1306" s="153"/>
      <x:c r="C1306" s="153"/>
      <x:c r="D1306" s="153"/>
      <x:c r="E1306" s="153"/>
      <x:c r="F1306" s="153"/>
      <x:c r="G1306" s="153" t="n">
        <x:v>2.4</x:v>
      </x:c>
    </x:row>
    <x:row r="1307">
      <x:c r="A1307" s="155" t="n">
        <x:v>43675</x:v>
      </x:c>
      <x:c r="B1307" s="153" t="n">
        <x:v>2.06</x:v>
      </x:c>
      <x:c r="C1307" s="153" t="n">
        <x:v>0.29</x:v>
      </x:c>
      <x:c r="D1307" s="153" t="n">
        <x:v>1.77</x:v>
      </x:c>
      <x:c r="E1307" s="153" t="n">
        <x:v>115.5885</x:v>
      </x:c>
      <x:c r="F1307" s="153" t="n">
        <x:v>12.83</x:v>
      </x:c>
      <x:c r="G1307" s="153" t="n">
        <x:v>2.4</x:v>
      </x:c>
    </x:row>
    <x:row r="1308">
      <x:c r="A1308" s="155" t="n">
        <x:v>43676</x:v>
      </x:c>
      <x:c r="B1308" s="153" t="n">
        <x:v>2.06</x:v>
      </x:c>
      <x:c r="C1308" s="153" t="n">
        <x:v>0.28</x:v>
      </x:c>
      <x:c r="D1308" s="153" t="n">
        <x:v>1.78</x:v>
      </x:c>
      <x:c r="E1308" s="153" t="n">
        <x:v>115.6211</x:v>
      </x:c>
      <x:c r="F1308" s="153" t="n">
        <x:v>13.94</x:v>
      </x:c>
      <x:c r="G1308" s="153" t="n">
        <x:v>2.39</x:v>
      </x:c>
    </x:row>
    <x:row r="1309">
      <x:c r="A1309" s="155" t="n">
        <x:v>43677</x:v>
      </x:c>
      <x:c r="B1309" s="153" t="n">
        <x:v>2.02</x:v>
      </x:c>
      <x:c r="C1309" s="153" t="n">
        <x:v>0.26</x:v>
      </x:c>
      <x:c r="D1309" s="153" t="n">
        <x:v>1.76</x:v>
      </x:c>
      <x:c r="E1309" s="153" t="n">
        <x:v>115.4946</x:v>
      </x:c>
      <x:c r="F1309" s="153" t="n">
        <x:v>16.12</x:v>
      </x:c>
      <x:c r="G1309" s="153" t="n">
        <x:v>2.4</x:v>
      </x:c>
    </x:row>
    <x:row r="1310">
      <x:c r="A1310" s="155" t="n">
        <x:v>43678</x:v>
      </x:c>
      <x:c r="B1310" s="153" t="n">
        <x:v>1.9</x:v>
      </x:c>
      <x:c r="C1310" s="153" t="n">
        <x:v>0.2</x:v>
      </x:c>
      <x:c r="D1310" s="153" t="n">
        <x:v>1.7</x:v>
      </x:c>
      <x:c r="E1310" s="153" t="n">
        <x:v>116.0499</x:v>
      </x:c>
      <x:c r="F1310" s="153" t="n">
        <x:v>17.87</x:v>
      </x:c>
      <x:c r="G1310" s="153" t="n">
        <x:v>2.14</x:v>
      </x:c>
    </x:row>
    <x:row r="1311">
      <x:c r="A1311" s="155" t="n">
        <x:v>43679</x:v>
      </x:c>
      <x:c r="B1311" s="153" t="n">
        <x:v>1.86</x:v>
      </x:c>
      <x:c r="C1311" s="153" t="n">
        <x:v>0.2</x:v>
      </x:c>
      <x:c r="D1311" s="153" t="n">
        <x:v>1.66</x:v>
      </x:c>
      <x:c r="E1311" s="153" t="n">
        <x:v>116.1864</x:v>
      </x:c>
      <x:c r="F1311" s="153" t="n">
        <x:v>17.61</x:v>
      </x:c>
      <x:c r="G1311" s="153" t="n">
        <x:v>2.14</x:v>
      </x:c>
    </x:row>
    <x:row r="1312">
      <x:c r="A1312" s="155" t="n">
        <x:v>43680</x:v>
      </x:c>
      <x:c r="B1312" s="153"/>
      <x:c r="C1312" s="153"/>
      <x:c r="D1312" s="153"/>
      <x:c r="E1312" s="153"/>
      <x:c r="F1312" s="153"/>
      <x:c r="G1312" s="153" t="n">
        <x:v>2.14</x:v>
      </x:c>
    </x:row>
    <x:row r="1313">
      <x:c r="A1313" s="155" t="n">
        <x:v>43681</x:v>
      </x:c>
      <x:c r="B1313" s="153"/>
      <x:c r="C1313" s="153"/>
      <x:c r="D1313" s="153"/>
      <x:c r="E1313" s="153"/>
      <x:c r="F1313" s="153"/>
      <x:c r="G1313" s="153" t="n">
        <x:v>2.14</x:v>
      </x:c>
    </x:row>
    <x:row r="1314">
      <x:c r="A1314" s="155" t="n">
        <x:v>43682</x:v>
      </x:c>
      <x:c r="B1314" s="153" t="n">
        <x:v>1.75</x:v>
      </x:c>
      <x:c r="C1314" s="153" t="n">
        <x:v>0.15</x:v>
      </x:c>
      <x:c r="D1314" s="153" t="n">
        <x:v>1.6</x:v>
      </x:c>
      <x:c r="E1314" s="153" t="n">
        <x:v>116.5851</x:v>
      </x:c>
      <x:c r="F1314" s="153" t="n">
        <x:v>24.59</x:v>
      </x:c>
      <x:c r="G1314" s="153" t="n">
        <x:v>2.13</x:v>
      </x:c>
    </x:row>
    <x:row r="1315">
      <x:c r="A1315" s="155" t="n">
        <x:v>43683</x:v>
      </x:c>
      <x:c r="B1315" s="153" t="n">
        <x:v>1.73</x:v>
      </x:c>
      <x:c r="C1315" s="153" t="n">
        <x:v>0.11</x:v>
      </x:c>
      <x:c r="D1315" s="153" t="n">
        <x:v>1.62</x:v>
      </x:c>
      <x:c r="E1315" s="153" t="n">
        <x:v>116.6904</x:v>
      </x:c>
      <x:c r="F1315" s="153" t="n">
        <x:v>20.17</x:v>
      </x:c>
      <x:c r="G1315" s="153" t="n">
        <x:v>2.13</x:v>
      </x:c>
    </x:row>
    <x:row r="1316">
      <x:c r="A1316" s="155" t="n">
        <x:v>43684</x:v>
      </x:c>
      <x:c r="B1316" s="153" t="n">
        <x:v>1.71</x:v>
      </x:c>
      <x:c r="C1316" s="153" t="n">
        <x:v>0.09</x:v>
      </x:c>
      <x:c r="D1316" s="153" t="n">
        <x:v>1.62</x:v>
      </x:c>
      <x:c r="E1316" s="153" t="n">
        <x:v>116.7987</x:v>
      </x:c>
      <x:c r="F1316" s="153" t="n">
        <x:v>19.49</x:v>
      </x:c>
      <x:c r="G1316" s="153" t="n">
        <x:v>2.12</x:v>
      </x:c>
    </x:row>
    <x:row r="1317">
      <x:c r="A1317" s="155" t="n">
        <x:v>43685</x:v>
      </x:c>
      <x:c r="B1317" s="153" t="n">
        <x:v>1.72</x:v>
      </x:c>
      <x:c r="C1317" s="153" t="n">
        <x:v>0.07</x:v>
      </x:c>
      <x:c r="D1317" s="153" t="n">
        <x:v>1.65</x:v>
      </x:c>
      <x:c r="E1317" s="153" t="n">
        <x:v>116.474</x:v>
      </x:c>
      <x:c r="F1317" s="153" t="n">
        <x:v>16.91</x:v>
      </x:c>
      <x:c r="G1317" s="153" t="n">
        <x:v>2.12</x:v>
      </x:c>
    </x:row>
    <x:row r="1318">
      <x:c r="A1318" s="155" t="n">
        <x:v>43686</x:v>
      </x:c>
      <x:c r="B1318" s="153" t="n">
        <x:v>1.74</x:v>
      </x:c>
      <x:c r="C1318" s="153" t="n">
        <x:v>0.08</x:v>
      </x:c>
      <x:c r="D1318" s="153" t="n">
        <x:v>1.66</x:v>
      </x:c>
      <x:c r="E1318" s="153" t="n">
        <x:v>116.4419</x:v>
      </x:c>
      <x:c r="F1318" s="153" t="n">
        <x:v>17.97</x:v>
      </x:c>
      <x:c r="G1318" s="153" t="n">
        <x:v>2.12</x:v>
      </x:c>
    </x:row>
    <x:row r="1319">
      <x:c r="A1319" s="155" t="n">
        <x:v>43687</x:v>
      </x:c>
      <x:c r="B1319" s="153"/>
      <x:c r="C1319" s="153"/>
      <x:c r="D1319" s="153"/>
      <x:c r="E1319" s="153"/>
      <x:c r="F1319" s="153"/>
      <x:c r="G1319" s="153" t="n">
        <x:v>2.12</x:v>
      </x:c>
    </x:row>
    <x:row r="1320">
      <x:c r="A1320" s="155" t="n">
        <x:v>43688</x:v>
      </x:c>
      <x:c r="B1320" s="153"/>
      <x:c r="C1320" s="153"/>
      <x:c r="D1320" s="153"/>
      <x:c r="E1320" s="153"/>
      <x:c r="F1320" s="153"/>
      <x:c r="G1320" s="153" t="n">
        <x:v>2.12</x:v>
      </x:c>
    </x:row>
    <x:row r="1321">
      <x:c r="A1321" s="155" t="n">
        <x:v>43689</x:v>
      </x:c>
      <x:c r="B1321" s="153" t="n">
        <x:v>1.65</x:v>
      </x:c>
      <x:c r="C1321" s="153" t="n">
        <x:v>0.04</x:v>
      </x:c>
      <x:c r="D1321" s="153" t="n">
        <x:v>1.61</x:v>
      </x:c>
      <x:c r="E1321" s="153" t="n">
        <x:v>116.7548</x:v>
      </x:c>
      <x:c r="F1321" s="153" t="n">
        <x:v>21.09</x:v>
      </x:c>
      <x:c r="G1321" s="153" t="n">
        <x:v>2.12</x:v>
      </x:c>
    </x:row>
    <x:row r="1322">
      <x:c r="A1322" s="155" t="n">
        <x:v>43690</x:v>
      </x:c>
      <x:c r="B1322" s="153" t="n">
        <x:v>1.68</x:v>
      </x:c>
      <x:c r="C1322" s="153" t="n">
        <x:v>0.05</x:v>
      </x:c>
      <x:c r="D1322" s="153" t="n">
        <x:v>1.63</x:v>
      </x:c>
      <x:c r="E1322" s="153" t="n">
        <x:v>116.7267</x:v>
      </x:c>
      <x:c r="F1322" s="153" t="n">
        <x:v>17.52</x:v>
      </x:c>
      <x:c r="G1322" s="153" t="n">
        <x:v>2.12</x:v>
      </x:c>
    </x:row>
    <x:row r="1323">
      <x:c r="A1323" s="155" t="n">
        <x:v>43691</x:v>
      </x:c>
      <x:c r="B1323" s="153" t="n">
        <x:v>1.59</x:v>
      </x:c>
      <x:c r="C1323" s="153" t="n">
        <x:v>0.02</x:v>
      </x:c>
      <x:c r="D1323" s="153" t="n">
        <x:v>1.57</x:v>
      </x:c>
      <x:c r="E1323" s="153" t="n">
        <x:v>117.0913</x:v>
      </x:c>
      <x:c r="F1323" s="153" t="n">
        <x:v>22.1</x:v>
      </x:c>
      <x:c r="G1323" s="153" t="n">
        <x:v>2.12</x:v>
      </x:c>
    </x:row>
    <x:row r="1324">
      <x:c r="A1324" s="155" t="n">
        <x:v>43692</x:v>
      </x:c>
      <x:c r="B1324" s="153" t="n">
        <x:v>1.52</x:v>
      </x:c>
      <x:c r="C1324" s="153" t="n">
        <x:v>-0.02</x:v>
      </x:c>
      <x:c r="D1324" s="153" t="n">
        <x:v>1.54</x:v>
      </x:c>
      <x:c r="E1324" s="153" t="n">
        <x:v>117.2239</x:v>
      </x:c>
      <x:c r="F1324" s="153" t="n">
        <x:v>21.18</x:v>
      </x:c>
      <x:c r="G1324" s="153" t="n">
        <x:v>2.13</x:v>
      </x:c>
    </x:row>
    <x:row r="1325">
      <x:c r="A1325" s="155" t="n">
        <x:v>43693</x:v>
      </x:c>
      <x:c r="B1325" s="153" t="n">
        <x:v>1.55</x:v>
      </x:c>
      <x:c r="C1325" s="153" t="n">
        <x:v>0.01</x:v>
      </x:c>
      <x:c r="D1325" s="153" t="n">
        <x:v>1.54</x:v>
      </x:c>
      <x:c r="E1325" s="153" t="n">
        <x:v>117.0786</x:v>
      </x:c>
      <x:c r="F1325" s="153" t="n">
        <x:v>18.47</x:v>
      </x:c>
      <x:c r="G1325" s="153" t="n">
        <x:v>2.13</x:v>
      </x:c>
    </x:row>
    <x:row r="1326">
      <x:c r="A1326" s="155" t="n">
        <x:v>43694</x:v>
      </x:c>
      <x:c r="B1326" s="153"/>
      <x:c r="C1326" s="153"/>
      <x:c r="D1326" s="153"/>
      <x:c r="E1326" s="153"/>
      <x:c r="F1326" s="153"/>
      <x:c r="G1326" s="153" t="n">
        <x:v>2.13</x:v>
      </x:c>
    </x:row>
    <x:row r="1327">
      <x:c r="A1327" s="155" t="n">
        <x:v>43695</x:v>
      </x:c>
      <x:c r="B1327" s="153"/>
      <x:c r="C1327" s="153"/>
      <x:c r="D1327" s="153"/>
      <x:c r="E1327" s="153"/>
      <x:c r="F1327" s="153"/>
      <x:c r="G1327" s="153" t="n">
        <x:v>2.13</x:v>
      </x:c>
    </x:row>
    <x:row r="1328">
      <x:c r="A1328" s="155" t="n">
        <x:v>43696</x:v>
      </x:c>
      <x:c r="B1328" s="153" t="n">
        <x:v>1.6</x:v>
      </x:c>
      <x:c r="C1328" s="153" t="n">
        <x:v>0.04</x:v>
      </x:c>
      <x:c r="D1328" s="153" t="n">
        <x:v>1.56</x:v>
      </x:c>
      <x:c r="E1328" s="153" t="n">
        <x:v>117.3886</x:v>
      </x:c>
      <x:c r="F1328" s="153" t="n">
        <x:v>16.88</x:v>
      </x:c>
      <x:c r="G1328" s="153" t="n">
        <x:v>2.13</x:v>
      </x:c>
    </x:row>
    <x:row r="1329">
      <x:c r="A1329" s="155" t="n">
        <x:v>43697</x:v>
      </x:c>
      <x:c r="B1329" s="153" t="n">
        <x:v>1.55</x:v>
      </x:c>
      <x:c r="C1329" s="153" t="n">
        <x:v>0.02</x:v>
      </x:c>
      <x:c r="D1329" s="153" t="n">
        <x:v>1.53</x:v>
      </x:c>
      <x:c r="E1329" s="153" t="n">
        <x:v>117.3726</x:v>
      </x:c>
      <x:c r="F1329" s="153" t="n">
        <x:v>17.5</x:v>
      </x:c>
      <x:c r="G1329" s="153" t="n">
        <x:v>2.13</x:v>
      </x:c>
    </x:row>
    <x:row r="1330">
      <x:c r="A1330" s="155" t="n">
        <x:v>43698</x:v>
      </x:c>
      <x:c r="B1330" s="153" t="n">
        <x:v>1.59</x:v>
      </x:c>
      <x:c r="C1330" s="153" t="n">
        <x:v>0.05</x:v>
      </x:c>
      <x:c r="D1330" s="153" t="n">
        <x:v>1.54</x:v>
      </x:c>
      <x:c r="E1330" s="153" t="n">
        <x:v>117.1764</x:v>
      </x:c>
      <x:c r="F1330" s="153" t="n">
        <x:v>15.8</x:v>
      </x:c>
      <x:c r="G1330" s="153" t="n">
        <x:v>2.12</x:v>
      </x:c>
    </x:row>
    <x:row r="1331">
      <x:c r="A1331" s="155" t="n">
        <x:v>43699</x:v>
      </x:c>
      <x:c r="B1331" s="153" t="n">
        <x:v>1.62</x:v>
      </x:c>
      <x:c r="C1331" s="153" t="n">
        <x:v>0.07</x:v>
      </x:c>
      <x:c r="D1331" s="153" t="n">
        <x:v>1.55</x:v>
      </x:c>
      <x:c r="E1331" s="153" t="n">
        <x:v>117.3558</x:v>
      </x:c>
      <x:c r="F1331" s="153" t="n">
        <x:v>16.68</x:v>
      </x:c>
      <x:c r="G1331" s="153" t="n">
        <x:v>2.12</x:v>
      </x:c>
    </x:row>
    <x:row r="1332">
      <x:c r="A1332" s="155" t="n">
        <x:v>43700</x:v>
      </x:c>
      <x:c r="B1332" s="153" t="n">
        <x:v>1.52</x:v>
      </x:c>
      <x:c r="C1332" s="153" t="n">
        <x:v>-0.02</x:v>
      </x:c>
      <x:c r="D1332" s="153" t="n">
        <x:v>1.54</x:v>
      </x:c>
      <x:c r="E1332" s="153" t="n">
        <x:v>117.3009</x:v>
      </x:c>
      <x:c r="F1332" s="153" t="n">
        <x:v>19.87</x:v>
      </x:c>
      <x:c r="G1332" s="153" t="n">
        <x:v>2.12</x:v>
      </x:c>
    </x:row>
    <x:row r="1333">
      <x:c r="A1333" s="155" t="n">
        <x:v>43701</x:v>
      </x:c>
      <x:c r="B1333" s="153"/>
      <x:c r="C1333" s="153"/>
      <x:c r="D1333" s="153"/>
      <x:c r="E1333" s="153"/>
      <x:c r="F1333" s="153"/>
      <x:c r="G1333" s="153" t="n">
        <x:v>2.12</x:v>
      </x:c>
    </x:row>
    <x:row r="1334">
      <x:c r="A1334" s="155" t="n">
        <x:v>43702</x:v>
      </x:c>
      <x:c r="B1334" s="153"/>
      <x:c r="C1334" s="153"/>
      <x:c r="D1334" s="153"/>
      <x:c r="E1334" s="153"/>
      <x:c r="F1334" s="153"/>
      <x:c r="G1334" s="153" t="n">
        <x:v>2.12</x:v>
      </x:c>
    </x:row>
    <x:row r="1335">
      <x:c r="A1335" s="155" t="n">
        <x:v>43703</x:v>
      </x:c>
      <x:c r="B1335" s="153" t="n">
        <x:v>1.54</x:v>
      </x:c>
      <x:c r="C1335" s="153" t="n">
        <x:v>0</x:v>
      </x:c>
      <x:c r="D1335" s="153" t="n">
        <x:v>1.54</x:v>
      </x:c>
      <x:c r="E1335" s="153" t="n">
        <x:v>117.6658</x:v>
      </x:c>
      <x:c r="F1335" s="153" t="n">
        <x:v>19.32</x:v>
      </x:c>
      <x:c r="G1335" s="153" t="n">
        <x:v>2.12</x:v>
      </x:c>
    </x:row>
    <x:row r="1336">
      <x:c r="A1336" s="155" t="n">
        <x:v>43704</x:v>
      </x:c>
      <x:c r="B1336" s="153" t="n">
        <x:v>1.49</x:v>
      </x:c>
      <x:c r="C1336" s="153" t="n">
        <x:v>-0.06</x:v>
      </x:c>
      <x:c r="D1336" s="153" t="n">
        <x:v>1.55</x:v>
      </x:c>
      <x:c r="E1336" s="153" t="n">
        <x:v>117.75</x:v>
      </x:c>
      <x:c r="F1336" s="153" t="n">
        <x:v>20.31</x:v>
      </x:c>
      <x:c r="G1336" s="153" t="n">
        <x:v>2.12</x:v>
      </x:c>
    </x:row>
    <x:row r="1337">
      <x:c r="A1337" s="155" t="n">
        <x:v>43705</x:v>
      </x:c>
      <x:c r="B1337" s="153" t="n">
        <x:v>1.47</x:v>
      </x:c>
      <x:c r="C1337" s="153" t="n">
        <x:v>-0.08</x:v>
      </x:c>
      <x:c r="D1337" s="153" t="n">
        <x:v>1.55</x:v>
      </x:c>
      <x:c r="E1337" s="153" t="n">
        <x:v>117.8767</x:v>
      </x:c>
      <x:c r="F1337" s="153" t="n">
        <x:v>19.35</x:v>
      </x:c>
      <x:c r="G1337" s="153" t="n">
        <x:v>2.12</x:v>
      </x:c>
    </x:row>
    <x:row r="1338">
      <x:c r="A1338" s="155" t="n">
        <x:v>43706</x:v>
      </x:c>
      <x:c r="B1338" s="153" t="n">
        <x:v>1.5</x:v>
      </x:c>
      <x:c r="C1338" s="153" t="n">
        <x:v>-0.09</x:v>
      </x:c>
      <x:c r="D1338" s="153" t="n">
        <x:v>1.59</x:v>
      </x:c>
      <x:c r="E1338" s="153" t="n">
        <x:v>118.0625</x:v>
      </x:c>
      <x:c r="F1338" s="153" t="n">
        <x:v>17.88</x:v>
      </x:c>
      <x:c r="G1338" s="153" t="n">
        <x:v>2.12</x:v>
      </x:c>
    </x:row>
    <x:row r="1339">
      <x:c r="A1339" s="155" t="n">
        <x:v>43707</x:v>
      </x:c>
      <x:c r="B1339" s="153" t="n">
        <x:v>1.5</x:v>
      </x:c>
      <x:c r="C1339" s="153" t="n">
        <x:v>-0.05</x:v>
      </x:c>
      <x:c r="D1339" s="153" t="n">
        <x:v>1.55</x:v>
      </x:c>
      <x:c r="E1339" s="153" t="n">
        <x:v>118.1575</x:v>
      </x:c>
      <x:c r="F1339" s="153" t="n">
        <x:v>18.98</x:v>
      </x:c>
      <x:c r="G1339" s="153" t="n">
        <x:v>2.13</x:v>
      </x:c>
    </x:row>
    <x:row r="1340">
      <x:c r="A1340" s="155" t="n">
        <x:v>43708</x:v>
      </x:c>
      <x:c r="B1340" s="153"/>
      <x:c r="C1340" s="153"/>
      <x:c r="D1340" s="153"/>
      <x:c r="E1340" s="153"/>
      <x:c r="F1340" s="153"/>
      <x:c r="G1340" s="153" t="n">
        <x:v>2.13</x:v>
      </x:c>
    </x:row>
    <x:row r="1341">
      <x:c r="A1341" s="155" t="n">
        <x:v>43709</x:v>
      </x:c>
      <x:c r="B1341" s="153"/>
      <x:c r="C1341" s="153"/>
      <x:c r="D1341" s="153"/>
      <x:c r="E1341" s="153"/>
      <x:c r="F1341" s="153"/>
      <x:c r="G1341" s="153" t="n">
        <x:v>2.13</x:v>
      </x:c>
    </x:row>
    <x:row r="1342">
      <x:c r="A1342" s="155" t="n">
        <x:v>43710</x:v>
      </x:c>
      <x:c r="B1342" s="153"/>
      <x:c r="C1342" s="153"/>
      <x:c r="D1342" s="153"/>
      <x:c r="E1342" s="153"/>
      <x:c r="F1342" s="153"/>
      <x:c r="G1342" s="153" t="n">
        <x:v>2.13</x:v>
      </x:c>
    </x:row>
    <x:row r="1343">
      <x:c r="A1343" s="155" t="n">
        <x:v>43711</x:v>
      </x:c>
      <x:c r="B1343" s="153" t="n">
        <x:v>1.47</x:v>
      </x:c>
      <x:c r="C1343" s="153" t="n">
        <x:v>-0.03</x:v>
      </x:c>
      <x:c r="D1343" s="153" t="n">
        <x:v>1.5</x:v>
      </x:c>
      <x:c r="E1343" s="153" t="n">
        <x:v>118.3113</x:v>
      </x:c>
      <x:c r="F1343" s="153" t="n">
        <x:v>19.66</x:v>
      </x:c>
      <x:c r="G1343" s="153" t="n">
        <x:v>2.13</x:v>
      </x:c>
    </x:row>
    <x:row r="1344">
      <x:c r="A1344" s="155" t="n">
        <x:v>43712</x:v>
      </x:c>
      <x:c r="B1344" s="153" t="n">
        <x:v>1.47</x:v>
      </x:c>
      <x:c r="C1344" s="153" t="n">
        <x:v>-0.04</x:v>
      </x:c>
      <x:c r="D1344" s="153" t="n">
        <x:v>1.51</x:v>
      </x:c>
      <x:c r="E1344" s="153" t="n">
        <x:v>117.6729</x:v>
      </x:c>
      <x:c r="F1344" s="153" t="n">
        <x:v>17.33</x:v>
      </x:c>
      <x:c r="G1344" s="153" t="n">
        <x:v>2.13</x:v>
      </x:c>
    </x:row>
    <x:row r="1345">
      <x:c r="A1345" s="155" t="n">
        <x:v>43713</x:v>
      </x:c>
      <x:c r="B1345" s="153" t="n">
        <x:v>1.57</x:v>
      </x:c>
      <x:c r="C1345" s="153" t="n">
        <x:v>0.01</x:v>
      </x:c>
      <x:c r="D1345" s="153" t="n">
        <x:v>1.56</x:v>
      </x:c>
      <x:c r="E1345" s="153" t="n">
        <x:v>117.4776</x:v>
      </x:c>
      <x:c r="F1345" s="153" t="n">
        <x:v>16.27</x:v>
      </x:c>
      <x:c r="G1345" s="153" t="n">
        <x:v>2.13</x:v>
      </x:c>
    </x:row>
    <x:row r="1346">
      <x:c r="A1346" s="155" t="n">
        <x:v>43714</x:v>
      </x:c>
      <x:c r="B1346" s="153" t="n">
        <x:v>1.55</x:v>
      </x:c>
      <x:c r="C1346" s="153" t="n">
        <x:v>0.01</x:v>
      </x:c>
      <x:c r="D1346" s="153" t="n">
        <x:v>1.54</x:v>
      </x:c>
      <x:c r="E1346" s="153" t="n">
        <x:v>117.1292</x:v>
      </x:c>
      <x:c r="F1346" s="153" t="n">
        <x:v>15</x:v>
      </x:c>
      <x:c r="G1346" s="153" t="n">
        <x:v>2.12</x:v>
      </x:c>
    </x:row>
    <x:row r="1347">
      <x:c r="A1347" s="155" t="n">
        <x:v>43715</x:v>
      </x:c>
      <x:c r="B1347" s="153"/>
      <x:c r="C1347" s="153"/>
      <x:c r="D1347" s="153"/>
      <x:c r="E1347" s="153"/>
      <x:c r="F1347" s="153"/>
      <x:c r="G1347" s="153" t="n">
        <x:v>2.12</x:v>
      </x:c>
    </x:row>
    <x:row r="1348">
      <x:c r="A1348" s="155" t="n">
        <x:v>43716</x:v>
      </x:c>
      <x:c r="B1348" s="153"/>
      <x:c r="C1348" s="153"/>
      <x:c r="D1348" s="153"/>
      <x:c r="E1348" s="153"/>
      <x:c r="F1348" s="153"/>
      <x:c r="G1348" s="153" t="n">
        <x:v>2.12</x:v>
      </x:c>
    </x:row>
    <x:row r="1349">
      <x:c r="A1349" s="155" t="n">
        <x:v>43717</x:v>
      </x:c>
      <x:c r="B1349" s="153" t="n">
        <x:v>1.63</x:v>
      </x:c>
      <x:c r="C1349" s="153" t="n">
        <x:v>0.06</x:v>
      </x:c>
      <x:c r="D1349" s="153" t="n">
        <x:v>1.57</x:v>
      </x:c>
      <x:c r="E1349" s="153" t="n">
        <x:v>117.0601</x:v>
      </x:c>
      <x:c r="F1349" s="153" t="n">
        <x:v>15.27</x:v>
      </x:c>
      <x:c r="G1349" s="153" t="n">
        <x:v>2.13</x:v>
      </x:c>
    </x:row>
    <x:row r="1350">
      <x:c r="A1350" s="155" t="n">
        <x:v>43718</x:v>
      </x:c>
      <x:c r="B1350" s="153" t="n">
        <x:v>1.72</x:v>
      </x:c>
      <x:c r="C1350" s="153" t="n">
        <x:v>0.12</x:v>
      </x:c>
      <x:c r="D1350" s="153" t="n">
        <x:v>1.6</x:v>
      </x:c>
      <x:c r="E1350" s="153" t="n">
        <x:v>117.0887</x:v>
      </x:c>
      <x:c r="F1350" s="153" t="n">
        <x:v>15.2</x:v>
      </x:c>
      <x:c r="G1350" s="153" t="n">
        <x:v>2.13</x:v>
      </x:c>
    </x:row>
    <x:row r="1351">
      <x:c r="A1351" s="155" t="n">
        <x:v>43719</x:v>
      </x:c>
      <x:c r="B1351" s="153" t="n">
        <x:v>1.75</x:v>
      </x:c>
      <x:c r="C1351" s="153" t="n">
        <x:v>0.15</x:v>
      </x:c>
      <x:c r="D1351" s="153" t="n">
        <x:v>1.6</x:v>
      </x:c>
      <x:c r="E1351" s="153" t="n">
        <x:v>117.3125</x:v>
      </x:c>
      <x:c r="F1351" s="153" t="n">
        <x:v>14.61</x:v>
      </x:c>
      <x:c r="G1351" s="153" t="n">
        <x:v>2.13</x:v>
      </x:c>
    </x:row>
    <x:row r="1352">
      <x:c r="A1352" s="155" t="n">
        <x:v>43720</x:v>
      </x:c>
      <x:c r="B1352" s="153" t="n">
        <x:v>1.79</x:v>
      </x:c>
      <x:c r="C1352" s="153" t="n">
        <x:v>0.16</x:v>
      </x:c>
      <x:c r="D1352" s="153" t="n">
        <x:v>1.63</x:v>
      </x:c>
      <x:c r="E1352" s="153" t="n">
        <x:v>116.8375</x:v>
      </x:c>
      <x:c r="F1352" s="153" t="n">
        <x:v>14.22</x:v>
      </x:c>
      <x:c r="G1352" s="153" t="n">
        <x:v>2.13</x:v>
      </x:c>
    </x:row>
    <x:row r="1353">
      <x:c r="A1353" s="155" t="n">
        <x:v>43721</x:v>
      </x:c>
      <x:c r="B1353" s="153" t="n">
        <x:v>1.9</x:v>
      </x:c>
      <x:c r="C1353" s="153" t="n">
        <x:v>0.23</x:v>
      </x:c>
      <x:c r="D1353" s="153" t="n">
        <x:v>1.67</x:v>
      </x:c>
      <x:c r="E1353" s="153" t="n">
        <x:v>116.7677</x:v>
      </x:c>
      <x:c r="F1353" s="153" t="n">
        <x:v>13.74</x:v>
      </x:c>
      <x:c r="G1353" s="153" t="n">
        <x:v>2.14</x:v>
      </x:c>
    </x:row>
    <x:row r="1354">
      <x:c r="A1354" s="155" t="n">
        <x:v>43722</x:v>
      </x:c>
      <x:c r="B1354" s="153"/>
      <x:c r="C1354" s="153"/>
      <x:c r="D1354" s="153"/>
      <x:c r="E1354" s="153"/>
      <x:c r="F1354" s="153"/>
      <x:c r="G1354" s="153" t="n">
        <x:v>2.14</x:v>
      </x:c>
    </x:row>
    <x:row r="1355">
      <x:c r="A1355" s="155" t="n">
        <x:v>43723</x:v>
      </x:c>
      <x:c r="B1355" s="153"/>
      <x:c r="C1355" s="153"/>
      <x:c r="D1355" s="153"/>
      <x:c r="E1355" s="153"/>
      <x:c r="F1355" s="153"/>
      <x:c r="G1355" s="153" t="n">
        <x:v>2.14</x:v>
      </x:c>
    </x:row>
    <x:row r="1356">
      <x:c r="A1356" s="155" t="n">
        <x:v>43724</x:v>
      </x:c>
      <x:c r="B1356" s="153" t="n">
        <x:v>1.84</x:v>
      </x:c>
      <x:c r="C1356" s="153" t="n">
        <x:v>0.17</x:v>
      </x:c>
      <x:c r="D1356" s="153" t="n">
        <x:v>1.67</x:v>
      </x:c>
      <x:c r="E1356" s="153" t="n">
        <x:v>117.0251</x:v>
      </x:c>
      <x:c r="F1356" s="153" t="n">
        <x:v>14.67</x:v>
      </x:c>
      <x:c r="G1356" s="153" t="n">
        <x:v>2.25</x:v>
      </x:c>
    </x:row>
    <x:row r="1357">
      <x:c r="A1357" s="155" t="n">
        <x:v>43725</x:v>
      </x:c>
      <x:c r="B1357" s="153" t="n">
        <x:v>1.81</x:v>
      </x:c>
      <x:c r="C1357" s="153" t="n">
        <x:v>0.15</x:v>
      </x:c>
      <x:c r="D1357" s="153" t="n">
        <x:v>1.66</x:v>
      </x:c>
      <x:c r="E1357" s="153" t="n">
        <x:v>116.9826</x:v>
      </x:c>
      <x:c r="F1357" s="153" t="n">
        <x:v>14.44</x:v>
      </x:c>
      <x:c r="G1357" s="153" t="n">
        <x:v>2.3</x:v>
      </x:c>
    </x:row>
    <x:row r="1358">
      <x:c r="A1358" s="155" t="n">
        <x:v>43726</x:v>
      </x:c>
      <x:c r="B1358" s="153" t="n">
        <x:v>1.8</x:v>
      </x:c>
      <x:c r="C1358" s="153" t="n">
        <x:v>0.21</x:v>
      </x:c>
      <x:c r="D1358" s="153" t="n">
        <x:v>1.59</x:v>
      </x:c>
      <x:c r="E1358" s="153" t="n">
        <x:v>116.9766</x:v>
      </x:c>
      <x:c r="F1358" s="153" t="n">
        <x:v>13.95</x:v>
      </x:c>
      <x:c r="G1358" s="153" t="n">
        <x:v>2.25</x:v>
      </x:c>
    </x:row>
    <x:row r="1359">
      <x:c r="A1359" s="155" t="n">
        <x:v>43727</x:v>
      </x:c>
      <x:c r="B1359" s="153" t="n">
        <x:v>1.79</x:v>
      </x:c>
      <x:c r="C1359" s="153" t="n">
        <x:v>0.18</x:v>
      </x:c>
      <x:c r="D1359" s="153" t="n">
        <x:v>1.61</x:v>
      </x:c>
      <x:c r="E1359" s="153" t="n">
        <x:v>117.0861</x:v>
      </x:c>
      <x:c r="F1359" s="153" t="n">
        <x:v>14.05</x:v>
      </x:c>
      <x:c r="G1359" s="153" t="n">
        <x:v>1.9</x:v>
      </x:c>
    </x:row>
    <x:row r="1360">
      <x:c r="A1360" s="155" t="n">
        <x:v>43728</x:v>
      </x:c>
      <x:c r="B1360" s="153" t="n">
        <x:v>1.74</x:v>
      </x:c>
      <x:c r="C1360" s="153" t="n">
        <x:v>0.13</x:v>
      </x:c>
      <x:c r="D1360" s="153" t="n">
        <x:v>1.61</x:v>
      </x:c>
      <x:c r="E1360" s="153" t="n">
        <x:v>117.1819</x:v>
      </x:c>
      <x:c r="F1360" s="153" t="n">
        <x:v>15.32</x:v>
      </x:c>
      <x:c r="G1360" s="153" t="n">
        <x:v>1.9</x:v>
      </x:c>
    </x:row>
    <x:row r="1361">
      <x:c r="A1361" s="155" t="n">
        <x:v>43729</x:v>
      </x:c>
      <x:c r="B1361" s="153"/>
      <x:c r="C1361" s="153"/>
      <x:c r="D1361" s="153"/>
      <x:c r="E1361" s="153"/>
      <x:c r="F1361" s="153"/>
      <x:c r="G1361" s="153" t="n">
        <x:v>1.9</x:v>
      </x:c>
    </x:row>
    <x:row r="1362">
      <x:c r="A1362" s="155" t="n">
        <x:v>43730</x:v>
      </x:c>
      <x:c r="B1362" s="153"/>
      <x:c r="C1362" s="153"/>
      <x:c r="D1362" s="153"/>
      <x:c r="E1362" s="153"/>
      <x:c r="F1362" s="153"/>
      <x:c r="G1362" s="153" t="n">
        <x:v>1.9</x:v>
      </x:c>
    </x:row>
    <x:row r="1363">
      <x:c r="A1363" s="155" t="n">
        <x:v>43731</x:v>
      </x:c>
      <x:c r="B1363" s="153" t="n">
        <x:v>1.72</x:v>
      </x:c>
      <x:c r="C1363" s="153" t="n">
        <x:v>0.11</x:v>
      </x:c>
      <x:c r="D1363" s="153" t="n">
        <x:v>1.61</x:v>
      </x:c>
      <x:c r="E1363" s="153" t="n">
        <x:v>117.2986</x:v>
      </x:c>
      <x:c r="F1363" s="153" t="n">
        <x:v>14.91</x:v>
      </x:c>
      <x:c r="G1363" s="153" t="n">
        <x:v>1.9</x:v>
      </x:c>
    </x:row>
    <x:row r="1364">
      <x:c r="A1364" s="155" t="n">
        <x:v>43732</x:v>
      </x:c>
      <x:c r="B1364" s="153" t="n">
        <x:v>1.64</x:v>
      </x:c>
      <x:c r="C1364" s="153" t="n">
        <x:v>0.06</x:v>
      </x:c>
      <x:c r="D1364" s="153" t="n">
        <x:v>1.58</x:v>
      </x:c>
      <x:c r="E1364" s="153" t="n">
        <x:v>117.2227</x:v>
      </x:c>
      <x:c r="F1364" s="153" t="n">
        <x:v>17.05</x:v>
      </x:c>
      <x:c r="G1364" s="153" t="n">
        <x:v>1.9</x:v>
      </x:c>
    </x:row>
    <x:row r="1365">
      <x:c r="A1365" s="155" t="n">
        <x:v>43733</x:v>
      </x:c>
      <x:c r="B1365" s="153" t="n">
        <x:v>1.73</x:v>
      </x:c>
      <x:c r="C1365" s="153" t="n">
        <x:v>0.13</x:v>
      </x:c>
      <x:c r="D1365" s="153" t="n">
        <x:v>1.6</x:v>
      </x:c>
      <x:c r="E1365" s="153" t="n">
        <x:v>117.6527</x:v>
      </x:c>
      <x:c r="F1365" s="153" t="n">
        <x:v>15.96</x:v>
      </x:c>
      <x:c r="G1365" s="153" t="n">
        <x:v>1.9</x:v>
      </x:c>
    </x:row>
    <x:row r="1366">
      <x:c r="A1366" s="155" t="n">
        <x:v>43734</x:v>
      </x:c>
      <x:c r="B1366" s="153" t="n">
        <x:v>1.7</x:v>
      </x:c>
      <x:c r="C1366" s="153" t="n">
        <x:v>0.13</x:v>
      </x:c>
      <x:c r="D1366" s="153" t="n">
        <x:v>1.57</x:v>
      </x:c>
      <x:c r="E1366" s="153" t="n">
        <x:v>117.7267</x:v>
      </x:c>
      <x:c r="F1366" s="153" t="n">
        <x:v>16.07</x:v>
      </x:c>
      <x:c r="G1366" s="153" t="n">
        <x:v>1.85</x:v>
      </x:c>
    </x:row>
    <x:row r="1367">
      <x:c r="A1367" s="155" t="n">
        <x:v>43735</x:v>
      </x:c>
      <x:c r="B1367" s="153" t="n">
        <x:v>1.69</x:v>
      </x:c>
      <x:c r="C1367" s="153" t="n">
        <x:v>0.16</x:v>
      </x:c>
      <x:c r="D1367" s="153" t="n">
        <x:v>1.53</x:v>
      </x:c>
      <x:c r="E1367" s="153" t="n">
        <x:v>117.7218</x:v>
      </x:c>
      <x:c r="F1367" s="153" t="n">
        <x:v>17.22</x:v>
      </x:c>
      <x:c r="G1367" s="153" t="n">
        <x:v>1.83</x:v>
      </x:c>
    </x:row>
    <x:row r="1368">
      <x:c r="A1368" s="155" t="n">
        <x:v>43736</x:v>
      </x:c>
      <x:c r="B1368" s="153"/>
      <x:c r="C1368" s="153"/>
      <x:c r="D1368" s="153"/>
      <x:c r="E1368" s="153"/>
      <x:c r="F1368" s="153"/>
      <x:c r="G1368" s="153" t="n">
        <x:v>1.83</x:v>
      </x:c>
    </x:row>
    <x:row r="1369">
      <x:c r="A1369" s="155" t="n">
        <x:v>43737</x:v>
      </x:c>
      <x:c r="B1369" s="153"/>
      <x:c r="C1369" s="153"/>
      <x:c r="D1369" s="153"/>
      <x:c r="E1369" s="153"/>
      <x:c r="F1369" s="153"/>
      <x:c r="G1369" s="153" t="n">
        <x:v>1.83</x:v>
      </x:c>
    </x:row>
    <x:row r="1370">
      <x:c r="A1370" s="155" t="n">
        <x:v>43738</x:v>
      </x:c>
      <x:c r="B1370" s="153" t="n">
        <x:v>1.68</x:v>
      </x:c>
      <x:c r="C1370" s="153" t="n">
        <x:v>0.15</x:v>
      </x:c>
      <x:c r="D1370" s="153" t="n">
        <x:v>1.53</x:v>
      </x:c>
      <x:c r="E1370" s="153" t="n">
        <x:v>117.9461</x:v>
      </x:c>
      <x:c r="F1370" s="153" t="n">
        <x:v>16.24</x:v>
      </x:c>
      <x:c r="G1370" s="153" t="n">
        <x:v>1.9</x:v>
      </x:c>
    </x:row>
    <x:row r="1371">
      <x:c r="A1371" s="155" t="n">
        <x:v>43739</x:v>
      </x:c>
      <x:c r="B1371" s="153" t="n">
        <x:v>1.65</x:v>
      </x:c>
      <x:c r="C1371" s="153" t="n">
        <x:v>0.13</x:v>
      </x:c>
      <x:c r="D1371" s="153" t="n">
        <x:v>1.52</x:v>
      </x:c>
      <x:c r="E1371" s="153" t="n">
        <x:v>117.9595</x:v>
      </x:c>
      <x:c r="F1371" s="153" t="n">
        <x:v>18.56</x:v>
      </x:c>
      <x:c r="G1371" s="153" t="n">
        <x:v>1.88</x:v>
      </x:c>
    </x:row>
    <x:row r="1372">
      <x:c r="A1372" s="155" t="n">
        <x:v>43740</x:v>
      </x:c>
      <x:c r="B1372" s="153" t="n">
        <x:v>1.6</x:v>
      </x:c>
      <x:c r="C1372" s="153" t="n">
        <x:v>0.1</x:v>
      </x:c>
      <x:c r="D1372" s="153" t="n">
        <x:v>1.5</x:v>
      </x:c>
      <x:c r="E1372" s="153" t="n">
        <x:v>117.9671</x:v>
      </x:c>
      <x:c r="F1372" s="153" t="n">
        <x:v>20.56</x:v>
      </x:c>
      <x:c r="G1372" s="153" t="n">
        <x:v>1.85</x:v>
      </x:c>
    </x:row>
    <x:row r="1373">
      <x:c r="A1373" s="155" t="n">
        <x:v>43741</x:v>
      </x:c>
      <x:c r="B1373" s="153" t="n">
        <x:v>1.54</x:v>
      </x:c>
      <x:c r="C1373" s="153" t="n">
        <x:v>0.06</x:v>
      </x:c>
      <x:c r="D1373" s="153" t="n">
        <x:v>1.48</x:v>
      </x:c>
      <x:c r="E1373" s="153" t="n">
        <x:v>117.6608</x:v>
      </x:c>
      <x:c r="F1373" s="153" t="n">
        <x:v>19.12</x:v>
      </x:c>
      <x:c r="G1373" s="153" t="n">
        <x:v>1.83</x:v>
      </x:c>
    </x:row>
    <x:row r="1374">
      <x:c r="A1374" s="155" t="n">
        <x:v>43742</x:v>
      </x:c>
      <x:c r="B1374" s="153" t="n">
        <x:v>1.52</x:v>
      </x:c>
      <x:c r="C1374" s="153" t="n">
        <x:v>0.02</x:v>
      </x:c>
      <x:c r="D1374" s="153" t="n">
        <x:v>1.5</x:v>
      </x:c>
      <x:c r="E1374" s="153" t="n">
        <x:v>117.5288</x:v>
      </x:c>
      <x:c r="F1374" s="153" t="n">
        <x:v>17.04</x:v>
      </x:c>
      <x:c r="G1374" s="153" t="n">
        <x:v>1.82</x:v>
      </x:c>
    </x:row>
    <x:row r="1375">
      <x:c r="A1375" s="155" t="n">
        <x:v>43743</x:v>
      </x:c>
      <x:c r="B1375" s="153"/>
      <x:c r="C1375" s="153"/>
      <x:c r="D1375" s="153"/>
      <x:c r="E1375" s="153"/>
      <x:c r="F1375" s="153"/>
      <x:c r="G1375" s="153" t="n">
        <x:v>1.82</x:v>
      </x:c>
    </x:row>
    <x:row r="1376">
      <x:c r="A1376" s="155" t="n">
        <x:v>43744</x:v>
      </x:c>
      <x:c r="B1376" s="153"/>
      <x:c r="C1376" s="153"/>
      <x:c r="D1376" s="153"/>
      <x:c r="E1376" s="153"/>
      <x:c r="F1376" s="153"/>
      <x:c r="G1376" s="153" t="n">
        <x:v>1.82</x:v>
      </x:c>
    </x:row>
    <x:row r="1377">
      <x:c r="A1377" s="155" t="n">
        <x:v>43745</x:v>
      </x:c>
      <x:c r="B1377" s="153" t="n">
        <x:v>1.56</x:v>
      </x:c>
      <x:c r="C1377" s="153" t="n">
        <x:v>0.05</x:v>
      </x:c>
      <x:c r="D1377" s="153" t="n">
        <x:v>1.51</x:v>
      </x:c>
      <x:c r="E1377" s="153" t="n">
        <x:v>117.5533</x:v>
      </x:c>
      <x:c r="F1377" s="153" t="n">
        <x:v>17.86</x:v>
      </x:c>
      <x:c r="G1377" s="153" t="n">
        <x:v>1.82</x:v>
      </x:c>
    </x:row>
    <x:row r="1378">
      <x:c r="A1378" s="155" t="n">
        <x:v>43746</x:v>
      </x:c>
      <x:c r="B1378" s="153" t="n">
        <x:v>1.54</x:v>
      </x:c>
      <x:c r="C1378" s="153" t="n">
        <x:v>0.06</x:v>
      </x:c>
      <x:c r="D1378" s="153" t="n">
        <x:v>1.48</x:v>
      </x:c>
      <x:c r="E1378" s="153" t="n">
        <x:v>117.7407</x:v>
      </x:c>
      <x:c r="F1378" s="153" t="n">
        <x:v>20.28</x:v>
      </x:c>
      <x:c r="G1378" s="153" t="n">
        <x:v>1.82</x:v>
      </x:c>
    </x:row>
    <x:row r="1379">
      <x:c r="A1379" s="155" t="n">
        <x:v>43747</x:v>
      </x:c>
      <x:c r="B1379" s="153" t="n">
        <x:v>1.59</x:v>
      </x:c>
      <x:c r="C1379" s="153" t="n">
        <x:v>0.1</x:v>
      </x:c>
      <x:c r="D1379" s="153" t="n">
        <x:v>1.49</x:v>
      </x:c>
      <x:c r="E1379" s="153" t="n">
        <x:v>117.6835</x:v>
      </x:c>
      <x:c r="F1379" s="153" t="n">
        <x:v>18.64</x:v>
      </x:c>
      <x:c r="G1379" s="153" t="n">
        <x:v>1.82</x:v>
      </x:c>
    </x:row>
    <x:row r="1380">
      <x:c r="A1380" s="155" t="n">
        <x:v>43748</x:v>
      </x:c>
      <x:c r="B1380" s="153" t="n">
        <x:v>1.67</x:v>
      </x:c>
      <x:c r="C1380" s="153" t="n">
        <x:v>0.15</x:v>
      </x:c>
      <x:c r="D1380" s="153" t="n">
        <x:v>1.52</x:v>
      </x:c>
      <x:c r="E1380" s="153" t="n">
        <x:v>117.2801</x:v>
      </x:c>
      <x:c r="F1380" s="153" t="n">
        <x:v>17.57</x:v>
      </x:c>
      <x:c r="G1380" s="153" t="n">
        <x:v>1.82</x:v>
      </x:c>
    </x:row>
    <x:row r="1381">
      <x:c r="A1381" s="155" t="n">
        <x:v>43749</x:v>
      </x:c>
      <x:c r="B1381" s="153" t="n">
        <x:v>1.76</x:v>
      </x:c>
      <x:c r="C1381" s="153" t="n">
        <x:v>0.2</x:v>
      </x:c>
      <x:c r="D1381" s="153" t="n">
        <x:v>1.56</x:v>
      </x:c>
      <x:c r="E1381" s="153" t="n">
        <x:v>116.8239</x:v>
      </x:c>
      <x:c r="F1381" s="153" t="n">
        <x:v>15.58</x:v>
      </x:c>
      <x:c r="G1381" s="153" t="n">
        <x:v>1.82</x:v>
      </x:c>
    </x:row>
    <x:row r="1382">
      <x:c r="A1382" s="155" t="n">
        <x:v>43750</x:v>
      </x:c>
      <x:c r="B1382" s="153"/>
      <x:c r="C1382" s="153"/>
      <x:c r="D1382" s="153"/>
      <x:c r="E1382" s="153"/>
      <x:c r="F1382" s="153"/>
      <x:c r="G1382" s="153" t="n">
        <x:v>1.82</x:v>
      </x:c>
    </x:row>
    <x:row r="1383">
      <x:c r="A1383" s="155" t="n">
        <x:v>43751</x:v>
      </x:c>
      <x:c r="B1383" s="153"/>
      <x:c r="C1383" s="153"/>
      <x:c r="D1383" s="153"/>
      <x:c r="E1383" s="153"/>
      <x:c r="F1383" s="153"/>
      <x:c r="G1383" s="153" t="n">
        <x:v>1.82</x:v>
      </x:c>
    </x:row>
    <x:row r="1384">
      <x:c r="A1384" s="155" t="n">
        <x:v>43752</x:v>
      </x:c>
      <x:c r="B1384" s="153"/>
      <x:c r="C1384" s="153"/>
      <x:c r="D1384" s="153"/>
      <x:c r="E1384" s="153"/>
      <x:c r="F1384" s="153" t="n">
        <x:v>14.57</x:v>
      </x:c>
      <x:c r="G1384" s="153" t="n">
        <x:v>1.82</x:v>
      </x:c>
    </x:row>
    <x:row r="1385">
      <x:c r="A1385" s="155" t="n">
        <x:v>43753</x:v>
      </x:c>
      <x:c r="B1385" s="153" t="n">
        <x:v>1.77</x:v>
      </x:c>
      <x:c r="C1385" s="153" t="n">
        <x:v>0.21</x:v>
      </x:c>
      <x:c r="D1385" s="153" t="n">
        <x:v>1.56</x:v>
      </x:c>
      <x:c r="E1385" s="153" t="n">
        <x:v>116.8111</x:v>
      </x:c>
      <x:c r="F1385" s="153" t="n">
        <x:v>13.54</x:v>
      </x:c>
      <x:c r="G1385" s="153" t="n">
        <x:v>1.9</x:v>
      </x:c>
    </x:row>
    <x:row r="1386">
      <x:c r="A1386" s="155" t="n">
        <x:v>43754</x:v>
      </x:c>
      <x:c r="B1386" s="153" t="n">
        <x:v>1.75</x:v>
      </x:c>
      <x:c r="C1386" s="153" t="n">
        <x:v>0.18</x:v>
      </x:c>
      <x:c r="D1386" s="153" t="n">
        <x:v>1.57</x:v>
      </x:c>
      <x:c r="E1386" s="153" t="n">
        <x:v>116.6425</x:v>
      </x:c>
      <x:c r="F1386" s="153" t="n">
        <x:v>13.68</x:v>
      </x:c>
      <x:c r="G1386" s="153" t="n">
        <x:v>1.9</x:v>
      </x:c>
    </x:row>
    <x:row r="1387">
      <x:c r="A1387" s="155" t="n">
        <x:v>43755</x:v>
      </x:c>
      <x:c r="B1387" s="153" t="n">
        <x:v>1.76</x:v>
      </x:c>
      <x:c r="C1387" s="153" t="n">
        <x:v>0.17</x:v>
      </x:c>
      <x:c r="D1387" s="153" t="n">
        <x:v>1.59</x:v>
      </x:c>
      <x:c r="E1387" s="153" t="n">
        <x:v>116.2615</x:v>
      </x:c>
      <x:c r="F1387" s="153" t="n">
        <x:v>13.79</x:v>
      </x:c>
      <x:c r="G1387" s="153" t="n">
        <x:v>1.85</x:v>
      </x:c>
    </x:row>
    <x:row r="1388">
      <x:c r="A1388" s="155" t="n">
        <x:v>43756</x:v>
      </x:c>
      <x:c r="B1388" s="153" t="n">
        <x:v>1.76</x:v>
      </x:c>
      <x:c r="C1388" s="153" t="n">
        <x:v>0.16</x:v>
      </x:c>
      <x:c r="D1388" s="153" t="n">
        <x:v>1.6</x:v>
      </x:c>
      <x:c r="E1388" s="153" t="n">
        <x:v>116.1344</x:v>
      </x:c>
      <x:c r="F1388" s="153" t="n">
        <x:v>14.25</x:v>
      </x:c>
      <x:c r="G1388" s="153" t="n">
        <x:v>1.85</x:v>
      </x:c>
    </x:row>
    <x:row r="1389">
      <x:c r="A1389" s="155" t="n">
        <x:v>43757</x:v>
      </x:c>
      <x:c r="B1389" s="153"/>
      <x:c r="C1389" s="153"/>
      <x:c r="D1389" s="153"/>
      <x:c r="E1389" s="153"/>
      <x:c r="F1389" s="153"/>
      <x:c r="G1389" s="153" t="n">
        <x:v>1.85</x:v>
      </x:c>
    </x:row>
    <x:row r="1390">
      <x:c r="A1390" s="155" t="n">
        <x:v>43758</x:v>
      </x:c>
      <x:c r="B1390" s="153"/>
      <x:c r="C1390" s="153"/>
      <x:c r="D1390" s="153"/>
      <x:c r="E1390" s="153"/>
      <x:c r="F1390" s="153"/>
      <x:c r="G1390" s="153" t="n">
        <x:v>1.85</x:v>
      </x:c>
    </x:row>
    <x:row r="1391">
      <x:c r="A1391" s="155" t="n">
        <x:v>43759</x:v>
      </x:c>
      <x:c r="B1391" s="153" t="n">
        <x:v>1.8</x:v>
      </x:c>
      <x:c r="C1391" s="153" t="n">
        <x:v>0.19</x:v>
      </x:c>
      <x:c r="D1391" s="153" t="n">
        <x:v>1.61</x:v>
      </x:c>
      <x:c r="E1391" s="153" t="n">
        <x:v>116.0436</x:v>
      </x:c>
      <x:c r="F1391" s="153" t="n">
        <x:v>14</x:v>
      </x:c>
      <x:c r="G1391" s="153" t="n">
        <x:v>1.85</x:v>
      </x:c>
    </x:row>
    <x:row r="1392">
      <x:c r="A1392" s="155" t="n">
        <x:v>43760</x:v>
      </x:c>
      <x:c r="B1392" s="153" t="n">
        <x:v>1.78</x:v>
      </x:c>
      <x:c r="C1392" s="153" t="n">
        <x:v>0.17</x:v>
      </x:c>
      <x:c r="D1392" s="153" t="n">
        <x:v>1.61</x:v>
      </x:c>
      <x:c r="E1392" s="153" t="n">
        <x:v>115.9851</x:v>
      </x:c>
      <x:c r="F1392" s="153" t="n">
        <x:v>14.46</x:v>
      </x:c>
      <x:c r="G1392" s="153" t="n">
        <x:v>1.85</x:v>
      </x:c>
    </x:row>
    <x:row r="1393">
      <x:c r="A1393" s="155" t="n">
        <x:v>43761</x:v>
      </x:c>
      <x:c r="B1393" s="153" t="n">
        <x:v>1.77</x:v>
      </x:c>
      <x:c r="C1393" s="153" t="n">
        <x:v>0.16</x:v>
      </x:c>
      <x:c r="D1393" s="153" t="n">
        <x:v>1.61</x:v>
      </x:c>
      <x:c r="E1393" s="153" t="n">
        <x:v>116.0586</x:v>
      </x:c>
      <x:c r="F1393" s="153" t="n">
        <x:v>14.01</x:v>
      </x:c>
      <x:c r="G1393" s="153" t="n">
        <x:v>1.85</x:v>
      </x:c>
    </x:row>
    <x:row r="1394">
      <x:c r="A1394" s="155" t="n">
        <x:v>43762</x:v>
      </x:c>
      <x:c r="B1394" s="153" t="n">
        <x:v>1.77</x:v>
      </x:c>
      <x:c r="C1394" s="153" t="n">
        <x:v>0.15</x:v>
      </x:c>
      <x:c r="D1394" s="153" t="n">
        <x:v>1.62</x:v>
      </x:c>
      <x:c r="E1394" s="153" t="n">
        <x:v>116.1278</x:v>
      </x:c>
      <x:c r="F1394" s="153" t="n">
        <x:v>13.71</x:v>
      </x:c>
      <x:c r="G1394" s="153" t="n">
        <x:v>1.85</x:v>
      </x:c>
    </x:row>
    <x:row r="1395">
      <x:c r="A1395" s="155" t="n">
        <x:v>43763</x:v>
      </x:c>
      <x:c r="B1395" s="153" t="n">
        <x:v>1.8</x:v>
      </x:c>
      <x:c r="C1395" s="153" t="n">
        <x:v>0.15</x:v>
      </x:c>
      <x:c r="D1395" s="153" t="n">
        <x:v>1.65</x:v>
      </x:c>
      <x:c r="E1395" s="153" t="n">
        <x:v>116.0774</x:v>
      </x:c>
      <x:c r="F1395" s="153" t="n">
        <x:v>12.65</x:v>
      </x:c>
      <x:c r="G1395" s="153" t="n">
        <x:v>1.83</x:v>
      </x:c>
    </x:row>
    <x:row r="1396">
      <x:c r="A1396" s="155" t="n">
        <x:v>43764</x:v>
      </x:c>
      <x:c r="B1396" s="153"/>
      <x:c r="C1396" s="153"/>
      <x:c r="D1396" s="153"/>
      <x:c r="E1396" s="153"/>
      <x:c r="F1396" s="153"/>
      <x:c r="G1396" s="153" t="n">
        <x:v>1.83</x:v>
      </x:c>
    </x:row>
    <x:row r="1397">
      <x:c r="A1397" s="155" t="n">
        <x:v>43765</x:v>
      </x:c>
      <x:c r="B1397" s="153"/>
      <x:c r="C1397" s="153"/>
      <x:c r="D1397" s="153"/>
      <x:c r="E1397" s="153"/>
      <x:c r="F1397" s="153"/>
      <x:c r="G1397" s="153" t="n">
        <x:v>1.83</x:v>
      </x:c>
    </x:row>
    <x:row r="1398">
      <x:c r="A1398" s="155" t="n">
        <x:v>43766</x:v>
      </x:c>
      <x:c r="B1398" s="153" t="n">
        <x:v>1.85</x:v>
      </x:c>
      <x:c r="C1398" s="153" t="n">
        <x:v>0.21</x:v>
      </x:c>
      <x:c r="D1398" s="153" t="n">
        <x:v>1.64</x:v>
      </x:c>
      <x:c r="E1398" s="153" t="n">
        <x:v>116.0222</x:v>
      </x:c>
      <x:c r="F1398" s="153" t="n">
        <x:v>13.11</x:v>
      </x:c>
      <x:c r="G1398" s="153" t="n">
        <x:v>1.83</x:v>
      </x:c>
    </x:row>
    <x:row r="1399">
      <x:c r="A1399" s="155" t="n">
        <x:v>43767</x:v>
      </x:c>
      <x:c r="B1399" s="153" t="n">
        <x:v>1.84</x:v>
      </x:c>
      <x:c r="C1399" s="153" t="n">
        <x:v>0.23</x:v>
      </x:c>
      <x:c r="D1399" s="153" t="n">
        <x:v>1.61</x:v>
      </x:c>
      <x:c r="E1399" s="153" t="n">
        <x:v>115.9797</x:v>
      </x:c>
      <x:c r="F1399" s="153" t="n">
        <x:v>13.2</x:v>
      </x:c>
      <x:c r="G1399" s="153" t="n">
        <x:v>1.82</x:v>
      </x:c>
    </x:row>
    <x:row r="1400">
      <x:c r="A1400" s="155" t="n">
        <x:v>43768</x:v>
      </x:c>
      <x:c r="B1400" s="153" t="n">
        <x:v>1.78</x:v>
      </x:c>
      <x:c r="C1400" s="153" t="n">
        <x:v>0.21</x:v>
      </x:c>
      <x:c r="D1400" s="153" t="n">
        <x:v>1.57</x:v>
      </x:c>
      <x:c r="E1400" s="153" t="n">
        <x:v>116.1636</x:v>
      </x:c>
      <x:c r="F1400" s="153" t="n">
        <x:v>12.33</x:v>
      </x:c>
      <x:c r="G1400" s="153" t="n">
        <x:v>1.82</x:v>
      </x:c>
    </x:row>
    <x:row r="1401">
      <x:c r="A1401" s="155" t="n">
        <x:v>43769</x:v>
      </x:c>
      <x:c r="B1401" s="153" t="n">
        <x:v>1.69</x:v>
      </x:c>
      <x:c r="C1401" s="153" t="n">
        <x:v>0.15</x:v>
      </x:c>
      <x:c r="D1401" s="153" t="n">
        <x:v>1.54</x:v>
      </x:c>
      <x:c r="E1401" s="153" t="n">
        <x:v>115.9125</x:v>
      </x:c>
      <x:c r="F1401" s="153" t="n">
        <x:v>13.22</x:v>
      </x:c>
      <x:c r="G1401" s="153" t="n">
        <x:v>1.58</x:v>
      </x:c>
    </x:row>
    <x:row r="1402">
      <x:c r="A1402" s="155" t="n">
        <x:v>43770</x:v>
      </x:c>
      <x:c r="B1402" s="153" t="n">
        <x:v>1.73</x:v>
      </x:c>
      <x:c r="C1402" s="153" t="n">
        <x:v>0.14</x:v>
      </x:c>
      <x:c r="D1402" s="153" t="n">
        <x:v>1.59</x:v>
      </x:c>
      <x:c r="E1402" s="153" t="n">
        <x:v>115.7312</x:v>
      </x:c>
      <x:c r="F1402" s="153" t="n">
        <x:v>12.3</x:v>
      </x:c>
      <x:c r="G1402" s="153" t="n">
        <x:v>1.57</x:v>
      </x:c>
    </x:row>
    <x:row r="1403">
      <x:c r="A1403" s="155" t="n">
        <x:v>43771</x:v>
      </x:c>
      <x:c r="B1403" s="153"/>
      <x:c r="C1403" s="153"/>
      <x:c r="D1403" s="153"/>
      <x:c r="E1403" s="153"/>
      <x:c r="F1403" s="153"/>
      <x:c r="G1403" s="153" t="n">
        <x:v>1.57</x:v>
      </x:c>
    </x:row>
    <x:row r="1404">
      <x:c r="A1404" s="155" t="n">
        <x:v>43772</x:v>
      </x:c>
      <x:c r="B1404" s="153"/>
      <x:c r="C1404" s="153"/>
      <x:c r="D1404" s="153"/>
      <x:c r="E1404" s="153"/>
      <x:c r="F1404" s="153"/>
      <x:c r="G1404" s="153" t="n">
        <x:v>1.57</x:v>
      </x:c>
    </x:row>
    <x:row r="1405">
      <x:c r="A1405" s="155" t="n">
        <x:v>43773</x:v>
      </x:c>
      <x:c r="B1405" s="153" t="n">
        <x:v>1.79</x:v>
      </x:c>
      <x:c r="C1405" s="153" t="n">
        <x:v>0.15</x:v>
      </x:c>
      <x:c r="D1405" s="153" t="n">
        <x:v>1.64</x:v>
      </x:c>
      <x:c r="E1405" s="153" t="n">
        <x:v>115.8624</x:v>
      </x:c>
      <x:c r="F1405" s="153" t="n">
        <x:v>12.83</x:v>
      </x:c>
      <x:c r="G1405" s="153" t="n">
        <x:v>1.56</x:v>
      </x:c>
    </x:row>
    <x:row r="1406">
      <x:c r="A1406" s="155" t="n">
        <x:v>43774</x:v>
      </x:c>
      <x:c r="B1406" s="153" t="n">
        <x:v>1.86</x:v>
      </x:c>
      <x:c r="C1406" s="153" t="n">
        <x:v>0.18</x:v>
      </x:c>
      <x:c r="D1406" s="153" t="n">
        <x:v>1.68</x:v>
      </x:c>
      <x:c r="E1406" s="153" t="n">
        <x:v>116.1138</x:v>
      </x:c>
      <x:c r="F1406" s="153" t="n">
        <x:v>13.1</x:v>
      </x:c>
      <x:c r="G1406" s="153" t="n">
        <x:v>1.56</x:v>
      </x:c>
    </x:row>
    <x:row r="1407">
      <x:c r="A1407" s="155" t="n">
        <x:v>43775</x:v>
      </x:c>
      <x:c r="B1407" s="153" t="n">
        <x:v>1.81</x:v>
      </x:c>
      <x:c r="C1407" s="153" t="n">
        <x:v>0.15</x:v>
      </x:c>
      <x:c r="D1407" s="153" t="n">
        <x:v>1.66</x:v>
      </x:c>
      <x:c r="E1407" s="153" t="n">
        <x:v>116.1004</x:v>
      </x:c>
      <x:c r="F1407" s="153" t="n">
        <x:v>12.62</x:v>
      </x:c>
      <x:c r="G1407" s="153" t="n">
        <x:v>1.55</x:v>
      </x:c>
    </x:row>
    <x:row r="1408">
      <x:c r="A1408" s="155" t="n">
        <x:v>43776</x:v>
      </x:c>
      <x:c r="B1408" s="153" t="n">
        <x:v>1.92</x:v>
      </x:c>
      <x:c r="C1408" s="153" t="n">
        <x:v>0.23</x:v>
      </x:c>
      <x:c r="D1408" s="153" t="n">
        <x:v>1.69</x:v>
      </x:c>
      <x:c r="E1408" s="153" t="n">
        <x:v>116.1172</x:v>
      </x:c>
      <x:c r="F1408" s="153" t="n">
        <x:v>12.73</x:v>
      </x:c>
      <x:c r="G1408" s="153" t="n">
        <x:v>1.55</x:v>
      </x:c>
    </x:row>
    <x:row r="1409">
      <x:c r="A1409" s="155" t="n">
        <x:v>43777</x:v>
      </x:c>
      <x:c r="B1409" s="153" t="n">
        <x:v>1.94</x:v>
      </x:c>
      <x:c r="C1409" s="153" t="n">
        <x:v>0.23</x:v>
      </x:c>
      <x:c r="D1409" s="153" t="n">
        <x:v>1.71</x:v>
      </x:c>
      <x:c r="E1409" s="153" t="n">
        <x:v>116.3436</x:v>
      </x:c>
      <x:c r="F1409" s="153" t="n">
        <x:v>12.07</x:v>
      </x:c>
      <x:c r="G1409" s="153" t="n">
        <x:v>1.55</x:v>
      </x:c>
    </x:row>
    <x:row r="1410">
      <x:c r="A1410" s="155" t="n">
        <x:v>43778</x:v>
      </x:c>
      <x:c r="B1410" s="153"/>
      <x:c r="C1410" s="153"/>
      <x:c r="D1410" s="153"/>
      <x:c r="E1410" s="153"/>
      <x:c r="F1410" s="153"/>
      <x:c r="G1410" s="153" t="n">
        <x:v>1.55</x:v>
      </x:c>
    </x:row>
    <x:row r="1411">
      <x:c r="A1411" s="155" t="n">
        <x:v>43779</x:v>
      </x:c>
      <x:c r="B1411" s="153"/>
      <x:c r="C1411" s="153"/>
      <x:c r="D1411" s="153"/>
      <x:c r="E1411" s="153"/>
      <x:c r="F1411" s="153"/>
      <x:c r="G1411" s="153" t="n">
        <x:v>1.55</x:v>
      </x:c>
    </x:row>
    <x:row r="1412">
      <x:c r="A1412" s="155" t="n">
        <x:v>43780</x:v>
      </x:c>
      <x:c r="B1412" s="153"/>
      <x:c r="C1412" s="153"/>
      <x:c r="D1412" s="153"/>
      <x:c r="E1412" s="153"/>
      <x:c r="F1412" s="153" t="n">
        <x:v>12.69</x:v>
      </x:c>
      <x:c r="G1412" s="153" t="n">
        <x:v>1.55</x:v>
      </x:c>
    </x:row>
    <x:row r="1413">
      <x:c r="A1413" s="155" t="n">
        <x:v>43781</x:v>
      </x:c>
      <x:c r="B1413" s="153" t="n">
        <x:v>1.92</x:v>
      </x:c>
      <x:c r="C1413" s="153" t="n">
        <x:v>0.22</x:v>
      </x:c>
      <x:c r="D1413" s="153" t="n">
        <x:v>1.7</x:v>
      </x:c>
      <x:c r="E1413" s="153" t="n">
        <x:v>116.5837</x:v>
      </x:c>
      <x:c r="F1413" s="153" t="n">
        <x:v>12.68</x:v>
      </x:c>
      <x:c r="G1413" s="153" t="n">
        <x:v>1.55</x:v>
      </x:c>
    </x:row>
    <x:row r="1414">
      <x:c r="A1414" s="155" t="n">
        <x:v>43782</x:v>
      </x:c>
      <x:c r="B1414" s="153" t="n">
        <x:v>1.88</x:v>
      </x:c>
      <x:c r="C1414" s="153" t="n">
        <x:v>0.22</x:v>
      </x:c>
      <x:c r="D1414" s="153" t="n">
        <x:v>1.66</x:v>
      </x:c>
      <x:c r="E1414" s="153" t="n">
        <x:v>116.8397</x:v>
      </x:c>
      <x:c r="F1414" s="153" t="n">
        <x:v>13</x:v>
      </x:c>
      <x:c r="G1414" s="153" t="n">
        <x:v>1.55</x:v>
      </x:c>
    </x:row>
    <x:row r="1415">
      <x:c r="A1415" s="155" t="n">
        <x:v>43783</x:v>
      </x:c>
      <x:c r="B1415" s="153" t="n">
        <x:v>1.82</x:v>
      </x:c>
      <x:c r="C1415" s="153" t="n">
        <x:v>0.2</x:v>
      </x:c>
      <x:c r="D1415" s="153" t="n">
        <x:v>1.62</x:v>
      </x:c>
      <x:c r="E1415" s="153" t="n">
        <x:v>116.8022</x:v>
      </x:c>
      <x:c r="F1415" s="153" t="n">
        <x:v>13.05</x:v>
      </x:c>
      <x:c r="G1415" s="153" t="n">
        <x:v>1.55</x:v>
      </x:c>
    </x:row>
    <x:row r="1416">
      <x:c r="A1416" s="155" t="n">
        <x:v>43784</x:v>
      </x:c>
      <x:c r="B1416" s="153" t="n">
        <x:v>1.84</x:v>
      </x:c>
      <x:c r="C1416" s="153" t="n">
        <x:v>0.21</x:v>
      </x:c>
      <x:c r="D1416" s="153" t="n">
        <x:v>1.63</x:v>
      </x:c>
      <x:c r="E1416" s="153" t="n">
        <x:v>116.4401</x:v>
      </x:c>
      <x:c r="F1416" s="153" t="n">
        <x:v>12.05</x:v>
      </x:c>
      <x:c r="G1416" s="153" t="n">
        <x:v>1.55</x:v>
      </x:c>
    </x:row>
    <x:row r="1417">
      <x:c r="A1417" s="155" t="n">
        <x:v>43785</x:v>
      </x:c>
      <x:c r="B1417" s="153"/>
      <x:c r="C1417" s="153"/>
      <x:c r="D1417" s="153"/>
      <x:c r="E1417" s="153"/>
      <x:c r="F1417" s="153"/>
      <x:c r="G1417" s="153" t="n">
        <x:v>1.55</x:v>
      </x:c>
    </x:row>
    <x:row r="1418">
      <x:c r="A1418" s="155" t="n">
        <x:v>43786</x:v>
      </x:c>
      <x:c r="B1418" s="153"/>
      <x:c r="C1418" s="153"/>
      <x:c r="D1418" s="153"/>
      <x:c r="E1418" s="153"/>
      <x:c r="F1418" s="153"/>
      <x:c r="G1418" s="153" t="n">
        <x:v>1.55</x:v>
      </x:c>
    </x:row>
    <x:row r="1419">
      <x:c r="A1419" s="155" t="n">
        <x:v>43787</x:v>
      </x:c>
      <x:c r="B1419" s="153" t="n">
        <x:v>1.81</x:v>
      </x:c>
      <x:c r="C1419" s="153" t="n">
        <x:v>0.18</x:v>
      </x:c>
      <x:c r="D1419" s="153" t="n">
        <x:v>1.63</x:v>
      </x:c>
      <x:c r="E1419" s="153" t="n">
        <x:v>116.3625</x:v>
      </x:c>
      <x:c r="F1419" s="153" t="n">
        <x:v>12.46</x:v>
      </x:c>
      <x:c r="G1419" s="153" t="n">
        <x:v>1.55</x:v>
      </x:c>
    </x:row>
    <x:row r="1420">
      <x:c r="A1420" s="155" t="n">
        <x:v>43788</x:v>
      </x:c>
      <x:c r="B1420" s="153" t="n">
        <x:v>1.79</x:v>
      </x:c>
      <x:c r="C1420" s="153" t="n">
        <x:v>0.16</x:v>
      </x:c>
      <x:c r="D1420" s="153" t="n">
        <x:v>1.63</x:v>
      </x:c>
      <x:c r="E1420" s="153" t="n">
        <x:v>116.5391</x:v>
      </x:c>
      <x:c r="F1420" s="153" t="n">
        <x:v>12.86</x:v>
      </x:c>
      <x:c r="G1420" s="153" t="n">
        <x:v>1.55</x:v>
      </x:c>
    </x:row>
    <x:row r="1421">
      <x:c r="A1421" s="155" t="n">
        <x:v>43789</x:v>
      </x:c>
      <x:c r="B1421" s="153" t="n">
        <x:v>1.73</x:v>
      </x:c>
      <x:c r="C1421" s="153" t="n">
        <x:v>0.13</x:v>
      </x:c>
      <x:c r="D1421" s="153" t="n">
        <x:v>1.6</x:v>
      </x:c>
      <x:c r="E1421" s="153" t="n">
        <x:v>116.828</x:v>
      </x:c>
      <x:c r="F1421" s="153" t="n">
        <x:v>12.78</x:v>
      </x:c>
      <x:c r="G1421" s="153" t="n">
        <x:v>1.55</x:v>
      </x:c>
    </x:row>
    <x:row r="1422">
      <x:c r="A1422" s="155" t="n">
        <x:v>43790</x:v>
      </x:c>
      <x:c r="B1422" s="153" t="n">
        <x:v>1.77</x:v>
      </x:c>
      <x:c r="C1422" s="153" t="n">
        <x:v>0.14</x:v>
      </x:c>
      <x:c r="D1422" s="153" t="n">
        <x:v>1.63</x:v>
      </x:c>
      <x:c r="E1422" s="153" t="n">
        <x:v>116.7435</x:v>
      </x:c>
      <x:c r="F1422" s="153" t="n">
        <x:v>13.13</x:v>
      </x:c>
      <x:c r="G1422" s="153" t="n">
        <x:v>1.55</x:v>
      </x:c>
    </x:row>
    <x:row r="1423">
      <x:c r="A1423" s="155" t="n">
        <x:v>43791</x:v>
      </x:c>
      <x:c r="B1423" s="153" t="n">
        <x:v>1.77</x:v>
      </x:c>
      <x:c r="C1423" s="153" t="n">
        <x:v>0.15</x:v>
      </x:c>
      <x:c r="D1423" s="153" t="n">
        <x:v>1.62</x:v>
      </x:c>
      <x:c r="E1423" s="153" t="n">
        <x:v>116.9137</x:v>
      </x:c>
      <x:c r="F1423" s="153" t="n">
        <x:v>12.34</x:v>
      </x:c>
      <x:c r="G1423" s="153" t="n">
        <x:v>1.55</x:v>
      </x:c>
    </x:row>
    <x:row r="1424">
      <x:c r="A1424" s="155" t="n">
        <x:v>43792</x:v>
      </x:c>
      <x:c r="B1424" s="153"/>
      <x:c r="C1424" s="153"/>
      <x:c r="D1424" s="153"/>
      <x:c r="E1424" s="153"/>
      <x:c r="F1424" s="153"/>
      <x:c r="G1424" s="153" t="n">
        <x:v>1.55</x:v>
      </x:c>
    </x:row>
    <x:row r="1425">
      <x:c r="A1425" s="155" t="n">
        <x:v>43793</x:v>
      </x:c>
      <x:c r="B1425" s="153"/>
      <x:c r="C1425" s="153"/>
      <x:c r="D1425" s="153"/>
      <x:c r="E1425" s="153"/>
      <x:c r="F1425" s="153"/>
      <x:c r="G1425" s="153" t="n">
        <x:v>1.55</x:v>
      </x:c>
    </x:row>
    <x:row r="1426">
      <x:c r="A1426" s="155" t="n">
        <x:v>43794</x:v>
      </x:c>
      <x:c r="B1426" s="153" t="n">
        <x:v>1.76</x:v>
      </x:c>
      <x:c r="C1426" s="153" t="n">
        <x:v>0.14</x:v>
      </x:c>
      <x:c r="D1426" s="153" t="n">
        <x:v>1.62</x:v>
      </x:c>
      <x:c r="E1426" s="153" t="n">
        <x:v>117.0098</x:v>
      </x:c>
      <x:c r="F1426" s="153" t="n">
        <x:v>11.87</x:v>
      </x:c>
      <x:c r="G1426" s="153" t="n">
        <x:v>1.55</x:v>
      </x:c>
    </x:row>
    <x:row r="1427">
      <x:c r="A1427" s="155" t="n">
        <x:v>43795</x:v>
      </x:c>
      <x:c r="B1427" s="153" t="n">
        <x:v>1.74</x:v>
      </x:c>
      <x:c r="C1427" s="153" t="n">
        <x:v>0.12</x:v>
      </x:c>
      <x:c r="D1427" s="153" t="n">
        <x:v>1.62</x:v>
      </x:c>
      <x:c r="E1427" s="153" t="n">
        <x:v>117.0513</x:v>
      </x:c>
      <x:c r="F1427" s="153" t="n">
        <x:v>11.54</x:v>
      </x:c>
      <x:c r="G1427" s="153" t="n">
        <x:v>1.55</x:v>
      </x:c>
    </x:row>
    <x:row r="1428">
      <x:c r="A1428" s="155" t="n">
        <x:v>43796</x:v>
      </x:c>
      <x:c r="B1428" s="153" t="n">
        <x:v>1.77</x:v>
      </x:c>
      <x:c r="C1428" s="153" t="n">
        <x:v>0.14</x:v>
      </x:c>
      <x:c r="D1428" s="153" t="n">
        <x:v>1.63</x:v>
      </x:c>
      <x:c r="E1428" s="153" t="n">
        <x:v>117.1273</x:v>
      </x:c>
      <x:c r="F1428" s="153" t="n">
        <x:v>11.75</x:v>
      </x:c>
      <x:c r="G1428" s="153" t="n">
        <x:v>1.55</x:v>
      </x:c>
    </x:row>
    <x:row r="1429">
      <x:c r="A1429" s="155" t="n">
        <x:v>43797</x:v>
      </x:c>
      <x:c r="B1429" s="153"/>
      <x:c r="C1429" s="153"/>
      <x:c r="D1429" s="153"/>
      <x:c r="E1429" s="153"/>
      <x:c r="F1429" s="153"/>
      <x:c r="G1429" s="153" t="n">
        <x:v>1.55</x:v>
      </x:c>
    </x:row>
    <x:row r="1430">
      <x:c r="A1430" s="155" t="n">
        <x:v>43798</x:v>
      </x:c>
      <x:c r="B1430" s="153" t="n">
        <x:v>1.78</x:v>
      </x:c>
      <x:c r="C1430" s="153" t="n">
        <x:v>0.17</x:v>
      </x:c>
      <x:c r="D1430" s="153" t="n">
        <x:v>1.61</x:v>
      </x:c>
      <x:c r="E1430" s="153" t="n">
        <x:v>117.1204</x:v>
      </x:c>
      <x:c r="F1430" s="153" t="n">
        <x:v>12.62</x:v>
      </x:c>
      <x:c r="G1430" s="153" t="n">
        <x:v>1.56</x:v>
      </x:c>
    </x:row>
    <x:row r="1431">
      <x:c r="A1431" s="155" t="n">
        <x:v>43799</x:v>
      </x:c>
      <x:c r="B1431" s="153"/>
      <x:c r="C1431" s="153"/>
      <x:c r="D1431" s="153"/>
      <x:c r="E1431" s="153"/>
      <x:c r="F1431" s="153"/>
      <x:c r="G1431" s="153" t="n">
        <x:v>1.56</x:v>
      </x:c>
    </x:row>
    <x:row r="1432">
      <x:c r="A1432" s="155" t="n">
        <x:v>43800</x:v>
      </x:c>
      <x:c r="B1432" s="153"/>
      <x:c r="C1432" s="153"/>
      <x:c r="D1432" s="153"/>
      <x:c r="E1432" s="153"/>
      <x:c r="F1432" s="153"/>
      <x:c r="G1432" s="153" t="n">
        <x:v>1.56</x:v>
      </x:c>
    </x:row>
    <x:row r="1433">
      <x:c r="A1433" s="155" t="n">
        <x:v>43801</x:v>
      </x:c>
      <x:c r="B1433" s="153" t="n">
        <x:v>1.83</x:v>
      </x:c>
      <x:c r="C1433" s="153" t="n">
        <x:v>0.18</x:v>
      </x:c>
      <x:c r="D1433" s="153" t="n">
        <x:v>1.65</x:v>
      </x:c>
      <x:c r="E1433" s="153" t="n">
        <x:v>116.9647</x:v>
      </x:c>
      <x:c r="F1433" s="153" t="n">
        <x:v>14.91</x:v>
      </x:c>
      <x:c r="G1433" s="153" t="n">
        <x:v>1.56</x:v>
      </x:c>
    </x:row>
    <x:row r="1434">
      <x:c r="A1434" s="155" t="n">
        <x:v>43802</x:v>
      </x:c>
      <x:c r="B1434" s="153" t="n">
        <x:v>1.72</x:v>
      </x:c>
      <x:c r="C1434" s="153" t="n">
        <x:v>0.09</x:v>
      </x:c>
      <x:c r="D1434" s="153" t="n">
        <x:v>1.63</x:v>
      </x:c>
      <x:c r="E1434" s="153" t="n">
        <x:v>116.8898</x:v>
      </x:c>
      <x:c r="F1434" s="153" t="n">
        <x:v>15.96</x:v>
      </x:c>
      <x:c r="G1434" s="153" t="n">
        <x:v>1.55</x:v>
      </x:c>
    </x:row>
    <x:row r="1435">
      <x:c r="A1435" s="155" t="n">
        <x:v>43803</x:v>
      </x:c>
      <x:c r="B1435" s="153" t="n">
        <x:v>1.77</x:v>
      </x:c>
      <x:c r="C1435" s="153" t="n">
        <x:v>0.11</x:v>
      </x:c>
      <x:c r="D1435" s="153" t="n">
        <x:v>1.66</x:v>
      </x:c>
      <x:c r="E1435" s="153" t="n">
        <x:v>116.692</x:v>
      </x:c>
      <x:c r="F1435" s="153" t="n">
        <x:v>14.8</x:v>
      </x:c>
      <x:c r="G1435" s="153" t="n">
        <x:v>1.55</x:v>
      </x:c>
    </x:row>
    <x:row r="1436">
      <x:c r="A1436" s="155" t="n">
        <x:v>43804</x:v>
      </x:c>
      <x:c r="B1436" s="153" t="n">
        <x:v>1.8</x:v>
      </x:c>
      <x:c r="C1436" s="153" t="n">
        <x:v>0.13</x:v>
      </x:c>
      <x:c r="D1436" s="153" t="n">
        <x:v>1.67</x:v>
      </x:c>
      <x:c r="E1436" s="153" t="n">
        <x:v>116.3838</x:v>
      </x:c>
      <x:c r="F1436" s="153" t="n">
        <x:v>14.52</x:v>
      </x:c>
      <x:c r="G1436" s="153" t="n">
        <x:v>1.55</x:v>
      </x:c>
    </x:row>
    <x:row r="1437">
      <x:c r="A1437" s="155" t="n">
        <x:v>43805</x:v>
      </x:c>
      <x:c r="B1437" s="153" t="n">
        <x:v>1.84</x:v>
      </x:c>
      <x:c r="C1437" s="153" t="n">
        <x:v>0.15</x:v>
      </x:c>
      <x:c r="D1437" s="153" t="n">
        <x:v>1.69</x:v>
      </x:c>
      <x:c r="E1437" s="153" t="n">
        <x:v>116.5381</x:v>
      </x:c>
      <x:c r="F1437" s="153" t="n">
        <x:v>13.62</x:v>
      </x:c>
      <x:c r="G1437" s="153" t="n">
        <x:v>1.55</x:v>
      </x:c>
    </x:row>
    <x:row r="1438">
      <x:c r="A1438" s="155" t="n">
        <x:v>43806</x:v>
      </x:c>
      <x:c r="B1438" s="153"/>
      <x:c r="C1438" s="153"/>
      <x:c r="D1438" s="153"/>
      <x:c r="E1438" s="153"/>
      <x:c r="F1438" s="153"/>
      <x:c r="G1438" s="153" t="n">
        <x:v>1.55</x:v>
      </x:c>
    </x:row>
    <x:row r="1439">
      <x:c r="A1439" s="155" t="n">
        <x:v>43807</x:v>
      </x:c>
      <x:c r="B1439" s="153"/>
      <x:c r="C1439" s="153"/>
      <x:c r="D1439" s="153"/>
      <x:c r="E1439" s="153"/>
      <x:c r="F1439" s="153"/>
      <x:c r="G1439" s="153" t="n">
        <x:v>1.55</x:v>
      </x:c>
    </x:row>
    <x:row r="1440">
      <x:c r="A1440" s="155" t="n">
        <x:v>43808</x:v>
      </x:c>
      <x:c r="B1440" s="153" t="n">
        <x:v>1.83</x:v>
      </x:c>
      <x:c r="C1440" s="153" t="n">
        <x:v>0.14</x:v>
      </x:c>
      <x:c r="D1440" s="153" t="n">
        <x:v>1.69</x:v>
      </x:c>
      <x:c r="E1440" s="153" t="n">
        <x:v>116.3283</x:v>
      </x:c>
      <x:c r="F1440" s="153" t="n">
        <x:v>15.86</x:v>
      </x:c>
      <x:c r="G1440" s="153" t="n">
        <x:v>1.55</x:v>
      </x:c>
    </x:row>
    <x:row r="1441">
      <x:c r="A1441" s="155" t="n">
        <x:v>43809</x:v>
      </x:c>
      <x:c r="B1441" s="153" t="n">
        <x:v>1.85</x:v>
      </x:c>
      <x:c r="C1441" s="153" t="n">
        <x:v>0.14</x:v>
      </x:c>
      <x:c r="D1441" s="153" t="n">
        <x:v>1.71</x:v>
      </x:c>
      <x:c r="E1441" s="153" t="n">
        <x:v>116.2542</x:v>
      </x:c>
      <x:c r="F1441" s="153" t="n">
        <x:v>15.68</x:v>
      </x:c>
      <x:c r="G1441" s="153" t="n">
        <x:v>1.55</x:v>
      </x:c>
    </x:row>
    <x:row r="1442">
      <x:c r="A1442" s="155" t="n">
        <x:v>43810</x:v>
      </x:c>
      <x:c r="B1442" s="153" t="n">
        <x:v>1.79</x:v>
      </x:c>
      <x:c r="C1442" s="153" t="n">
        <x:v>0.1</x:v>
      </x:c>
      <x:c r="D1442" s="153" t="n">
        <x:v>1.69</x:v>
      </x:c>
      <x:c r="E1442" s="153" t="n">
        <x:v>116.1478</x:v>
      </x:c>
      <x:c r="F1442" s="153" t="n">
        <x:v>14.99</x:v>
      </x:c>
      <x:c r="G1442" s="153" t="n">
        <x:v>1.55</x:v>
      </x:c>
    </x:row>
    <x:row r="1443">
      <x:c r="A1443" s="155" t="n">
        <x:v>43811</x:v>
      </x:c>
      <x:c r="B1443" s="153" t="n">
        <x:v>1.9</x:v>
      </x:c>
      <x:c r="C1443" s="153" t="n">
        <x:v>0.18</x:v>
      </x:c>
      <x:c r="D1443" s="153" t="n">
        <x:v>1.72</x:v>
      </x:c>
      <x:c r="E1443" s="153" t="n">
        <x:v>115.8741</x:v>
      </x:c>
      <x:c r="F1443" s="153" t="n">
        <x:v>13.94</x:v>
      </x:c>
      <x:c r="G1443" s="153" t="n">
        <x:v>1.55</x:v>
      </x:c>
    </x:row>
    <x:row r="1444">
      <x:c r="A1444" s="155" t="n">
        <x:v>43812</x:v>
      </x:c>
      <x:c r="B1444" s="153" t="n">
        <x:v>1.82</x:v>
      </x:c>
      <x:c r="C1444" s="153" t="n">
        <x:v>0.12</x:v>
      </x:c>
      <x:c r="D1444" s="153" t="n">
        <x:v>1.7</x:v>
      </x:c>
      <x:c r="E1444" s="153" t="n">
        <x:v>115.6967</x:v>
      </x:c>
      <x:c r="F1444" s="153" t="n">
        <x:v>12.63</x:v>
      </x:c>
      <x:c r="G1444" s="153" t="n">
        <x:v>1.55</x:v>
      </x:c>
    </x:row>
    <x:row r="1445">
      <x:c r="A1445" s="155" t="n">
        <x:v>43813</x:v>
      </x:c>
      <x:c r="B1445" s="153"/>
      <x:c r="C1445" s="153"/>
      <x:c r="D1445" s="153"/>
      <x:c r="E1445" s="153"/>
      <x:c r="F1445" s="153"/>
      <x:c r="G1445" s="153" t="n">
        <x:v>1.55</x:v>
      </x:c>
    </x:row>
    <x:row r="1446">
      <x:c r="A1446" s="155" t="n">
        <x:v>43814</x:v>
      </x:c>
      <x:c r="B1446" s="153"/>
      <x:c r="C1446" s="153"/>
      <x:c r="D1446" s="153"/>
      <x:c r="E1446" s="153"/>
      <x:c r="F1446" s="153"/>
      <x:c r="G1446" s="153" t="n">
        <x:v>1.55</x:v>
      </x:c>
    </x:row>
    <x:row r="1447">
      <x:c r="A1447" s="155" t="n">
        <x:v>43815</x:v>
      </x:c>
      <x:c r="B1447" s="153" t="n">
        <x:v>1.89</x:v>
      </x:c>
      <x:c r="C1447" s="153" t="n">
        <x:v>0.16</x:v>
      </x:c>
      <x:c r="D1447" s="153" t="n">
        <x:v>1.73</x:v>
      </x:c>
      <x:c r="E1447" s="153" t="n">
        <x:v>115.555</x:v>
      </x:c>
      <x:c r="F1447" s="153" t="n">
        <x:v>12.14</x:v>
      </x:c>
      <x:c r="G1447" s="153" t="n">
        <x:v>1.56</x:v>
      </x:c>
    </x:row>
    <x:row r="1448">
      <x:c r="A1448" s="155" t="n">
        <x:v>43816</x:v>
      </x:c>
      <x:c r="B1448" s="153" t="n">
        <x:v>1.89</x:v>
      </x:c>
      <x:c r="C1448" s="153" t="n">
        <x:v>0.14</x:v>
      </x:c>
      <x:c r="D1448" s="153" t="n">
        <x:v>1.75</x:v>
      </x:c>
      <x:c r="E1448" s="153" t="n">
        <x:v>115.5553</x:v>
      </x:c>
      <x:c r="F1448" s="153" t="n">
        <x:v>12.29</x:v>
      </x:c>
      <x:c r="G1448" s="153" t="n">
        <x:v>1.55</x:v>
      </x:c>
    </x:row>
    <x:row r="1449">
      <x:c r="A1449" s="155" t="n">
        <x:v>43817</x:v>
      </x:c>
      <x:c r="B1449" s="153" t="n">
        <x:v>1.92</x:v>
      </x:c>
      <x:c r="C1449" s="153" t="n">
        <x:v>0.16</x:v>
      </x:c>
      <x:c r="D1449" s="153" t="n">
        <x:v>1.76</x:v>
      </x:c>
      <x:c r="E1449" s="153" t="n">
        <x:v>115.6618</x:v>
      </x:c>
      <x:c r="F1449" s="153" t="n">
        <x:v>12.58</x:v>
      </x:c>
      <x:c r="G1449" s="153" t="n">
        <x:v>1.55</x:v>
      </x:c>
    </x:row>
    <x:row r="1450">
      <x:c r="A1450" s="155" t="n">
        <x:v>43818</x:v>
      </x:c>
      <x:c r="B1450" s="153" t="n">
        <x:v>1.92</x:v>
      </x:c>
      <x:c r="C1450" s="153" t="n">
        <x:v>0.15</x:v>
      </x:c>
      <x:c r="D1450" s="153" t="n">
        <x:v>1.77</x:v>
      </x:c>
      <x:c r="E1450" s="153" t="n">
        <x:v>115.5988</x:v>
      </x:c>
      <x:c r="F1450" s="153" t="n">
        <x:v>12.5</x:v>
      </x:c>
      <x:c r="G1450" s="153" t="n">
        <x:v>1.55</x:v>
      </x:c>
    </x:row>
    <x:row r="1451">
      <x:c r="A1451" s="155" t="n">
        <x:v>43819</x:v>
      </x:c>
      <x:c r="B1451" s="153" t="n">
        <x:v>1.92</x:v>
      </x:c>
      <x:c r="C1451" s="153" t="n">
        <x:v>0.15</x:v>
      </x:c>
      <x:c r="D1451" s="153" t="n">
        <x:v>1.77</x:v>
      </x:c>
      <x:c r="E1451" s="153" t="n">
        <x:v>115.7598</x:v>
      </x:c>
      <x:c r="F1451" s="153" t="n">
        <x:v>12.51</x:v>
      </x:c>
      <x:c r="G1451" s="153" t="n">
        <x:v>1.55</x:v>
      </x:c>
    </x:row>
    <x:row r="1452">
      <x:c r="A1452" s="155" t="n">
        <x:v>43820</x:v>
      </x:c>
      <x:c r="B1452" s="153"/>
      <x:c r="C1452" s="153"/>
      <x:c r="D1452" s="153"/>
      <x:c r="E1452" s="153"/>
      <x:c r="F1452" s="153"/>
      <x:c r="G1452" s="153" t="n">
        <x:v>1.55</x:v>
      </x:c>
    </x:row>
    <x:row r="1453">
      <x:c r="A1453" s="155" t="n">
        <x:v>43821</x:v>
      </x:c>
      <x:c r="B1453" s="153"/>
      <x:c r="C1453" s="153"/>
      <x:c r="D1453" s="153"/>
      <x:c r="E1453" s="153"/>
      <x:c r="F1453" s="153"/>
      <x:c r="G1453" s="153" t="n">
        <x:v>1.55</x:v>
      </x:c>
    </x:row>
    <x:row r="1454">
      <x:c r="A1454" s="155" t="n">
        <x:v>43822</x:v>
      </x:c>
      <x:c r="B1454" s="153" t="n">
        <x:v>1.93</x:v>
      </x:c>
      <x:c r="C1454" s="153" t="n">
        <x:v>0.18</x:v>
      </x:c>
      <x:c r="D1454" s="153" t="n">
        <x:v>1.75</x:v>
      </x:c>
      <x:c r="E1454" s="153" t="n">
        <x:v>115.8059</x:v>
      </x:c>
      <x:c r="F1454" s="153" t="n">
        <x:v>12.61</x:v>
      </x:c>
      <x:c r="G1454" s="153" t="n">
        <x:v>1.55</x:v>
      </x:c>
    </x:row>
    <x:row r="1455">
      <x:c r="A1455" s="155" t="n">
        <x:v>43823</x:v>
      </x:c>
      <x:c r="B1455" s="153" t="n">
        <x:v>1.9</x:v>
      </x:c>
      <x:c r="C1455" s="153" t="n">
        <x:v>0.15</x:v>
      </x:c>
      <x:c r="D1455" s="153" t="n">
        <x:v>1.75</x:v>
      </x:c>
      <x:c r="E1455" s="153"/>
      <x:c r="F1455" s="153" t="n">
        <x:v>12.67</x:v>
      </x:c>
      <x:c r="G1455" s="153" t="n">
        <x:v>1.55</x:v>
      </x:c>
    </x:row>
    <x:row r="1456">
      <x:c r="A1456" s="155" t="n">
        <x:v>43824</x:v>
      </x:c>
      <x:c r="B1456" s="153"/>
      <x:c r="C1456" s="153"/>
      <x:c r="D1456" s="153"/>
      <x:c r="E1456" s="153"/>
      <x:c r="F1456" s="153"/>
      <x:c r="G1456" s="153" t="n">
        <x:v>1.55</x:v>
      </x:c>
    </x:row>
    <x:row r="1457">
      <x:c r="A1457" s="155" t="n">
        <x:v>43825</x:v>
      </x:c>
      <x:c r="B1457" s="153" t="n">
        <x:v>1.9</x:v>
      </x:c>
      <x:c r="C1457" s="153" t="n">
        <x:v>0.16</x:v>
      </x:c>
      <x:c r="D1457" s="153" t="n">
        <x:v>1.74</x:v>
      </x:c>
      <x:c r="E1457" s="153" t="n">
        <x:v>115.634</x:v>
      </x:c>
      <x:c r="F1457" s="153" t="n">
        <x:v>12.65</x:v>
      </x:c>
      <x:c r="G1457" s="153" t="n">
        <x:v>1.55</x:v>
      </x:c>
    </x:row>
    <x:row r="1458">
      <x:c r="A1458" s="155" t="n">
        <x:v>43826</x:v>
      </x:c>
      <x:c r="B1458" s="153" t="n">
        <x:v>1.88</x:v>
      </x:c>
      <x:c r="C1458" s="153" t="n">
        <x:v>0.15</x:v>
      </x:c>
      <x:c r="D1458" s="153" t="n">
        <x:v>1.73</x:v>
      </x:c>
      <x:c r="E1458" s="153" t="n">
        <x:v>115.22</x:v>
      </x:c>
      <x:c r="F1458" s="153" t="n">
        <x:v>13.43</x:v>
      </x:c>
      <x:c r="G1458" s="153" t="n">
        <x:v>1.55</x:v>
      </x:c>
    </x:row>
    <x:row r="1459">
      <x:c r="A1459" s="155" t="n">
        <x:v>43827</x:v>
      </x:c>
      <x:c r="B1459" s="153"/>
      <x:c r="C1459" s="153"/>
      <x:c r="D1459" s="153"/>
      <x:c r="E1459" s="153"/>
      <x:c r="F1459" s="153"/>
      <x:c r="G1459" s="153" t="n">
        <x:v>1.55</x:v>
      </x:c>
    </x:row>
    <x:row r="1460">
      <x:c r="A1460" s="155" t="n">
        <x:v>43828</x:v>
      </x:c>
      <x:c r="B1460" s="153"/>
      <x:c r="C1460" s="153"/>
      <x:c r="D1460" s="153"/>
      <x:c r="E1460" s="153"/>
      <x:c r="F1460" s="153"/>
      <x:c r="G1460" s="153" t="n">
        <x:v>1.55</x:v>
      </x:c>
    </x:row>
    <x:row r="1461">
      <x:c r="A1461" s="155" t="n">
        <x:v>43829</x:v>
      </x:c>
      <x:c r="B1461" s="153" t="n">
        <x:v>1.9</x:v>
      </x:c>
      <x:c r="C1461" s="153" t="n">
        <x:v>0.15</x:v>
      </x:c>
      <x:c r="D1461" s="153" t="n">
        <x:v>1.75</x:v>
      </x:c>
      <x:c r="E1461" s="153" t="n">
        <x:v>114.9631</x:v>
      </x:c>
      <x:c r="F1461" s="153" t="n">
        <x:v>14.82</x:v>
      </x:c>
      <x:c r="G1461" s="153" t="n">
        <x:v>1.55</x:v>
      </x:c>
    </x:row>
    <x:row r="1462">
      <x:c r="A1462" s="155" t="n">
        <x:v>43830</x:v>
      </x:c>
      <x:c r="B1462" s="153" t="n">
        <x:v>1.92</x:v>
      </x:c>
      <x:c r="C1462" s="153" t="n">
        <x:v>0.15</x:v>
      </x:c>
      <x:c r="D1462" s="153" t="n">
        <x:v>1.77</x:v>
      </x:c>
      <x:c r="E1462" s="153" t="n">
        <x:v>114.669</x:v>
      </x:c>
      <x:c r="F1462" s="153" t="n">
        <x:v>13.78</x:v>
      </x:c>
      <x:c r="G1462" s="153" t="n">
        <x:v>1.55</x:v>
      </x:c>
    </x:row>
    <x:row r="1463">
      <x:c r="A1463" s="155" t="n">
        <x:v>43831</x:v>
      </x:c>
      <x:c r="B1463" s="153"/>
      <x:c r="C1463" s="153"/>
      <x:c r="D1463" s="153"/>
      <x:c r="E1463" s="153"/>
      <x:c r="F1463" s="153"/>
      <x:c r="G1463" s="153" t="n">
        <x:v>1.55</x:v>
      </x:c>
    </x:row>
    <x:row r="1464">
      <x:c r="A1464" s="155" t="n">
        <x:v>43832</x:v>
      </x:c>
      <x:c r="B1464" s="153" t="n">
        <x:v>1.88</x:v>
      </x:c>
      <x:c r="C1464" s="153" t="n">
        <x:v>0.08</x:v>
      </x:c>
      <x:c r="D1464" s="153" t="n">
        <x:v>1.8</x:v>
      </x:c>
      <x:c r="E1464" s="153" t="n">
        <x:v>114.9745</x:v>
      </x:c>
      <x:c r="F1464" s="153" t="n">
        <x:v>12.47</x:v>
      </x:c>
      <x:c r="G1464" s="153" t="n">
        <x:v>1.55</x:v>
      </x:c>
    </x:row>
    <x:row r="1465">
      <x:c r="A1465" s="155" t="n">
        <x:v>43833</x:v>
      </x:c>
      <x:c r="B1465" s="153" t="n">
        <x:v>1.8</x:v>
      </x:c>
      <x:c r="C1465" s="153" t="n">
        <x:v>0.03</x:v>
      </x:c>
      <x:c r="D1465" s="153" t="n">
        <x:v>1.77</x:v>
      </x:c>
      <x:c r="E1465" s="153" t="n">
        <x:v>114.9867</x:v>
      </x:c>
      <x:c r="F1465" s="153" t="n">
        <x:v>14.02</x:v>
      </x:c>
      <x:c r="G1465" s="153" t="n">
        <x:v>1.55</x:v>
      </x:c>
    </x:row>
    <x:row r="1466">
      <x:c r="A1466" s="155" t="n">
        <x:v>43834</x:v>
      </x:c>
      <x:c r="B1466" s="153"/>
      <x:c r="C1466" s="153"/>
      <x:c r="D1466" s="153"/>
      <x:c r="E1466" s="153"/>
      <x:c r="F1466" s="153"/>
      <x:c r="G1466" s="153" t="n">
        <x:v>1.55</x:v>
      </x:c>
    </x:row>
    <x:row r="1467">
      <x:c r="A1467" s="155" t="n">
        <x:v>43835</x:v>
      </x:c>
      <x:c r="B1467" s="153"/>
      <x:c r="C1467" s="153"/>
      <x:c r="D1467" s="153"/>
      <x:c r="E1467" s="153"/>
      <x:c r="F1467" s="153"/>
      <x:c r="G1467" s="153" t="n">
        <x:v>1.55</x:v>
      </x:c>
    </x:row>
    <x:row r="1468">
      <x:c r="A1468" s="155" t="n">
        <x:v>43836</x:v>
      </x:c>
      <x:c r="B1468" s="153" t="n">
        <x:v>1.81</x:v>
      </x:c>
      <x:c r="C1468" s="153" t="n">
        <x:v>0.06</x:v>
      </x:c>
      <x:c r="D1468" s="153" t="n">
        <x:v>1.75</x:v>
      </x:c>
      <x:c r="E1468" s="153" t="n">
        <x:v>114.9557</x:v>
      </x:c>
      <x:c r="F1468" s="153" t="n">
        <x:v>13.85</x:v>
      </x:c>
      <x:c r="G1468" s="153" t="n">
        <x:v>1.55</x:v>
      </x:c>
    </x:row>
    <x:row r="1469">
      <x:c r="A1469" s="155" t="n">
        <x:v>43837</x:v>
      </x:c>
      <x:c r="B1469" s="153" t="n">
        <x:v>1.83</x:v>
      </x:c>
      <x:c r="C1469" s="153" t="n">
        <x:v>0.09</x:v>
      </x:c>
      <x:c r="D1469" s="153" t="n">
        <x:v>1.74</x:v>
      </x:c>
      <x:c r="E1469" s="153" t="n">
        <x:v>115.1477</x:v>
      </x:c>
      <x:c r="F1469" s="153" t="n">
        <x:v>13.79</x:v>
      </x:c>
      <x:c r="G1469" s="153" t="n">
        <x:v>1.55</x:v>
      </x:c>
    </x:row>
    <x:row r="1470">
      <x:c r="A1470" s="155" t="n">
        <x:v>43838</x:v>
      </x:c>
      <x:c r="B1470" s="153" t="n">
        <x:v>1.87</x:v>
      </x:c>
      <x:c r="C1470" s="153" t="n">
        <x:v>0.12</x:v>
      </x:c>
      <x:c r="D1470" s="153" t="n">
        <x:v>1.75</x:v>
      </x:c>
      <x:c r="E1470" s="153" t="n">
        <x:v>115.1328</x:v>
      </x:c>
      <x:c r="F1470" s="153" t="n">
        <x:v>13.45</x:v>
      </x:c>
      <x:c r="G1470" s="153" t="n">
        <x:v>1.55</x:v>
      </x:c>
    </x:row>
    <x:row r="1471">
      <x:c r="A1471" s="155" t="n">
        <x:v>43839</x:v>
      </x:c>
      <x:c r="B1471" s="153" t="n">
        <x:v>1.85</x:v>
      </x:c>
      <x:c r="C1471" s="153" t="n">
        <x:v>0.11</x:v>
      </x:c>
      <x:c r="D1471" s="153" t="n">
        <x:v>1.74</x:v>
      </x:c>
      <x:c r="E1471" s="153" t="n">
        <x:v>115.2331</x:v>
      </x:c>
      <x:c r="F1471" s="153" t="n">
        <x:v>12.54</x:v>
      </x:c>
      <x:c r="G1471" s="153" t="n">
        <x:v>1.55</x:v>
      </x:c>
    </x:row>
    <x:row r="1472">
      <x:c r="A1472" s="155" t="n">
        <x:v>43840</x:v>
      </x:c>
      <x:c r="B1472" s="153" t="n">
        <x:v>1.83</x:v>
      </x:c>
      <x:c r="C1472" s="153" t="n">
        <x:v>0.07</x:v>
      </x:c>
      <x:c r="D1472" s="153" t="n">
        <x:v>1.76</x:v>
      </x:c>
      <x:c r="E1472" s="153" t="n">
        <x:v>115.0677</x:v>
      </x:c>
      <x:c r="F1472" s="153" t="n">
        <x:v>12.56</x:v>
      </x:c>
      <x:c r="G1472" s="153" t="n">
        <x:v>1.54</x:v>
      </x:c>
    </x:row>
    <x:row r="1473">
      <x:c r="A1473" s="155" t="n">
        <x:v>43841</x:v>
      </x:c>
      <x:c r="B1473" s="153"/>
      <x:c r="C1473" s="153"/>
      <x:c r="D1473" s="153"/>
      <x:c r="E1473" s="153"/>
      <x:c r="F1473" s="153"/>
      <x:c r="G1473" s="153" t="n">
        <x:v>1.54</x:v>
      </x:c>
    </x:row>
    <x:row r="1474">
      <x:c r="A1474" s="155" t="n">
        <x:v>43842</x:v>
      </x:c>
      <x:c r="B1474" s="153"/>
      <x:c r="C1474" s="153"/>
      <x:c r="D1474" s="153"/>
      <x:c r="E1474" s="153"/>
      <x:c r="F1474" s="153"/>
      <x:c r="G1474" s="153" t="n">
        <x:v>1.54</x:v>
      </x:c>
    </x:row>
    <x:row r="1475">
      <x:c r="A1475" s="155" t="n">
        <x:v>43843</x:v>
      </x:c>
      <x:c r="B1475" s="153" t="n">
        <x:v>1.85</x:v>
      </x:c>
      <x:c r="C1475" s="153" t="n">
        <x:v>0.08</x:v>
      </x:c>
      <x:c r="D1475" s="153" t="n">
        <x:v>1.77</x:v>
      </x:c>
      <x:c r="E1475" s="153" t="n">
        <x:v>115.0342</x:v>
      </x:c>
      <x:c r="F1475" s="153" t="n">
        <x:v>12.32</x:v>
      </x:c>
      <x:c r="G1475" s="153" t="n">
        <x:v>1.54</x:v>
      </x:c>
    </x:row>
    <x:row r="1476">
      <x:c r="A1476" s="155" t="n">
        <x:v>43844</x:v>
      </x:c>
      <x:c r="B1476" s="153" t="n">
        <x:v>1.82</x:v>
      </x:c>
      <x:c r="C1476" s="153" t="n">
        <x:v>0.05</x:v>
      </x:c>
      <x:c r="D1476" s="153" t="n">
        <x:v>1.77</x:v>
      </x:c>
      <x:c r="E1476" s="153" t="n">
        <x:v>115.0239</x:v>
      </x:c>
      <x:c r="F1476" s="153" t="n">
        <x:v>12.39</x:v>
      </x:c>
      <x:c r="G1476" s="153" t="n">
        <x:v>1.54</x:v>
      </x:c>
    </x:row>
    <x:row r="1477">
      <x:c r="A1477" s="155" t="n">
        <x:v>43845</x:v>
      </x:c>
      <x:c r="B1477" s="153" t="n">
        <x:v>1.79</x:v>
      </x:c>
      <x:c r="C1477" s="153" t="n">
        <x:v>0.04</x:v>
      </x:c>
      <x:c r="D1477" s="153" t="n">
        <x:v>1.75</x:v>
      </x:c>
      <x:c r="E1477" s="153" t="n">
        <x:v>114.9528</x:v>
      </x:c>
      <x:c r="F1477" s="153" t="n">
        <x:v>12.42</x:v>
      </x:c>
      <x:c r="G1477" s="153" t="n">
        <x:v>1.54</x:v>
      </x:c>
    </x:row>
    <x:row r="1478">
      <x:c r="A1478" s="155" t="n">
        <x:v>43846</x:v>
      </x:c>
      <x:c r="B1478" s="153" t="n">
        <x:v>1.81</x:v>
      </x:c>
      <x:c r="C1478" s="153" t="n">
        <x:v>0.07</x:v>
      </x:c>
      <x:c r="D1478" s="153" t="n">
        <x:v>1.74</x:v>
      </x:c>
      <x:c r="E1478" s="153" t="n">
        <x:v>115.0006</x:v>
      </x:c>
      <x:c r="F1478" s="153" t="n">
        <x:v>12.32</x:v>
      </x:c>
      <x:c r="G1478" s="153" t="n">
        <x:v>1.54</x:v>
      </x:c>
    </x:row>
    <x:row r="1479">
      <x:c r="A1479" s="155" t="n">
        <x:v>43847</x:v>
      </x:c>
      <x:c r="B1479" s="153" t="n">
        <x:v>1.84</x:v>
      </x:c>
      <x:c r="C1479" s="153" t="n">
        <x:v>0.09</x:v>
      </x:c>
      <x:c r="D1479" s="153" t="n">
        <x:v>1.75</x:v>
      </x:c>
      <x:c r="E1479" s="153" t="n">
        <x:v>115.0656</x:v>
      </x:c>
      <x:c r="F1479" s="153" t="n">
        <x:v>12.1</x:v>
      </x:c>
      <x:c r="G1479" s="153" t="n">
        <x:v>1.55</x:v>
      </x:c>
    </x:row>
    <x:row r="1480">
      <x:c r="A1480" s="155" t="n">
        <x:v>43848</x:v>
      </x:c>
      <x:c r="B1480" s="153"/>
      <x:c r="C1480" s="153"/>
      <x:c r="D1480" s="153"/>
      <x:c r="E1480" s="153"/>
      <x:c r="F1480" s="153"/>
      <x:c r="G1480" s="153" t="n">
        <x:v>1.55</x:v>
      </x:c>
    </x:row>
    <x:row r="1481">
      <x:c r="A1481" s="155" t="n">
        <x:v>43849</x:v>
      </x:c>
      <x:c r="B1481" s="153"/>
      <x:c r="C1481" s="153"/>
      <x:c r="D1481" s="153"/>
      <x:c r="E1481" s="153"/>
      <x:c r="F1481" s="153"/>
      <x:c r="G1481" s="153" t="n">
        <x:v>1.55</x:v>
      </x:c>
    </x:row>
    <x:row r="1482">
      <x:c r="A1482" s="155" t="n">
        <x:v>43850</x:v>
      </x:c>
      <x:c r="B1482" s="153"/>
      <x:c r="C1482" s="153"/>
      <x:c r="D1482" s="153"/>
      <x:c r="E1482" s="153"/>
      <x:c r="F1482" s="153"/>
      <x:c r="G1482" s="153" t="n">
        <x:v>1.55</x:v>
      </x:c>
    </x:row>
    <x:row r="1483">
      <x:c r="A1483" s="155" t="n">
        <x:v>43851</x:v>
      </x:c>
      <x:c r="B1483" s="153" t="n">
        <x:v>1.78</x:v>
      </x:c>
      <x:c r="C1483" s="153" t="n">
        <x:v>0.04</x:v>
      </x:c>
      <x:c r="D1483" s="153" t="n">
        <x:v>1.74</x:v>
      </x:c>
      <x:c r="E1483" s="153" t="n">
        <x:v>115.1876</x:v>
      </x:c>
      <x:c r="F1483" s="153" t="n">
        <x:v>12.85</x:v>
      </x:c>
      <x:c r="G1483" s="153" t="n">
        <x:v>1.55</x:v>
      </x:c>
    </x:row>
    <x:row r="1484">
      <x:c r="A1484" s="155" t="n">
        <x:v>43852</x:v>
      </x:c>
      <x:c r="B1484" s="153" t="n">
        <x:v>1.77</x:v>
      </x:c>
      <x:c r="C1484" s="153" t="n">
        <x:v>0.05</x:v>
      </x:c>
      <x:c r="D1484" s="153" t="n">
        <x:v>1.72</x:v>
      </x:c>
      <x:c r="E1484" s="153" t="n">
        <x:v>115.2273</x:v>
      </x:c>
      <x:c r="F1484" s="153" t="n">
        <x:v>12.91</x:v>
      </x:c>
      <x:c r="G1484" s="153" t="n">
        <x:v>1.55</x:v>
      </x:c>
    </x:row>
    <x:row r="1485">
      <x:c r="A1485" s="155" t="n">
        <x:v>43853</x:v>
      </x:c>
      <x:c r="B1485" s="153" t="n">
        <x:v>1.74</x:v>
      </x:c>
      <x:c r="C1485" s="153" t="n">
        <x:v>0.04</x:v>
      </x:c>
      <x:c r="D1485" s="153" t="n">
        <x:v>1.7</x:v>
      </x:c>
      <x:c r="E1485" s="153" t="n">
        <x:v>115.5545</x:v>
      </x:c>
      <x:c r="F1485" s="153" t="n">
        <x:v>12.98</x:v>
      </x:c>
      <x:c r="G1485" s="153" t="n">
        <x:v>1.55</x:v>
      </x:c>
    </x:row>
    <x:row r="1486">
      <x:c r="A1486" s="155" t="n">
        <x:v>43854</x:v>
      </x:c>
      <x:c r="B1486" s="153" t="n">
        <x:v>1.7</x:v>
      </x:c>
      <x:c r="C1486" s="153" t="n">
        <x:v>0.02</x:v>
      </x:c>
      <x:c r="D1486" s="153" t="n">
        <x:v>1.68</x:v>
      </x:c>
      <x:c r="E1486" s="153" t="n">
        <x:v>115.5556</x:v>
      </x:c>
      <x:c r="F1486" s="153" t="n">
        <x:v>14.56</x:v>
      </x:c>
      <x:c r="G1486" s="153" t="n">
        <x:v>1.55</x:v>
      </x:c>
    </x:row>
    <x:row r="1487">
      <x:c r="A1487" s="155" t="n">
        <x:v>43855</x:v>
      </x:c>
      <x:c r="B1487" s="153"/>
      <x:c r="C1487" s="153"/>
      <x:c r="D1487" s="153"/>
      <x:c r="E1487" s="153"/>
      <x:c r="F1487" s="153"/>
      <x:c r="G1487" s="153" t="n">
        <x:v>1.55</x:v>
      </x:c>
    </x:row>
    <x:row r="1488">
      <x:c r="A1488" s="155" t="n">
        <x:v>43856</x:v>
      </x:c>
      <x:c r="B1488" s="153"/>
      <x:c r="C1488" s="153"/>
      <x:c r="D1488" s="153"/>
      <x:c r="E1488" s="153"/>
      <x:c r="F1488" s="153"/>
      <x:c r="G1488" s="153" t="n">
        <x:v>1.55</x:v>
      </x:c>
    </x:row>
    <x:row r="1489">
      <x:c r="A1489" s="155" t="n">
        <x:v>43857</x:v>
      </x:c>
      <x:c r="B1489" s="153" t="n">
        <x:v>1.61</x:v>
      </x:c>
      <x:c r="C1489" s="153" t="n">
        <x:v>-0.02</x:v>
      </x:c>
      <x:c r="D1489" s="153" t="n">
        <x:v>1.63</x:v>
      </x:c>
      <x:c r="E1489" s="153" t="n">
        <x:v>115.8004</x:v>
      </x:c>
      <x:c r="F1489" s="153" t="n">
        <x:v>18.23</x:v>
      </x:c>
      <x:c r="G1489" s="153" t="n">
        <x:v>1.55</x:v>
      </x:c>
    </x:row>
    <x:row r="1490">
      <x:c r="A1490" s="155" t="n">
        <x:v>43858</x:v>
      </x:c>
      <x:c r="B1490" s="153" t="n">
        <x:v>1.65</x:v>
      </x:c>
      <x:c r="C1490" s="153" t="n">
        <x:v>0</x:v>
      </x:c>
      <x:c r="D1490" s="153" t="n">
        <x:v>1.65</x:v>
      </x:c>
      <x:c r="E1490" s="153" t="n">
        <x:v>115.7239</x:v>
      </x:c>
      <x:c r="F1490" s="153" t="n">
        <x:v>16.28</x:v>
      </x:c>
      <x:c r="G1490" s="153" t="n">
        <x:v>1.55</x:v>
      </x:c>
    </x:row>
    <x:row r="1491">
      <x:c r="A1491" s="155" t="n">
        <x:v>43859</x:v>
      </x:c>
      <x:c r="B1491" s="153" t="n">
        <x:v>1.6</x:v>
      </x:c>
      <x:c r="C1491" s="153" t="n">
        <x:v>-0.04</x:v>
      </x:c>
      <x:c r="D1491" s="153" t="n">
        <x:v>1.64</x:v>
      </x:c>
      <x:c r="E1491" s="153" t="n">
        <x:v>115.7003</x:v>
      </x:c>
      <x:c r="F1491" s="153" t="n">
        <x:v>16.39</x:v>
      </x:c>
      <x:c r="G1491" s="153" t="n">
        <x:v>1.55</x:v>
      </x:c>
    </x:row>
    <x:row r="1492">
      <x:c r="A1492" s="155" t="n">
        <x:v>43860</x:v>
      </x:c>
      <x:c r="B1492" s="153" t="n">
        <x:v>1.57</x:v>
      </x:c>
      <x:c r="C1492" s="153" t="n">
        <x:v>-0.07</x:v>
      </x:c>
      <x:c r="D1492" s="153" t="n">
        <x:v>1.64</x:v>
      </x:c>
      <x:c r="E1492" s="153" t="n">
        <x:v>115.8077</x:v>
      </x:c>
      <x:c r="F1492" s="153" t="n">
        <x:v>15.49</x:v>
      </x:c>
      <x:c r="G1492" s="153" t="n">
        <x:v>1.6</x:v>
      </x:c>
    </x:row>
    <x:row r="1493">
      <x:c r="A1493" s="155" t="n">
        <x:v>43861</x:v>
      </x:c>
      <x:c r="B1493" s="153" t="n">
        <x:v>1.51</x:v>
      </x:c>
      <x:c r="C1493" s="153" t="n">
        <x:v>-0.14</x:v>
      </x:c>
      <x:c r="D1493" s="153" t="n">
        <x:v>1.65</x:v>
      </x:c>
      <x:c r="E1493" s="153" t="n">
        <x:v>115.7345</x:v>
      </x:c>
      <x:c r="F1493" s="153" t="n">
        <x:v>18.84</x:v>
      </x:c>
      <x:c r="G1493" s="153" t="n">
        <x:v>1.59</x:v>
      </x:c>
    </x:row>
    <x:row r="1494">
      <x:c r="A1494" s="155" t="n">
        <x:v>43862</x:v>
      </x:c>
      <x:c r="B1494" s="153"/>
      <x:c r="C1494" s="153"/>
      <x:c r="D1494" s="153"/>
      <x:c r="E1494" s="153"/>
      <x:c r="F1494" s="153"/>
      <x:c r="G1494" s="153" t="n">
        <x:v>1.59</x:v>
      </x:c>
    </x:row>
    <x:row r="1495">
      <x:c r="A1495" s="155" t="n">
        <x:v>43863</x:v>
      </x:c>
      <x:c r="B1495" s="153"/>
      <x:c r="C1495" s="153"/>
      <x:c r="D1495" s="153"/>
      <x:c r="E1495" s="153"/>
      <x:c r="F1495" s="153"/>
      <x:c r="G1495" s="153" t="n">
        <x:v>1.59</x:v>
      </x:c>
    </x:row>
    <x:row r="1496">
      <x:c r="A1496" s="155" t="n">
        <x:v>43864</x:v>
      </x:c>
      <x:c r="B1496" s="153" t="n">
        <x:v>1.54</x:v>
      </x:c>
      <x:c r="C1496" s="153" t="n">
        <x:v>-0.09</x:v>
      </x:c>
      <x:c r="D1496" s="153" t="n">
        <x:v>1.63</x:v>
      </x:c>
      <x:c r="E1496" s="153" t="n">
        <x:v>116.1172</x:v>
      </x:c>
      <x:c r="F1496" s="153" t="n">
        <x:v>17.97</x:v>
      </x:c>
      <x:c r="G1496" s="153" t="n">
        <x:v>1.59</x:v>
      </x:c>
    </x:row>
    <x:row r="1497">
      <x:c r="A1497" s="155" t="n">
        <x:v>43865</x:v>
      </x:c>
      <x:c r="B1497" s="153" t="n">
        <x:v>1.61</x:v>
      </x:c>
      <x:c r="C1497" s="153" t="n">
        <x:v>-0.03</x:v>
      </x:c>
      <x:c r="D1497" s="153" t="n">
        <x:v>1.64</x:v>
      </x:c>
      <x:c r="E1497" s="153" t="n">
        <x:v>115.9291</x:v>
      </x:c>
      <x:c r="F1497" s="153" t="n">
        <x:v>16.05</x:v>
      </x:c>
      <x:c r="G1497" s="153" t="n">
        <x:v>1.59</x:v>
      </x:c>
    </x:row>
    <x:row r="1498">
      <x:c r="A1498" s="155" t="n">
        <x:v>43866</x:v>
      </x:c>
      <x:c r="B1498" s="153" t="n">
        <x:v>1.66</x:v>
      </x:c>
      <x:c r="C1498" s="153" t="n">
        <x:v>0</x:v>
      </x:c>
      <x:c r="D1498" s="153" t="n">
        <x:v>1.66</x:v>
      </x:c>
      <x:c r="E1498" s="153" t="n">
        <x:v>116.009</x:v>
      </x:c>
      <x:c r="F1498" s="153" t="n">
        <x:v>15.15</x:v>
      </x:c>
      <x:c r="G1498" s="153" t="n">
        <x:v>1.59</x:v>
      </x:c>
    </x:row>
    <x:row r="1499">
      <x:c r="A1499" s="155" t="n">
        <x:v>43867</x:v>
      </x:c>
      <x:c r="B1499" s="153" t="n">
        <x:v>1.65</x:v>
      </x:c>
      <x:c r="C1499" s="153" t="n">
        <x:v>-0.02</x:v>
      </x:c>
      <x:c r="D1499" s="153" t="n">
        <x:v>1.67</x:v>
      </x:c>
      <x:c r="E1499" s="153" t="n">
        <x:v>116.1518</x:v>
      </x:c>
      <x:c r="F1499" s="153" t="n">
        <x:v>14.96</x:v>
      </x:c>
      <x:c r="G1499" s="153" t="n">
        <x:v>1.59</x:v>
      </x:c>
    </x:row>
    <x:row r="1500">
      <x:c r="A1500" s="155" t="n">
        <x:v>43868</x:v>
      </x:c>
      <x:c r="B1500" s="153" t="n">
        <x:v>1.59</x:v>
      </x:c>
      <x:c r="C1500" s="153" t="n">
        <x:v>-0.07</x:v>
      </x:c>
      <x:c r="D1500" s="153" t="n">
        <x:v>1.66</x:v>
      </x:c>
      <x:c r="E1500" s="153" t="n">
        <x:v>116.5086</x:v>
      </x:c>
      <x:c r="F1500" s="153" t="n">
        <x:v>15.47</x:v>
      </x:c>
      <x:c r="G1500" s="153" t="n">
        <x:v>1.58</x:v>
      </x:c>
    </x:row>
    <x:row r="1501">
      <x:c r="A1501" s="155" t="n">
        <x:v>43869</x:v>
      </x:c>
      <x:c r="B1501" s="153"/>
      <x:c r="C1501" s="153"/>
      <x:c r="D1501" s="153"/>
      <x:c r="E1501" s="153"/>
      <x:c r="F1501" s="153"/>
      <x:c r="G1501" s="153" t="n">
        <x:v>1.58</x:v>
      </x:c>
    </x:row>
    <x:row r="1502">
      <x:c r="A1502" s="155" t="n">
        <x:v>43870</x:v>
      </x:c>
      <x:c r="B1502" s="153"/>
      <x:c r="C1502" s="153"/>
      <x:c r="D1502" s="153"/>
      <x:c r="E1502" s="153"/>
      <x:c r="F1502" s="153"/>
      <x:c r="G1502" s="153" t="n">
        <x:v>1.58</x:v>
      </x:c>
    </x:row>
    <x:row r="1503">
      <x:c r="A1503" s="155" t="n">
        <x:v>43871</x:v>
      </x:c>
      <x:c r="B1503" s="153" t="n">
        <x:v>1.56</x:v>
      </x:c>
      <x:c r="C1503" s="153" t="n">
        <x:v>-0.1</x:v>
      </x:c>
      <x:c r="D1503" s="153" t="n">
        <x:v>1.66</x:v>
      </x:c>
      <x:c r="E1503" s="153" t="n">
        <x:v>116.5711</x:v>
      </x:c>
      <x:c r="F1503" s="153" t="n">
        <x:v>15.04</x:v>
      </x:c>
      <x:c r="G1503" s="153" t="n">
        <x:v>1.58</x:v>
      </x:c>
    </x:row>
    <x:row r="1504">
      <x:c r="A1504" s="155" t="n">
        <x:v>43872</x:v>
      </x:c>
      <x:c r="B1504" s="153" t="n">
        <x:v>1.59</x:v>
      </x:c>
      <x:c r="C1504" s="153" t="n">
        <x:v>-0.06</x:v>
      </x:c>
      <x:c r="D1504" s="153" t="n">
        <x:v>1.65</x:v>
      </x:c>
      <x:c r="E1504" s="153" t="n">
        <x:v>116.3585</x:v>
      </x:c>
      <x:c r="F1504" s="153" t="n">
        <x:v>15.18</x:v>
      </x:c>
      <x:c r="G1504" s="153" t="n">
        <x:v>1.58</x:v>
      </x:c>
    </x:row>
    <x:row r="1505">
      <x:c r="A1505" s="155" t="n">
        <x:v>43873</x:v>
      </x:c>
      <x:c r="B1505" s="153" t="n">
        <x:v>1.62</x:v>
      </x:c>
      <x:c r="C1505" s="153" t="n">
        <x:v>-0.04</x:v>
      </x:c>
      <x:c r="D1505" s="153" t="n">
        <x:v>1.66</x:v>
      </x:c>
      <x:c r="E1505" s="153" t="n">
        <x:v>116.2794</x:v>
      </x:c>
      <x:c r="F1505" s="153" t="n">
        <x:v>13.74</x:v>
      </x:c>
      <x:c r="G1505" s="153" t="n">
        <x:v>1.58</x:v>
      </x:c>
    </x:row>
    <x:row r="1506">
      <x:c r="A1506" s="155" t="n">
        <x:v>43874</x:v>
      </x:c>
      <x:c r="B1506" s="153" t="n">
        <x:v>1.61</x:v>
      </x:c>
      <x:c r="C1506" s="153" t="n">
        <x:v>-0.06</x:v>
      </x:c>
      <x:c r="D1506" s="153" t="n">
        <x:v>1.67</x:v>
      </x:c>
      <x:c r="E1506" s="153" t="n">
        <x:v>116.3999</x:v>
      </x:c>
      <x:c r="F1506" s="153" t="n">
        <x:v>14.15</x:v>
      </x:c>
      <x:c r="G1506" s="153" t="n">
        <x:v>1.58</x:v>
      </x:c>
    </x:row>
    <x:row r="1507">
      <x:c r="A1507" s="155" t="n">
        <x:v>43875</x:v>
      </x:c>
      <x:c r="B1507" s="153" t="n">
        <x:v>1.59</x:v>
      </x:c>
      <x:c r="C1507" s="153" t="n">
        <x:v>-0.07</x:v>
      </x:c>
      <x:c r="D1507" s="153" t="n">
        <x:v>1.66</x:v>
      </x:c>
      <x:c r="E1507" s="153" t="n">
        <x:v>116.4223</x:v>
      </x:c>
      <x:c r="F1507" s="153" t="n">
        <x:v>13.68</x:v>
      </x:c>
      <x:c r="G1507" s="153" t="n">
        <x:v>1.58</x:v>
      </x:c>
    </x:row>
    <x:row r="1508">
      <x:c r="A1508" s="155" t="n">
        <x:v>43876</x:v>
      </x:c>
      <x:c r="B1508" s="153"/>
      <x:c r="C1508" s="153"/>
      <x:c r="D1508" s="153"/>
      <x:c r="E1508" s="153"/>
      <x:c r="F1508" s="153"/>
      <x:c r="G1508" s="153" t="n">
        <x:v>1.58</x:v>
      </x:c>
    </x:row>
    <x:row r="1509">
      <x:c r="A1509" s="155" t="n">
        <x:v>43877</x:v>
      </x:c>
      <x:c r="B1509" s="153"/>
      <x:c r="C1509" s="153"/>
      <x:c r="D1509" s="153"/>
      <x:c r="E1509" s="153"/>
      <x:c r="F1509" s="153"/>
      <x:c r="G1509" s="153" t="n">
        <x:v>1.58</x:v>
      </x:c>
    </x:row>
    <x:row r="1510">
      <x:c r="A1510" s="155" t="n">
        <x:v>43878</x:v>
      </x:c>
      <x:c r="B1510" s="153"/>
      <x:c r="C1510" s="153"/>
      <x:c r="D1510" s="153"/>
      <x:c r="E1510" s="153"/>
      <x:c r="F1510" s="153"/>
      <x:c r="G1510" s="153" t="n">
        <x:v>1.58</x:v>
      </x:c>
    </x:row>
    <x:row r="1511">
      <x:c r="A1511" s="155" t="n">
        <x:v>43879</x:v>
      </x:c>
      <x:c r="B1511" s="153" t="n">
        <x:v>1.55</x:v>
      </x:c>
      <x:c r="C1511" s="153" t="n">
        <x:v>-0.1</x:v>
      </x:c>
      <x:c r="D1511" s="153" t="n">
        <x:v>1.65</x:v>
      </x:c>
      <x:c r="E1511" s="153" t="n">
        <x:v>116.6039</x:v>
      </x:c>
      <x:c r="F1511" s="153" t="n">
        <x:v>14.83</x:v>
      </x:c>
      <x:c r="G1511" s="153" t="n">
        <x:v>1.59</x:v>
      </x:c>
    </x:row>
    <x:row r="1512">
      <x:c r="A1512" s="155" t="n">
        <x:v>43880</x:v>
      </x:c>
      <x:c r="B1512" s="153" t="n">
        <x:v>1.56</x:v>
      </x:c>
      <x:c r="C1512" s="153" t="n">
        <x:v>-0.09</x:v>
      </x:c>
      <x:c r="D1512" s="153" t="n">
        <x:v>1.65</x:v>
      </x:c>
      <x:c r="E1512" s="153" t="n">
        <x:v>116.7829</x:v>
      </x:c>
      <x:c r="F1512" s="153" t="n">
        <x:v>14.38</x:v>
      </x:c>
      <x:c r="G1512" s="153" t="n">
        <x:v>1.59</x:v>
      </x:c>
    </x:row>
    <x:row r="1513">
      <x:c r="A1513" s="155" t="n">
        <x:v>43881</x:v>
      </x:c>
      <x:c r="B1513" s="153" t="n">
        <x:v>1.52</x:v>
      </x:c>
      <x:c r="C1513" s="153" t="n">
        <x:v>-0.11</x:v>
      </x:c>
      <x:c r="D1513" s="153" t="n">
        <x:v>1.63</x:v>
      </x:c>
      <x:c r="E1513" s="153" t="n">
        <x:v>117.2454</x:v>
      </x:c>
      <x:c r="F1513" s="153" t="n">
        <x:v>15.56</x:v>
      </x:c>
      <x:c r="G1513" s="153" t="n">
        <x:v>1.59</x:v>
      </x:c>
    </x:row>
    <x:row r="1514">
      <x:c r="A1514" s="155" t="n">
        <x:v>43882</x:v>
      </x:c>
      <x:c r="B1514" s="153" t="n">
        <x:v>1.46</x:v>
      </x:c>
      <x:c r="C1514" s="153" t="n">
        <x:v>-0.15</x:v>
      </x:c>
      <x:c r="D1514" s="153" t="n">
        <x:v>1.61</x:v>
      </x:c>
      <x:c r="E1514" s="153" t="n">
        <x:v>117.0473</x:v>
      </x:c>
      <x:c r="F1514" s="153" t="n">
        <x:v>17.08</x:v>
      </x:c>
      <x:c r="G1514" s="153" t="n">
        <x:v>1.58</x:v>
      </x:c>
    </x:row>
    <x:row r="1515">
      <x:c r="A1515" s="155" t="n">
        <x:v>43883</x:v>
      </x:c>
      <x:c r="B1515" s="153"/>
      <x:c r="C1515" s="153"/>
      <x:c r="D1515" s="153"/>
      <x:c r="E1515" s="153"/>
      <x:c r="F1515" s="153"/>
      <x:c r="G1515" s="153" t="n">
        <x:v>1.58</x:v>
      </x:c>
    </x:row>
    <x:row r="1516">
      <x:c r="A1516" s="155" t="n">
        <x:v>43884</x:v>
      </x:c>
      <x:c r="B1516" s="153"/>
      <x:c r="C1516" s="153"/>
      <x:c r="D1516" s="153"/>
      <x:c r="E1516" s="153"/>
      <x:c r="F1516" s="153"/>
      <x:c r="G1516" s="153" t="n">
        <x:v>1.58</x:v>
      </x:c>
    </x:row>
    <x:row r="1517">
      <x:c r="A1517" s="155" t="n">
        <x:v>43885</x:v>
      </x:c>
      <x:c r="B1517" s="153" t="n">
        <x:v>1.38</x:v>
      </x:c>
      <x:c r="C1517" s="153" t="n">
        <x:v>-0.21</x:v>
      </x:c>
      <x:c r="D1517" s="153" t="n">
        <x:v>1.59</x:v>
      </x:c>
      <x:c r="E1517" s="153" t="n">
        <x:v>117.4018</x:v>
      </x:c>
      <x:c r="F1517" s="153" t="n">
        <x:v>25.03</x:v>
      </x:c>
      <x:c r="G1517" s="153" t="n">
        <x:v>1.58</x:v>
      </x:c>
    </x:row>
    <x:row r="1518">
      <x:c r="A1518" s="155" t="n">
        <x:v>43886</x:v>
      </x:c>
      <x:c r="B1518" s="153" t="n">
        <x:v>1.33</x:v>
      </x:c>
      <x:c r="C1518" s="153" t="n">
        <x:v>-0.2</x:v>
      </x:c>
      <x:c r="D1518" s="153" t="n">
        <x:v>1.53</x:v>
      </x:c>
      <x:c r="E1518" s="153" t="n">
        <x:v>117.2425</x:v>
      </x:c>
      <x:c r="F1518" s="153" t="n">
        <x:v>27.85</x:v>
      </x:c>
      <x:c r="G1518" s="153" t="n">
        <x:v>1.58</x:v>
      </x:c>
    </x:row>
    <x:row r="1519">
      <x:c r="A1519" s="155" t="n">
        <x:v>43887</x:v>
      </x:c>
      <x:c r="B1519" s="153" t="n">
        <x:v>1.33</x:v>
      </x:c>
      <x:c r="C1519" s="153" t="n">
        <x:v>-0.21</x:v>
      </x:c>
      <x:c r="D1519" s="153" t="n">
        <x:v>1.54</x:v>
      </x:c>
      <x:c r="E1519" s="153" t="n">
        <x:v>117.405</x:v>
      </x:c>
      <x:c r="F1519" s="153" t="n">
        <x:v>27.56</x:v>
      </x:c>
      <x:c r="G1519" s="153" t="n">
        <x:v>1.58</x:v>
      </x:c>
    </x:row>
    <x:row r="1520">
      <x:c r="A1520" s="155" t="n">
        <x:v>43888</x:v>
      </x:c>
      <x:c r="B1520" s="153" t="n">
        <x:v>1.3</x:v>
      </x:c>
      <x:c r="C1520" s="153" t="n">
        <x:v>-0.23</x:v>
      </x:c>
      <x:c r="D1520" s="153" t="n">
        <x:v>1.53</x:v>
      </x:c>
      <x:c r="E1520" s="153" t="n">
        <x:v>117.3678</x:v>
      </x:c>
      <x:c r="F1520" s="153" t="n">
        <x:v>39.16</x:v>
      </x:c>
      <x:c r="G1520" s="153" t="n">
        <x:v>1.58</x:v>
      </x:c>
    </x:row>
    <x:row r="1521">
      <x:c r="A1521" s="155" t="n">
        <x:v>43889</x:v>
      </x:c>
      <x:c r="B1521" s="153" t="n">
        <x:v>1.13</x:v>
      </x:c>
      <x:c r="C1521" s="153" t="n">
        <x:v>-0.28</x:v>
      </x:c>
      <x:c r="D1521" s="153" t="n">
        <x:v>1.41</x:v>
      </x:c>
      <x:c r="E1521" s="153" t="n">
        <x:v>117.6568</x:v>
      </x:c>
      <x:c r="F1521" s="153" t="n">
        <x:v>40.11</x:v>
      </x:c>
      <x:c r="G1521" s="153" t="n">
        <x:v>1.58</x:v>
      </x:c>
    </x:row>
    <x:row r="1522">
      <x:c r="A1522" s="155" t="n">
        <x:v>43890</x:v>
      </x:c>
      <x:c r="B1522" s="153"/>
      <x:c r="C1522" s="153"/>
      <x:c r="D1522" s="153"/>
      <x:c r="E1522" s="153"/>
      <x:c r="F1522" s="153"/>
      <x:c r="G1522" s="153" t="n">
        <x:v>1.58</x:v>
      </x:c>
    </x:row>
    <x:row r="1523">
      <x:c r="A1523" s="155" t="n">
        <x:v>43891</x:v>
      </x:c>
      <x:c r="B1523" s="153"/>
      <x:c r="C1523" s="153"/>
      <x:c r="D1523" s="153"/>
      <x:c r="E1523" s="153"/>
      <x:c r="F1523" s="153"/>
      <x:c r="G1523" s="153" t="n">
        <x:v>1.58</x:v>
      </x:c>
    </x:row>
    <x:row r="1524">
      <x:c r="A1524" s="155" t="n">
        <x:v>43892</x:v>
      </x:c>
      <x:c r="B1524" s="153" t="n">
        <x:v>1.1</x:v>
      </x:c>
      <x:c r="C1524" s="153" t="n">
        <x:v>-0.31</x:v>
      </x:c>
      <x:c r="D1524" s="153" t="n">
        <x:v>1.41</x:v>
      </x:c>
      <x:c r="E1524" s="153" t="n">
        <x:v>116.8144</x:v>
      </x:c>
      <x:c r="F1524" s="153" t="n">
        <x:v>33.42</x:v>
      </x:c>
      <x:c r="G1524" s="153" t="n">
        <x:v>1.59</x:v>
      </x:c>
    </x:row>
    <x:row r="1525">
      <x:c r="A1525" s="155" t="n">
        <x:v>43893</x:v>
      </x:c>
      <x:c r="B1525" s="153" t="n">
        <x:v>1.02</x:v>
      </x:c>
      <x:c r="C1525" s="153" t="n">
        <x:v>-0.43</x:v>
      </x:c>
      <x:c r="D1525" s="153" t="n">
        <x:v>1.45</x:v>
      </x:c>
      <x:c r="E1525" s="153" t="n">
        <x:v>116.4958</x:v>
      </x:c>
      <x:c r="F1525" s="153" t="n">
        <x:v>36.82</x:v>
      </x:c>
      <x:c r="G1525" s="153" t="n">
        <x:v>1.59</x:v>
      </x:c>
    </x:row>
    <x:row r="1526">
      <x:c r="A1526" s="155" t="n">
        <x:v>43894</x:v>
      </x:c>
      <x:c r="B1526" s="153" t="n">
        <x:v>1.02</x:v>
      </x:c>
      <x:c r="C1526" s="153" t="n">
        <x:v>-0.44</x:v>
      </x:c>
      <x:c r="D1526" s="153" t="n">
        <x:v>1.46</x:v>
      </x:c>
      <x:c r="E1526" s="153" t="n">
        <x:v>116.7802</x:v>
      </x:c>
      <x:c r="F1526" s="153" t="n">
        <x:v>31.99</x:v>
      </x:c>
      <x:c r="G1526" s="153" t="n">
        <x:v>1.09</x:v>
      </x:c>
    </x:row>
    <x:row r="1527">
      <x:c r="A1527" s="155" t="n">
        <x:v>43895</x:v>
      </x:c>
      <x:c r="B1527" s="153" t="n">
        <x:v>0.92</x:v>
      </x:c>
      <x:c r="C1527" s="153" t="n">
        <x:v>-0.48</x:v>
      </x:c>
      <x:c r="D1527" s="153" t="n">
        <x:v>1.4</x:v>
      </x:c>
      <x:c r="E1527" s="153" t="n">
        <x:v>116.7901</x:v>
      </x:c>
      <x:c r="F1527" s="153" t="n">
        <x:v>39.62</x:v>
      </x:c>
      <x:c r="G1527" s="153" t="n">
        <x:v>1.09</x:v>
      </x:c>
    </x:row>
    <x:row r="1528">
      <x:c r="A1528" s="155" t="n">
        <x:v>43896</x:v>
      </x:c>
      <x:c r="B1528" s="153" t="n">
        <x:v>0.74</x:v>
      </x:c>
      <x:c r="C1528" s="153" t="n">
        <x:v>-0.57</x:v>
      </x:c>
      <x:c r="D1528" s="153" t="n">
        <x:v>1.31</x:v>
      </x:c>
      <x:c r="E1528" s="153" t="n">
        <x:v>116.7106</x:v>
      </x:c>
      <x:c r="F1528" s="153" t="n">
        <x:v>41.94</x:v>
      </x:c>
      <x:c r="G1528" s="153" t="n">
        <x:v>1.09</x:v>
      </x:c>
    </x:row>
    <x:row r="1529">
      <x:c r="A1529" s="155" t="n">
        <x:v>43897</x:v>
      </x:c>
      <x:c r="B1529" s="153"/>
      <x:c r="C1529" s="153"/>
      <x:c r="D1529" s="153"/>
      <x:c r="E1529" s="153"/>
      <x:c r="F1529" s="153"/>
      <x:c r="G1529" s="153" t="n">
        <x:v>1.09</x:v>
      </x:c>
    </x:row>
    <x:row r="1530">
      <x:c r="A1530" s="155" t="n">
        <x:v>43898</x:v>
      </x:c>
      <x:c r="B1530" s="153"/>
      <x:c r="C1530" s="153"/>
      <x:c r="D1530" s="153"/>
      <x:c r="E1530" s="153"/>
      <x:c r="F1530" s="153"/>
      <x:c r="G1530" s="153" t="n">
        <x:v>1.09</x:v>
      </x:c>
    </x:row>
    <x:row r="1531">
      <x:c r="A1531" s="155" t="n">
        <x:v>43899</x:v>
      </x:c>
      <x:c r="B1531" s="153" t="n">
        <x:v>0.54</x:v>
      </x:c>
      <x:c r="C1531" s="153" t="n">
        <x:v>-0.45</x:v>
      </x:c>
      <x:c r="D1531" s="153" t="n">
        <x:v>0.99</x:v>
      </x:c>
      <x:c r="E1531" s="153" t="n">
        <x:v>117.1871</x:v>
      </x:c>
      <x:c r="F1531" s="153" t="n">
        <x:v>54.46</x:v>
      </x:c>
      <x:c r="G1531" s="153" t="n">
        <x:v>1.09</x:v>
      </x:c>
    </x:row>
    <x:row r="1532">
      <x:c r="A1532" s="155" t="n">
        <x:v>43900</x:v>
      </x:c>
      <x:c r="B1532" s="153" t="n">
        <x:v>0.76</x:v>
      </x:c>
      <x:c r="C1532" s="153" t="n">
        <x:v>-0.24</x:v>
      </x:c>
      <x:c r="D1532" s="153" t="n">
        <x:v>1</x:v>
      </x:c>
      <x:c r="E1532" s="153" t="n">
        <x:v>117.9027</x:v>
      </x:c>
      <x:c r="F1532" s="153" t="n">
        <x:v>47.3</x:v>
      </x:c>
      <x:c r="G1532" s="153" t="n">
        <x:v>1.09</x:v>
      </x:c>
    </x:row>
    <x:row r="1533">
      <x:c r="A1533" s="155" t="n">
        <x:v>43901</x:v>
      </x:c>
      <x:c r="B1533" s="153" t="n">
        <x:v>0.82</x:v>
      </x:c>
      <x:c r="C1533" s="153" t="n">
        <x:v>-0.14</x:v>
      </x:c>
      <x:c r="D1533" s="153" t="n">
        <x:v>0.96</x:v>
      </x:c>
      <x:c r="E1533" s="153" t="n">
        <x:v>118.2505</x:v>
      </x:c>
      <x:c r="F1533" s="153" t="n">
        <x:v>53.9</x:v>
      </x:c>
      <x:c r="G1533" s="153" t="n">
        <x:v>1.09</x:v>
      </x:c>
    </x:row>
    <x:row r="1534">
      <x:c r="A1534" s="155" t="n">
        <x:v>43902</x:v>
      </x:c>
      <x:c r="B1534" s="153" t="n">
        <x:v>0.88</x:v>
      </x:c>
      <x:c r="C1534" s="153" t="n">
        <x:v>-0.04</x:v>
      </x:c>
      <x:c r="D1534" s="153" t="n">
        <x:v>0.92</x:v>
      </x:c>
      <x:c r="E1534" s="153" t="n">
        <x:v>120.4883</x:v>
      </x:c>
      <x:c r="F1534" s="153" t="n">
        <x:v>75.47</x:v>
      </x:c>
      <x:c r="G1534" s="153" t="n">
        <x:v>1.1</x:v>
      </x:c>
    </x:row>
    <x:row r="1535">
      <x:c r="A1535" s="155" t="n">
        <x:v>43903</x:v>
      </x:c>
      <x:c r="B1535" s="153" t="n">
        <x:v>0.94</x:v>
      </x:c>
      <x:c r="C1535" s="153" t="n">
        <x:v>0.04</x:v>
      </x:c>
      <x:c r="D1535" s="153" t="n">
        <x:v>0.9</x:v>
      </x:c>
      <x:c r="E1535" s="153" t="n">
        <x:v>120.4388</x:v>
      </x:c>
      <x:c r="F1535" s="153" t="n">
        <x:v>57.83</x:v>
      </x:c>
      <x:c r="G1535" s="153" t="n">
        <x:v>1.1</x:v>
      </x:c>
    </x:row>
    <x:row r="1536">
      <x:c r="A1536" s="155" t="n">
        <x:v>43904</x:v>
      </x:c>
      <x:c r="B1536" s="153"/>
      <x:c r="C1536" s="153"/>
      <x:c r="D1536" s="153"/>
      <x:c r="E1536" s="153"/>
      <x:c r="F1536" s="153"/>
      <x:c r="G1536" s="153" t="n">
        <x:v>1.1</x:v>
      </x:c>
    </x:row>
    <x:row r="1537">
      <x:c r="A1537" s="155" t="n">
        <x:v>43905</x:v>
      </x:c>
      <x:c r="B1537" s="153"/>
      <x:c r="C1537" s="153"/>
      <x:c r="D1537" s="153"/>
      <x:c r="E1537" s="153"/>
      <x:c r="F1537" s="153"/>
      <x:c r="G1537" s="153" t="n">
        <x:v>1.1</x:v>
      </x:c>
    </x:row>
    <x:row r="1538">
      <x:c r="A1538" s="155" t="n">
        <x:v>43906</x:v>
      </x:c>
      <x:c r="B1538" s="153" t="n">
        <x:v>0.73</x:v>
      </x:c>
      <x:c r="C1538" s="153" t="n">
        <x:v>0</x:v>
      </x:c>
      <x:c r="D1538" s="153" t="n">
        <x:v>0.73</x:v>
      </x:c>
      <x:c r="E1538" s="153" t="n">
        <x:v>120.9352</x:v>
      </x:c>
      <x:c r="F1538" s="153" t="n">
        <x:v>82.69</x:v>
      </x:c>
      <x:c r="G1538" s="153" t="n">
        <x:v>0.25</x:v>
      </x:c>
    </x:row>
    <x:row r="1539">
      <x:c r="A1539" s="155" t="n">
        <x:v>43907</x:v>
      </x:c>
      <x:c r="B1539" s="153" t="n">
        <x:v>1.02</x:v>
      </x:c>
      <x:c r="C1539" s="153" t="n">
        <x:v>0.39</x:v>
      </x:c>
      <x:c r="D1539" s="153" t="n">
        <x:v>0.63</x:v>
      </x:c>
      <x:c r="E1539" s="153" t="n">
        <x:v>122.4816</x:v>
      </x:c>
      <x:c r="F1539" s="153" t="n">
        <x:v>75.91</x:v>
      </x:c>
      <x:c r="G1539" s="153" t="n">
        <x:v>0.25</x:v>
      </x:c>
    </x:row>
    <x:row r="1540">
      <x:c r="A1540" s="155" t="n">
        <x:v>43908</x:v>
      </x:c>
      <x:c r="B1540" s="153" t="n">
        <x:v>1.18</x:v>
      </x:c>
      <x:c r="C1540" s="153" t="n">
        <x:v>0.55</x:v>
      </x:c>
      <x:c r="D1540" s="153" t="n">
        <x:v>0.63</x:v>
      </x:c>
      <x:c r="E1540" s="153" t="n">
        <x:v>124.1623</x:v>
      </x:c>
      <x:c r="F1540" s="153" t="n">
        <x:v>76.45</x:v>
      </x:c>
      <x:c r="G1540" s="153" t="n">
        <x:v>0.25</x:v>
      </x:c>
    </x:row>
    <x:row r="1541">
      <x:c r="A1541" s="155" t="n">
        <x:v>43909</x:v>
      </x:c>
      <x:c r="B1541" s="153" t="n">
        <x:v>1.12</x:v>
      </x:c>
      <x:c r="C1541" s="153" t="n">
        <x:v>0.62</x:v>
      </x:c>
      <x:c r="D1541" s="153" t="n">
        <x:v>0.5</x:v>
      </x:c>
      <x:c r="E1541" s="153" t="n">
        <x:v>125.0587</x:v>
      </x:c>
      <x:c r="F1541" s="153" t="n">
        <x:v>72</x:v>
      </x:c>
      <x:c r="G1541" s="153" t="n">
        <x:v>0.2</x:v>
      </x:c>
    </x:row>
    <x:row r="1542">
      <x:c r="A1542" s="155" t="n">
        <x:v>43910</x:v>
      </x:c>
      <x:c r="B1542" s="153" t="n">
        <x:v>0.92</x:v>
      </x:c>
      <x:c r="C1542" s="153" t="n">
        <x:v>0.17</x:v>
      </x:c>
      <x:c r="D1542" s="153" t="n">
        <x:v>0.75</x:v>
      </x:c>
      <x:c r="E1542" s="153" t="n">
        <x:v>124.9362</x:v>
      </x:c>
      <x:c r="F1542" s="153" t="n">
        <x:v>66.04</x:v>
      </x:c>
      <x:c r="G1542" s="153" t="n">
        <x:v>0.15</x:v>
      </x:c>
    </x:row>
    <x:row r="1543">
      <x:c r="A1543" s="155" t="n">
        <x:v>43911</x:v>
      </x:c>
      <x:c r="B1543" s="153"/>
      <x:c r="C1543" s="153"/>
      <x:c r="D1543" s="153"/>
      <x:c r="E1543" s="153"/>
      <x:c r="F1543" s="153"/>
      <x:c r="G1543" s="153" t="n">
        <x:v>0.15</x:v>
      </x:c>
    </x:row>
    <x:row r="1544">
      <x:c r="A1544" s="155" t="n">
        <x:v>43912</x:v>
      </x:c>
      <x:c r="B1544" s="153"/>
      <x:c r="C1544" s="153"/>
      <x:c r="D1544" s="153"/>
      <x:c r="E1544" s="153"/>
      <x:c r="F1544" s="153"/>
      <x:c r="G1544" s="153" t="n">
        <x:v>0.15</x:v>
      </x:c>
    </x:row>
    <x:row r="1545">
      <x:c r="A1545" s="155" t="n">
        <x:v>43913</x:v>
      </x:c>
      <x:c r="B1545" s="153" t="n">
        <x:v>0.76</x:v>
      </x:c>
      <x:c r="C1545" s="153" t="n">
        <x:v>-0.04</x:v>
      </x:c>
      <x:c r="D1545" s="153" t="n">
        <x:v>0.8</x:v>
      </x:c>
      <x:c r="E1545" s="153" t="n">
        <x:v>126.1262</x:v>
      </x:c>
      <x:c r="F1545" s="153" t="n">
        <x:v>61.59</x:v>
      </x:c>
      <x:c r="G1545" s="153" t="n">
        <x:v>0.15</x:v>
      </x:c>
    </x:row>
    <x:row r="1546">
      <x:c r="A1546" s="155" t="n">
        <x:v>43914</x:v>
      </x:c>
      <x:c r="B1546" s="153" t="n">
        <x:v>0.84</x:v>
      </x:c>
      <x:c r="C1546" s="153" t="n">
        <x:v>-0.13</x:v>
      </x:c>
      <x:c r="D1546" s="153" t="n">
        <x:v>0.97</x:v>
      </x:c>
      <x:c r="E1546" s="153" t="n">
        <x:v>125.5001</x:v>
      </x:c>
      <x:c r="F1546" s="153" t="n">
        <x:v>61.67</x:v>
      </x:c>
      <x:c r="G1546" s="153" t="n">
        <x:v>0.12</x:v>
      </x:c>
    </x:row>
    <x:row r="1547">
      <x:c r="A1547" s="155" t="n">
        <x:v>43915</x:v>
      </x:c>
      <x:c r="B1547" s="153" t="n">
        <x:v>0.88</x:v>
      </x:c>
      <x:c r="C1547" s="153" t="n">
        <x:v>-0.19</x:v>
      </x:c>
      <x:c r="D1547" s="153" t="n">
        <x:v>1.07</x:v>
      </x:c>
      <x:c r="E1547" s="153" t="n">
        <x:v>124.7916</x:v>
      </x:c>
      <x:c r="F1547" s="153" t="n">
        <x:v>63.95</x:v>
      </x:c>
      <x:c r="G1547" s="153" t="n">
        <x:v>0.1</x:v>
      </x:c>
    </x:row>
    <x:row r="1548">
      <x:c r="A1548" s="155" t="n">
        <x:v>43916</x:v>
      </x:c>
      <x:c r="B1548" s="153" t="n">
        <x:v>0.83</x:v>
      </x:c>
      <x:c r="C1548" s="153" t="n">
        <x:v>-0.24</x:v>
      </x:c>
      <x:c r="D1548" s="153" t="n">
        <x:v>1.07</x:v>
      </x:c>
      <x:c r="E1548" s="153" t="n">
        <x:v>122.4308</x:v>
      </x:c>
      <x:c r="F1548" s="153" t="n">
        <x:v>61</x:v>
      </x:c>
      <x:c r="G1548" s="153" t="n">
        <x:v>0.1</x:v>
      </x:c>
    </x:row>
    <x:row r="1549">
      <x:c r="A1549" s="155" t="n">
        <x:v>43917</x:v>
      </x:c>
      <x:c r="B1549" s="153" t="n">
        <x:v>0.72</x:v>
      </x:c>
      <x:c r="C1549" s="153" t="n">
        <x:v>-0.22</x:v>
      </x:c>
      <x:c r="D1549" s="153" t="n">
        <x:v>0.94</x:v>
      </x:c>
      <x:c r="E1549" s="153" t="n">
        <x:v>122.4007</x:v>
      </x:c>
      <x:c r="F1549" s="153" t="n">
        <x:v>65.54</x:v>
      </x:c>
      <x:c r="G1549" s="153" t="n">
        <x:v>0.1</x:v>
      </x:c>
    </x:row>
    <x:row r="1550">
      <x:c r="A1550" s="155" t="n">
        <x:v>43918</x:v>
      </x:c>
      <x:c r="B1550" s="153"/>
      <x:c r="C1550" s="153"/>
      <x:c r="D1550" s="153"/>
      <x:c r="E1550" s="153"/>
      <x:c r="F1550" s="153"/>
      <x:c r="G1550" s="153" t="n">
        <x:v>0.1</x:v>
      </x:c>
    </x:row>
    <x:row r="1551">
      <x:c r="A1551" s="155" t="n">
        <x:v>43919</x:v>
      </x:c>
      <x:c r="B1551" s="153"/>
      <x:c r="C1551" s="153"/>
      <x:c r="D1551" s="153"/>
      <x:c r="E1551" s="153"/>
      <x:c r="F1551" s="153"/>
      <x:c r="G1551" s="153" t="n">
        <x:v>0.1</x:v>
      </x:c>
    </x:row>
    <x:row r="1552">
      <x:c r="A1552" s="155" t="n">
        <x:v>43920</x:v>
      </x:c>
      <x:c r="B1552" s="153" t="n">
        <x:v>0.7</x:v>
      </x:c>
      <x:c r="C1552" s="153" t="n">
        <x:v>-0.25</x:v>
      </x:c>
      <x:c r="D1552" s="153" t="n">
        <x:v>0.95</x:v>
      </x:c>
      <x:c r="E1552" s="153" t="n">
        <x:v>123.2883</x:v>
      </x:c>
      <x:c r="F1552" s="153" t="n">
        <x:v>57.08</x:v>
      </x:c>
      <x:c r="G1552" s="153" t="n">
        <x:v>0.09</x:v>
      </x:c>
    </x:row>
    <x:row r="1553">
      <x:c r="A1553" s="155" t="n">
        <x:v>43921</x:v>
      </x:c>
      <x:c r="B1553" s="153" t="n">
        <x:v>0.7</x:v>
      </x:c>
      <x:c r="C1553" s="153" t="n">
        <x:v>-0.17</x:v>
      </x:c>
      <x:c r="D1553" s="153" t="n">
        <x:v>0.87</x:v>
      </x:c>
      <x:c r="E1553" s="153" t="n">
        <x:v>122.5301</x:v>
      </x:c>
      <x:c r="F1553" s="153" t="n">
        <x:v>53.54</x:v>
      </x:c>
      <x:c r="G1553" s="153" t="n">
        <x:v>0.08</x:v>
      </x:c>
    </x:row>
    <x:row r="1554">
      <x:c r="A1554" s="155" t="n">
        <x:v>43922</x:v>
      </x:c>
      <x:c r="B1554" s="153" t="n">
        <x:v>0.62</x:v>
      </x:c>
      <x:c r="C1554" s="153" t="n">
        <x:v>-0.29</x:v>
      </x:c>
      <x:c r="D1554" s="153" t="n">
        <x:v>0.91</x:v>
      </x:c>
      <x:c r="E1554" s="153" t="n">
        <x:v>123.7933</x:v>
      </x:c>
      <x:c r="F1554" s="153" t="n">
        <x:v>57.06</x:v>
      </x:c>
      <x:c r="G1554" s="153" t="n">
        <x:v>0.06</x:v>
      </x:c>
    </x:row>
    <x:row r="1555">
      <x:c r="A1555" s="155" t="n">
        <x:v>43923</x:v>
      </x:c>
      <x:c r="B1555" s="153" t="n">
        <x:v>0.63</x:v>
      </x:c>
      <x:c r="C1555" s="153" t="n">
        <x:v>-0.4</x:v>
      </x:c>
      <x:c r="D1555" s="153" t="n">
        <x:v>1.03</x:v>
      </x:c>
      <x:c r="E1555" s="153" t="n">
        <x:v>123.5916</x:v>
      </x:c>
      <x:c r="F1555" s="153" t="n">
        <x:v>50.91</x:v>
      </x:c>
      <x:c r="G1555" s="153" t="n">
        <x:v>0.05</x:v>
      </x:c>
    </x:row>
    <x:row r="1556">
      <x:c r="A1556" s="155" t="n">
        <x:v>43924</x:v>
      </x:c>
      <x:c r="B1556" s="153" t="n">
        <x:v>0.62</x:v>
      </x:c>
      <x:c r="C1556" s="153" t="n">
        <x:v>-0.46</x:v>
      </x:c>
      <x:c r="D1556" s="153" t="n">
        <x:v>1.08</x:v>
      </x:c>
      <x:c r="E1556" s="153" t="n">
        <x:v>124.4152</x:v>
      </x:c>
      <x:c r="F1556" s="153" t="n">
        <x:v>46.8</x:v>
      </x:c>
      <x:c r="G1556" s="153" t="n">
        <x:v>0.05</x:v>
      </x:c>
    </x:row>
    <x:row r="1557">
      <x:c r="A1557" s="155" t="n">
        <x:v>43925</x:v>
      </x:c>
      <x:c r="B1557" s="153"/>
      <x:c r="C1557" s="153"/>
      <x:c r="D1557" s="153"/>
      <x:c r="E1557" s="153"/>
      <x:c r="F1557" s="153"/>
      <x:c r="G1557" s="153" t="n">
        <x:v>0.05</x:v>
      </x:c>
    </x:row>
    <x:row r="1558">
      <x:c r="A1558" s="155" t="n">
        <x:v>43926</x:v>
      </x:c>
      <x:c r="B1558" s="153"/>
      <x:c r="C1558" s="153"/>
      <x:c r="D1558" s="153"/>
      <x:c r="E1558" s="153"/>
      <x:c r="F1558" s="153"/>
      <x:c r="G1558" s="153" t="n">
        <x:v>0.05</x:v>
      </x:c>
    </x:row>
    <x:row r="1559">
      <x:c r="A1559" s="155" t="n">
        <x:v>43927</x:v>
      </x:c>
      <x:c r="B1559" s="153" t="n">
        <x:v>0.67</x:v>
      </x:c>
      <x:c r="C1559" s="153" t="n">
        <x:v>-0.47</x:v>
      </x:c>
      <x:c r="D1559" s="153" t="n">
        <x:v>1.14</x:v>
      </x:c>
      <x:c r="E1559" s="153" t="n">
        <x:v>124.16</x:v>
      </x:c>
      <x:c r="F1559" s="153" t="n">
        <x:v>45.24</x:v>
      </x:c>
      <x:c r="G1559" s="153" t="n">
        <x:v>0.05</x:v>
      </x:c>
    </x:row>
    <x:row r="1560">
      <x:c r="A1560" s="155" t="n">
        <x:v>43928</x:v>
      </x:c>
      <x:c r="B1560" s="153" t="n">
        <x:v>0.75</x:v>
      </x:c>
      <x:c r="C1560" s="153" t="n">
        <x:v>-0.42</x:v>
      </x:c>
      <x:c r="D1560" s="153" t="n">
        <x:v>1.17</x:v>
      </x:c>
      <x:c r="E1560" s="153" t="n">
        <x:v>123.0956</x:v>
      </x:c>
      <x:c r="F1560" s="153" t="n">
        <x:v>46.7</x:v>
      </x:c>
      <x:c r="G1560" s="153" t="n">
        <x:v>0.05</x:v>
      </x:c>
    </x:row>
    <x:row r="1561">
      <x:c r="A1561" s="155" t="n">
        <x:v>43929</x:v>
      </x:c>
      <x:c r="B1561" s="153" t="n">
        <x:v>0.77</x:v>
      </x:c>
      <x:c r="C1561" s="153" t="n">
        <x:v>-0.42</x:v>
      </x:c>
      <x:c r="D1561" s="153" t="n">
        <x:v>1.19</x:v>
      </x:c>
      <x:c r="E1561" s="153" t="n">
        <x:v>123.2216</x:v>
      </x:c>
      <x:c r="F1561" s="153" t="n">
        <x:v>43.35</x:v>
      </x:c>
      <x:c r="G1561" s="153" t="n">
        <x:v>0.05</x:v>
      </x:c>
    </x:row>
    <x:row r="1562">
      <x:c r="A1562" s="155" t="n">
        <x:v>43930</x:v>
      </x:c>
      <x:c r="B1562" s="153" t="n">
        <x:v>0.73</x:v>
      </x:c>
      <x:c r="C1562" s="153" t="n">
        <x:v>-0.5</x:v>
      </x:c>
      <x:c r="D1562" s="153" t="n">
        <x:v>1.23</x:v>
      </x:c>
      <x:c r="E1562" s="153" t="n">
        <x:v>122.476</x:v>
      </x:c>
      <x:c r="F1562" s="153" t="n">
        <x:v>41.67</x:v>
      </x:c>
      <x:c r="G1562" s="153" t="n">
        <x:v>0.05</x:v>
      </x:c>
    </x:row>
    <x:row r="1563">
      <x:c r="A1563" s="155" t="n">
        <x:v>43931</x:v>
      </x:c>
      <x:c r="B1563" s="153"/>
      <x:c r="C1563" s="153"/>
      <x:c r="D1563" s="153"/>
      <x:c r="E1563" s="153" t="n">
        <x:v>122.1592</x:v>
      </x:c>
      <x:c r="F1563" s="153"/>
      <x:c r="G1563" s="153" t="n">
        <x:v>0.05</x:v>
      </x:c>
    </x:row>
    <x:row r="1564">
      <x:c r="A1564" s="155" t="n">
        <x:v>43932</x:v>
      </x:c>
      <x:c r="B1564" s="153"/>
      <x:c r="C1564" s="153"/>
      <x:c r="D1564" s="153"/>
      <x:c r="E1564" s="153"/>
      <x:c r="F1564" s="153"/>
      <x:c r="G1564" s="153" t="n">
        <x:v>0.05</x:v>
      </x:c>
    </x:row>
    <x:row r="1565">
      <x:c r="A1565" s="155" t="n">
        <x:v>43933</x:v>
      </x:c>
      <x:c r="B1565" s="153"/>
      <x:c r="C1565" s="153"/>
      <x:c r="D1565" s="153"/>
      <x:c r="E1565" s="153"/>
      <x:c r="F1565" s="153"/>
      <x:c r="G1565" s="153" t="n">
        <x:v>0.05</x:v>
      </x:c>
    </x:row>
    <x:row r="1566">
      <x:c r="A1566" s="155" t="n">
        <x:v>43934</x:v>
      </x:c>
      <x:c r="B1566" s="153" t="n">
        <x:v>0.76</x:v>
      </x:c>
      <x:c r="C1566" s="153" t="n">
        <x:v>-0.5</x:v>
      </x:c>
      <x:c r="D1566" s="153" t="n">
        <x:v>1.26</x:v>
      </x:c>
      <x:c r="E1566" s="153" t="n">
        <x:v>122.5203</x:v>
      </x:c>
      <x:c r="F1566" s="153" t="n">
        <x:v>41.17</x:v>
      </x:c>
      <x:c r="G1566" s="153" t="n">
        <x:v>0.05</x:v>
      </x:c>
    </x:row>
    <x:row r="1567">
      <x:c r="A1567" s="155" t="n">
        <x:v>43935</x:v>
      </x:c>
      <x:c r="B1567" s="153" t="n">
        <x:v>0.76</x:v>
      </x:c>
      <x:c r="C1567" s="153" t="n">
        <x:v>-0.53</x:v>
      </x:c>
      <x:c r="D1567" s="153" t="n">
        <x:v>1.29</x:v>
      </x:c>
      <x:c r="E1567" s="153" t="n">
        <x:v>122.1121</x:v>
      </x:c>
      <x:c r="F1567" s="153" t="n">
        <x:v>37.76</x:v>
      </x:c>
      <x:c r="G1567" s="153" t="n">
        <x:v>0.05</x:v>
      </x:c>
    </x:row>
    <x:row r="1568">
      <x:c r="A1568" s="155" t="n">
        <x:v>43936</x:v>
      </x:c>
      <x:c r="B1568" s="153" t="n">
        <x:v>0.63</x:v>
      </x:c>
      <x:c r="C1568" s="153" t="n">
        <x:v>-0.56</x:v>
      </x:c>
      <x:c r="D1568" s="153" t="n">
        <x:v>1.19</x:v>
      </x:c>
      <x:c r="E1568" s="153" t="n">
        <x:v>123.0752</x:v>
      </x:c>
      <x:c r="F1568" s="153" t="n">
        <x:v>40.84</x:v>
      </x:c>
      <x:c r="G1568" s="153" t="n">
        <x:v>0.05</x:v>
      </x:c>
    </x:row>
    <x:row r="1569">
      <x:c r="A1569" s="155" t="n">
        <x:v>43937</x:v>
      </x:c>
      <x:c r="B1569" s="153" t="n">
        <x:v>0.61</x:v>
      </x:c>
      <x:c r="C1569" s="153" t="n">
        <x:v>-0.42</x:v>
      </x:c>
      <x:c r="D1569" s="153" t="n">
        <x:v>1.03</x:v>
      </x:c>
      <x:c r="E1569" s="153" t="n">
        <x:v>123.4615</x:v>
      </x:c>
      <x:c r="F1569" s="153" t="n">
        <x:v>40.11</x:v>
      </x:c>
      <x:c r="G1569" s="153" t="n">
        <x:v>0.05</x:v>
      </x:c>
    </x:row>
    <x:row r="1570">
      <x:c r="A1570" s="155" t="n">
        <x:v>43938</x:v>
      </x:c>
      <x:c r="B1570" s="153" t="n">
        <x:v>0.65</x:v>
      </x:c>
      <x:c r="C1570" s="153" t="n">
        <x:v>-0.36</x:v>
      </x:c>
      <x:c r="D1570" s="153" t="n">
        <x:v>1.01</x:v>
      </x:c>
      <x:c r="E1570" s="153" t="n">
        <x:v>122.871</x:v>
      </x:c>
      <x:c r="F1570" s="153" t="n">
        <x:v>38.15</x:v>
      </x:c>
      <x:c r="G1570" s="153" t="n">
        <x:v>0.05</x:v>
      </x:c>
    </x:row>
    <x:row r="1571">
      <x:c r="A1571" s="155" t="n">
        <x:v>43939</x:v>
      </x:c>
      <x:c r="B1571" s="153"/>
      <x:c r="C1571" s="153"/>
      <x:c r="D1571" s="153"/>
      <x:c r="E1571" s="153"/>
      <x:c r="F1571" s="153"/>
      <x:c r="G1571" s="153" t="n">
        <x:v>0.05</x:v>
      </x:c>
    </x:row>
    <x:row r="1572">
      <x:c r="A1572" s="155" t="n">
        <x:v>43940</x:v>
      </x:c>
      <x:c r="B1572" s="153"/>
      <x:c r="C1572" s="153"/>
      <x:c r="D1572" s="153"/>
      <x:c r="E1572" s="153"/>
      <x:c r="F1572" s="153"/>
      <x:c r="G1572" s="153" t="n">
        <x:v>0.05</x:v>
      </x:c>
    </x:row>
    <x:row r="1573">
      <x:c r="A1573" s="155" t="n">
        <x:v>43941</x:v>
      </x:c>
      <x:c r="B1573" s="153" t="n">
        <x:v>0.63</x:v>
      </x:c>
      <x:c r="C1573" s="153" t="n">
        <x:v>-0.31</x:v>
      </x:c>
      <x:c r="D1573" s="153" t="n">
        <x:v>0.94</x:v>
      </x:c>
      <x:c r="E1573" s="153" t="n">
        <x:v>123.1033</x:v>
      </x:c>
      <x:c r="F1573" s="153" t="n">
        <x:v>43.83</x:v>
      </x:c>
      <x:c r="G1573" s="153" t="n">
        <x:v>0.05</x:v>
      </x:c>
    </x:row>
    <x:row r="1574">
      <x:c r="A1574" s="155" t="n">
        <x:v>43942</x:v>
      </x:c>
      <x:c r="B1574" s="153" t="n">
        <x:v>0.58</x:v>
      </x:c>
      <x:c r="C1574" s="153" t="n">
        <x:v>-0.38</x:v>
      </x:c>
      <x:c r="D1574" s="153" t="n">
        <x:v>0.96</x:v>
      </x:c>
      <x:c r="E1574" s="153" t="n">
        <x:v>123.9116</x:v>
      </x:c>
      <x:c r="F1574" s="153" t="n">
        <x:v>45.41</x:v>
      </x:c>
      <x:c r="G1574" s="153" t="n">
        <x:v>0.05</x:v>
      </x:c>
    </x:row>
    <x:row r="1575">
      <x:c r="A1575" s="155" t="n">
        <x:v>43943</x:v>
      </x:c>
      <x:c r="B1575" s="153" t="n">
        <x:v>0.63</x:v>
      </x:c>
      <x:c r="C1575" s="153" t="n">
        <x:v>-0.43</x:v>
      </x:c>
      <x:c r="D1575" s="153" t="n">
        <x:v>1.06</x:v>
      </x:c>
      <x:c r="E1575" s="153" t="n">
        <x:v>123.9256</x:v>
      </x:c>
      <x:c r="F1575" s="153" t="n">
        <x:v>41.98</x:v>
      </x:c>
      <x:c r="G1575" s="153" t="n">
        <x:v>0.05</x:v>
      </x:c>
    </x:row>
    <x:row r="1576">
      <x:c r="A1576" s="155" t="n">
        <x:v>43944</x:v>
      </x:c>
      <x:c r="B1576" s="153" t="n">
        <x:v>0.61</x:v>
      </x:c>
      <x:c r="C1576" s="153" t="n">
        <x:v>-0.44</x:v>
      </x:c>
      <x:c r="D1576" s="153" t="n">
        <x:v>1.05</x:v>
      </x:c>
      <x:c r="E1576" s="153" t="n">
        <x:v>123.7542</x:v>
      </x:c>
      <x:c r="F1576" s="153" t="n">
        <x:v>41.38</x:v>
      </x:c>
      <x:c r="G1576" s="153" t="n">
        <x:v>0.04</x:v>
      </x:c>
    </x:row>
    <x:row r="1577">
      <x:c r="A1577" s="155" t="n">
        <x:v>43945</x:v>
      </x:c>
      <x:c r="B1577" s="153" t="n">
        <x:v>0.6</x:v>
      </x:c>
      <x:c r="C1577" s="153" t="n">
        <x:v>-0.51</x:v>
      </x:c>
      <x:c r="D1577" s="153" t="n">
        <x:v>1.11</x:v>
      </x:c>
      <x:c r="E1577" s="153" t="n">
        <x:v>124.1615</x:v>
      </x:c>
      <x:c r="F1577" s="153" t="n">
        <x:v>35.93</x:v>
      </x:c>
      <x:c r="G1577" s="153" t="n">
        <x:v>0.05</x:v>
      </x:c>
    </x:row>
    <x:row r="1578">
      <x:c r="A1578" s="155" t="n">
        <x:v>43946</x:v>
      </x:c>
      <x:c r="B1578" s="153"/>
      <x:c r="C1578" s="153"/>
      <x:c r="D1578" s="153"/>
      <x:c r="E1578" s="153"/>
      <x:c r="F1578" s="153"/>
      <x:c r="G1578" s="153" t="n">
        <x:v>0.05</x:v>
      </x:c>
    </x:row>
    <x:row r="1579">
      <x:c r="A1579" s="155" t="n">
        <x:v>43947</x:v>
      </x:c>
      <x:c r="B1579" s="153"/>
      <x:c r="C1579" s="153"/>
      <x:c r="D1579" s="153"/>
      <x:c r="E1579" s="153"/>
      <x:c r="F1579" s="153"/>
      <x:c r="G1579" s="153" t="n">
        <x:v>0.05</x:v>
      </x:c>
    </x:row>
    <x:row r="1580">
      <x:c r="A1580" s="155" t="n">
        <x:v>43948</x:v>
      </x:c>
      <x:c r="B1580" s="153" t="n">
        <x:v>0.67</x:v>
      </x:c>
      <x:c r="C1580" s="153" t="n">
        <x:v>-0.5</x:v>
      </x:c>
      <x:c r="D1580" s="153" t="n">
        <x:v>1.17</x:v>
      </x:c>
      <x:c r="E1580" s="153" t="n">
        <x:v>123.8843</x:v>
      </x:c>
      <x:c r="F1580" s="153" t="n">
        <x:v>33.29</x:v>
      </x:c>
      <x:c r="G1580" s="153" t="n">
        <x:v>0.04</x:v>
      </x:c>
    </x:row>
    <x:row r="1581">
      <x:c r="A1581" s="155" t="n">
        <x:v>43949</x:v>
      </x:c>
      <x:c r="B1581" s="153" t="n">
        <x:v>0.62</x:v>
      </x:c>
      <x:c r="C1581" s="153" t="n">
        <x:v>-0.52</x:v>
      </x:c>
      <x:c r="D1581" s="153" t="n">
        <x:v>1.14</x:v>
      </x:c>
      <x:c r="E1581" s="153" t="n">
        <x:v>123.3693</x:v>
      </x:c>
      <x:c r="F1581" s="153" t="n">
        <x:v>33.57</x:v>
      </x:c>
      <x:c r="G1581" s="153" t="n">
        <x:v>0.04</x:v>
      </x:c>
    </x:row>
    <x:row r="1582">
      <x:c r="A1582" s="155" t="n">
        <x:v>43950</x:v>
      </x:c>
      <x:c r="B1582" s="153" t="n">
        <x:v>0.63</x:v>
      </x:c>
      <x:c r="C1582" s="153" t="n">
        <x:v>-0.51</x:v>
      </x:c>
      <x:c r="D1582" s="153" t="n">
        <x:v>1.14</x:v>
      </x:c>
      <x:c r="E1582" s="153" t="n">
        <x:v>122.7782</x:v>
      </x:c>
      <x:c r="F1582" s="153" t="n">
        <x:v>31.23</x:v>
      </x:c>
      <x:c r="G1582" s="153" t="n">
        <x:v>0.04</x:v>
      </x:c>
    </x:row>
    <x:row r="1583">
      <x:c r="A1583" s="155" t="n">
        <x:v>43951</x:v>
      </x:c>
      <x:c r="B1583" s="153" t="n">
        <x:v>0.64</x:v>
      </x:c>
      <x:c r="C1583" s="153" t="n">
        <x:v>-0.43</x:v>
      </x:c>
      <x:c r="D1583" s="153" t="n">
        <x:v>1.07</x:v>
      </x:c>
      <x:c r="E1583" s="153" t="n">
        <x:v>122.327</x:v>
      </x:c>
      <x:c r="F1583" s="153" t="n">
        <x:v>34.15</x:v>
      </x:c>
      <x:c r="G1583" s="153" t="n">
        <x:v>0.05</x:v>
      </x:c>
    </x:row>
    <x:row r="1584">
      <x:c r="A1584" s="155" t="n">
        <x:v>43952</x:v>
      </x:c>
      <x:c r="B1584" s="153" t="n">
        <x:v>0.64</x:v>
      </x:c>
      <x:c r="C1584" s="153" t="n">
        <x:v>-0.42</x:v>
      </x:c>
      <x:c r="D1584" s="153" t="n">
        <x:v>1.06</x:v>
      </x:c>
      <x:c r="E1584" s="153" t="n">
        <x:v>123.1492</x:v>
      </x:c>
      <x:c r="F1584" s="153" t="n">
        <x:v>37.19</x:v>
      </x:c>
      <x:c r="G1584" s="153" t="n">
        <x:v>0.05</x:v>
      </x:c>
    </x:row>
    <x:row r="1585">
      <x:c r="A1585" s="155" t="n">
        <x:v>43953</x:v>
      </x:c>
      <x:c r="B1585" s="153"/>
      <x:c r="C1585" s="153"/>
      <x:c r="D1585" s="153"/>
      <x:c r="E1585" s="153"/>
      <x:c r="F1585" s="153"/>
      <x:c r="G1585" s="153" t="n">
        <x:v>0.05</x:v>
      </x:c>
    </x:row>
    <x:row r="1586">
      <x:c r="A1586" s="155" t="n">
        <x:v>43954</x:v>
      </x:c>
      <x:c r="B1586" s="153"/>
      <x:c r="C1586" s="153"/>
      <x:c r="D1586" s="153"/>
      <x:c r="E1586" s="153"/>
      <x:c r="F1586" s="153"/>
      <x:c r="G1586" s="153" t="n">
        <x:v>0.05</x:v>
      </x:c>
    </x:row>
    <x:row r="1587">
      <x:c r="A1587" s="155" t="n">
        <x:v>43955</x:v>
      </x:c>
      <x:c r="B1587" s="153" t="n">
        <x:v>0.64</x:v>
      </x:c>
      <x:c r="C1587" s="153" t="n">
        <x:v>-0.43</x:v>
      </x:c>
      <x:c r="D1587" s="153" t="n">
        <x:v>1.07</x:v>
      </x:c>
      <x:c r="E1587" s="153" t="n">
        <x:v>123.2117</x:v>
      </x:c>
      <x:c r="F1587" s="153" t="n">
        <x:v>35.97</x:v>
      </x:c>
      <x:c r="G1587" s="153" t="n">
        <x:v>0.05</x:v>
      </x:c>
    </x:row>
    <x:row r="1588">
      <x:c r="A1588" s="155" t="n">
        <x:v>43956</x:v>
      </x:c>
      <x:c r="B1588" s="153" t="n">
        <x:v>0.66</x:v>
      </x:c>
      <x:c r="C1588" s="153" t="n">
        <x:v>-0.44</x:v>
      </x:c>
      <x:c r="D1588" s="153" t="n">
        <x:v>1.1</x:v>
      </x:c>
      <x:c r="E1588" s="153" t="n">
        <x:v>122.803</x:v>
      </x:c>
      <x:c r="F1588" s="153" t="n">
        <x:v>33.61</x:v>
      </x:c>
      <x:c r="G1588" s="153" t="n">
        <x:v>0.05</x:v>
      </x:c>
    </x:row>
    <x:row r="1589">
      <x:c r="A1589" s="155" t="n">
        <x:v>43957</x:v>
      </x:c>
      <x:c r="B1589" s="153" t="n">
        <x:v>0.72</x:v>
      </x:c>
      <x:c r="C1589" s="153" t="n">
        <x:v>-0.38</x:v>
      </x:c>
      <x:c r="D1589" s="153" t="n">
        <x:v>1.1</x:v>
      </x:c>
      <x:c r="E1589" s="153" t="n">
        <x:v>123.609</x:v>
      </x:c>
      <x:c r="F1589" s="153" t="n">
        <x:v>34.12</x:v>
      </x:c>
      <x:c r="G1589" s="153" t="n">
        <x:v>0.05</x:v>
      </x:c>
    </x:row>
    <x:row r="1590">
      <x:c r="A1590" s="155" t="n">
        <x:v>43958</x:v>
      </x:c>
      <x:c r="B1590" s="153" t="n">
        <x:v>0.63</x:v>
      </x:c>
      <x:c r="C1590" s="153" t="n">
        <x:v>-0.45</x:v>
      </x:c>
      <x:c r="D1590" s="153" t="n">
        <x:v>1.08</x:v>
      </x:c>
      <x:c r="E1590" s="153" t="n">
        <x:v>123.1249</x:v>
      </x:c>
      <x:c r="F1590" s="153" t="n">
        <x:v>31.44</x:v>
      </x:c>
      <x:c r="G1590" s="153" t="n">
        <x:v>0.05</x:v>
      </x:c>
    </x:row>
    <x:row r="1591">
      <x:c r="A1591" s="155" t="n">
        <x:v>43959</x:v>
      </x:c>
      <x:c r="B1591" s="153" t="n">
        <x:v>0.69</x:v>
      </x:c>
      <x:c r="C1591" s="153" t="n">
        <x:v>-0.43</x:v>
      </x:c>
      <x:c r="D1591" s="153" t="n">
        <x:v>1.12</x:v>
      </x:c>
      <x:c r="E1591" s="153" t="n">
        <x:v>122.5379</x:v>
      </x:c>
      <x:c r="F1591" s="153" t="n">
        <x:v>27.98</x:v>
      </x:c>
      <x:c r="G1591" s="153" t="n">
        <x:v>0.05</x:v>
      </x:c>
    </x:row>
    <x:row r="1592">
      <x:c r="A1592" s="155" t="n">
        <x:v>43960</x:v>
      </x:c>
      <x:c r="B1592" s="153"/>
      <x:c r="C1592" s="153"/>
      <x:c r="D1592" s="153"/>
      <x:c r="E1592" s="153"/>
      <x:c r="F1592" s="153"/>
      <x:c r="G1592" s="153" t="n">
        <x:v>0.05</x:v>
      </x:c>
    </x:row>
    <x:row r="1593">
      <x:c r="A1593" s="155" t="n">
        <x:v>43961</x:v>
      </x:c>
      <x:c r="B1593" s="153"/>
      <x:c r="C1593" s="153"/>
      <x:c r="D1593" s="153"/>
      <x:c r="E1593" s="153"/>
      <x:c r="F1593" s="153"/>
      <x:c r="G1593" s="153" t="n">
        <x:v>0.05</x:v>
      </x:c>
    </x:row>
    <x:row r="1594">
      <x:c r="A1594" s="155" t="n">
        <x:v>43962</x:v>
      </x:c>
      <x:c r="B1594" s="153" t="n">
        <x:v>0.73</x:v>
      </x:c>
      <x:c r="C1594" s="153" t="n">
        <x:v>-0.4</x:v>
      </x:c>
      <x:c r="D1594" s="153" t="n">
        <x:v>1.13</x:v>
      </x:c>
      <x:c r="E1594" s="153" t="n">
        <x:v>123.2333</x:v>
      </x:c>
      <x:c r="F1594" s="153" t="n">
        <x:v>27.57</x:v>
      </x:c>
      <x:c r="G1594" s="153" t="n">
        <x:v>0.05</x:v>
      </x:c>
    </x:row>
    <x:row r="1595">
      <x:c r="A1595" s="155" t="n">
        <x:v>43963</x:v>
      </x:c>
      <x:c r="B1595" s="153" t="n">
        <x:v>0.69</x:v>
      </x:c>
      <x:c r="C1595" s="153" t="n">
        <x:v>-0.4</x:v>
      </x:c>
      <x:c r="D1595" s="153" t="n">
        <x:v>1.09</x:v>
      </x:c>
      <x:c r="E1595" s="153" t="n">
        <x:v>123.0592</x:v>
      </x:c>
      <x:c r="F1595" s="153" t="n">
        <x:v>33.04</x:v>
      </x:c>
      <x:c r="G1595" s="153" t="n">
        <x:v>0.05</x:v>
      </x:c>
    </x:row>
    <x:row r="1596">
      <x:c r="A1596" s="155" t="n">
        <x:v>43964</x:v>
      </x:c>
      <x:c r="B1596" s="153" t="n">
        <x:v>0.64</x:v>
      </x:c>
      <x:c r="C1596" s="153" t="n">
        <x:v>-0.43</x:v>
      </x:c>
      <x:c r="D1596" s="153" t="n">
        <x:v>1.07</x:v>
      </x:c>
      <x:c r="E1596" s="153" t="n">
        <x:v>123.5408</x:v>
      </x:c>
      <x:c r="F1596" s="153" t="n">
        <x:v>35.28</x:v>
      </x:c>
      <x:c r="G1596" s="153" t="n">
        <x:v>0.05</x:v>
      </x:c>
    </x:row>
    <x:row r="1597">
      <x:c r="A1597" s="155" t="n">
        <x:v>43965</x:v>
      </x:c>
      <x:c r="B1597" s="153" t="n">
        <x:v>0.63</x:v>
      </x:c>
      <x:c r="C1597" s="153" t="n">
        <x:v>-0.43</x:v>
      </x:c>
      <x:c r="D1597" s="153" t="n">
        <x:v>1.06</x:v>
      </x:c>
      <x:c r="E1597" s="153" t="n">
        <x:v>123.6429</x:v>
      </x:c>
      <x:c r="F1597" s="153" t="n">
        <x:v>32.61</x:v>
      </x:c>
      <x:c r="G1597" s="153" t="n">
        <x:v>0.05</x:v>
      </x:c>
    </x:row>
    <x:row r="1598">
      <x:c r="A1598" s="155" t="n">
        <x:v>43966</x:v>
      </x:c>
      <x:c r="B1598" s="153" t="n">
        <x:v>0.64</x:v>
      </x:c>
      <x:c r="C1598" s="153" t="n">
        <x:v>-0.45</x:v>
      </x:c>
      <x:c r="D1598" s="153" t="n">
        <x:v>1.09</x:v>
      </x:c>
      <x:c r="E1598" s="153" t="n">
        <x:v>123.5991</x:v>
      </x:c>
      <x:c r="F1598" s="153" t="n">
        <x:v>31.89</x:v>
      </x:c>
      <x:c r="G1598" s="153" t="n">
        <x:v>0.05</x:v>
      </x:c>
    </x:row>
    <x:row r="1599">
      <x:c r="A1599" s="155" t="n">
        <x:v>43967</x:v>
      </x:c>
      <x:c r="B1599" s="153"/>
      <x:c r="C1599" s="153"/>
      <x:c r="D1599" s="153"/>
      <x:c r="E1599" s="153"/>
      <x:c r="F1599" s="153"/>
      <x:c r="G1599" s="153" t="n">
        <x:v>0.05</x:v>
      </x:c>
    </x:row>
    <x:row r="1600">
      <x:c r="A1600" s="155" t="n">
        <x:v>43968</x:v>
      </x:c>
      <x:c r="B1600" s="153"/>
      <x:c r="C1600" s="153"/>
      <x:c r="D1600" s="153"/>
      <x:c r="E1600" s="153"/>
      <x:c r="F1600" s="153"/>
      <x:c r="G1600" s="153" t="n">
        <x:v>0.05</x:v>
      </x:c>
    </x:row>
    <x:row r="1601">
      <x:c r="A1601" s="155" t="n">
        <x:v>43969</x:v>
      </x:c>
      <x:c r="B1601" s="153" t="n">
        <x:v>0.73</x:v>
      </x:c>
      <x:c r="C1601" s="153" t="n">
        <x:v>-0.44</x:v>
      </x:c>
      <x:c r="D1601" s="153" t="n">
        <x:v>1.17</x:v>
      </x:c>
      <x:c r="E1601" s="153" t="n">
        <x:v>122.7968</x:v>
      </x:c>
      <x:c r="F1601" s="153" t="n">
        <x:v>29.3</x:v>
      </x:c>
      <x:c r="G1601" s="153" t="n">
        <x:v>0.05</x:v>
      </x:c>
    </x:row>
    <x:row r="1602">
      <x:c r="A1602" s="155" t="n">
        <x:v>43970</x:v>
      </x:c>
      <x:c r="B1602" s="153" t="n">
        <x:v>0.7</x:v>
      </x:c>
      <x:c r="C1602" s="153" t="n">
        <x:v>-0.45</x:v>
      </x:c>
      <x:c r="D1602" s="153" t="n">
        <x:v>1.15</x:v>
      </x:c>
      <x:c r="E1602" s="153" t="n">
        <x:v>122.5655</x:v>
      </x:c>
      <x:c r="F1602" s="153" t="n">
        <x:v>30.53</x:v>
      </x:c>
      <x:c r="G1602" s="153" t="n">
        <x:v>0.05</x:v>
      </x:c>
    </x:row>
    <x:row r="1603">
      <x:c r="A1603" s="155" t="n">
        <x:v>43971</x:v>
      </x:c>
      <x:c r="B1603" s="153" t="n">
        <x:v>0.68</x:v>
      </x:c>
      <x:c r="C1603" s="153" t="n">
        <x:v>-0.48</x:v>
      </x:c>
      <x:c r="D1603" s="153" t="n">
        <x:v>1.16</x:v>
      </x:c>
      <x:c r="E1603" s="153" t="n">
        <x:v>122.1007</x:v>
      </x:c>
      <x:c r="F1603" s="153" t="n">
        <x:v>27.99</x:v>
      </x:c>
      <x:c r="G1603" s="153" t="n">
        <x:v>0.05</x:v>
      </x:c>
    </x:row>
    <x:row r="1604">
      <x:c r="A1604" s="155" t="n">
        <x:v>43972</x:v>
      </x:c>
      <x:c r="B1604" s="153" t="n">
        <x:v>0.68</x:v>
      </x:c>
      <x:c r="C1604" s="153" t="n">
        <x:v>-0.46</x:v>
      </x:c>
      <x:c r="D1604" s="153" t="n">
        <x:v>1.14</x:v>
      </x:c>
      <x:c r="E1604" s="153" t="n">
        <x:v>122.0914</x:v>
      </x:c>
      <x:c r="F1604" s="153" t="n">
        <x:v>29.53</x:v>
      </x:c>
      <x:c r="G1604" s="153" t="n">
        <x:v>0.05</x:v>
      </x:c>
    </x:row>
    <x:row r="1605">
      <x:c r="A1605" s="155" t="n">
        <x:v>43973</x:v>
      </x:c>
      <x:c r="B1605" s="153" t="n">
        <x:v>0.66</x:v>
      </x:c>
      <x:c r="C1605" s="153" t="n">
        <x:v>-0.46</x:v>
      </x:c>
      <x:c r="D1605" s="153" t="n">
        <x:v>1.12</x:v>
      </x:c>
      <x:c r="E1605" s="153" t="n">
        <x:v>122.3211</x:v>
      </x:c>
      <x:c r="F1605" s="153" t="n">
        <x:v>28.16</x:v>
      </x:c>
      <x:c r="G1605" s="153" t="n">
        <x:v>0.05</x:v>
      </x:c>
    </x:row>
    <x:row r="1606">
      <x:c r="A1606" s="155" t="n">
        <x:v>43974</x:v>
      </x:c>
      <x:c r="B1606" s="153"/>
      <x:c r="C1606" s="153"/>
      <x:c r="D1606" s="153"/>
      <x:c r="E1606" s="153"/>
      <x:c r="F1606" s="153"/>
      <x:c r="G1606" s="153" t="n">
        <x:v>0.05</x:v>
      </x:c>
    </x:row>
    <x:row r="1607">
      <x:c r="A1607" s="155" t="n">
        <x:v>43975</x:v>
      </x:c>
      <x:c r="B1607" s="153"/>
      <x:c r="C1607" s="153"/>
      <x:c r="D1607" s="153"/>
      <x:c r="E1607" s="153"/>
      <x:c r="F1607" s="153"/>
      <x:c r="G1607" s="153" t="n">
        <x:v>0.05</x:v>
      </x:c>
    </x:row>
    <x:row r="1608">
      <x:c r="A1608" s="155" t="n">
        <x:v>43976</x:v>
      </x:c>
      <x:c r="B1608" s="153"/>
      <x:c r="C1608" s="153"/>
      <x:c r="D1608" s="153"/>
      <x:c r="E1608" s="153"/>
      <x:c r="F1608" s="153"/>
      <x:c r="G1608" s="153" t="n">
        <x:v>0.05</x:v>
      </x:c>
    </x:row>
    <x:row r="1609">
      <x:c r="A1609" s="155" t="n">
        <x:v>43977</x:v>
      </x:c>
      <x:c r="B1609" s="153" t="n">
        <x:v>0.69</x:v>
      </x:c>
      <x:c r="C1609" s="153" t="n">
        <x:v>-0.44</x:v>
      </x:c>
      <x:c r="D1609" s="153" t="n">
        <x:v>1.13</x:v>
      </x:c>
      <x:c r="E1609" s="153" t="n">
        <x:v>121.3864</x:v>
      </x:c>
      <x:c r="F1609" s="153" t="n">
        <x:v>28.01</x:v>
      </x:c>
      <x:c r="G1609" s="153" t="n">
        <x:v>0.05</x:v>
      </x:c>
    </x:row>
    <x:row r="1610">
      <x:c r="A1610" s="155" t="n">
        <x:v>43978</x:v>
      </x:c>
      <x:c r="B1610" s="153" t="n">
        <x:v>0.68</x:v>
      </x:c>
      <x:c r="C1610" s="153" t="n">
        <x:v>-0.46</x:v>
      </x:c>
      <x:c r="D1610" s="153" t="n">
        <x:v>1.14</x:v>
      </x:c>
      <x:c r="E1610" s="153" t="n">
        <x:v>121.5677</x:v>
      </x:c>
      <x:c r="F1610" s="153" t="n">
        <x:v>27.62</x:v>
      </x:c>
      <x:c r="G1610" s="153" t="n">
        <x:v>0.05</x:v>
      </x:c>
    </x:row>
    <x:row r="1611">
      <x:c r="A1611" s="155" t="n">
        <x:v>43979</x:v>
      </x:c>
      <x:c r="B1611" s="153" t="n">
        <x:v>0.7</x:v>
      </x:c>
      <x:c r="C1611" s="153" t="n">
        <x:v>-0.48</x:v>
      </x:c>
      <x:c r="D1611" s="153" t="n">
        <x:v>1.18</x:v>
      </x:c>
      <x:c r="E1611" s="153" t="n">
        <x:v>121.0138</x:v>
      </x:c>
      <x:c r="F1611" s="153" t="n">
        <x:v>28.59</x:v>
      </x:c>
      <x:c r="G1611" s="153" t="n">
        <x:v>0.05</x:v>
      </x:c>
    </x:row>
    <x:row r="1612">
      <x:c r="A1612" s="155" t="n">
        <x:v>43980</x:v>
      </x:c>
      <x:c r="B1612" s="153" t="n">
        <x:v>0.65</x:v>
      </x:c>
      <x:c r="C1612" s="153" t="n">
        <x:v>-0.5</x:v>
      </x:c>
      <x:c r="D1612" s="153" t="n">
        <x:v>1.15</x:v>
      </x:c>
      <x:c r="E1612" s="153" t="n">
        <x:v>120.9458</x:v>
      </x:c>
      <x:c r="F1612" s="153" t="n">
        <x:v>27.51</x:v>
      </x:c>
      <x:c r="G1612" s="153" t="n">
        <x:v>0.05</x:v>
      </x:c>
    </x:row>
    <x:row r="1613">
      <x:c r="A1613" s="155" t="n">
        <x:v>43981</x:v>
      </x:c>
      <x:c r="B1613" s="153"/>
      <x:c r="C1613" s="153"/>
      <x:c r="D1613" s="153"/>
      <x:c r="E1613" s="153"/>
      <x:c r="F1613" s="153"/>
      <x:c r="G1613" s="153" t="n">
        <x:v>0.05</x:v>
      </x:c>
    </x:row>
    <x:row r="1614">
      <x:c r="A1614" s="155" t="n">
        <x:v>43982</x:v>
      </x:c>
      <x:c r="B1614" s="153"/>
      <x:c r="C1614" s="153"/>
      <x:c r="D1614" s="153"/>
      <x:c r="E1614" s="153"/>
      <x:c r="F1614" s="153"/>
      <x:c r="G1614" s="153" t="n">
        <x:v>0.05</x:v>
      </x:c>
    </x:row>
    <x:row r="1615">
      <x:c r="A1615" s="155" t="n">
        <x:v>43983</x:v>
      </x:c>
      <x:c r="B1615" s="153" t="n">
        <x:v>0.66</x:v>
      </x:c>
      <x:c r="C1615" s="153" t="n">
        <x:v>-0.52</x:v>
      </x:c>
      <x:c r="D1615" s="153" t="n">
        <x:v>1.18</x:v>
      </x:c>
      <x:c r="E1615" s="153" t="n">
        <x:v>120.2686</x:v>
      </x:c>
      <x:c r="F1615" s="153" t="n">
        <x:v>28.23</x:v>
      </x:c>
      <x:c r="G1615" s="153" t="n">
        <x:v>0.05</x:v>
      </x:c>
    </x:row>
    <x:row r="1616">
      <x:c r="A1616" s="155" t="n">
        <x:v>43984</x:v>
      </x:c>
      <x:c r="B1616" s="153" t="n">
        <x:v>0.68</x:v>
      </x:c>
      <x:c r="C1616" s="153" t="n">
        <x:v>-0.5</x:v>
      </x:c>
      <x:c r="D1616" s="153" t="n">
        <x:v>1.18</x:v>
      </x:c>
      <x:c r="E1616" s="153" t="n">
        <x:v>119.6854</x:v>
      </x:c>
      <x:c r="F1616" s="153" t="n">
        <x:v>26.84</x:v>
      </x:c>
      <x:c r="G1616" s="153" t="n">
        <x:v>0.06</x:v>
      </x:c>
    </x:row>
    <x:row r="1617">
      <x:c r="A1617" s="155" t="n">
        <x:v>43985</x:v>
      </x:c>
      <x:c r="B1617" s="153" t="n">
        <x:v>0.77</x:v>
      </x:c>
      <x:c r="C1617" s="153" t="n">
        <x:v>-0.44</x:v>
      </x:c>
      <x:c r="D1617" s="153" t="n">
        <x:v>1.21</x:v>
      </x:c>
      <x:c r="E1617" s="153" t="n">
        <x:v>119.2556</x:v>
      </x:c>
      <x:c r="F1617" s="153" t="n">
        <x:v>25.66</x:v>
      </x:c>
      <x:c r="G1617" s="153" t="n">
        <x:v>0.06</x:v>
      </x:c>
    </x:row>
    <x:row r="1618">
      <x:c r="A1618" s="155" t="n">
        <x:v>43986</x:v>
      </x:c>
      <x:c r="B1618" s="153" t="n">
        <x:v>0.82</x:v>
      </x:c>
      <x:c r="C1618" s="153" t="n">
        <x:v>-0.4</x:v>
      </x:c>
      <x:c r="D1618" s="153" t="n">
        <x:v>1.22</x:v>
      </x:c>
      <x:c r="E1618" s="153" t="n">
        <x:v>119.3014</x:v>
      </x:c>
      <x:c r="F1618" s="153" t="n">
        <x:v>25.81</x:v>
      </x:c>
      <x:c r="G1618" s="153" t="n">
        <x:v>0.06</x:v>
      </x:c>
    </x:row>
    <x:row r="1619">
      <x:c r="A1619" s="155" t="n">
        <x:v>43987</x:v>
      </x:c>
      <x:c r="B1619" s="153" t="n">
        <x:v>0.91</x:v>
      </x:c>
      <x:c r="C1619" s="153" t="n">
        <x:v>-0.36</x:v>
      </x:c>
      <x:c r="D1619" s="153" t="n">
        <x:v>1.27</x:v>
      </x:c>
      <x:c r="E1619" s="153" t="n">
        <x:v>118.8138</x:v>
      </x:c>
      <x:c r="F1619" s="153" t="n">
        <x:v>24.52</x:v>
      </x:c>
      <x:c r="G1619" s="153" t="n">
        <x:v>0.07</x:v>
      </x:c>
    </x:row>
    <x:row r="1620">
      <x:c r="A1620" s="155" t="n">
        <x:v>43988</x:v>
      </x:c>
      <x:c r="B1620" s="153"/>
      <x:c r="C1620" s="153"/>
      <x:c r="D1620" s="153"/>
      <x:c r="E1620" s="153"/>
      <x:c r="F1620" s="153"/>
      <x:c r="G1620" s="153" t="n">
        <x:v>0.07</x:v>
      </x:c>
    </x:row>
    <x:row r="1621">
      <x:c r="A1621" s="155" t="n">
        <x:v>43989</x:v>
      </x:c>
      <x:c r="B1621" s="153"/>
      <x:c r="C1621" s="153"/>
      <x:c r="D1621" s="153"/>
      <x:c r="E1621" s="153"/>
      <x:c r="F1621" s="153"/>
      <x:c r="G1621" s="153" t="n">
        <x:v>0.07</x:v>
      </x:c>
    </x:row>
    <x:row r="1622">
      <x:c r="A1622" s="155" t="n">
        <x:v>43990</x:v>
      </x:c>
      <x:c r="B1622" s="153" t="n">
        <x:v>0.88</x:v>
      </x:c>
      <x:c r="C1622" s="153" t="n">
        <x:v>-0.4</x:v>
      </x:c>
      <x:c r="D1622" s="153" t="n">
        <x:v>1.28</x:v>
      </x:c>
      <x:c r="E1622" s="153" t="n">
        <x:v>118.6621</x:v>
      </x:c>
      <x:c r="F1622" s="153" t="n">
        <x:v>25.81</x:v>
      </x:c>
      <x:c r="G1622" s="153" t="n">
        <x:v>0.07</x:v>
      </x:c>
    </x:row>
    <x:row r="1623">
      <x:c r="A1623" s="155" t="n">
        <x:v>43991</x:v>
      </x:c>
      <x:c r="B1623" s="153" t="n">
        <x:v>0.84</x:v>
      </x:c>
      <x:c r="C1623" s="153" t="n">
        <x:v>-0.42</x:v>
      </x:c>
      <x:c r="D1623" s="153" t="n">
        <x:v>1.26</x:v>
      </x:c>
      <x:c r="E1623" s="153" t="n">
        <x:v>118.5893</x:v>
      </x:c>
      <x:c r="F1623" s="153" t="n">
        <x:v>27.57</x:v>
      </x:c>
      <x:c r="G1623" s="153" t="n">
        <x:v>0.07</x:v>
      </x:c>
    </x:row>
    <x:row r="1624">
      <x:c r="A1624" s="155" t="n">
        <x:v>43992</x:v>
      </x:c>
      <x:c r="B1624" s="153" t="n">
        <x:v>0.75</x:v>
      </x:c>
      <x:c r="C1624" s="153" t="n">
        <x:v>-0.52</x:v>
      </x:c>
      <x:c r="D1624" s="153" t="n">
        <x:v>1.27</x:v>
      </x:c>
      <x:c r="E1624" s="153" t="n">
        <x:v>118.5231</x:v>
      </x:c>
      <x:c r="F1624" s="153" t="n">
        <x:v>27.57</x:v>
      </x:c>
      <x:c r="G1624" s="153" t="n">
        <x:v>0.08</x:v>
      </x:c>
    </x:row>
    <x:row r="1625">
      <x:c r="A1625" s="155" t="n">
        <x:v>43993</x:v>
      </x:c>
      <x:c r="B1625" s="153" t="n">
        <x:v>0.66</x:v>
      </x:c>
      <x:c r="C1625" s="153" t="n">
        <x:v>-0.55</x:v>
      </x:c>
      <x:c r="D1625" s="153" t="n">
        <x:v>1.21</x:v>
      </x:c>
      <x:c r="E1625" s="153" t="n">
        <x:v>119.2347</x:v>
      </x:c>
      <x:c r="F1625" s="153" t="n">
        <x:v>40.79</x:v>
      </x:c>
      <x:c r="G1625" s="153" t="n">
        <x:v>0.08</x:v>
      </x:c>
    </x:row>
    <x:row r="1626">
      <x:c r="A1626" s="155" t="n">
        <x:v>43994</x:v>
      </x:c>
      <x:c r="B1626" s="153" t="n">
        <x:v>0.71</x:v>
      </x:c>
      <x:c r="C1626" s="153" t="n">
        <x:v>-0.5</x:v>
      </x:c>
      <x:c r="D1626" s="153" t="n">
        <x:v>1.21</x:v>
      </x:c>
      <x:c r="E1626" s="153" t="n">
        <x:v>119.6645</x:v>
      </x:c>
      <x:c r="F1626" s="153" t="n">
        <x:v>36.09</x:v>
      </x:c>
      <x:c r="G1626" s="153" t="n">
        <x:v>0.08</x:v>
      </x:c>
    </x:row>
    <x:row r="1627">
      <x:c r="A1627" s="155" t="n">
        <x:v>43995</x:v>
      </x:c>
      <x:c r="B1627" s="153"/>
      <x:c r="C1627" s="153"/>
      <x:c r="D1627" s="153"/>
      <x:c r="E1627" s="153"/>
      <x:c r="F1627" s="153"/>
      <x:c r="G1627" s="153" t="n">
        <x:v>0.08</x:v>
      </x:c>
    </x:row>
    <x:row r="1628">
      <x:c r="A1628" s="155" t="n">
        <x:v>43996</x:v>
      </x:c>
      <x:c r="B1628" s="153"/>
      <x:c r="C1628" s="153"/>
      <x:c r="D1628" s="153"/>
      <x:c r="E1628" s="153"/>
      <x:c r="F1628" s="153"/>
      <x:c r="G1628" s="153" t="n">
        <x:v>0.08</x:v>
      </x:c>
    </x:row>
    <x:row r="1629">
      <x:c r="A1629" s="155" t="n">
        <x:v>43997</x:v>
      </x:c>
      <x:c r="B1629" s="153" t="n">
        <x:v>0.71</x:v>
      </x:c>
      <x:c r="C1629" s="153" t="n">
        <x:v>-0.52</x:v>
      </x:c>
      <x:c r="D1629" s="153" t="n">
        <x:v>1.23</x:v>
      </x:c>
      <x:c r="E1629" s="153" t="n">
        <x:v>119.9539</x:v>
      </x:c>
      <x:c r="F1629" s="153" t="n">
        <x:v>34.4</x:v>
      </x:c>
      <x:c r="G1629" s="153" t="n">
        <x:v>0.09</x:v>
      </x:c>
    </x:row>
    <x:row r="1630">
      <x:c r="A1630" s="155" t="n">
        <x:v>43998</x:v>
      </x:c>
      <x:c r="B1630" s="153" t="n">
        <x:v>0.75</x:v>
      </x:c>
      <x:c r="C1630" s="153" t="n">
        <x:v>-0.52</x:v>
      </x:c>
      <x:c r="D1630" s="153" t="n">
        <x:v>1.27</x:v>
      </x:c>
      <x:c r="E1630" s="153" t="n">
        <x:v>119.567</x:v>
      </x:c>
      <x:c r="F1630" s="153" t="n">
        <x:v>33.67</x:v>
      </x:c>
      <x:c r="G1630" s="153" t="n">
        <x:v>0.09</x:v>
      </x:c>
    </x:row>
    <x:row r="1631">
      <x:c r="A1631" s="155" t="n">
        <x:v>43999</x:v>
      </x:c>
      <x:c r="B1631" s="153" t="n">
        <x:v>0.74</x:v>
      </x:c>
      <x:c r="C1631" s="153" t="n">
        <x:v>-0.52</x:v>
      </x:c>
      <x:c r="D1631" s="153" t="n">
        <x:v>1.26</x:v>
      </x:c>
      <x:c r="E1631" s="153" t="n">
        <x:v>119.9105</x:v>
      </x:c>
      <x:c r="F1631" s="153" t="n">
        <x:v>33.47</x:v>
      </x:c>
      <x:c r="G1631" s="153" t="n">
        <x:v>0.09</x:v>
      </x:c>
    </x:row>
    <x:row r="1632">
      <x:c r="A1632" s="155" t="n">
        <x:v>44000</x:v>
      </x:c>
      <x:c r="B1632" s="153" t="n">
        <x:v>0.71</x:v>
      </x:c>
      <x:c r="C1632" s="153" t="n">
        <x:v>-0.57</x:v>
      </x:c>
      <x:c r="D1632" s="153" t="n">
        <x:v>1.28</x:v>
      </x:c>
      <x:c r="E1632" s="153" t="n">
        <x:v>120.2173</x:v>
      </x:c>
      <x:c r="F1632" s="153" t="n">
        <x:v>32.94</x:v>
      </x:c>
      <x:c r="G1632" s="153" t="n">
        <x:v>0.09</x:v>
      </x:c>
    </x:row>
    <x:row r="1633">
      <x:c r="A1633" s="155" t="n">
        <x:v>44001</x:v>
      </x:c>
      <x:c r="B1633" s="153" t="n">
        <x:v>0.7</x:v>
      </x:c>
      <x:c r="C1633" s="153" t="n">
        <x:v>-0.6</x:v>
      </x:c>
      <x:c r="D1633" s="153" t="n">
        <x:v>1.3</x:v>
      </x:c>
      <x:c r="E1633" s="153" t="n">
        <x:v>120.2186</x:v>
      </x:c>
      <x:c r="F1633" s="153" t="n">
        <x:v>35.12</x:v>
      </x:c>
      <x:c r="G1633" s="153" t="n">
        <x:v>0.09</x:v>
      </x:c>
    </x:row>
    <x:row r="1634">
      <x:c r="A1634" s="155" t="n">
        <x:v>44002</x:v>
      </x:c>
      <x:c r="B1634" s="153"/>
      <x:c r="C1634" s="153"/>
      <x:c r="D1634" s="153"/>
      <x:c r="E1634" s="153"/>
      <x:c r="F1634" s="153"/>
      <x:c r="G1634" s="153" t="n">
        <x:v>0.09</x:v>
      </x:c>
    </x:row>
    <x:row r="1635">
      <x:c r="A1635" s="155" t="n">
        <x:v>44003</x:v>
      </x:c>
      <x:c r="B1635" s="153"/>
      <x:c r="C1635" s="153"/>
      <x:c r="D1635" s="153"/>
      <x:c r="E1635" s="153"/>
      <x:c r="F1635" s="153"/>
      <x:c r="G1635" s="153" t="n">
        <x:v>0.09</x:v>
      </x:c>
    </x:row>
    <x:row r="1636">
      <x:c r="A1636" s="155" t="n">
        <x:v>44004</x:v>
      </x:c>
      <x:c r="B1636" s="153" t="n">
        <x:v>0.71</x:v>
      </x:c>
      <x:c r="C1636" s="153" t="n">
        <x:v>-0.63</x:v>
      </x:c>
      <x:c r="D1636" s="153" t="n">
        <x:v>1.34</x:v>
      </x:c>
      <x:c r="E1636" s="153" t="n">
        <x:v>119.7532</x:v>
      </x:c>
      <x:c r="F1636" s="153" t="n">
        <x:v>31.77</x:v>
      </x:c>
      <x:c r="G1636" s="153" t="n">
        <x:v>0.08</x:v>
      </x:c>
    </x:row>
    <x:row r="1637">
      <x:c r="A1637" s="155" t="n">
        <x:v>44005</x:v>
      </x:c>
      <x:c r="B1637" s="153" t="n">
        <x:v>0.72</x:v>
      </x:c>
      <x:c r="C1637" s="153" t="n">
        <x:v>-0.66</x:v>
      </x:c>
      <x:c r="D1637" s="153" t="n">
        <x:v>1.38</x:v>
      </x:c>
      <x:c r="E1637" s="153" t="n">
        <x:v>119.3285</x:v>
      </x:c>
      <x:c r="F1637" s="153" t="n">
        <x:v>31.37</x:v>
      </x:c>
      <x:c r="G1637" s="153" t="n">
        <x:v>0.08</x:v>
      </x:c>
    </x:row>
    <x:row r="1638">
      <x:c r="A1638" s="155" t="n">
        <x:v>44006</x:v>
      </x:c>
      <x:c r="B1638" s="153" t="n">
        <x:v>0.69</x:v>
      </x:c>
      <x:c r="C1638" s="153" t="n">
        <x:v>-0.64</x:v>
      </x:c>
      <x:c r="D1638" s="153" t="n">
        <x:v>1.33</x:v>
      </x:c>
      <x:c r="E1638" s="153" t="n">
        <x:v>119.9744</x:v>
      </x:c>
      <x:c r="F1638" s="153" t="n">
        <x:v>33.84</x:v>
      </x:c>
      <x:c r="G1638" s="153" t="n">
        <x:v>0.08</x:v>
      </x:c>
    </x:row>
    <x:row r="1639">
      <x:c r="A1639" s="155" t="n">
        <x:v>44007</x:v>
      </x:c>
      <x:c r="B1639" s="153" t="n">
        <x:v>0.68</x:v>
      </x:c>
      <x:c r="C1639" s="153" t="n">
        <x:v>-0.65</x:v>
      </x:c>
      <x:c r="D1639" s="153" t="n">
        <x:v>1.33</x:v>
      </x:c>
      <x:c r="E1639" s="153" t="n">
        <x:v>120.2997</x:v>
      </x:c>
      <x:c r="F1639" s="153" t="n">
        <x:v>32.22</x:v>
      </x:c>
      <x:c r="G1639" s="153" t="n">
        <x:v>0.08</x:v>
      </x:c>
    </x:row>
    <x:row r="1640">
      <x:c r="A1640" s="155" t="n">
        <x:v>44008</x:v>
      </x:c>
      <x:c r="B1640" s="153" t="n">
        <x:v>0.64</x:v>
      </x:c>
      <x:c r="C1640" s="153" t="n">
        <x:v>-0.68</x:v>
      </x:c>
      <x:c r="D1640" s="153" t="n">
        <x:v>1.32</x:v>
      </x:c>
      <x:c r="E1640" s="153" t="n">
        <x:v>120.533</x:v>
      </x:c>
      <x:c r="F1640" s="153" t="n">
        <x:v>34.73</x:v>
      </x:c>
      <x:c r="G1640" s="153" t="n">
        <x:v>0.08</x:v>
      </x:c>
    </x:row>
    <x:row r="1641">
      <x:c r="A1641" s="155" t="n">
        <x:v>44009</x:v>
      </x:c>
      <x:c r="B1641" s="153"/>
      <x:c r="C1641" s="153"/>
      <x:c r="D1641" s="153"/>
      <x:c r="E1641" s="153"/>
      <x:c r="F1641" s="153"/>
      <x:c r="G1641" s="153" t="n">
        <x:v>0.08</x:v>
      </x:c>
    </x:row>
    <x:row r="1642">
      <x:c r="A1642" s="155" t="n">
        <x:v>44010</x:v>
      </x:c>
      <x:c r="B1642" s="153"/>
      <x:c r="C1642" s="153"/>
      <x:c r="D1642" s="153"/>
      <x:c r="E1642" s="153"/>
      <x:c r="F1642" s="153"/>
      <x:c r="G1642" s="153" t="n">
        <x:v>0.08</x:v>
      </x:c>
    </x:row>
    <x:row r="1643">
      <x:c r="A1643" s="155" t="n">
        <x:v>44011</x:v>
      </x:c>
      <x:c r="B1643" s="153" t="n">
        <x:v>0.64</x:v>
      </x:c>
      <x:c r="C1643" s="153" t="n">
        <x:v>-0.7</x:v>
      </x:c>
      <x:c r="D1643" s="153" t="n">
        <x:v>1.34</x:v>
      </x:c>
      <x:c r="E1643" s="153" t="n">
        <x:v>120.6658</x:v>
      </x:c>
      <x:c r="F1643" s="153" t="n">
        <x:v>31.78</x:v>
      </x:c>
      <x:c r="G1643" s="153" t="n">
        <x:v>0.08</x:v>
      </x:c>
    </x:row>
    <x:row r="1644">
      <x:c r="A1644" s="155" t="n">
        <x:v>44012</x:v>
      </x:c>
      <x:c r="B1644" s="153" t="n">
        <x:v>0.66</x:v>
      </x:c>
      <x:c r="C1644" s="153" t="n">
        <x:v>-0.68</x:v>
      </x:c>
      <x:c r="D1644" s="153" t="n">
        <x:v>1.34</x:v>
      </x:c>
      <x:c r="E1644" s="153" t="n">
        <x:v>120.4649</x:v>
      </x:c>
      <x:c r="F1644" s="153" t="n">
        <x:v>30.43</x:v>
      </x:c>
      <x:c r="G1644" s="153" t="n">
        <x:v>0.08</x:v>
      </x:c>
    </x:row>
    <x:row r="1645">
      <x:c r="A1645" s="155" t="n">
        <x:v>44013</x:v>
      </x:c>
      <x:c r="B1645" s="153" t="n">
        <x:v>0.69</x:v>
      </x:c>
      <x:c r="C1645" s="153" t="n">
        <x:v>-0.68</x:v>
      </x:c>
      <x:c r="D1645" s="153" t="n">
        <x:v>1.37</x:v>
      </x:c>
      <x:c r="E1645" s="153" t="n">
        <x:v>120.0808</x:v>
      </x:c>
      <x:c r="F1645" s="153" t="n">
        <x:v>28.62</x:v>
      </x:c>
      <x:c r="G1645" s="153" t="n">
        <x:v>0.08</x:v>
      </x:c>
    </x:row>
    <x:row r="1646">
      <x:c r="A1646" s="155" t="n">
        <x:v>44014</x:v>
      </x:c>
      <x:c r="B1646" s="153" t="n">
        <x:v>0.68</x:v>
      </x:c>
      <x:c r="C1646" s="153" t="n">
        <x:v>-0.73</x:v>
      </x:c>
      <x:c r="D1646" s="153" t="n">
        <x:v>1.41</x:v>
      </x:c>
      <x:c r="E1646" s="153" t="n">
        <x:v>119.8555</x:v>
      </x:c>
      <x:c r="F1646" s="153" t="n">
        <x:v>27.68</x:v>
      </x:c>
      <x:c r="G1646" s="153" t="n">
        <x:v>0.09</x:v>
      </x:c>
    </x:row>
    <x:row r="1647">
      <x:c r="A1647" s="155" t="n">
        <x:v>44015</x:v>
      </x:c>
      <x:c r="B1647" s="153"/>
      <x:c r="C1647" s="153"/>
      <x:c r="D1647" s="153"/>
      <x:c r="E1647" s="153"/>
      <x:c r="F1647" s="153"/>
      <x:c r="G1647" s="153" t="n">
        <x:v>0.09</x:v>
      </x:c>
    </x:row>
    <x:row r="1648">
      <x:c r="A1648" s="155" t="n">
        <x:v>44016</x:v>
      </x:c>
      <x:c r="B1648" s="153"/>
      <x:c r="C1648" s="153"/>
      <x:c r="D1648" s="153"/>
      <x:c r="E1648" s="153"/>
      <x:c r="F1648" s="153"/>
      <x:c r="G1648" s="153" t="n">
        <x:v>0.09</x:v>
      </x:c>
    </x:row>
    <x:row r="1649">
      <x:c r="A1649" s="155" t="n">
        <x:v>44017</x:v>
      </x:c>
      <x:c r="B1649" s="153"/>
      <x:c r="C1649" s="153"/>
      <x:c r="D1649" s="153"/>
      <x:c r="E1649" s="153"/>
      <x:c r="F1649" s="153"/>
      <x:c r="G1649" s="153" t="n">
        <x:v>0.09</x:v>
      </x:c>
    </x:row>
    <x:row r="1650">
      <x:c r="A1650" s="155" t="n">
        <x:v>44018</x:v>
      </x:c>
      <x:c r="B1650" s="153" t="n">
        <x:v>0.69</x:v>
      </x:c>
      <x:c r="C1650" s="153" t="n">
        <x:v>-0.76</x:v>
      </x:c>
      <x:c r="D1650" s="153" t="n">
        <x:v>1.45</x:v>
      </x:c>
      <x:c r="E1650" s="153" t="n">
        <x:v>119.2852</x:v>
      </x:c>
      <x:c r="F1650" s="153" t="n">
        <x:v>27.94</x:v>
      </x:c>
      <x:c r="G1650" s="153" t="n">
        <x:v>0.09</x:v>
      </x:c>
    </x:row>
    <x:row r="1651">
      <x:c r="A1651" s="155" t="n">
        <x:v>44019</x:v>
      </x:c>
      <x:c r="B1651" s="153" t="n">
        <x:v>0.65</x:v>
      </x:c>
      <x:c r="C1651" s="153" t="n">
        <x:v>-0.78</x:v>
      </x:c>
      <x:c r="D1651" s="153" t="n">
        <x:v>1.43</x:v>
      </x:c>
      <x:c r="E1651" s="153" t="n">
        <x:v>119.5717</x:v>
      </x:c>
      <x:c r="F1651" s="153" t="n">
        <x:v>29.43</x:v>
      </x:c>
      <x:c r="G1651" s="153" t="n">
        <x:v>0.09</x:v>
      </x:c>
    </x:row>
    <x:row r="1652">
      <x:c r="A1652" s="155" t="n">
        <x:v>44020</x:v>
      </x:c>
      <x:c r="B1652" s="153" t="n">
        <x:v>0.67</x:v>
      </x:c>
      <x:c r="C1652" s="153" t="n">
        <x:v>-0.75</x:v>
      </x:c>
      <x:c r="D1652" s="153" t="n">
        <x:v>1.42</x:v>
      </x:c>
      <x:c r="E1652" s="153" t="n">
        <x:v>119.5525</x:v>
      </x:c>
      <x:c r="F1652" s="153" t="n">
        <x:v>28.08</x:v>
      </x:c>
      <x:c r="G1652" s="153" t="n">
        <x:v>0.09</x:v>
      </x:c>
    </x:row>
    <x:row r="1653">
      <x:c r="A1653" s="155" t="n">
        <x:v>44021</x:v>
      </x:c>
      <x:c r="B1653" s="153" t="n">
        <x:v>0.62</x:v>
      </x:c>
      <x:c r="C1653" s="153" t="n">
        <x:v>-0.77</x:v>
      </x:c>
      <x:c r="D1653" s="153" t="n">
        <x:v>1.39</x:v>
      </x:c>
      <x:c r="E1653" s="153" t="n">
        <x:v>119.5129</x:v>
      </x:c>
      <x:c r="F1653" s="153" t="n">
        <x:v>29.26</x:v>
      </x:c>
      <x:c r="G1653" s="153" t="n">
        <x:v>0.09</x:v>
      </x:c>
    </x:row>
    <x:row r="1654">
      <x:c r="A1654" s="155" t="n">
        <x:v>44022</x:v>
      </x:c>
      <x:c r="B1654" s="153" t="n">
        <x:v>0.65</x:v>
      </x:c>
      <x:c r="C1654" s="153" t="n">
        <x:v>-0.76</x:v>
      </x:c>
      <x:c r="D1654" s="153" t="n">
        <x:v>1.41</x:v>
      </x:c>
      <x:c r="E1654" s="153" t="n">
        <x:v>119.3509</x:v>
      </x:c>
      <x:c r="F1654" s="153" t="n">
        <x:v>27.29</x:v>
      </x:c>
      <x:c r="G1654" s="153" t="n">
        <x:v>0.09</x:v>
      </x:c>
    </x:row>
    <x:row r="1655">
      <x:c r="A1655" s="155" t="n">
        <x:v>44023</x:v>
      </x:c>
      <x:c r="B1655" s="153"/>
      <x:c r="C1655" s="153"/>
      <x:c r="D1655" s="153"/>
      <x:c r="E1655" s="153"/>
      <x:c r="F1655" s="153"/>
      <x:c r="G1655" s="153" t="n">
        <x:v>0.09</x:v>
      </x:c>
    </x:row>
    <x:row r="1656">
      <x:c r="A1656" s="155" t="n">
        <x:v>44024</x:v>
      </x:c>
      <x:c r="B1656" s="153"/>
      <x:c r="C1656" s="153"/>
      <x:c r="D1656" s="153"/>
      <x:c r="E1656" s="153"/>
      <x:c r="F1656" s="153"/>
      <x:c r="G1656" s="153" t="n">
        <x:v>0.09</x:v>
      </x:c>
    </x:row>
    <x:row r="1657">
      <x:c r="A1657" s="155" t="n">
        <x:v>44025</x:v>
      </x:c>
      <x:c r="B1657" s="153" t="n">
        <x:v>0.64</x:v>
      </x:c>
      <x:c r="C1657" s="153" t="n">
        <x:v>-0.78</x:v>
      </x:c>
      <x:c r="D1657" s="153" t="n">
        <x:v>1.42</x:v>
      </x:c>
      <x:c r="E1657" s="153" t="n">
        <x:v>119.1891</x:v>
      </x:c>
      <x:c r="F1657" s="153" t="n">
        <x:v>32.19</x:v>
      </x:c>
      <x:c r="G1657" s="153" t="n">
        <x:v>0.09</x:v>
      </x:c>
    </x:row>
    <x:row r="1658">
      <x:c r="A1658" s="155" t="n">
        <x:v>44026</x:v>
      </x:c>
      <x:c r="B1658" s="153" t="n">
        <x:v>0.63</x:v>
      </x:c>
      <x:c r="C1658" s="153" t="n">
        <x:v>-0.78</x:v>
      </x:c>
      <x:c r="D1658" s="153" t="n">
        <x:v>1.41</x:v>
      </x:c>
      <x:c r="E1658" s="153" t="n">
        <x:v>119.3901</x:v>
      </x:c>
      <x:c r="F1658" s="153" t="n">
        <x:v>29.52</x:v>
      </x:c>
      <x:c r="G1658" s="153" t="n">
        <x:v>0.09</x:v>
      </x:c>
    </x:row>
    <x:row r="1659">
      <x:c r="A1659" s="155" t="n">
        <x:v>44027</x:v>
      </x:c>
      <x:c r="B1659" s="153" t="n">
        <x:v>0.64</x:v>
      </x:c>
      <x:c r="C1659" s="153" t="n">
        <x:v>-0.77</x:v>
      </x:c>
      <x:c r="D1659" s="153" t="n">
        <x:v>1.41</x:v>
      </x:c>
      <x:c r="E1659" s="153" t="n">
        <x:v>119.0331</x:v>
      </x:c>
      <x:c r="F1659" s="153" t="n">
        <x:v>27.76</x:v>
      </x:c>
      <x:c r="G1659" s="153" t="n">
        <x:v>0.1</x:v>
      </x:c>
    </x:row>
    <x:row r="1660">
      <x:c r="A1660" s="155" t="n">
        <x:v>44028</x:v>
      </x:c>
      <x:c r="B1660" s="153" t="n">
        <x:v>0.62</x:v>
      </x:c>
      <x:c r="C1660" s="153" t="n">
        <x:v>-0.79</x:v>
      </x:c>
      <x:c r="D1660" s="153" t="n">
        <x:v>1.41</x:v>
      </x:c>
      <x:c r="E1660" s="153" t="n">
        <x:v>118.9275</x:v>
      </x:c>
      <x:c r="F1660" s="153" t="n">
        <x:v>28</x:v>
      </x:c>
      <x:c r="G1660" s="153" t="n">
        <x:v>0.1</x:v>
      </x:c>
    </x:row>
    <x:row r="1661">
      <x:c r="A1661" s="155" t="n">
        <x:v>44029</x:v>
      </x:c>
      <x:c r="B1661" s="153" t="n">
        <x:v>0.64</x:v>
      </x:c>
      <x:c r="C1661" s="153" t="n">
        <x:v>-0.82</x:v>
      </x:c>
      <x:c r="D1661" s="153" t="n">
        <x:v>1.46</x:v>
      </x:c>
      <x:c r="E1661" s="153" t="n">
        <x:v>119.124</x:v>
      </x:c>
      <x:c r="F1661" s="153" t="n">
        <x:v>25.68</x:v>
      </x:c>
      <x:c r="G1661" s="153" t="n">
        <x:v>0.09</x:v>
      </x:c>
    </x:row>
    <x:row r="1662">
      <x:c r="A1662" s="155" t="n">
        <x:v>44030</x:v>
      </x:c>
      <x:c r="B1662" s="153"/>
      <x:c r="C1662" s="153"/>
      <x:c r="D1662" s="153"/>
      <x:c r="E1662" s="153"/>
      <x:c r="F1662" s="153"/>
      <x:c r="G1662" s="153" t="n">
        <x:v>0.09</x:v>
      </x:c>
    </x:row>
    <x:row r="1663">
      <x:c r="A1663" s="155" t="n">
        <x:v>44031</x:v>
      </x:c>
      <x:c r="B1663" s="153"/>
      <x:c r="C1663" s="153"/>
      <x:c r="D1663" s="153"/>
      <x:c r="E1663" s="153"/>
      <x:c r="F1663" s="153"/>
      <x:c r="G1663" s="153" t="n">
        <x:v>0.09</x:v>
      </x:c>
    </x:row>
    <x:row r="1664">
      <x:c r="A1664" s="155" t="n">
        <x:v>44032</x:v>
      </x:c>
      <x:c r="B1664" s="153" t="n">
        <x:v>0.62</x:v>
      </x:c>
      <x:c r="C1664" s="153" t="n">
        <x:v>-0.84</x:v>
      </x:c>
      <x:c r="D1664" s="153" t="n">
        <x:v>1.46</x:v>
      </x:c>
      <x:c r="E1664" s="153" t="n">
        <x:v>119.0483</x:v>
      </x:c>
      <x:c r="F1664" s="153" t="n">
        <x:v>24.46</x:v>
      </x:c>
      <x:c r="G1664" s="153" t="n">
        <x:v>0.1</x:v>
      </x:c>
    </x:row>
    <x:row r="1665">
      <x:c r="A1665" s="155" t="n">
        <x:v>44033</x:v>
      </x:c>
      <x:c r="B1665" s="153" t="n">
        <x:v>0.61</x:v>
      </x:c>
      <x:c r="C1665" s="153" t="n">
        <x:v>-0.87</x:v>
      </x:c>
      <x:c r="D1665" s="153" t="n">
        <x:v>1.48</x:v>
      </x:c>
      <x:c r="E1665" s="153" t="n">
        <x:v>118.4042</x:v>
      </x:c>
      <x:c r="F1665" s="153" t="n">
        <x:v>24.84</x:v>
      </x:c>
      <x:c r="G1665" s="153" t="n">
        <x:v>0.1</x:v>
      </x:c>
    </x:row>
    <x:row r="1666">
      <x:c r="A1666" s="155" t="n">
        <x:v>44034</x:v>
      </x:c>
      <x:c r="B1666" s="153" t="n">
        <x:v>0.6</x:v>
      </x:c>
      <x:c r="C1666" s="153" t="n">
        <x:v>-0.88</x:v>
      </x:c>
      <x:c r="D1666" s="153" t="n">
        <x:v>1.48</x:v>
      </x:c>
      <x:c r="E1666" s="153" t="n">
        <x:v>118.1337</x:v>
      </x:c>
      <x:c r="F1666" s="153" t="n">
        <x:v>24.32</x:v>
      </x:c>
      <x:c r="G1666" s="153" t="n">
        <x:v>0.09</x:v>
      </x:c>
    </x:row>
    <x:row r="1667">
      <x:c r="A1667" s="155" t="n">
        <x:v>44035</x:v>
      </x:c>
      <x:c r="B1667" s="153" t="n">
        <x:v>0.59</x:v>
      </x:c>
      <x:c r="C1667" s="153" t="n">
        <x:v>-0.9</x:v>
      </x:c>
      <x:c r="D1667" s="153" t="n">
        <x:v>1.49</x:v>
      </x:c>
      <x:c r="E1667" s="153" t="n">
        <x:v>118.0613</x:v>
      </x:c>
      <x:c r="F1667" s="153" t="n">
        <x:v>26.08</x:v>
      </x:c>
      <x:c r="G1667" s="153" t="n">
        <x:v>0.09</x:v>
      </x:c>
    </x:row>
    <x:row r="1668">
      <x:c r="A1668" s="155" t="n">
        <x:v>44036</x:v>
      </x:c>
      <x:c r="B1668" s="153" t="n">
        <x:v>0.59</x:v>
      </x:c>
      <x:c r="C1668" s="153" t="n">
        <x:v>-0.92</x:v>
      </x:c>
      <x:c r="D1668" s="153" t="n">
        <x:v>1.51</x:v>
      </x:c>
      <x:c r="E1668" s="153" t="n">
        <x:v>118.1329</x:v>
      </x:c>
      <x:c r="F1668" s="153" t="n">
        <x:v>25.84</x:v>
      </x:c>
      <x:c r="G1668" s="153" t="n">
        <x:v>0.09</x:v>
      </x:c>
    </x:row>
    <x:row r="1669">
      <x:c r="A1669" s="155" t="n">
        <x:v>44037</x:v>
      </x:c>
      <x:c r="B1669" s="153"/>
      <x:c r="C1669" s="153"/>
      <x:c r="D1669" s="153"/>
      <x:c r="E1669" s="153"/>
      <x:c r="F1669" s="153"/>
      <x:c r="G1669" s="153" t="n">
        <x:v>0.09</x:v>
      </x:c>
    </x:row>
    <x:row r="1670">
      <x:c r="A1670" s="155" t="n">
        <x:v>44038</x:v>
      </x:c>
      <x:c r="B1670" s="153"/>
      <x:c r="C1670" s="153"/>
      <x:c r="D1670" s="153"/>
      <x:c r="E1670" s="153"/>
      <x:c r="F1670" s="153"/>
      <x:c r="G1670" s="153" t="n">
        <x:v>0.09</x:v>
      </x:c>
    </x:row>
    <x:row r="1671">
      <x:c r="A1671" s="155" t="n">
        <x:v>44039</x:v>
      </x:c>
      <x:c r="B1671" s="153" t="n">
        <x:v>0.62</x:v>
      </x:c>
      <x:c r="C1671" s="153" t="n">
        <x:v>-0.9</x:v>
      </x:c>
      <x:c r="D1671" s="153" t="n">
        <x:v>1.52</x:v>
      </x:c>
      <x:c r="E1671" s="153" t="n">
        <x:v>117.3869</x:v>
      </x:c>
      <x:c r="F1671" s="153" t="n">
        <x:v>24.74</x:v>
      </x:c>
      <x:c r="G1671" s="153" t="n">
        <x:v>0.1</x:v>
      </x:c>
    </x:row>
    <x:row r="1672">
      <x:c r="A1672" s="155" t="n">
        <x:v>44040</x:v>
      </x:c>
      <x:c r="B1672" s="153" t="n">
        <x:v>0.59</x:v>
      </x:c>
      <x:c r="C1672" s="153" t="n">
        <x:v>-0.92</x:v>
      </x:c>
      <x:c r="D1672" s="153" t="n">
        <x:v>1.51</x:v>
      </x:c>
      <x:c r="E1672" s="153" t="n">
        <x:v>117.3189</x:v>
      </x:c>
      <x:c r="F1672" s="153" t="n">
        <x:v>25.44</x:v>
      </x:c>
      <x:c r="G1672" s="153" t="n">
        <x:v>0.1</x:v>
      </x:c>
    </x:row>
    <x:row r="1673">
      <x:c r="A1673" s="155" t="n">
        <x:v>44041</x:v>
      </x:c>
      <x:c r="B1673" s="153" t="n">
        <x:v>0.58</x:v>
      </x:c>
      <x:c r="C1673" s="153" t="n">
        <x:v>-0.95</x:v>
      </x:c>
      <x:c r="D1673" s="153" t="n">
        <x:v>1.53</x:v>
      </x:c>
      <x:c r="E1673" s="153" t="n">
        <x:v>117.2126</x:v>
      </x:c>
      <x:c r="F1673" s="153" t="n">
        <x:v>24.1</x:v>
      </x:c>
      <x:c r="G1673" s="153" t="n">
        <x:v>0.1</x:v>
      </x:c>
    </x:row>
    <x:row r="1674">
      <x:c r="A1674" s="155" t="n">
        <x:v>44042</x:v>
      </x:c>
      <x:c r="B1674" s="153" t="n">
        <x:v>0.55</x:v>
      </x:c>
      <x:c r="C1674" s="153" t="n">
        <x:v>-0.97</x:v>
      </x:c>
      <x:c r="D1674" s="153" t="n">
        <x:v>1.52</x:v>
      </x:c>
      <x:c r="E1674" s="153" t="n">
        <x:v>117.4008</x:v>
      </x:c>
      <x:c r="F1674" s="153" t="n">
        <x:v>24.76</x:v>
      </x:c>
      <x:c r="G1674" s="153" t="n">
        <x:v>0.1</x:v>
      </x:c>
    </x:row>
    <x:row r="1675">
      <x:c r="A1675" s="155" t="n">
        <x:v>44043</x:v>
      </x:c>
      <x:c r="B1675" s="153" t="n">
        <x:v>0.55</x:v>
      </x:c>
      <x:c r="C1675" s="153" t="n">
        <x:v>-1</x:v>
      </x:c>
      <x:c r="D1675" s="153" t="n">
        <x:v>1.55</x:v>
      </x:c>
      <x:c r="E1675" s="153" t="n">
        <x:v>117.2082</x:v>
      </x:c>
      <x:c r="F1675" s="153" t="n">
        <x:v>24.46</x:v>
      </x:c>
      <x:c r="G1675" s="153" t="n">
        <x:v>0.1</x:v>
      </x:c>
    </x:row>
    <x:row r="1676">
      <x:c r="A1676" s="155" t="n">
        <x:v>44044</x:v>
      </x:c>
      <x:c r="B1676" s="153"/>
      <x:c r="C1676" s="153"/>
      <x:c r="D1676" s="153"/>
      <x:c r="E1676" s="153"/>
      <x:c r="F1676" s="153"/>
      <x:c r="G1676" s="153" t="n">
        <x:v>0.1</x:v>
      </x:c>
    </x:row>
    <x:row r="1677">
      <x:c r="A1677" s="155" t="n">
        <x:v>44045</x:v>
      </x:c>
      <x:c r="B1677" s="153"/>
      <x:c r="C1677" s="153"/>
      <x:c r="D1677" s="153"/>
      <x:c r="E1677" s="153"/>
      <x:c r="F1677" s="153"/>
      <x:c r="G1677" s="153" t="n">
        <x:v>0.1</x:v>
      </x:c>
    </x:row>
    <x:row r="1678">
      <x:c r="A1678" s="155" t="n">
        <x:v>44046</x:v>
      </x:c>
      <x:c r="B1678" s="153" t="n">
        <x:v>0.56</x:v>
      </x:c>
      <x:c r="C1678" s="153" t="n">
        <x:v>-1.02</x:v>
      </x:c>
      <x:c r="D1678" s="153" t="n">
        <x:v>1.58</x:v>
      </x:c>
      <x:c r="E1678" s="153" t="n">
        <x:v>117.8074</x:v>
      </x:c>
      <x:c r="F1678" s="153" t="n">
        <x:v>24.28</x:v>
      </x:c>
      <x:c r="G1678" s="153" t="n">
        <x:v>0.1</x:v>
      </x:c>
    </x:row>
    <x:row r="1679">
      <x:c r="A1679" s="155" t="n">
        <x:v>44047</x:v>
      </x:c>
      <x:c r="B1679" s="153" t="n">
        <x:v>0.52</x:v>
      </x:c>
      <x:c r="C1679" s="153" t="n">
        <x:v>-1.05</x:v>
      </x:c>
      <x:c r="D1679" s="153" t="n">
        <x:v>1.57</x:v>
      </x:c>
      <x:c r="E1679" s="153" t="n">
        <x:v>117.7833</x:v>
      </x:c>
      <x:c r="F1679" s="153" t="n">
        <x:v>23.76</x:v>
      </x:c>
      <x:c r="G1679" s="153" t="n">
        <x:v>0.1</x:v>
      </x:c>
    </x:row>
    <x:row r="1680">
      <x:c r="A1680" s="155" t="n">
        <x:v>44048</x:v>
      </x:c>
      <x:c r="B1680" s="153" t="n">
        <x:v>0.55</x:v>
      </x:c>
      <x:c r="C1680" s="153" t="n">
        <x:v>-1.06</x:v>
      </x:c>
      <x:c r="D1680" s="153" t="n">
        <x:v>1.61</x:v>
      </x:c>
      <x:c r="E1680" s="153" t="n">
        <x:v>116.8736</x:v>
      </x:c>
      <x:c r="F1680" s="153" t="n">
        <x:v>22.99</x:v>
      </x:c>
      <x:c r="G1680" s="153" t="n">
        <x:v>0.1</x:v>
      </x:c>
    </x:row>
    <x:row r="1681">
      <x:c r="A1681" s="155" t="n">
        <x:v>44049</x:v>
      </x:c>
      <x:c r="B1681" s="153" t="n">
        <x:v>0.55</x:v>
      </x:c>
      <x:c r="C1681" s="153" t="n">
        <x:v>-1.08</x:v>
      </x:c>
      <x:c r="D1681" s="153" t="n">
        <x:v>1.63</x:v>
      </x:c>
      <x:c r="E1681" s="153" t="n">
        <x:v>117.0422</x:v>
      </x:c>
      <x:c r="F1681" s="153" t="n">
        <x:v>22.65</x:v>
      </x:c>
      <x:c r="G1681" s="153" t="n">
        <x:v>0.1</x:v>
      </x:c>
    </x:row>
    <x:row r="1682">
      <x:c r="A1682" s="155" t="n">
        <x:v>44050</x:v>
      </x:c>
      <x:c r="B1682" s="153" t="n">
        <x:v>0.57</x:v>
      </x:c>
      <x:c r="C1682" s="153" t="n">
        <x:v>-1.04</x:v>
      </x:c>
      <x:c r="D1682" s="153" t="n">
        <x:v>1.61</x:v>
      </x:c>
      <x:c r="E1682" s="153" t="n">
        <x:v>117.6239</x:v>
      </x:c>
      <x:c r="F1682" s="153" t="n">
        <x:v>22.21</x:v>
      </x:c>
      <x:c r="G1682" s="153" t="n">
        <x:v>0.1</x:v>
      </x:c>
    </x:row>
    <x:row r="1683">
      <x:c r="A1683" s="155" t="n">
        <x:v>44051</x:v>
      </x:c>
      <x:c r="B1683" s="153"/>
      <x:c r="C1683" s="153"/>
      <x:c r="D1683" s="153"/>
      <x:c r="E1683" s="153"/>
      <x:c r="F1683" s="153"/>
      <x:c r="G1683" s="153" t="n">
        <x:v>0.1</x:v>
      </x:c>
    </x:row>
    <x:row r="1684">
      <x:c r="A1684" s="155" t="n">
        <x:v>44052</x:v>
      </x:c>
      <x:c r="B1684" s="153"/>
      <x:c r="C1684" s="153"/>
      <x:c r="D1684" s="153"/>
      <x:c r="E1684" s="153"/>
      <x:c r="F1684" s="153"/>
      <x:c r="G1684" s="153" t="n">
        <x:v>0.1</x:v>
      </x:c>
    </x:row>
    <x:row r="1685">
      <x:c r="A1685" s="155" t="n">
        <x:v>44053</x:v>
      </x:c>
      <x:c r="B1685" s="153" t="n">
        <x:v>0.59</x:v>
      </x:c>
      <x:c r="C1685" s="153" t="n">
        <x:v>-1.02</x:v>
      </x:c>
      <x:c r="D1685" s="153" t="n">
        <x:v>1.61</x:v>
      </x:c>
      <x:c r="E1685" s="153" t="n">
        <x:v>117.5821</x:v>
      </x:c>
      <x:c r="F1685" s="153" t="n">
        <x:v>22.13</x:v>
      </x:c>
      <x:c r="G1685" s="153" t="n">
        <x:v>0.1</x:v>
      </x:c>
    </x:row>
    <x:row r="1686">
      <x:c r="A1686" s="155" t="n">
        <x:v>44054</x:v>
      </x:c>
      <x:c r="B1686" s="153" t="n">
        <x:v>0.64</x:v>
      </x:c>
      <x:c r="C1686" s="153" t="n">
        <x:v>-0.99</x:v>
      </x:c>
      <x:c r="D1686" s="153" t="n">
        <x:v>1.63</x:v>
      </x:c>
      <x:c r="E1686" s="153" t="n">
        <x:v>117.3781</x:v>
      </x:c>
      <x:c r="F1686" s="153" t="n">
        <x:v>24.03</x:v>
      </x:c>
      <x:c r="G1686" s="153" t="n">
        <x:v>0.1</x:v>
      </x:c>
    </x:row>
    <x:row r="1687">
      <x:c r="A1687" s="155" t="n">
        <x:v>44055</x:v>
      </x:c>
      <x:c r="B1687" s="153" t="n">
        <x:v>0.69</x:v>
      </x:c>
      <x:c r="C1687" s="153" t="n">
        <x:v>-0.98</x:v>
      </x:c>
      <x:c r="D1687" s="153" t="n">
        <x:v>1.67</x:v>
      </x:c>
      <x:c r="E1687" s="153" t="n">
        <x:v>117.2559</x:v>
      </x:c>
      <x:c r="F1687" s="153" t="n">
        <x:v>22.28</x:v>
      </x:c>
      <x:c r="G1687" s="153" t="n">
        <x:v>0.1</x:v>
      </x:c>
    </x:row>
    <x:row r="1688">
      <x:c r="A1688" s="155" t="n">
        <x:v>44056</x:v>
      </x:c>
      <x:c r="B1688" s="153" t="n">
        <x:v>0.71</x:v>
      </x:c>
      <x:c r="C1688" s="153" t="n">
        <x:v>-0.96</x:v>
      </x:c>
      <x:c r="D1688" s="153" t="n">
        <x:v>1.67</x:v>
      </x:c>
      <x:c r="E1688" s="153" t="n">
        <x:v>117.1193</x:v>
      </x:c>
      <x:c r="F1688" s="153" t="n">
        <x:v>22.13</x:v>
      </x:c>
      <x:c r="G1688" s="153" t="n">
        <x:v>0.1</x:v>
      </x:c>
    </x:row>
    <x:row r="1689">
      <x:c r="A1689" s="155" t="n">
        <x:v>44057</x:v>
      </x:c>
      <x:c r="B1689" s="153" t="n">
        <x:v>0.71</x:v>
      </x:c>
      <x:c r="C1689" s="153" t="n">
        <x:v>-0.94</x:v>
      </x:c>
      <x:c r="D1689" s="153" t="n">
        <x:v>1.65</x:v>
      </x:c>
      <x:c r="E1689" s="153" t="n">
        <x:v>116.9395</x:v>
      </x:c>
      <x:c r="F1689" s="153" t="n">
        <x:v>22.05</x:v>
      </x:c>
      <x:c r="G1689" s="153" t="n">
        <x:v>0.1</x:v>
      </x:c>
    </x:row>
    <x:row r="1690">
      <x:c r="A1690" s="155" t="n">
        <x:v>44058</x:v>
      </x:c>
      <x:c r="B1690" s="153"/>
      <x:c r="C1690" s="153"/>
      <x:c r="D1690" s="153"/>
      <x:c r="E1690" s="153"/>
      <x:c r="F1690" s="153"/>
      <x:c r="G1690" s="153" t="n">
        <x:v>0.1</x:v>
      </x:c>
    </x:row>
    <x:row r="1691">
      <x:c r="A1691" s="155" t="n">
        <x:v>44059</x:v>
      </x:c>
      <x:c r="B1691" s="153"/>
      <x:c r="C1691" s="153"/>
      <x:c r="D1691" s="153"/>
      <x:c r="E1691" s="153"/>
      <x:c r="F1691" s="153"/>
      <x:c r="G1691" s="153" t="n">
        <x:v>0.1</x:v>
      </x:c>
    </x:row>
    <x:row r="1692">
      <x:c r="A1692" s="155" t="n">
        <x:v>44060</x:v>
      </x:c>
      <x:c r="B1692" s="153" t="n">
        <x:v>0.69</x:v>
      </x:c>
      <x:c r="C1692" s="153" t="n">
        <x:v>-0.97</x:v>
      </x:c>
      <x:c r="D1692" s="153" t="n">
        <x:v>1.66</x:v>
      </x:c>
      <x:c r="E1692" s="153" t="n">
        <x:v>116.749</x:v>
      </x:c>
      <x:c r="F1692" s="153" t="n">
        <x:v>21.35</x:v>
      </x:c>
      <x:c r="G1692" s="153" t="n">
        <x:v>0.1</x:v>
      </x:c>
    </x:row>
    <x:row r="1693">
      <x:c r="A1693" s="155" t="n">
        <x:v>44061</x:v>
      </x:c>
      <x:c r="B1693" s="153" t="n">
        <x:v>0.67</x:v>
      </x:c>
      <x:c r="C1693" s="153" t="n">
        <x:v>-1.01</x:v>
      </x:c>
      <x:c r="D1693" s="153" t="n">
        <x:v>1.68</x:v>
      </x:c>
      <x:c r="E1693" s="153" t="n">
        <x:v>116.5593</x:v>
      </x:c>
      <x:c r="F1693" s="153" t="n">
        <x:v>21.51</x:v>
      </x:c>
      <x:c r="G1693" s="153" t="n">
        <x:v>0.09</x:v>
      </x:c>
    </x:row>
    <x:row r="1694">
      <x:c r="A1694" s="155" t="n">
        <x:v>44062</x:v>
      </x:c>
      <x:c r="B1694" s="153" t="n">
        <x:v>0.68</x:v>
      </x:c>
      <x:c r="C1694" s="153" t="n">
        <x:v>-0.99</x:v>
      </x:c>
      <x:c r="D1694" s="153" t="n">
        <x:v>1.67</x:v>
      </x:c>
      <x:c r="E1694" s="153" t="n">
        <x:v>116.567</x:v>
      </x:c>
      <x:c r="F1694" s="153" t="n">
        <x:v>22.54</x:v>
      </x:c>
      <x:c r="G1694" s="153" t="n">
        <x:v>0.09</x:v>
      </x:c>
    </x:row>
    <x:row r="1695">
      <x:c r="A1695" s="155" t="n">
        <x:v>44063</x:v>
      </x:c>
      <x:c r="B1695" s="153" t="n">
        <x:v>0.65</x:v>
      </x:c>
      <x:c r="C1695" s="153" t="n">
        <x:v>-0.97</x:v>
      </x:c>
      <x:c r="D1695" s="153" t="n">
        <x:v>1.62</x:v>
      </x:c>
      <x:c r="E1695" s="153" t="n">
        <x:v>116.8126</x:v>
      </x:c>
      <x:c r="F1695" s="153" t="n">
        <x:v>22.72</x:v>
      </x:c>
      <x:c r="G1695" s="153" t="n">
        <x:v>0.09</x:v>
      </x:c>
    </x:row>
    <x:row r="1696">
      <x:c r="A1696" s="155" t="n">
        <x:v>44064</x:v>
      </x:c>
      <x:c r="B1696" s="153" t="n">
        <x:v>0.64</x:v>
      </x:c>
      <x:c r="C1696" s="153" t="n">
        <x:v>-1</x:v>
      </x:c>
      <x:c r="D1696" s="153" t="n">
        <x:v>1.64</x:v>
      </x:c>
      <x:c r="E1696" s="153" t="n">
        <x:v>117.0572</x:v>
      </x:c>
      <x:c r="F1696" s="153" t="n">
        <x:v>22.54</x:v>
      </x:c>
      <x:c r="G1696" s="153" t="n">
        <x:v>0.09</x:v>
      </x:c>
    </x:row>
    <x:row r="1697">
      <x:c r="A1697" s="155" t="n">
        <x:v>44065</x:v>
      </x:c>
      <x:c r="B1697" s="153"/>
      <x:c r="C1697" s="153"/>
      <x:c r="D1697" s="153"/>
      <x:c r="E1697" s="153"/>
      <x:c r="F1697" s="153"/>
      <x:c r="G1697" s="153" t="n">
        <x:v>0.09</x:v>
      </x:c>
    </x:row>
    <x:row r="1698">
      <x:c r="A1698" s="155" t="n">
        <x:v>44066</x:v>
      </x:c>
      <x:c r="B1698" s="153"/>
      <x:c r="C1698" s="153"/>
      <x:c r="D1698" s="153"/>
      <x:c r="E1698" s="153"/>
      <x:c r="F1698" s="153"/>
      <x:c r="G1698" s="153" t="n">
        <x:v>0.09</x:v>
      </x:c>
    </x:row>
    <x:row r="1699">
      <x:c r="A1699" s="155" t="n">
        <x:v>44067</x:v>
      </x:c>
      <x:c r="B1699" s="153" t="n">
        <x:v>0.65</x:v>
      </x:c>
      <x:c r="C1699" s="153" t="n">
        <x:v>-1.02</x:v>
      </x:c>
      <x:c r="D1699" s="153" t="n">
        <x:v>1.67</x:v>
      </x:c>
      <x:c r="E1699" s="153" t="n">
        <x:v>116.912</x:v>
      </x:c>
      <x:c r="F1699" s="153" t="n">
        <x:v>22.37</x:v>
      </x:c>
      <x:c r="G1699" s="153" t="n">
        <x:v>0.09</x:v>
      </x:c>
    </x:row>
    <x:row r="1700">
      <x:c r="A1700" s="155" t="n">
        <x:v>44068</x:v>
      </x:c>
      <x:c r="B1700" s="153" t="n">
        <x:v>0.69</x:v>
      </x:c>
      <x:c r="C1700" s="153" t="n">
        <x:v>-1.01</x:v>
      </x:c>
      <x:c r="D1700" s="153" t="n">
        <x:v>1.7</x:v>
      </x:c>
      <x:c r="E1700" s="153" t="n">
        <x:v>116.8206</x:v>
      </x:c>
      <x:c r="F1700" s="153" t="n">
        <x:v>22.03</x:v>
      </x:c>
      <x:c r="G1700" s="153" t="n">
        <x:v>0.09</x:v>
      </x:c>
    </x:row>
    <x:row r="1701">
      <x:c r="A1701" s="155" t="n">
        <x:v>44069</x:v>
      </x:c>
      <x:c r="B1701" s="153" t="n">
        <x:v>0.69</x:v>
      </x:c>
      <x:c r="C1701" s="153" t="n">
        <x:v>-1.03</x:v>
      </x:c>
      <x:c r="D1701" s="153" t="n">
        <x:v>1.72</x:v>
      </x:c>
      <x:c r="E1701" s="153" t="n">
        <x:v>116.6243</x:v>
      </x:c>
      <x:c r="F1701" s="153" t="n">
        <x:v>23.27</x:v>
      </x:c>
      <x:c r="G1701" s="153" t="n">
        <x:v>0.09</x:v>
      </x:c>
    </x:row>
    <x:row r="1702">
      <x:c r="A1702" s="155" t="n">
        <x:v>44070</x:v>
      </x:c>
      <x:c r="B1702" s="153" t="n">
        <x:v>0.74</x:v>
      </x:c>
      <x:c r="C1702" s="153" t="n">
        <x:v>-0.99</x:v>
      </x:c>
      <x:c r="D1702" s="153" t="n">
        <x:v>1.73</x:v>
      </x:c>
      <x:c r="E1702" s="153" t="n">
        <x:v>116.649</x:v>
      </x:c>
      <x:c r="F1702" s="153" t="n">
        <x:v>24.47</x:v>
      </x:c>
      <x:c r="G1702" s="153" t="n">
        <x:v>0.08</x:v>
      </x:c>
    </x:row>
    <x:row r="1703">
      <x:c r="A1703" s="155" t="n">
        <x:v>44071</x:v>
      </x:c>
      <x:c r="B1703" s="153" t="n">
        <x:v>0.74</x:v>
      </x:c>
      <x:c r="C1703" s="153" t="n">
        <x:v>-1.03</x:v>
      </x:c>
      <x:c r="D1703" s="153" t="n">
        <x:v>1.77</x:v>
      </x:c>
      <x:c r="E1703" s="153" t="n">
        <x:v>115.9374</x:v>
      </x:c>
      <x:c r="F1703" s="153" t="n">
        <x:v>22.96</x:v>
      </x:c>
      <x:c r="G1703" s="153" t="n">
        <x:v>0.09</x:v>
      </x:c>
    </x:row>
    <x:row r="1704">
      <x:c r="A1704" s="155" t="n">
        <x:v>44072</x:v>
      </x:c>
      <x:c r="B1704" s="153"/>
      <x:c r="C1704" s="153"/>
      <x:c r="D1704" s="153"/>
      <x:c r="E1704" s="153"/>
      <x:c r="F1704" s="153"/>
      <x:c r="G1704" s="153" t="n">
        <x:v>0.09</x:v>
      </x:c>
    </x:row>
    <x:row r="1705">
      <x:c r="A1705" s="155" t="n">
        <x:v>44073</x:v>
      </x:c>
      <x:c r="B1705" s="153"/>
      <x:c r="C1705" s="153"/>
      <x:c r="D1705" s="153"/>
      <x:c r="E1705" s="153"/>
      <x:c r="F1705" s="153"/>
      <x:c r="G1705" s="153" t="n">
        <x:v>0.09</x:v>
      </x:c>
    </x:row>
    <x:row r="1706">
      <x:c r="A1706" s="155" t="n">
        <x:v>44074</x:v>
      </x:c>
      <x:c r="B1706" s="153" t="n">
        <x:v>0.72</x:v>
      </x:c>
      <x:c r="C1706" s="153" t="n">
        <x:v>-1.08</x:v>
      </x:c>
      <x:c r="D1706" s="153" t="n">
        <x:v>1.8</x:v>
      </x:c>
      <x:c r="E1706" s="153" t="n">
        <x:v>115.7586</x:v>
      </x:c>
      <x:c r="F1706" s="153" t="n">
        <x:v>26.41</x:v>
      </x:c>
      <x:c r="G1706" s="153" t="n">
        <x:v>0.09</x:v>
      </x:c>
    </x:row>
    <x:row r="1707">
      <x:c r="A1707" s="155" t="n">
        <x:v>44075</x:v>
      </x:c>
      <x:c r="B1707" s="153" t="n">
        <x:v>0.68</x:v>
      </x:c>
      <x:c r="C1707" s="153" t="n">
        <x:v>-1.08</x:v>
      </x:c>
      <x:c r="D1707" s="153" t="n">
        <x:v>1.76</x:v>
      </x:c>
      <x:c r="E1707" s="153" t="n">
        <x:v>115.5687</x:v>
      </x:c>
      <x:c r="F1707" s="153" t="n">
        <x:v>26.12</x:v>
      </x:c>
      <x:c r="G1707" s="153" t="n">
        <x:v>0.09</x:v>
      </x:c>
    </x:row>
    <x:row r="1708">
      <x:c r="A1708" s="155" t="n">
        <x:v>44076</x:v>
      </x:c>
      <x:c r="B1708" s="153" t="n">
        <x:v>0.66</x:v>
      </x:c>
      <x:c r="C1708" s="153" t="n">
        <x:v>-1.07</x:v>
      </x:c>
      <x:c r="D1708" s="153" t="n">
        <x:v>1.73</x:v>
      </x:c>
      <x:c r="E1708" s="153" t="n">
        <x:v>116.0304</x:v>
      </x:c>
      <x:c r="F1708" s="153" t="n">
        <x:v>26.57</x:v>
      </x:c>
      <x:c r="G1708" s="153" t="n">
        <x:v>0.09</x:v>
      </x:c>
    </x:row>
    <x:row r="1709">
      <x:c r="A1709" s="155" t="n">
        <x:v>44077</x:v>
      </x:c>
      <x:c r="B1709" s="153" t="n">
        <x:v>0.63</x:v>
      </x:c>
      <x:c r="C1709" s="153" t="n">
        <x:v>-1.02</x:v>
      </x:c>
      <x:c r="D1709" s="153" t="n">
        <x:v>1.65</x:v>
      </x:c>
      <x:c r="E1709" s="153" t="n">
        <x:v>116.0685</x:v>
      </x:c>
      <x:c r="F1709" s="153" t="n">
        <x:v>33.6</x:v>
      </x:c>
      <x:c r="G1709" s="153" t="n">
        <x:v>0.09</x:v>
      </x:c>
    </x:row>
    <x:row r="1710">
      <x:c r="A1710" s="155" t="n">
        <x:v>44078</x:v>
      </x:c>
      <x:c r="B1710" s="153" t="n">
        <x:v>0.72</x:v>
      </x:c>
      <x:c r="C1710" s="153" t="n">
        <x:v>-0.98</x:v>
      </x:c>
      <x:c r="D1710" s="153" t="n">
        <x:v>1.7</x:v>
      </x:c>
      <x:c r="E1710" s="153" t="n">
        <x:v>116.0347</x:v>
      </x:c>
      <x:c r="F1710" s="153" t="n">
        <x:v>30.75</x:v>
      </x:c>
      <x:c r="G1710" s="153" t="n">
        <x:v>0.09</x:v>
      </x:c>
    </x:row>
    <x:row r="1711">
      <x:c r="A1711" s="155" t="n">
        <x:v>44079</x:v>
      </x:c>
      <x:c r="B1711" s="153"/>
      <x:c r="C1711" s="153"/>
      <x:c r="D1711" s="153"/>
      <x:c r="E1711" s="153"/>
      <x:c r="F1711" s="153"/>
      <x:c r="G1711" s="153" t="n">
        <x:v>0.09</x:v>
      </x:c>
    </x:row>
    <x:row r="1712">
      <x:c r="A1712" s="155" t="n">
        <x:v>44080</x:v>
      </x:c>
      <x:c r="B1712" s="153"/>
      <x:c r="C1712" s="153"/>
      <x:c r="D1712" s="153"/>
      <x:c r="E1712" s="153"/>
      <x:c r="F1712" s="153"/>
      <x:c r="G1712" s="153" t="n">
        <x:v>0.09</x:v>
      </x:c>
    </x:row>
    <x:row r="1713">
      <x:c r="A1713" s="155" t="n">
        <x:v>44081</x:v>
      </x:c>
      <x:c r="B1713" s="153"/>
      <x:c r="C1713" s="153"/>
      <x:c r="D1713" s="153"/>
      <x:c r="E1713" s="153"/>
      <x:c r="F1713" s="153"/>
      <x:c r="G1713" s="153" t="n">
        <x:v>0.09</x:v>
      </x:c>
    </x:row>
    <x:row r="1714">
      <x:c r="A1714" s="155" t="n">
        <x:v>44082</x:v>
      </x:c>
      <x:c r="B1714" s="153" t="n">
        <x:v>0.69</x:v>
      </x:c>
      <x:c r="C1714" s="153" t="n">
        <x:v>-0.99</x:v>
      </x:c>
      <x:c r="D1714" s="153" t="n">
        <x:v>1.68</x:v>
      </x:c>
      <x:c r="E1714" s="153" t="n">
        <x:v>116.4618</x:v>
      </x:c>
      <x:c r="F1714" s="153" t="n">
        <x:v>31.46</x:v>
      </x:c>
      <x:c r="G1714" s="153" t="n">
        <x:v>0.09</x:v>
      </x:c>
    </x:row>
    <x:row r="1715">
      <x:c r="A1715" s="155" t="n">
        <x:v>44083</x:v>
      </x:c>
      <x:c r="B1715" s="153" t="n">
        <x:v>0.71</x:v>
      </x:c>
      <x:c r="C1715" s="153" t="n">
        <x:v>-1</x:v>
      </x:c>
      <x:c r="D1715" s="153" t="n">
        <x:v>1.71</x:v>
      </x:c>
      <x:c r="E1715" s="153" t="n">
        <x:v>116.1291</x:v>
      </x:c>
      <x:c r="F1715" s="153" t="n">
        <x:v>28.81</x:v>
      </x:c>
      <x:c r="G1715" s="153" t="n">
        <x:v>0.09</x:v>
      </x:c>
    </x:row>
    <x:row r="1716">
      <x:c r="A1716" s="155" t="n">
        <x:v>44084</x:v>
      </x:c>
      <x:c r="B1716" s="153" t="n">
        <x:v>0.68</x:v>
      </x:c>
      <x:c r="C1716" s="153" t="n">
        <x:v>-1.01</x:v>
      </x:c>
      <x:c r="D1716" s="153" t="n">
        <x:v>1.69</x:v>
      </x:c>
      <x:c r="E1716" s="153" t="n">
        <x:v>115.8806</x:v>
      </x:c>
      <x:c r="F1716" s="153" t="n">
        <x:v>29.71</x:v>
      </x:c>
      <x:c r="G1716" s="153" t="n">
        <x:v>0.09</x:v>
      </x:c>
    </x:row>
    <x:row r="1717">
      <x:c r="A1717" s="155" t="n">
        <x:v>44085</x:v>
      </x:c>
      <x:c r="B1717" s="153" t="n">
        <x:v>0.67</x:v>
      </x:c>
      <x:c r="C1717" s="153" t="n">
        <x:v>-0.98</x:v>
      </x:c>
      <x:c r="D1717" s="153" t="n">
        <x:v>1.65</x:v>
      </x:c>
      <x:c r="E1717" s="153" t="n">
        <x:v>116.0866</x:v>
      </x:c>
      <x:c r="F1717" s="153" t="n">
        <x:v>26.87</x:v>
      </x:c>
      <x:c r="G1717" s="153" t="n">
        <x:v>0.09</x:v>
      </x:c>
    </x:row>
    <x:row r="1718">
      <x:c r="A1718" s="155" t="n">
        <x:v>44086</x:v>
      </x:c>
      <x:c r="B1718" s="153"/>
      <x:c r="C1718" s="153"/>
      <x:c r="D1718" s="153"/>
      <x:c r="E1718" s="153"/>
      <x:c r="F1718" s="153"/>
      <x:c r="G1718" s="153" t="n">
        <x:v>0.09</x:v>
      </x:c>
    </x:row>
    <x:row r="1719">
      <x:c r="A1719" s="155" t="n">
        <x:v>44087</x:v>
      </x:c>
      <x:c r="B1719" s="153"/>
      <x:c r="C1719" s="153"/>
      <x:c r="D1719" s="153"/>
      <x:c r="E1719" s="153"/>
      <x:c r="F1719" s="153"/>
      <x:c r="G1719" s="153" t="n">
        <x:v>0.09</x:v>
      </x:c>
    </x:row>
    <x:row r="1720">
      <x:c r="A1720" s="155" t="n">
        <x:v>44088</x:v>
      </x:c>
      <x:c r="B1720" s="153" t="n">
        <x:v>0.68</x:v>
      </x:c>
      <x:c r="C1720" s="153" t="n">
        <x:v>-0.97</x:v>
      </x:c>
      <x:c r="D1720" s="153" t="n">
        <x:v>1.65</x:v>
      </x:c>
      <x:c r="E1720" s="153" t="n">
        <x:v>115.6428</x:v>
      </x:c>
      <x:c r="F1720" s="153" t="n">
        <x:v>25.85</x:v>
      </x:c>
      <x:c r="G1720" s="153" t="n">
        <x:v>0.09</x:v>
      </x:c>
    </x:row>
    <x:row r="1721">
      <x:c r="A1721" s="155" t="n">
        <x:v>44089</x:v>
      </x:c>
      <x:c r="B1721" s="153" t="n">
        <x:v>0.68</x:v>
      </x:c>
      <x:c r="C1721" s="153" t="n">
        <x:v>-0.99</x:v>
      </x:c>
      <x:c r="D1721" s="153" t="n">
        <x:v>1.67</x:v>
      </x:c>
      <x:c r="E1721" s="153" t="n">
        <x:v>115.5908</x:v>
      </x:c>
      <x:c r="F1721" s="153" t="n">
        <x:v>25.59</x:v>
      </x:c>
      <x:c r="G1721" s="153" t="n">
        <x:v>0.09</x:v>
      </x:c>
    </x:row>
    <x:row r="1722">
      <x:c r="A1722" s="155" t="n">
        <x:v>44090</x:v>
      </x:c>
      <x:c r="B1722" s="153" t="n">
        <x:v>0.69</x:v>
      </x:c>
      <x:c r="C1722" s="153" t="n">
        <x:v>-0.99</x:v>
      </x:c>
      <x:c r="D1722" s="153" t="n">
        <x:v>1.68</x:v>
      </x:c>
      <x:c r="E1722" s="153" t="n">
        <x:v>115.3537</x:v>
      </x:c>
      <x:c r="F1722" s="153" t="n">
        <x:v>26.04</x:v>
      </x:c>
      <x:c r="G1722" s="153" t="n">
        <x:v>0.09</x:v>
      </x:c>
    </x:row>
    <x:row r="1723">
      <x:c r="A1723" s="155" t="n">
        <x:v>44091</x:v>
      </x:c>
      <x:c r="B1723" s="153" t="n">
        <x:v>0.69</x:v>
      </x:c>
      <x:c r="C1723" s="153" t="n">
        <x:v>-0.97</x:v>
      </x:c>
      <x:c r="D1723" s="153" t="n">
        <x:v>1.66</x:v>
      </x:c>
      <x:c r="E1723" s="153" t="n">
        <x:v>115.4392</x:v>
      </x:c>
      <x:c r="F1723" s="153" t="n">
        <x:v>26.46</x:v>
      </x:c>
      <x:c r="G1723" s="153" t="n">
        <x:v>0.09</x:v>
      </x:c>
    </x:row>
    <x:row r="1724">
      <x:c r="A1724" s="155" t="n">
        <x:v>44092</x:v>
      </x:c>
      <x:c r="B1724" s="153" t="n">
        <x:v>0.7</x:v>
      </x:c>
      <x:c r="C1724" s="153" t="n">
        <x:v>-0.97</x:v>
      </x:c>
      <x:c r="D1724" s="153" t="n">
        <x:v>1.67</x:v>
      </x:c>
      <x:c r="E1724" s="153" t="n">
        <x:v>115.2395</x:v>
      </x:c>
      <x:c r="F1724" s="153" t="n">
        <x:v>25.83</x:v>
      </x:c>
      <x:c r="G1724" s="153" t="n">
        <x:v>0.09</x:v>
      </x:c>
    </x:row>
    <x:row r="1725">
      <x:c r="A1725" s="155" t="n">
        <x:v>44093</x:v>
      </x:c>
      <x:c r="B1725" s="153"/>
      <x:c r="C1725" s="153"/>
      <x:c r="D1725" s="153"/>
      <x:c r="E1725" s="153"/>
      <x:c r="F1725" s="153"/>
      <x:c r="G1725" s="153" t="n">
        <x:v>0.09</x:v>
      </x:c>
    </x:row>
    <x:row r="1726">
      <x:c r="A1726" s="155" t="n">
        <x:v>44094</x:v>
      </x:c>
      <x:c r="B1726" s="153"/>
      <x:c r="C1726" s="153"/>
      <x:c r="D1726" s="153"/>
      <x:c r="E1726" s="153"/>
      <x:c r="F1726" s="153"/>
      <x:c r="G1726" s="153" t="n">
        <x:v>0.09</x:v>
      </x:c>
    </x:row>
    <x:row r="1727">
      <x:c r="A1727" s="155" t="n">
        <x:v>44095</x:v>
      </x:c>
      <x:c r="B1727" s="153" t="n">
        <x:v>0.68</x:v>
      </x:c>
      <x:c r="C1727" s="153" t="n">
        <x:v>-0.94</x:v>
      </x:c>
      <x:c r="D1727" s="153" t="n">
        <x:v>1.62</x:v>
      </x:c>
      <x:c r="E1727" s="153" t="n">
        <x:v>116.378</x:v>
      </x:c>
      <x:c r="F1727" s="153" t="n">
        <x:v>27.78</x:v>
      </x:c>
      <x:c r="G1727" s="153" t="n">
        <x:v>0.09</x:v>
      </x:c>
    </x:row>
    <x:row r="1728">
      <x:c r="A1728" s="155" t="n">
        <x:v>44096</x:v>
      </x:c>
      <x:c r="B1728" s="153" t="n">
        <x:v>0.68</x:v>
      </x:c>
      <x:c r="C1728" s="153" t="n">
        <x:v>-0.94</x:v>
      </x:c>
      <x:c r="D1728" s="153" t="n">
        <x:v>1.62</x:v>
      </x:c>
      <x:c r="E1728" s="153" t="n">
        <x:v>116.5438</x:v>
      </x:c>
      <x:c r="F1728" s="153" t="n">
        <x:v>26.86</x:v>
      </x:c>
      <x:c r="G1728" s="153" t="n">
        <x:v>0.09</x:v>
      </x:c>
    </x:row>
    <x:row r="1729">
      <x:c r="A1729" s="155" t="n">
        <x:v>44097</x:v>
      </x:c>
      <x:c r="B1729" s="153" t="n">
        <x:v>0.68</x:v>
      </x:c>
      <x:c r="C1729" s="153" t="n">
        <x:v>-0.92</x:v>
      </x:c>
      <x:c r="D1729" s="153" t="n">
        <x:v>1.6</x:v>
      </x:c>
      <x:c r="E1729" s="153" t="n">
        <x:v>117.2526</x:v>
      </x:c>
      <x:c r="F1729" s="153" t="n">
        <x:v>28.58</x:v>
      </x:c>
      <x:c r="G1729" s="153" t="n">
        <x:v>0.09</x:v>
      </x:c>
    </x:row>
    <x:row r="1730">
      <x:c r="A1730" s="155" t="n">
        <x:v>44098</x:v>
      </x:c>
      <x:c r="B1730" s="153" t="n">
        <x:v>0.67</x:v>
      </x:c>
      <x:c r="C1730" s="153" t="n">
        <x:v>-0.91</x:v>
      </x:c>
      <x:c r="D1730" s="153" t="n">
        <x:v>1.58</x:v>
      </x:c>
      <x:c r="E1730" s="153" t="n">
        <x:v>117.5473</x:v>
      </x:c>
      <x:c r="F1730" s="153" t="n">
        <x:v>28.51</x:v>
      </x:c>
      <x:c r="G1730" s="153" t="n">
        <x:v>0.09</x:v>
      </x:c>
    </x:row>
    <x:row r="1731">
      <x:c r="A1731" s="155" t="n">
        <x:v>44099</x:v>
      </x:c>
      <x:c r="B1731" s="153" t="n">
        <x:v>0.66</x:v>
      </x:c>
      <x:c r="C1731" s="153" t="n">
        <x:v>-0.92</x:v>
      </x:c>
      <x:c r="D1731" s="153" t="n">
        <x:v>1.58</x:v>
      </x:c>
      <x:c r="E1731" s="153" t="n">
        <x:v>117.8679</x:v>
      </x:c>
      <x:c r="F1731" s="153" t="n">
        <x:v>26.38</x:v>
      </x:c>
      <x:c r="G1731" s="153" t="n">
        <x:v>0.09</x:v>
      </x:c>
    </x:row>
    <x:row r="1732">
      <x:c r="A1732" s="155" t="n">
        <x:v>44100</x:v>
      </x:c>
      <x:c r="B1732" s="153"/>
      <x:c r="C1732" s="153"/>
      <x:c r="D1732" s="153"/>
      <x:c r="E1732" s="153"/>
      <x:c r="F1732" s="153"/>
      <x:c r="G1732" s="153" t="n">
        <x:v>0.09</x:v>
      </x:c>
    </x:row>
    <x:row r="1733">
      <x:c r="A1733" s="155" t="n">
        <x:v>44101</x:v>
      </x:c>
      <x:c r="B1733" s="153"/>
      <x:c r="C1733" s="153"/>
      <x:c r="D1733" s="153"/>
      <x:c r="E1733" s="153"/>
      <x:c r="F1733" s="153"/>
      <x:c r="G1733" s="153" t="n">
        <x:v>0.09</x:v>
      </x:c>
    </x:row>
    <x:row r="1734">
      <x:c r="A1734" s="155" t="n">
        <x:v>44102</x:v>
      </x:c>
      <x:c r="B1734" s="153" t="n">
        <x:v>0.67</x:v>
      </x:c>
      <x:c r="C1734" s="153" t="n">
        <x:v>-0.94</x:v>
      </x:c>
      <x:c r="D1734" s="153" t="n">
        <x:v>1.61</x:v>
      </x:c>
      <x:c r="E1734" s="153" t="n">
        <x:v>117.6178</x:v>
      </x:c>
      <x:c r="F1734" s="153" t="n">
        <x:v>26.19</x:v>
      </x:c>
      <x:c r="G1734" s="153" t="n">
        <x:v>0.09</x:v>
      </x:c>
    </x:row>
    <x:row r="1735">
      <x:c r="A1735" s="155" t="n">
        <x:v>44103</x:v>
      </x:c>
      <x:c r="B1735" s="153" t="n">
        <x:v>0.66</x:v>
      </x:c>
      <x:c r="C1735" s="153" t="n">
        <x:v>-0.98</x:v>
      </x:c>
      <x:c r="D1735" s="153" t="n">
        <x:v>1.64</x:v>
      </x:c>
      <x:c r="E1735" s="153" t="n">
        <x:v>117.526</x:v>
      </x:c>
      <x:c r="F1735" s="153" t="n">
        <x:v>26.27</x:v>
      </x:c>
      <x:c r="G1735" s="153" t="n">
        <x:v>0.09</x:v>
      </x:c>
    </x:row>
    <x:row r="1736">
      <x:c r="A1736" s="155" t="n">
        <x:v>44104</x:v>
      </x:c>
      <x:c r="B1736" s="153" t="n">
        <x:v>0.69</x:v>
      </x:c>
      <x:c r="C1736" s="153" t="n">
        <x:v>-0.94</x:v>
      </x:c>
      <x:c r="D1736" s="153" t="n">
        <x:v>1.63</x:v>
      </x:c>
      <x:c r="E1736" s="153" t="n">
        <x:v>116.946</x:v>
      </x:c>
      <x:c r="F1736" s="153" t="n">
        <x:v>26.37</x:v>
      </x:c>
      <x:c r="G1736" s="153" t="n">
        <x:v>0.09</x:v>
      </x:c>
    </x:row>
    <x:row r="1737">
      <x:c r="A1737" s="155" t="n">
        <x:v>44105</x:v>
      </x:c>
      <x:c r="B1737" s="153" t="n">
        <x:v>0.68</x:v>
      </x:c>
      <x:c r="C1737" s="153" t="n">
        <x:v>-0.95</x:v>
      </x:c>
      <x:c r="D1737" s="153" t="n">
        <x:v>1.63</x:v>
      </x:c>
      <x:c r="E1737" s="153" t="n">
        <x:v>116.7227</x:v>
      </x:c>
      <x:c r="F1737" s="153" t="n">
        <x:v>26.7</x:v>
      </x:c>
      <x:c r="G1737" s="153" t="n">
        <x:v>0.09</x:v>
      </x:c>
    </x:row>
    <x:row r="1738">
      <x:c r="A1738" s="155" t="n">
        <x:v>44106</x:v>
      </x:c>
      <x:c r="B1738" s="153" t="n">
        <x:v>0.7</x:v>
      </x:c>
      <x:c r="C1738" s="153" t="n">
        <x:v>-0.94</x:v>
      </x:c>
      <x:c r="D1738" s="153" t="n">
        <x:v>1.64</x:v>
      </x:c>
      <x:c r="E1738" s="153" t="n">
        <x:v>116.7321</x:v>
      </x:c>
      <x:c r="F1738" s="153" t="n">
        <x:v>27.63</x:v>
      </x:c>
      <x:c r="G1738" s="153" t="n">
        <x:v>0.09</x:v>
      </x:c>
    </x:row>
    <x:row r="1739">
      <x:c r="A1739" s="155" t="n">
        <x:v>44107</x:v>
      </x:c>
      <x:c r="B1739" s="153"/>
      <x:c r="C1739" s="153"/>
      <x:c r="D1739" s="153"/>
      <x:c r="E1739" s="153"/>
      <x:c r="F1739" s="153"/>
      <x:c r="G1739" s="153" t="n">
        <x:v>0.09</x:v>
      </x:c>
    </x:row>
    <x:row r="1740">
      <x:c r="A1740" s="155" t="n">
        <x:v>44108</x:v>
      </x:c>
      <x:c r="B1740" s="153"/>
      <x:c r="C1740" s="153"/>
      <x:c r="D1740" s="153"/>
      <x:c r="E1740" s="153"/>
      <x:c r="F1740" s="153"/>
      <x:c r="G1740" s="153" t="n">
        <x:v>0.09</x:v>
      </x:c>
    </x:row>
    <x:row r="1741">
      <x:c r="A1741" s="155" t="n">
        <x:v>44109</x:v>
      </x:c>
      <x:c r="B1741" s="153" t="n">
        <x:v>0.78</x:v>
      </x:c>
      <x:c r="C1741" s="153" t="n">
        <x:v>-0.9</x:v>
      </x:c>
      <x:c r="D1741" s="153" t="n">
        <x:v>1.68</x:v>
      </x:c>
      <x:c r="E1741" s="153" t="n">
        <x:v>116.1767</x:v>
      </x:c>
      <x:c r="F1741" s="153" t="n">
        <x:v>27.96</x:v>
      </x:c>
      <x:c r="G1741" s="153" t="n">
        <x:v>0.09</x:v>
      </x:c>
    </x:row>
    <x:row r="1742">
      <x:c r="A1742" s="155" t="n">
        <x:v>44110</x:v>
      </x:c>
      <x:c r="B1742" s="153" t="n">
        <x:v>0.76</x:v>
      </x:c>
      <x:c r="C1742" s="153" t="n">
        <x:v>-0.9</x:v>
      </x:c>
      <x:c r="D1742" s="153" t="n">
        <x:v>1.66</x:v>
      </x:c>
      <x:c r="E1742" s="153" t="n">
        <x:v>116.2681</x:v>
      </x:c>
      <x:c r="F1742" s="153" t="n">
        <x:v>29.48</x:v>
      </x:c>
      <x:c r="G1742" s="153" t="n">
        <x:v>0.09</x:v>
      </x:c>
    </x:row>
    <x:row r="1743">
      <x:c r="A1743" s="155" t="n">
        <x:v>44111</x:v>
      </x:c>
      <x:c r="B1743" s="153" t="n">
        <x:v>0.81</x:v>
      </x:c>
      <x:c r="C1743" s="153" t="n">
        <x:v>-0.9</x:v>
      </x:c>
      <x:c r="D1743" s="153" t="n">
        <x:v>1.71</x:v>
      </x:c>
      <x:c r="E1743" s="153" t="n">
        <x:v>116.3447</x:v>
      </x:c>
      <x:c r="F1743" s="153" t="n">
        <x:v>28.06</x:v>
      </x:c>
      <x:c r="G1743" s="153" t="n">
        <x:v>0.09</x:v>
      </x:c>
    </x:row>
    <x:row r="1744">
      <x:c r="A1744" s="155" t="n">
        <x:v>44112</x:v>
      </x:c>
      <x:c r="B1744" s="153" t="n">
        <x:v>0.78</x:v>
      </x:c>
      <x:c r="C1744" s="153" t="n">
        <x:v>-0.94</x:v>
      </x:c>
      <x:c r="D1744" s="153" t="n">
        <x:v>1.72</x:v>
      </x:c>
      <x:c r="E1744" s="153" t="n">
        <x:v>116.1657</x:v>
      </x:c>
      <x:c r="F1744" s="153" t="n">
        <x:v>26.36</x:v>
      </x:c>
      <x:c r="G1744" s="153" t="n">
        <x:v>0.09</x:v>
      </x:c>
    </x:row>
    <x:row r="1745">
      <x:c r="A1745" s="155" t="n">
        <x:v>44113</x:v>
      </x:c>
      <x:c r="B1745" s="153" t="n">
        <x:v>0.79</x:v>
      </x:c>
      <x:c r="C1745" s="153" t="n">
        <x:v>-0.94</x:v>
      </x:c>
      <x:c r="D1745" s="153" t="n">
        <x:v>1.73</x:v>
      </x:c>
      <x:c r="E1745" s="153" t="n">
        <x:v>115.2757</x:v>
      </x:c>
      <x:c r="F1745" s="153" t="n">
        <x:v>25</x:v>
      </x:c>
      <x:c r="G1745" s="153" t="n">
        <x:v>0.09</x:v>
      </x:c>
    </x:row>
    <x:row r="1746">
      <x:c r="A1746" s="155" t="n">
        <x:v>44114</x:v>
      </x:c>
      <x:c r="B1746" s="153"/>
      <x:c r="C1746" s="153"/>
      <x:c r="D1746" s="153"/>
      <x:c r="E1746" s="153"/>
      <x:c r="F1746" s="153"/>
      <x:c r="G1746" s="153" t="n">
        <x:v>0.09</x:v>
      </x:c>
    </x:row>
    <x:row r="1747">
      <x:c r="A1747" s="155" t="n">
        <x:v>44115</x:v>
      </x:c>
      <x:c r="B1747" s="153"/>
      <x:c r="C1747" s="153"/>
      <x:c r="D1747" s="153"/>
      <x:c r="E1747" s="153"/>
      <x:c r="F1747" s="153"/>
      <x:c r="G1747" s="153" t="n">
        <x:v>0.09</x:v>
      </x:c>
    </x:row>
    <x:row r="1748">
      <x:c r="A1748" s="155" t="n">
        <x:v>44116</x:v>
      </x:c>
      <x:c r="B1748" s="153"/>
      <x:c r="C1748" s="153"/>
      <x:c r="D1748" s="153"/>
      <x:c r="E1748" s="153"/>
      <x:c r="F1748" s="153" t="n">
        <x:v>25.07</x:v>
      </x:c>
      <x:c r="G1748" s="153" t="n">
        <x:v>0.09</x:v>
      </x:c>
    </x:row>
    <x:row r="1749">
      <x:c r="A1749" s="155" t="n">
        <x:v>44117</x:v>
      </x:c>
      <x:c r="B1749" s="153" t="n">
        <x:v>0.74</x:v>
      </x:c>
      <x:c r="C1749" s="153" t="n">
        <x:v>-0.96</x:v>
      </x:c>
      <x:c r="D1749" s="153" t="n">
        <x:v>1.7</x:v>
      </x:c>
      <x:c r="E1749" s="153" t="n">
        <x:v>115.9107</x:v>
      </x:c>
      <x:c r="F1749" s="153" t="n">
        <x:v>26.07</x:v>
      </x:c>
      <x:c r="G1749" s="153" t="n">
        <x:v>0.09</x:v>
      </x:c>
    </x:row>
    <x:row r="1750">
      <x:c r="A1750" s="155" t="n">
        <x:v>44118</x:v>
      </x:c>
      <x:c r="B1750" s="153" t="n">
        <x:v>0.73</x:v>
      </x:c>
      <x:c r="C1750" s="153" t="n">
        <x:v>-0.96</x:v>
      </x:c>
      <x:c r="D1750" s="153" t="n">
        <x:v>1.69</x:v>
      </x:c>
      <x:c r="E1750" s="153" t="n">
        <x:v>115.6872</x:v>
      </x:c>
      <x:c r="F1750" s="153" t="n">
        <x:v>26.4</x:v>
      </x:c>
      <x:c r="G1750" s="153" t="n">
        <x:v>0.09</x:v>
      </x:c>
    </x:row>
    <x:row r="1751">
      <x:c r="A1751" s="155" t="n">
        <x:v>44119</x:v>
      </x:c>
      <x:c r="B1751" s="153" t="n">
        <x:v>0.74</x:v>
      </x:c>
      <x:c r="C1751" s="153" t="n">
        <x:v>-0.95</x:v>
      </x:c>
      <x:c r="D1751" s="153" t="n">
        <x:v>1.69</x:v>
      </x:c>
      <x:c r="E1751" s="153" t="n">
        <x:v>116.0964</x:v>
      </x:c>
      <x:c r="F1751" s="153" t="n">
        <x:v>26.97</x:v>
      </x:c>
      <x:c r="G1751" s="153" t="n">
        <x:v>0.09</x:v>
      </x:c>
    </x:row>
    <x:row r="1752">
      <x:c r="A1752" s="155" t="n">
        <x:v>44120</x:v>
      </x:c>
      <x:c r="B1752" s="153" t="n">
        <x:v>0.76</x:v>
      </x:c>
      <x:c r="C1752" s="153" t="n">
        <x:v>-0.95</x:v>
      </x:c>
      <x:c r="D1752" s="153" t="n">
        <x:v>1.71</x:v>
      </x:c>
      <x:c r="E1752" s="153" t="n">
        <x:v>115.7679</x:v>
      </x:c>
      <x:c r="F1752" s="153" t="n">
        <x:v>27.41</x:v>
      </x:c>
      <x:c r="G1752" s="153" t="n">
        <x:v>0.09</x:v>
      </x:c>
    </x:row>
    <x:row r="1753">
      <x:c r="A1753" s="155" t="n">
        <x:v>44121</x:v>
      </x:c>
      <x:c r="B1753" s="153"/>
      <x:c r="C1753" s="153"/>
      <x:c r="D1753" s="153"/>
      <x:c r="E1753" s="153"/>
      <x:c r="F1753" s="153"/>
      <x:c r="G1753" s="153" t="n">
        <x:v>0.09</x:v>
      </x:c>
    </x:row>
    <x:row r="1754">
      <x:c r="A1754" s="155" t="n">
        <x:v>44122</x:v>
      </x:c>
      <x:c r="B1754" s="153"/>
      <x:c r="C1754" s="153"/>
      <x:c r="D1754" s="153"/>
      <x:c r="E1754" s="153"/>
      <x:c r="F1754" s="153"/>
      <x:c r="G1754" s="153" t="n">
        <x:v>0.09</x:v>
      </x:c>
    </x:row>
    <x:row r="1755">
      <x:c r="A1755" s="155" t="n">
        <x:v>44123</x:v>
      </x:c>
      <x:c r="B1755" s="153" t="n">
        <x:v>0.78</x:v>
      </x:c>
      <x:c r="C1755" s="153" t="n">
        <x:v>-0.93</x:v>
      </x:c>
      <x:c r="D1755" s="153" t="n">
        <x:v>1.71</x:v>
      </x:c>
      <x:c r="E1755" s="153" t="n">
        <x:v>115.4031</x:v>
      </x:c>
      <x:c r="F1755" s="153" t="n">
        <x:v>29.18</x:v>
      </x:c>
      <x:c r="G1755" s="153" t="n">
        <x:v>0.09</x:v>
      </x:c>
    </x:row>
    <x:row r="1756">
      <x:c r="A1756" s="155" t="n">
        <x:v>44124</x:v>
      </x:c>
      <x:c r="B1756" s="153" t="n">
        <x:v>0.81</x:v>
      </x:c>
      <x:c r="C1756" s="153" t="n">
        <x:v>-0.91</x:v>
      </x:c>
      <x:c r="D1756" s="153" t="n">
        <x:v>1.72</x:v>
      </x:c>
      <x:c r="E1756" s="153" t="n">
        <x:v>115.2485</x:v>
      </x:c>
      <x:c r="F1756" s="153" t="n">
        <x:v>29.35</x:v>
      </x:c>
      <x:c r="G1756" s="153" t="n">
        <x:v>0.09</x:v>
      </x:c>
    </x:row>
    <x:row r="1757">
      <x:c r="A1757" s="155" t="n">
        <x:v>44125</x:v>
      </x:c>
      <x:c r="B1757" s="153" t="n">
        <x:v>0.83</x:v>
      </x:c>
      <x:c r="C1757" s="153" t="n">
        <x:v>-0.91</x:v>
      </x:c>
      <x:c r="D1757" s="153" t="n">
        <x:v>1.74</x:v>
      </x:c>
      <x:c r="E1757" s="153" t="n">
        <x:v>114.9108</x:v>
      </x:c>
      <x:c r="F1757" s="153" t="n">
        <x:v>28.65</x:v>
      </x:c>
      <x:c r="G1757" s="153" t="n">
        <x:v>0.09</x:v>
      </x:c>
    </x:row>
    <x:row r="1758">
      <x:c r="A1758" s="155" t="n">
        <x:v>44126</x:v>
      </x:c>
      <x:c r="B1758" s="153" t="n">
        <x:v>0.87</x:v>
      </x:c>
      <x:c r="C1758" s="153" t="n">
        <x:v>-0.89</x:v>
      </x:c>
      <x:c r="D1758" s="153" t="n">
        <x:v>1.76</x:v>
      </x:c>
      <x:c r="E1758" s="153" t="n">
        <x:v>115.1158</x:v>
      </x:c>
      <x:c r="F1758" s="153" t="n">
        <x:v>28.11</x:v>
      </x:c>
      <x:c r="G1758" s="153" t="n">
        <x:v>0.09</x:v>
      </x:c>
    </x:row>
    <x:row r="1759">
      <x:c r="A1759" s="155" t="n">
        <x:v>44127</x:v>
      </x:c>
      <x:c r="B1759" s="153" t="n">
        <x:v>0.85</x:v>
      </x:c>
      <x:c r="C1759" s="153" t="n">
        <x:v>-0.9</x:v>
      </x:c>
      <x:c r="D1759" s="153" t="n">
        <x:v>1.75</x:v>
      </x:c>
      <x:c r="E1759" s="153" t="n">
        <x:v>115.0126</x:v>
      </x:c>
      <x:c r="F1759" s="153" t="n">
        <x:v>27.55</x:v>
      </x:c>
      <x:c r="G1759" s="153" t="n">
        <x:v>0.09</x:v>
      </x:c>
    </x:row>
    <x:row r="1760">
      <x:c r="A1760" s="155" t="n">
        <x:v>44128</x:v>
      </x:c>
      <x:c r="B1760" s="153"/>
      <x:c r="C1760" s="153"/>
      <x:c r="D1760" s="153"/>
      <x:c r="E1760" s="153"/>
      <x:c r="F1760" s="153"/>
      <x:c r="G1760" s="153" t="n">
        <x:v>0.09</x:v>
      </x:c>
    </x:row>
    <x:row r="1761">
      <x:c r="A1761" s="155" t="n">
        <x:v>44129</x:v>
      </x:c>
      <x:c r="B1761" s="153"/>
      <x:c r="C1761" s="153"/>
      <x:c r="D1761" s="153"/>
      <x:c r="E1761" s="153"/>
      <x:c r="F1761" s="153"/>
      <x:c r="G1761" s="153" t="n">
        <x:v>0.09</x:v>
      </x:c>
    </x:row>
    <x:row r="1762">
      <x:c r="A1762" s="155" t="n">
        <x:v>44130</x:v>
      </x:c>
      <x:c r="B1762" s="153" t="n">
        <x:v>0.81</x:v>
      </x:c>
      <x:c r="C1762" s="153" t="n">
        <x:v>-0.91</x:v>
      </x:c>
      <x:c r="D1762" s="153" t="n">
        <x:v>1.72</x:v>
      </x:c>
      <x:c r="E1762" s="153" t="n">
        <x:v>115.2797</x:v>
      </x:c>
      <x:c r="F1762" s="153" t="n">
        <x:v>32.46</x:v>
      </x:c>
      <x:c r="G1762" s="153" t="n">
        <x:v>0.09</x:v>
      </x:c>
    </x:row>
    <x:row r="1763">
      <x:c r="A1763" s="155" t="n">
        <x:v>44131</x:v>
      </x:c>
      <x:c r="B1763" s="153" t="n">
        <x:v>0.79</x:v>
      </x:c>
      <x:c r="C1763" s="153" t="n">
        <x:v>-0.92</x:v>
      </x:c>
      <x:c r="D1763" s="153" t="n">
        <x:v>1.71</x:v>
      </x:c>
      <x:c r="E1763" s="153" t="n">
        <x:v>115.0131</x:v>
      </x:c>
      <x:c r="F1763" s="153" t="n">
        <x:v>33.35</x:v>
      </x:c>
      <x:c r="G1763" s="153" t="n">
        <x:v>0.09</x:v>
      </x:c>
    </x:row>
    <x:row r="1764">
      <x:c r="A1764" s="155" t="n">
        <x:v>44132</x:v>
      </x:c>
      <x:c r="B1764" s="153" t="n">
        <x:v>0.79</x:v>
      </x:c>
      <x:c r="C1764" s="153" t="n">
        <x:v>-0.91</x:v>
      </x:c>
      <x:c r="D1764" s="153" t="n">
        <x:v>1.7</x:v>
      </x:c>
      <x:c r="E1764" s="153" t="n">
        <x:v>115.8023</x:v>
      </x:c>
      <x:c r="F1764" s="153" t="n">
        <x:v>40.28</x:v>
      </x:c>
      <x:c r="G1764" s="153" t="n">
        <x:v>0.09</x:v>
      </x:c>
    </x:row>
    <x:row r="1765">
      <x:c r="A1765" s="155" t="n">
        <x:v>44133</x:v>
      </x:c>
      <x:c r="B1765" s="153" t="n">
        <x:v>0.85</x:v>
      </x:c>
      <x:c r="C1765" s="153" t="n">
        <x:v>-0.86</x:v>
      </x:c>
      <x:c r="D1765" s="153" t="n">
        <x:v>1.71</x:v>
      </x:c>
      <x:c r="E1765" s="153" t="n">
        <x:v>116.3069</x:v>
      </x:c>
      <x:c r="F1765" s="153" t="n">
        <x:v>37.59</x:v>
      </x:c>
      <x:c r="G1765" s="153" t="n">
        <x:v>0.09</x:v>
      </x:c>
    </x:row>
    <x:row r="1766">
      <x:c r="A1766" s="155" t="n">
        <x:v>44134</x:v>
      </x:c>
      <x:c r="B1766" s="153" t="n">
        <x:v>0.88</x:v>
      </x:c>
      <x:c r="C1766" s="153" t="n">
        <x:v>-0.82</x:v>
      </x:c>
      <x:c r="D1766" s="153" t="n">
        <x:v>1.7</x:v>
      </x:c>
      <x:c r="E1766" s="153" t="n">
        <x:v>116.1354</x:v>
      </x:c>
      <x:c r="F1766" s="153" t="n">
        <x:v>38.02</x:v>
      </x:c>
      <x:c r="G1766" s="153" t="n">
        <x:v>0.09</x:v>
      </x:c>
    </x:row>
    <x:row r="1767">
      <x:c r="A1767" s="155" t="n">
        <x:v>44135</x:v>
      </x:c>
      <x:c r="B1767" s="153"/>
      <x:c r="C1767" s="153"/>
      <x:c r="D1767" s="153"/>
      <x:c r="E1767" s="153"/>
      <x:c r="F1767" s="153"/>
      <x:c r="G1767" s="153" t="n">
        <x:v>0.09</x:v>
      </x:c>
    </x:row>
    <x:row r="1768">
      <x:c r="A1768" s="155" t="n">
        <x:v>44136</x:v>
      </x:c>
      <x:c r="B1768" s="153"/>
      <x:c r="C1768" s="153"/>
      <x:c r="D1768" s="153"/>
      <x:c r="E1768" s="153"/>
      <x:c r="F1768" s="153"/>
      <x:c r="G1768" s="153" t="n">
        <x:v>0.09</x:v>
      </x:c>
    </x:row>
    <x:row r="1769">
      <x:c r="A1769" s="155" t="n">
        <x:v>44137</x:v>
      </x:c>
      <x:c r="B1769" s="153" t="n">
        <x:v>0.87</x:v>
      </x:c>
      <x:c r="C1769" s="153" t="n">
        <x:v>-0.84</x:v>
      </x:c>
      <x:c r="D1769" s="153" t="n">
        <x:v>1.71</x:v>
      </x:c>
      <x:c r="E1769" s="153" t="n">
        <x:v>116.2361</x:v>
      </x:c>
      <x:c r="F1769" s="153" t="n">
        <x:v>37.13</x:v>
      </x:c>
      <x:c r="G1769" s="153" t="n">
        <x:v>0.09</x:v>
      </x:c>
    </x:row>
    <x:row r="1770">
      <x:c r="A1770" s="155" t="n">
        <x:v>44138</x:v>
      </x:c>
      <x:c r="B1770" s="153" t="n">
        <x:v>0.9</x:v>
      </x:c>
      <x:c r="C1770" s="153" t="n">
        <x:v>-0.82</x:v>
      </x:c>
      <x:c r="D1770" s="153" t="n">
        <x:v>1.72</x:v>
      </x:c>
      <x:c r="E1770" s="153" t="n">
        <x:v>115.4802</x:v>
      </x:c>
      <x:c r="F1770" s="153" t="n">
        <x:v>35.55</x:v>
      </x:c>
      <x:c r="G1770" s="153" t="n">
        <x:v>0.09</x:v>
      </x:c>
    </x:row>
    <x:row r="1771">
      <x:c r="A1771" s="155" t="n">
        <x:v>44139</x:v>
      </x:c>
      <x:c r="B1771" s="153" t="n">
        <x:v>0.78</x:v>
      </x:c>
      <x:c r="C1771" s="153" t="n">
        <x:v>-0.86</x:v>
      </x:c>
      <x:c r="D1771" s="153" t="n">
        <x:v>1.64</x:v>
      </x:c>
      <x:c r="E1771" s="153" t="n">
        <x:v>115.1677</x:v>
      </x:c>
      <x:c r="F1771" s="153" t="n">
        <x:v>29.57</x:v>
      </x:c>
      <x:c r="G1771" s="153" t="n">
        <x:v>0.09</x:v>
      </x:c>
    </x:row>
    <x:row r="1772">
      <x:c r="A1772" s="155" t="n">
        <x:v>44140</x:v>
      </x:c>
      <x:c r="B1772" s="153" t="n">
        <x:v>0.79</x:v>
      </x:c>
      <x:c r="C1772" s="153" t="n">
        <x:v>-0.87</x:v>
      </x:c>
      <x:c r="D1772" s="153" t="n">
        <x:v>1.66</x:v>
      </x:c>
      <x:c r="E1772" s="153" t="n">
        <x:v>114.4556</x:v>
      </x:c>
      <x:c r="F1772" s="153" t="n">
        <x:v>27.58</x:v>
      </x:c>
      <x:c r="G1772" s="153" t="n">
        <x:v>0.09</x:v>
      </x:c>
    </x:row>
    <x:row r="1773">
      <x:c r="A1773" s="155" t="n">
        <x:v>44141</x:v>
      </x:c>
      <x:c r="B1773" s="153" t="n">
        <x:v>0.83</x:v>
      </x:c>
      <x:c r="C1773" s="153" t="n">
        <x:v>-0.82</x:v>
      </x:c>
      <x:c r="D1773" s="153" t="n">
        <x:v>1.65</x:v>
      </x:c>
      <x:c r="E1773" s="153" t="n">
        <x:v>113.9919</x:v>
      </x:c>
      <x:c r="F1773" s="153" t="n">
        <x:v>24.86</x:v>
      </x:c>
      <x:c r="G1773" s="153" t="n">
        <x:v>0.09</x:v>
      </x:c>
    </x:row>
    <x:row r="1774">
      <x:c r="A1774" s="155" t="n">
        <x:v>44142</x:v>
      </x:c>
      <x:c r="B1774" s="153"/>
      <x:c r="C1774" s="153"/>
      <x:c r="D1774" s="153"/>
      <x:c r="E1774" s="153"/>
      <x:c r="F1774" s="153"/>
      <x:c r="G1774" s="153" t="n">
        <x:v>0.09</x:v>
      </x:c>
    </x:row>
    <x:row r="1775">
      <x:c r="A1775" s="155" t="n">
        <x:v>44143</x:v>
      </x:c>
      <x:c r="B1775" s="153"/>
      <x:c r="C1775" s="153"/>
      <x:c r="D1775" s="153"/>
      <x:c r="E1775" s="153"/>
      <x:c r="F1775" s="153"/>
      <x:c r="G1775" s="153" t="n">
        <x:v>0.09</x:v>
      </x:c>
    </x:row>
    <x:row r="1776">
      <x:c r="A1776" s="155" t="n">
        <x:v>44144</x:v>
      </x:c>
      <x:c r="B1776" s="153" t="n">
        <x:v>0.96</x:v>
      </x:c>
      <x:c r="C1776" s="153" t="n">
        <x:v>-0.77</x:v>
      </x:c>
      <x:c r="D1776" s="153" t="n">
        <x:v>1.73</x:v>
      </x:c>
      <x:c r="E1776" s="153" t="n">
        <x:v>114.0895</x:v>
      </x:c>
      <x:c r="F1776" s="153" t="n">
        <x:v>25.75</x:v>
      </x:c>
      <x:c r="G1776" s="153" t="n">
        <x:v>0.09</x:v>
      </x:c>
    </x:row>
    <x:row r="1777">
      <x:c r="A1777" s="155" t="n">
        <x:v>44145</x:v>
      </x:c>
      <x:c r="B1777" s="153" t="n">
        <x:v>0.98</x:v>
      </x:c>
      <x:c r="C1777" s="153" t="n">
        <x:v>-0.78</x:v>
      </x:c>
      <x:c r="D1777" s="153" t="n">
        <x:v>1.76</x:v>
      </x:c>
      <x:c r="E1777" s="153" t="n">
        <x:v>114.0757</x:v>
      </x:c>
      <x:c r="F1777" s="153" t="n">
        <x:v>24.8</x:v>
      </x:c>
      <x:c r="G1777" s="153" t="n">
        <x:v>0.09</x:v>
      </x:c>
    </x:row>
    <x:row r="1778">
      <x:c r="A1778" s="155" t="n">
        <x:v>44146</x:v>
      </x:c>
      <x:c r="B1778" s="153"/>
      <x:c r="C1778" s="153"/>
      <x:c r="D1778" s="153"/>
      <x:c r="E1778" s="153"/>
      <x:c r="F1778" s="153" t="n">
        <x:v>23.45</x:v>
      </x:c>
      <x:c r="G1778" s="153" t="n">
        <x:v>0.09</x:v>
      </x:c>
    </x:row>
    <x:row r="1779">
      <x:c r="A1779" s="155" t="n">
        <x:v>44147</x:v>
      </x:c>
      <x:c r="B1779" s="153" t="n">
        <x:v>0.88</x:v>
      </x:c>
      <x:c r="C1779" s="153" t="n">
        <x:v>-0.83</x:v>
      </x:c>
      <x:c r="D1779" s="153" t="n">
        <x:v>1.71</x:v>
      </x:c>
      <x:c r="E1779" s="153" t="n">
        <x:v>114.2843</x:v>
      </x:c>
      <x:c r="F1779" s="153" t="n">
        <x:v>25.35</x:v>
      </x:c>
      <x:c r="G1779" s="153" t="n">
        <x:v>0.09</x:v>
      </x:c>
    </x:row>
    <x:row r="1780">
      <x:c r="A1780" s="155" t="n">
        <x:v>44148</x:v>
      </x:c>
      <x:c r="B1780" s="153" t="n">
        <x:v>0.89</x:v>
      </x:c>
      <x:c r="C1780" s="153" t="n">
        <x:v>-0.83</x:v>
      </x:c>
      <x:c r="D1780" s="153" t="n">
        <x:v>1.72</x:v>
      </x:c>
      <x:c r="E1780" s="153" t="n">
        <x:v>114.2397</x:v>
      </x:c>
      <x:c r="F1780" s="153" t="n">
        <x:v>23.1</x:v>
      </x:c>
      <x:c r="G1780" s="153" t="n">
        <x:v>0.09</x:v>
      </x:c>
    </x:row>
    <x:row r="1781">
      <x:c r="A1781" s="155" t="n">
        <x:v>44149</x:v>
      </x:c>
      <x:c r="B1781" s="153"/>
      <x:c r="C1781" s="153"/>
      <x:c r="D1781" s="153"/>
      <x:c r="E1781" s="153"/>
      <x:c r="F1781" s="153"/>
      <x:c r="G1781" s="153" t="n">
        <x:v>0.09</x:v>
      </x:c>
    </x:row>
    <x:row r="1782">
      <x:c r="A1782" s="155" t="n">
        <x:v>44150</x:v>
      </x:c>
      <x:c r="B1782" s="153"/>
      <x:c r="C1782" s="153"/>
      <x:c r="D1782" s="153"/>
      <x:c r="E1782" s="153"/>
      <x:c r="F1782" s="153"/>
      <x:c r="G1782" s="153" t="n">
        <x:v>0.09</x:v>
      </x:c>
    </x:row>
    <x:row r="1783">
      <x:c r="A1783" s="155" t="n">
        <x:v>44151</x:v>
      </x:c>
      <x:c r="B1783" s="153" t="n">
        <x:v>0.91</x:v>
      </x:c>
      <x:c r="C1783" s="153" t="n">
        <x:v>-0.81</x:v>
      </x:c>
      <x:c r="D1783" s="153" t="n">
        <x:v>1.72</x:v>
      </x:c>
      <x:c r="E1783" s="153" t="n">
        <x:v>113.8312</x:v>
      </x:c>
      <x:c r="F1783" s="153" t="n">
        <x:v>22.45</x:v>
      </x:c>
      <x:c r="G1783" s="153" t="n">
        <x:v>0.09</x:v>
      </x:c>
    </x:row>
    <x:row r="1784">
      <x:c r="A1784" s="155" t="n">
        <x:v>44152</x:v>
      </x:c>
      <x:c r="B1784" s="153" t="n">
        <x:v>0.87</x:v>
      </x:c>
      <x:c r="C1784" s="153" t="n">
        <x:v>-0.83</x:v>
      </x:c>
      <x:c r="D1784" s="153" t="n">
        <x:v>1.7</x:v>
      </x:c>
      <x:c r="E1784" s="153" t="n">
        <x:v>113.682</x:v>
      </x:c>
      <x:c r="F1784" s="153" t="n">
        <x:v>22.71</x:v>
      </x:c>
      <x:c r="G1784" s="153" t="n">
        <x:v>0.09</x:v>
      </x:c>
    </x:row>
    <x:row r="1785">
      <x:c r="A1785" s="155" t="n">
        <x:v>44153</x:v>
      </x:c>
      <x:c r="B1785" s="153" t="n">
        <x:v>0.88</x:v>
      </x:c>
      <x:c r="C1785" s="153" t="n">
        <x:v>-0.82</x:v>
      </x:c>
      <x:c r="D1785" s="153" t="n">
        <x:v>1.7</x:v>
      </x:c>
      <x:c r="E1785" s="153" t="n">
        <x:v>113.46</x:v>
      </x:c>
      <x:c r="F1785" s="153" t="n">
        <x:v>23.84</x:v>
      </x:c>
      <x:c r="G1785" s="153" t="n">
        <x:v>0.09</x:v>
      </x:c>
    </x:row>
    <x:row r="1786">
      <x:c r="A1786" s="155" t="n">
        <x:v>44154</x:v>
      </x:c>
      <x:c r="B1786" s="153" t="n">
        <x:v>0.86</x:v>
      </x:c>
      <x:c r="C1786" s="153" t="n">
        <x:v>-0.84</x:v>
      </x:c>
      <x:c r="D1786" s="153" t="n">
        <x:v>1.7</x:v>
      </x:c>
      <x:c r="E1786" s="153" t="n">
        <x:v>113.694</x:v>
      </x:c>
      <x:c r="F1786" s="153" t="n">
        <x:v>23.11</x:v>
      </x:c>
      <x:c r="G1786" s="153" t="n">
        <x:v>0.08</x:v>
      </x:c>
    </x:row>
    <x:row r="1787">
      <x:c r="A1787" s="155" t="n">
        <x:v>44155</x:v>
      </x:c>
      <x:c r="B1787" s="153" t="n">
        <x:v>0.83</x:v>
      </x:c>
      <x:c r="C1787" s="153" t="n">
        <x:v>-0.86</x:v>
      </x:c>
      <x:c r="D1787" s="153" t="n">
        <x:v>1.69</x:v>
      </x:c>
      <x:c r="E1787" s="153" t="n">
        <x:v>113.489</x:v>
      </x:c>
      <x:c r="F1787" s="153" t="n">
        <x:v>23.7</x:v>
      </x:c>
      <x:c r="G1787" s="153" t="n">
        <x:v>0.08</x:v>
      </x:c>
    </x:row>
    <x:row r="1788">
      <x:c r="A1788" s="155" t="n">
        <x:v>44156</x:v>
      </x:c>
      <x:c r="B1788" s="153"/>
      <x:c r="C1788" s="153"/>
      <x:c r="D1788" s="153"/>
      <x:c r="E1788" s="153"/>
      <x:c r="F1788" s="153"/>
      <x:c r="G1788" s="153" t="n">
        <x:v>0.08</x:v>
      </x:c>
    </x:row>
    <x:row r="1789">
      <x:c r="A1789" s="155" t="n">
        <x:v>44157</x:v>
      </x:c>
      <x:c r="B1789" s="153"/>
      <x:c r="C1789" s="153"/>
      <x:c r="D1789" s="153"/>
      <x:c r="E1789" s="153"/>
      <x:c r="F1789" s="153"/>
      <x:c r="G1789" s="153" t="n">
        <x:v>0.08</x:v>
      </x:c>
    </x:row>
    <x:row r="1790">
      <x:c r="A1790" s="155" t="n">
        <x:v>44158</x:v>
      </x:c>
      <x:c r="B1790" s="153" t="n">
        <x:v>0.86</x:v>
      </x:c>
      <x:c r="C1790" s="153" t="n">
        <x:v>-0.85</x:v>
      </x:c>
      <x:c r="D1790" s="153" t="n">
        <x:v>1.71</x:v>
      </x:c>
      <x:c r="E1790" s="153" t="n">
        <x:v>113.7548</x:v>
      </x:c>
      <x:c r="F1790" s="153" t="n">
        <x:v>22.66</x:v>
      </x:c>
      <x:c r="G1790" s="153" t="n">
        <x:v>0.08</x:v>
      </x:c>
    </x:row>
    <x:row r="1791">
      <x:c r="A1791" s="155" t="n">
        <x:v>44159</x:v>
      </x:c>
      <x:c r="B1791" s="153" t="n">
        <x:v>0.88</x:v>
      </x:c>
      <x:c r="C1791" s="153" t="n">
        <x:v>-0.86</x:v>
      </x:c>
      <x:c r="D1791" s="153" t="n">
        <x:v>1.74</x:v>
      </x:c>
      <x:c r="E1791" s="153" t="n">
        <x:v>113.4316</x:v>
      </x:c>
      <x:c r="F1791" s="153" t="n">
        <x:v>21.64</x:v>
      </x:c>
      <x:c r="G1791" s="153" t="n">
        <x:v>0.08</x:v>
      </x:c>
    </x:row>
    <x:row r="1792">
      <x:c r="A1792" s="155" t="n">
        <x:v>44160</x:v>
      </x:c>
      <x:c r="B1792" s="153" t="n">
        <x:v>0.88</x:v>
      </x:c>
      <x:c r="C1792" s="153" t="n">
        <x:v>-0.87</x:v>
      </x:c>
      <x:c r="D1792" s="153" t="n">
        <x:v>1.75</x:v>
      </x:c>
      <x:c r="E1792" s="153" t="n">
        <x:v>113.1823</x:v>
      </x:c>
      <x:c r="F1792" s="153" t="n">
        <x:v>21.25</x:v>
      </x:c>
      <x:c r="G1792" s="153" t="n">
        <x:v>0.08</x:v>
      </x:c>
    </x:row>
    <x:row r="1793">
      <x:c r="A1793" s="155" t="n">
        <x:v>44161</x:v>
      </x:c>
      <x:c r="B1793" s="153"/>
      <x:c r="C1793" s="153"/>
      <x:c r="D1793" s="153"/>
      <x:c r="E1793" s="153"/>
      <x:c r="F1793" s="153"/>
      <x:c r="G1793" s="153" t="n">
        <x:v>0.08</x:v>
      </x:c>
    </x:row>
    <x:row r="1794">
      <x:c r="A1794" s="155" t="n">
        <x:v>44162</x:v>
      </x:c>
      <x:c r="B1794" s="153" t="n">
        <x:v>0.84</x:v>
      </x:c>
      <x:c r="C1794" s="153" t="n">
        <x:v>-0.91</x:v>
      </x:c>
      <x:c r="D1794" s="153" t="n">
        <x:v>1.75</x:v>
      </x:c>
      <x:c r="E1794" s="153"/>
      <x:c r="F1794" s="153" t="n">
        <x:v>20.84</x:v>
      </x:c>
      <x:c r="G1794" s="153" t="n">
        <x:v>0.08</x:v>
      </x:c>
    </x:row>
    <x:row r="1795">
      <x:c r="A1795" s="155" t="n">
        <x:v>44163</x:v>
      </x:c>
      <x:c r="B1795" s="153"/>
      <x:c r="C1795" s="153"/>
      <x:c r="D1795" s="153"/>
      <x:c r="E1795" s="153"/>
      <x:c r="F1795" s="153"/>
      <x:c r="G1795" s="153" t="n">
        <x:v>0.08</x:v>
      </x:c>
    </x:row>
    <x:row r="1796">
      <x:c r="A1796" s="155" t="n">
        <x:v>44164</x:v>
      </x:c>
      <x:c r="B1796" s="153"/>
      <x:c r="C1796" s="153"/>
      <x:c r="D1796" s="153"/>
      <x:c r="E1796" s="153"/>
      <x:c r="F1796" s="153"/>
      <x:c r="G1796" s="153" t="n">
        <x:v>0.08</x:v>
      </x:c>
    </x:row>
    <x:row r="1797">
      <x:c r="A1797" s="155" t="n">
        <x:v>44165</x:v>
      </x:c>
      <x:c r="B1797" s="153" t="n">
        <x:v>0.84</x:v>
      </x:c>
      <x:c r="C1797" s="153" t="n">
        <x:v>-0.93</x:v>
      </x:c>
      <x:c r="D1797" s="153" t="n">
        <x:v>1.77</x:v>
      </x:c>
      <x:c r="E1797" s="153" t="n">
        <x:v>113.2256</x:v>
      </x:c>
      <x:c r="F1797" s="153" t="n">
        <x:v>20.57</x:v>
      </x:c>
      <x:c r="G1797" s="153" t="n">
        <x:v>0.09</x:v>
      </x:c>
    </x:row>
    <x:row r="1798">
      <x:c r="A1798" s="155" t="n">
        <x:v>44166</x:v>
      </x:c>
      <x:c r="B1798" s="153" t="n">
        <x:v>0.92</x:v>
      </x:c>
      <x:c r="C1798" s="153" t="n">
        <x:v>-0.89</x:v>
      </x:c>
      <x:c r="D1798" s="153" t="n">
        <x:v>1.81</x:v>
      </x:c>
      <x:c r="E1798" s="153" t="n">
        <x:v>112.8063</x:v>
      </x:c>
      <x:c r="F1798" s="153" t="n">
        <x:v>20.77</x:v>
      </x:c>
      <x:c r="G1798" s="153" t="n">
        <x:v>0.09</x:v>
      </x:c>
    </x:row>
    <x:row r="1799">
      <x:c r="A1799" s="155" t="n">
        <x:v>44167</x:v>
      </x:c>
      <x:c r="B1799" s="153" t="n">
        <x:v>0.95</x:v>
      </x:c>
      <x:c r="C1799" s="153" t="n">
        <x:v>-0.9</x:v>
      </x:c>
      <x:c r="D1799" s="153" t="n">
        <x:v>1.85</x:v>
      </x:c>
      <x:c r="E1799" s="153" t="n">
        <x:v>112.6115</x:v>
      </x:c>
      <x:c r="F1799" s="153" t="n">
        <x:v>21.17</x:v>
      </x:c>
      <x:c r="G1799" s="153" t="n">
        <x:v>0.09</x:v>
      </x:c>
    </x:row>
    <x:row r="1800">
      <x:c r="A1800" s="155" t="n">
        <x:v>44168</x:v>
      </x:c>
      <x:c r="B1800" s="153" t="n">
        <x:v>0.92</x:v>
      </x:c>
      <x:c r="C1800" s="153" t="n">
        <x:v>-0.94</x:v>
      </x:c>
      <x:c r="D1800" s="153" t="n">
        <x:v>1.86</x:v>
      </x:c>
      <x:c r="E1800" s="153" t="n">
        <x:v>112.0236</x:v>
      </x:c>
      <x:c r="F1800" s="153" t="n">
        <x:v>21.28</x:v>
      </x:c>
      <x:c r="G1800" s="153" t="n">
        <x:v>0.09</x:v>
      </x:c>
    </x:row>
    <x:row r="1801">
      <x:c r="A1801" s="155" t="n">
        <x:v>44169</x:v>
      </x:c>
      <x:c r="B1801" s="153" t="n">
        <x:v>0.97</x:v>
      </x:c>
      <x:c r="C1801" s="153" t="n">
        <x:v>-0.92</x:v>
      </x:c>
      <x:c r="D1801" s="153" t="n">
        <x:v>1.89</x:v>
      </x:c>
      <x:c r="E1801" s="153" t="n">
        <x:v>111.7778</x:v>
      </x:c>
      <x:c r="F1801" s="153" t="n">
        <x:v>20.79</x:v>
      </x:c>
      <x:c r="G1801" s="153" t="n">
        <x:v>0.09</x:v>
      </x:c>
    </x:row>
    <x:row r="1802">
      <x:c r="A1802" s="155" t="n">
        <x:v>44170</x:v>
      </x:c>
      <x:c r="B1802" s="153"/>
      <x:c r="C1802" s="153"/>
      <x:c r="D1802" s="153"/>
      <x:c r="E1802" s="153"/>
      <x:c r="F1802" s="153"/>
      <x:c r="G1802" s="153" t="n">
        <x:v>0.09</x:v>
      </x:c>
    </x:row>
    <x:row r="1803">
      <x:c r="A1803" s="155" t="n">
        <x:v>44171</x:v>
      </x:c>
      <x:c r="B1803" s="153"/>
      <x:c r="C1803" s="153"/>
      <x:c r="D1803" s="153"/>
      <x:c r="E1803" s="153"/>
      <x:c r="F1803" s="153"/>
      <x:c r="G1803" s="153" t="n">
        <x:v>0.09</x:v>
      </x:c>
    </x:row>
    <x:row r="1804">
      <x:c r="A1804" s="155" t="n">
        <x:v>44172</x:v>
      </x:c>
      <x:c r="B1804" s="153" t="n">
        <x:v>0.94</x:v>
      </x:c>
      <x:c r="C1804" s="153" t="n">
        <x:v>-0.94</x:v>
      </x:c>
      <x:c r="D1804" s="153" t="n">
        <x:v>1.88</x:v>
      </x:c>
      <x:c r="E1804" s="153" t="n">
        <x:v>111.8385</x:v>
      </x:c>
      <x:c r="F1804" s="153" t="n">
        <x:v>21.3</x:v>
      </x:c>
      <x:c r="G1804" s="153" t="n">
        <x:v>0.09</x:v>
      </x:c>
    </x:row>
    <x:row r="1805">
      <x:c r="A1805" s="155" t="n">
        <x:v>44173</x:v>
      </x:c>
      <x:c r="B1805" s="153" t="n">
        <x:v>0.92</x:v>
      </x:c>
      <x:c r="C1805" s="153" t="n">
        <x:v>-0.97</x:v>
      </x:c>
      <x:c r="D1805" s="153" t="n">
        <x:v>1.89</x:v>
      </x:c>
      <x:c r="E1805" s="153" t="n">
        <x:v>111.8639</x:v>
      </x:c>
      <x:c r="F1805" s="153" t="n">
        <x:v>20.68</x:v>
      </x:c>
      <x:c r="G1805" s="153" t="n">
        <x:v>0.09</x:v>
      </x:c>
    </x:row>
    <x:row r="1806">
      <x:c r="A1806" s="155" t="n">
        <x:v>44174</x:v>
      </x:c>
      <x:c r="B1806" s="153" t="n">
        <x:v>0.95</x:v>
      </x:c>
      <x:c r="C1806" s="153" t="n">
        <x:v>-0.96</x:v>
      </x:c>
      <x:c r="D1806" s="153" t="n">
        <x:v>1.91</x:v>
      </x:c>
      <x:c r="E1806" s="153" t="n">
        <x:v>112.0305</x:v>
      </x:c>
      <x:c r="F1806" s="153" t="n">
        <x:v>22.27</x:v>
      </x:c>
      <x:c r="G1806" s="153" t="n">
        <x:v>0.09</x:v>
      </x:c>
    </x:row>
    <x:row r="1807">
      <x:c r="A1807" s="155" t="n">
        <x:v>44175</x:v>
      </x:c>
      <x:c r="B1807" s="153" t="n">
        <x:v>0.92</x:v>
      </x:c>
      <x:c r="C1807" s="153" t="n">
        <x:v>-0.96</x:v>
      </x:c>
      <x:c r="D1807" s="153" t="n">
        <x:v>1.88</x:v>
      </x:c>
      <x:c r="E1807" s="153" t="n">
        <x:v>111.9788</x:v>
      </x:c>
      <x:c r="F1807" s="153" t="n">
        <x:v>22.52</x:v>
      </x:c>
      <x:c r="G1807" s="153" t="n">
        <x:v>0.09</x:v>
      </x:c>
    </x:row>
    <x:row r="1808">
      <x:c r="A1808" s="155" t="n">
        <x:v>44176</x:v>
      </x:c>
      <x:c r="B1808" s="153" t="n">
        <x:v>0.9</x:v>
      </x:c>
      <x:c r="C1808" s="153" t="n">
        <x:v>-0.97</x:v>
      </x:c>
      <x:c r="D1808" s="153" t="n">
        <x:v>1.87</x:v>
      </x:c>
      <x:c r="E1808" s="153" t="n">
        <x:v>112.1417</x:v>
      </x:c>
      <x:c r="F1808" s="153" t="n">
        <x:v>23.31</x:v>
      </x:c>
      <x:c r="G1808" s="153" t="n">
        <x:v>0.09</x:v>
      </x:c>
    </x:row>
    <x:row r="1809">
      <x:c r="A1809" s="155" t="n">
        <x:v>44177</x:v>
      </x:c>
      <x:c r="B1809" s="153"/>
      <x:c r="C1809" s="153"/>
      <x:c r="D1809" s="153"/>
      <x:c r="E1809" s="153"/>
      <x:c r="F1809" s="153"/>
      <x:c r="G1809" s="153" t="n">
        <x:v>0.09</x:v>
      </x:c>
    </x:row>
    <x:row r="1810">
      <x:c r="A1810" s="155" t="n">
        <x:v>44178</x:v>
      </x:c>
      <x:c r="B1810" s="153"/>
      <x:c r="C1810" s="153"/>
      <x:c r="D1810" s="153"/>
      <x:c r="E1810" s="153"/>
      <x:c r="F1810" s="153"/>
      <x:c r="G1810" s="153" t="n">
        <x:v>0.09</x:v>
      </x:c>
    </x:row>
    <x:row r="1811">
      <x:c r="A1811" s="155" t="n">
        <x:v>44179</x:v>
      </x:c>
      <x:c r="B1811" s="153" t="n">
        <x:v>0.9</x:v>
      </x:c>
      <x:c r="C1811" s="153" t="n">
        <x:v>-0.98</x:v>
      </x:c>
      <x:c r="D1811" s="153" t="n">
        <x:v>1.88</x:v>
      </x:c>
      <x:c r="E1811" s="153" t="n">
        <x:v>112.1708</x:v>
      </x:c>
      <x:c r="F1811" s="153" t="n">
        <x:v>24.72</x:v>
      </x:c>
      <x:c r="G1811" s="153" t="n">
        <x:v>0.09</x:v>
      </x:c>
    </x:row>
    <x:row r="1812">
      <x:c r="A1812" s="155" t="n">
        <x:v>44180</x:v>
      </x:c>
      <x:c r="B1812" s="153" t="n">
        <x:v>0.92</x:v>
      </x:c>
      <x:c r="C1812" s="153" t="n">
        <x:v>-0.99</x:v>
      </x:c>
      <x:c r="D1812" s="153" t="n">
        <x:v>1.91</x:v>
      </x:c>
      <x:c r="E1812" s="153" t="n">
        <x:v>111.8601</x:v>
      </x:c>
      <x:c r="F1812" s="153" t="n">
        <x:v>22.89</x:v>
      </x:c>
      <x:c r="G1812" s="153" t="n">
        <x:v>0.09</x:v>
      </x:c>
    </x:row>
    <x:row r="1813">
      <x:c r="A1813" s="155" t="n">
        <x:v>44181</x:v>
      </x:c>
      <x:c r="B1813" s="153" t="n">
        <x:v>0.92</x:v>
      </x:c>
      <x:c r="C1813" s="153" t="n">
        <x:v>-1</x:v>
      </x:c>
      <x:c r="D1813" s="153" t="n">
        <x:v>1.92</x:v>
      </x:c>
      <x:c r="E1813" s="153" t="n">
        <x:v>111.7157</x:v>
      </x:c>
      <x:c r="F1813" s="153" t="n">
        <x:v>22.5</x:v>
      </x:c>
      <x:c r="G1813" s="153" t="n">
        <x:v>0.09</x:v>
      </x:c>
    </x:row>
    <x:row r="1814">
      <x:c r="A1814" s="155" t="n">
        <x:v>44182</x:v>
      </x:c>
      <x:c r="B1814" s="153" t="n">
        <x:v>0.94</x:v>
      </x:c>
      <x:c r="C1814" s="153" t="n">
        <x:v>-1</x:v>
      </x:c>
      <x:c r="D1814" s="153" t="n">
        <x:v>1.94</x:v>
      </x:c>
      <x:c r="E1814" s="153" t="n">
        <x:v>111.2226</x:v>
      </x:c>
      <x:c r="F1814" s="153" t="n">
        <x:v>21.93</x:v>
      </x:c>
      <x:c r="G1814" s="153" t="n">
        <x:v>0.09</x:v>
      </x:c>
    </x:row>
    <x:row r="1815">
      <x:c r="A1815" s="155" t="n">
        <x:v>44183</x:v>
      </x:c>
      <x:c r="B1815" s="153" t="n">
        <x:v>0.95</x:v>
      </x:c>
      <x:c r="C1815" s="153" t="n">
        <x:v>-1</x:v>
      </x:c>
      <x:c r="D1815" s="153" t="n">
        <x:v>1.95</x:v>
      </x:c>
      <x:c r="E1815" s="153" t="n">
        <x:v>111.6071</x:v>
      </x:c>
      <x:c r="F1815" s="153" t="n">
        <x:v>21.57</x:v>
      </x:c>
      <x:c r="G1815" s="153" t="n">
        <x:v>0.09</x:v>
      </x:c>
    </x:row>
    <x:row r="1816">
      <x:c r="A1816" s="155" t="n">
        <x:v>44184</x:v>
      </x:c>
      <x:c r="B1816" s="153"/>
      <x:c r="C1816" s="153"/>
      <x:c r="D1816" s="153"/>
      <x:c r="E1816" s="153"/>
      <x:c r="F1816" s="153"/>
      <x:c r="G1816" s="153" t="n">
        <x:v>0.09</x:v>
      </x:c>
    </x:row>
    <x:row r="1817">
      <x:c r="A1817" s="155" t="n">
        <x:v>44185</x:v>
      </x:c>
      <x:c r="B1817" s="153"/>
      <x:c r="C1817" s="153"/>
      <x:c r="D1817" s="153"/>
      <x:c r="E1817" s="153"/>
      <x:c r="F1817" s="153"/>
      <x:c r="G1817" s="153" t="n">
        <x:v>0.09</x:v>
      </x:c>
    </x:row>
    <x:row r="1818">
      <x:c r="A1818" s="155" t="n">
        <x:v>44186</x:v>
      </x:c>
      <x:c r="B1818" s="153" t="n">
        <x:v>0.95</x:v>
      </x:c>
      <x:c r="C1818" s="153" t="n">
        <x:v>-1</x:v>
      </x:c>
      <x:c r="D1818" s="153" t="n">
        <x:v>1.95</x:v>
      </x:c>
      <x:c r="E1818" s="153" t="n">
        <x:v>111.9415</x:v>
      </x:c>
      <x:c r="F1818" s="153" t="n">
        <x:v>25.16</x:v>
      </x:c>
      <x:c r="G1818" s="153" t="n">
        <x:v>0.09</x:v>
      </x:c>
    </x:row>
    <x:row r="1819">
      <x:c r="A1819" s="155" t="n">
        <x:v>44187</x:v>
      </x:c>
      <x:c r="B1819" s="153" t="n">
        <x:v>0.93</x:v>
      </x:c>
      <x:c r="C1819" s="153" t="n">
        <x:v>-1.01</x:v>
      </x:c>
      <x:c r="D1819" s="153" t="n">
        <x:v>1.94</x:v>
      </x:c>
      <x:c r="E1819" s="153" t="n">
        <x:v>112.1947</x:v>
      </x:c>
      <x:c r="F1819" s="153" t="n">
        <x:v>24.23</x:v>
      </x:c>
      <x:c r="G1819" s="153" t="n">
        <x:v>0.09</x:v>
      </x:c>
    </x:row>
    <x:row r="1820">
      <x:c r="A1820" s="155" t="n">
        <x:v>44188</x:v>
      </x:c>
      <x:c r="B1820" s="153" t="n">
        <x:v>0.96</x:v>
      </x:c>
      <x:c r="C1820" s="153" t="n">
        <x:v>-1.01</x:v>
      </x:c>
      <x:c r="D1820" s="153" t="n">
        <x:v>1.97</x:v>
      </x:c>
      <x:c r="E1820" s="153" t="n">
        <x:v>111.9807</x:v>
      </x:c>
      <x:c r="F1820" s="153" t="n">
        <x:v>23.31</x:v>
      </x:c>
      <x:c r="G1820" s="153" t="n">
        <x:v>0.09</x:v>
      </x:c>
    </x:row>
    <x:row r="1821">
      <x:c r="A1821" s="155" t="n">
        <x:v>44189</x:v>
      </x:c>
      <x:c r="B1821" s="153" t="n">
        <x:v>0.94</x:v>
      </x:c>
      <x:c r="C1821" s="153" t="n">
        <x:v>-1.03</x:v>
      </x:c>
      <x:c r="D1821" s="153" t="n">
        <x:v>1.97</x:v>
      </x:c>
      <x:c r="E1821" s="153"/>
      <x:c r="F1821" s="153" t="n">
        <x:v>21.53</x:v>
      </x:c>
      <x:c r="G1821" s="153" t="n">
        <x:v>0.09</x:v>
      </x:c>
    </x:row>
    <x:row r="1822">
      <x:c r="A1822" s="155" t="n">
        <x:v>44190</x:v>
      </x:c>
      <x:c r="B1822" s="153"/>
      <x:c r="C1822" s="153"/>
      <x:c r="D1822" s="153"/>
      <x:c r="E1822" s="153"/>
      <x:c r="F1822" s="153"/>
      <x:c r="G1822" s="153" t="n">
        <x:v>0.09</x:v>
      </x:c>
    </x:row>
    <x:row r="1823">
      <x:c r="A1823" s="155" t="n">
        <x:v>44191</x:v>
      </x:c>
      <x:c r="B1823" s="153"/>
      <x:c r="C1823" s="153"/>
      <x:c r="D1823" s="153"/>
      <x:c r="E1823" s="153"/>
      <x:c r="F1823" s="153"/>
      <x:c r="G1823" s="153" t="n">
        <x:v>0.09</x:v>
      </x:c>
    </x:row>
    <x:row r="1824">
      <x:c r="A1824" s="155" t="n">
        <x:v>44192</x:v>
      </x:c>
      <x:c r="B1824" s="153"/>
      <x:c r="C1824" s="153"/>
      <x:c r="D1824" s="153"/>
      <x:c r="E1824" s="153"/>
      <x:c r="F1824" s="153"/>
      <x:c r="G1824" s="153" t="n">
        <x:v>0.09</x:v>
      </x:c>
    </x:row>
    <x:row r="1825">
      <x:c r="A1825" s="155" t="n">
        <x:v>44193</x:v>
      </x:c>
      <x:c r="B1825" s="153" t="n">
        <x:v>0.94</x:v>
      </x:c>
      <x:c r="C1825" s="153" t="n">
        <x:v>-1.03</x:v>
      </x:c>
      <x:c r="D1825" s="153" t="n">
        <x:v>1.97</x:v>
      </x:c>
      <x:c r="E1825" s="153" t="n">
        <x:v>111.9752</x:v>
      </x:c>
      <x:c r="F1825" s="153" t="n">
        <x:v>21.7</x:v>
      </x:c>
      <x:c r="G1825" s="153" t="n">
        <x:v>0.09</x:v>
      </x:c>
    </x:row>
    <x:row r="1826">
      <x:c r="A1826" s="155" t="n">
        <x:v>44194</x:v>
      </x:c>
      <x:c r="B1826" s="153" t="n">
        <x:v>0.94</x:v>
      </x:c>
      <x:c r="C1826" s="153" t="n">
        <x:v>-1.02</x:v>
      </x:c>
      <x:c r="D1826" s="153" t="n">
        <x:v>1.96</x:v>
      </x:c>
      <x:c r="E1826" s="153" t="n">
        <x:v>111.5172</x:v>
      </x:c>
      <x:c r="F1826" s="153" t="n">
        <x:v>23.08</x:v>
      </x:c>
      <x:c r="G1826" s="153" t="n">
        <x:v>0.09</x:v>
      </x:c>
    </x:row>
    <x:row r="1827">
      <x:c r="A1827" s="155" t="n">
        <x:v>44195</x:v>
      </x:c>
      <x:c r="B1827" s="153" t="n">
        <x:v>0.93</x:v>
      </x:c>
      <x:c r="C1827" s="153" t="n">
        <x:v>-1.03</x:v>
      </x:c>
      <x:c r="D1827" s="153" t="n">
        <x:v>1.96</x:v>
      </x:c>
      <x:c r="E1827" s="153" t="n">
        <x:v>111.3084</x:v>
      </x:c>
      <x:c r="F1827" s="153" t="n">
        <x:v>22.77</x:v>
      </x:c>
      <x:c r="G1827" s="153" t="n">
        <x:v>0.09</x:v>
      </x:c>
    </x:row>
    <x:row r="1828">
      <x:c r="A1828" s="155" t="n">
        <x:v>44196</x:v>
      </x:c>
      <x:c r="B1828" s="153" t="n">
        <x:v>0.93</x:v>
      </x:c>
      <x:c r="C1828" s="153" t="n">
        <x:v>-1.06</x:v>
      </x:c>
      <x:c r="D1828" s="153" t="n">
        <x:v>1.99</x:v>
      </x:c>
      <x:c r="E1828" s="153" t="n">
        <x:v>111.3169</x:v>
      </x:c>
      <x:c r="F1828" s="153" t="n">
        <x:v>22.75</x:v>
      </x:c>
      <x:c r="G1828" s="153" t="n">
        <x:v>0.09</x:v>
      </x:c>
    </x:row>
    <x:row r="1829">
      <x:c r="A1829" s="155" t="n">
        <x:v>44197</x:v>
      </x:c>
      <x:c r="B1829" s="153"/>
      <x:c r="C1829" s="153"/>
      <x:c r="D1829" s="153"/>
      <x:c r="E1829" s="153"/>
      <x:c r="F1829" s="153"/>
      <x:c r="G1829" s="153" t="n">
        <x:v>0.09</x:v>
      </x:c>
    </x:row>
    <x:row r="1830">
      <x:c r="A1830" s="155" t="n">
        <x:v>44198</x:v>
      </x:c>
      <x:c r="B1830" s="153"/>
      <x:c r="C1830" s="153"/>
      <x:c r="D1830" s="153"/>
      <x:c r="E1830" s="153"/>
      <x:c r="F1830" s="153"/>
      <x:c r="G1830" s="153" t="n">
        <x:v>0.09</x:v>
      </x:c>
    </x:row>
    <x:row r="1831">
      <x:c r="A1831" s="155" t="n">
        <x:v>44199</x:v>
      </x:c>
      <x:c r="B1831" s="153"/>
      <x:c r="C1831" s="153"/>
      <x:c r="D1831" s="153"/>
      <x:c r="E1831" s="153"/>
      <x:c r="F1831" s="153"/>
      <x:c r="G1831" s="153" t="n">
        <x:v>0.09</x:v>
      </x:c>
    </x:row>
    <x:row r="1832">
      <x:c r="A1832" s="155" t="n">
        <x:v>44200</x:v>
      </x:c>
      <x:c r="B1832" s="153" t="n">
        <x:v>0.93</x:v>
      </x:c>
      <x:c r="C1832" s="153" t="n">
        <x:v>-1.08</x:v>
      </x:c>
      <x:c r="D1832" s="153" t="n">
        <x:v>2.01</x:v>
      </x:c>
      <x:c r="E1832" s="153" t="n">
        <x:v>111.2075</x:v>
      </x:c>
      <x:c r="F1832" s="153" t="n">
        <x:v>26.97</x:v>
      </x:c>
      <x:c r="G1832" s="153" t="n">
        <x:v>0.09</x:v>
      </x:c>
    </x:row>
    <x:row r="1833">
      <x:c r="A1833" s="155" t="n">
        <x:v>44201</x:v>
      </x:c>
      <x:c r="B1833" s="153" t="n">
        <x:v>0.96</x:v>
      </x:c>
      <x:c r="C1833" s="153" t="n">
        <x:v>-1.07</x:v>
      </x:c>
      <x:c r="D1833" s="153" t="n">
        <x:v>2.03</x:v>
      </x:c>
      <x:c r="E1833" s="153" t="n">
        <x:v>110.9574</x:v>
      </x:c>
      <x:c r="F1833" s="153" t="n">
        <x:v>25.34</x:v>
      </x:c>
      <x:c r="G1833" s="153" t="n">
        <x:v>0.09</x:v>
      </x:c>
    </x:row>
    <x:row r="1834">
      <x:c r="A1834" s="155" t="n">
        <x:v>44202</x:v>
      </x:c>
      <x:c r="B1834" s="153" t="n">
        <x:v>1.04</x:v>
      </x:c>
      <x:c r="C1834" s="153" t="n">
        <x:v>-1.02</x:v>
      </x:c>
      <x:c r="D1834" s="153" t="n">
        <x:v>2.06</x:v>
      </x:c>
      <x:c r="E1834" s="153" t="n">
        <x:v>110.8502</x:v>
      </x:c>
      <x:c r="F1834" s="153" t="n">
        <x:v>25.07</x:v>
      </x:c>
      <x:c r="G1834" s="153" t="n">
        <x:v>0.09</x:v>
      </x:c>
    </x:row>
    <x:row r="1835">
      <x:c r="A1835" s="155" t="n">
        <x:v>44203</x:v>
      </x:c>
      <x:c r="B1835" s="153" t="n">
        <x:v>1.08</x:v>
      </x:c>
      <x:c r="C1835" s="153" t="n">
        <x:v>-1.01</x:v>
      </x:c>
      <x:c r="D1835" s="153" t="n">
        <x:v>2.09</x:v>
      </x:c>
      <x:c r="E1835" s="153" t="n">
        <x:v>111.3042</x:v>
      </x:c>
      <x:c r="F1835" s="153" t="n">
        <x:v>22.37</x:v>
      </x:c>
      <x:c r="G1835" s="153" t="n">
        <x:v>0.09</x:v>
      </x:c>
    </x:row>
    <x:row r="1836">
      <x:c r="A1836" s="155" t="n">
        <x:v>44204</x:v>
      </x:c>
      <x:c r="B1836" s="153" t="n">
        <x:v>1.13</x:v>
      </x:c>
      <x:c r="C1836" s="153" t="n">
        <x:v>-0.93</x:v>
      </x:c>
      <x:c r="D1836" s="153" t="n">
        <x:v>2.06</x:v>
      </x:c>
      <x:c r="E1836" s="153" t="n">
        <x:v>111.2847</x:v>
      </x:c>
      <x:c r="F1836" s="153" t="n">
        <x:v>21.56</x:v>
      </x:c>
      <x:c r="G1836" s="153" t="n">
        <x:v>0.09</x:v>
      </x:c>
    </x:row>
    <x:row r="1837">
      <x:c r="A1837" s="155" t="n">
        <x:v>44205</x:v>
      </x:c>
      <x:c r="B1837" s="153"/>
      <x:c r="C1837" s="153"/>
      <x:c r="D1837" s="153"/>
      <x:c r="E1837" s="153"/>
      <x:c r="F1837" s="153"/>
      <x:c r="G1837" s="153" t="n">
        <x:v>0.09</x:v>
      </x:c>
    </x:row>
    <x:row r="1838">
      <x:c r="A1838" s="155" t="n">
        <x:v>44206</x:v>
      </x:c>
      <x:c r="B1838" s="153"/>
      <x:c r="C1838" s="153"/>
      <x:c r="D1838" s="153"/>
      <x:c r="E1838" s="153"/>
      <x:c r="F1838" s="153"/>
      <x:c r="G1838" s="153" t="n">
        <x:v>0.09</x:v>
      </x:c>
    </x:row>
    <x:row r="1839">
      <x:c r="A1839" s="155" t="n">
        <x:v>44207</x:v>
      </x:c>
      <x:c r="B1839" s="153" t="n">
        <x:v>1.15</x:v>
      </x:c>
      <x:c r="C1839" s="153" t="n">
        <x:v>-0.91</x:v>
      </x:c>
      <x:c r="D1839" s="153" t="n">
        <x:v>2.06</x:v>
      </x:c>
      <x:c r="E1839" s="153" t="n">
        <x:v>111.8257</x:v>
      </x:c>
      <x:c r="F1839" s="153" t="n">
        <x:v>24.08</x:v>
      </x:c>
      <x:c r="G1839" s="153" t="n">
        <x:v>0.09</x:v>
      </x:c>
    </x:row>
    <x:row r="1840">
      <x:c r="A1840" s="155" t="n">
        <x:v>44208</x:v>
      </x:c>
      <x:c r="B1840" s="153" t="n">
        <x:v>1.15</x:v>
      </x:c>
      <x:c r="C1840" s="153" t="n">
        <x:v>-0.93</x:v>
      </x:c>
      <x:c r="D1840" s="153" t="n">
        <x:v>2.08</x:v>
      </x:c>
      <x:c r="E1840" s="153" t="n">
        <x:v>111.5501</x:v>
      </x:c>
      <x:c r="F1840" s="153" t="n">
        <x:v>23.33</x:v>
      </x:c>
      <x:c r="G1840" s="153" t="n">
        <x:v>0.09</x:v>
      </x:c>
    </x:row>
    <x:row r="1841">
      <x:c r="A1841" s="155" t="n">
        <x:v>44209</x:v>
      </x:c>
      <x:c r="B1841" s="153" t="n">
        <x:v>1.1</x:v>
      </x:c>
      <x:c r="C1841" s="153" t="n">
        <x:v>-0.96</x:v>
      </x:c>
      <x:c r="D1841" s="153" t="n">
        <x:v>2.06</x:v>
      </x:c>
      <x:c r="E1841" s="153" t="n">
        <x:v>111.3622</x:v>
      </x:c>
      <x:c r="F1841" s="153" t="n">
        <x:v>22.21</x:v>
      </x:c>
      <x:c r="G1841" s="153" t="n">
        <x:v>0.09</x:v>
      </x:c>
    </x:row>
    <x:row r="1842">
      <x:c r="A1842" s="155" t="n">
        <x:v>44210</x:v>
      </x:c>
      <x:c r="B1842" s="153" t="n">
        <x:v>1.15</x:v>
      </x:c>
      <x:c r="C1842" s="153" t="n">
        <x:v>-0.94</x:v>
      </x:c>
      <x:c r="D1842" s="153" t="n">
        <x:v>2.09</x:v>
      </x:c>
      <x:c r="E1842" s="153" t="n">
        <x:v>111.1567</x:v>
      </x:c>
      <x:c r="F1842" s="153" t="n">
        <x:v>23.25</x:v>
      </x:c>
      <x:c r="G1842" s="153" t="n">
        <x:v>0.09</x:v>
      </x:c>
    </x:row>
    <x:row r="1843">
      <x:c r="A1843" s="155" t="n">
        <x:v>44211</x:v>
      </x:c>
      <x:c r="B1843" s="153" t="n">
        <x:v>1.11</x:v>
      </x:c>
      <x:c r="C1843" s="153" t="n">
        <x:v>-0.99</x:v>
      </x:c>
      <x:c r="D1843" s="153" t="n">
        <x:v>2.1</x:v>
      </x:c>
      <x:c r="E1843" s="153" t="n">
        <x:v>111.5106</x:v>
      </x:c>
      <x:c r="F1843" s="153" t="n">
        <x:v>24.34</x:v>
      </x:c>
      <x:c r="G1843" s="153" t="n">
        <x:v>0.09</x:v>
      </x:c>
    </x:row>
    <x:row r="1844">
      <x:c r="A1844" s="155" t="n">
        <x:v>44212</x:v>
      </x:c>
      <x:c r="B1844" s="153"/>
      <x:c r="C1844" s="153"/>
      <x:c r="D1844" s="153"/>
      <x:c r="E1844" s="153"/>
      <x:c r="F1844" s="153"/>
      <x:c r="G1844" s="153" t="n">
        <x:v>0.09</x:v>
      </x:c>
    </x:row>
    <x:row r="1845">
      <x:c r="A1845" s="155" t="n">
        <x:v>44213</x:v>
      </x:c>
      <x:c r="B1845" s="153"/>
      <x:c r="C1845" s="153"/>
      <x:c r="D1845" s="153"/>
      <x:c r="E1845" s="153"/>
      <x:c r="F1845" s="153"/>
      <x:c r="G1845" s="153" t="n">
        <x:v>0.09</x:v>
      </x:c>
    </x:row>
    <x:row r="1846">
      <x:c r="A1846" s="155" t="n">
        <x:v>44214</x:v>
      </x:c>
      <x:c r="B1846" s="153"/>
      <x:c r="C1846" s="153"/>
      <x:c r="D1846" s="153"/>
      <x:c r="E1846" s="153"/>
      <x:c r="F1846" s="153"/>
      <x:c r="G1846" s="153" t="n">
        <x:v>0.09</x:v>
      </x:c>
    </x:row>
    <x:row r="1847">
      <x:c r="A1847" s="155" t="n">
        <x:v>44215</x:v>
      </x:c>
      <x:c r="B1847" s="153" t="n">
        <x:v>1.1</x:v>
      </x:c>
      <x:c r="C1847" s="153" t="n">
        <x:v>-1</x:v>
      </x:c>
      <x:c r="D1847" s="153" t="n">
        <x:v>2.1</x:v>
      </x:c>
      <x:c r="E1847" s="153" t="n">
        <x:v>111.4527</x:v>
      </x:c>
      <x:c r="F1847" s="153" t="n">
        <x:v>23.24</x:v>
      </x:c>
      <x:c r="G1847" s="153" t="n">
        <x:v>0.09</x:v>
      </x:c>
    </x:row>
    <x:row r="1848">
      <x:c r="A1848" s="155" t="n">
        <x:v>44216</x:v>
      </x:c>
      <x:c r="B1848" s="153" t="n">
        <x:v>1.1</x:v>
      </x:c>
      <x:c r="C1848" s="153" t="n">
        <x:v>-1.02</x:v>
      </x:c>
      <x:c r="D1848" s="153" t="n">
        <x:v>2.12</x:v>
      </x:c>
      <x:c r="E1848" s="153"/>
      <x:c r="F1848" s="153" t="n">
        <x:v>21.58</x:v>
      </x:c>
      <x:c r="G1848" s="153" t="n">
        <x:v>0.09</x:v>
      </x:c>
    </x:row>
    <x:row r="1849">
      <x:c r="A1849" s="155" t="n">
        <x:v>44217</x:v>
      </x:c>
      <x:c r="B1849" s="153" t="n">
        <x:v>1.12</x:v>
      </x:c>
      <x:c r="C1849" s="153" t="n">
        <x:v>-0.98</x:v>
      </x:c>
      <x:c r="D1849" s="153" t="n">
        <x:v>2.1</x:v>
      </x:c>
      <x:c r="E1849" s="153" t="n">
        <x:v>111.1973</x:v>
      </x:c>
      <x:c r="F1849" s="153" t="n">
        <x:v>21.32</x:v>
      </x:c>
      <x:c r="G1849" s="153" t="n">
        <x:v>0.08</x:v>
      </x:c>
    </x:row>
    <x:row r="1850">
      <x:c r="A1850" s="155" t="n">
        <x:v>44218</x:v>
      </x:c>
      <x:c r="B1850" s="153" t="n">
        <x:v>1.1</x:v>
      </x:c>
      <x:c r="C1850" s="153" t="n">
        <x:v>-0.99</x:v>
      </x:c>
      <x:c r="D1850" s="153" t="n">
        <x:v>2.09</x:v>
      </x:c>
      <x:c r="E1850" s="153" t="n">
        <x:v>111.5516</x:v>
      </x:c>
      <x:c r="F1850" s="153" t="n">
        <x:v>21.91</x:v>
      </x:c>
      <x:c r="G1850" s="153" t="n">
        <x:v>0.08</x:v>
      </x:c>
    </x:row>
    <x:row r="1851">
      <x:c r="A1851" s="155" t="n">
        <x:v>44219</x:v>
      </x:c>
      <x:c r="B1851" s="153"/>
      <x:c r="C1851" s="153"/>
      <x:c r="D1851" s="153"/>
      <x:c r="E1851" s="153"/>
      <x:c r="F1851" s="153"/>
      <x:c r="G1851" s="153" t="n">
        <x:v>0.08</x:v>
      </x:c>
    </x:row>
    <x:row r="1852">
      <x:c r="A1852" s="155" t="n">
        <x:v>44220</x:v>
      </x:c>
      <x:c r="B1852" s="153"/>
      <x:c r="C1852" s="153"/>
      <x:c r="D1852" s="153"/>
      <x:c r="E1852" s="153"/>
      <x:c r="F1852" s="153"/>
      <x:c r="G1852" s="153" t="n">
        <x:v>0.08</x:v>
      </x:c>
    </x:row>
    <x:row r="1853">
      <x:c r="A1853" s="155" t="n">
        <x:v>44221</x:v>
      </x:c>
      <x:c r="B1853" s="153" t="n">
        <x:v>1.05</x:v>
      </x:c>
      <x:c r="C1853" s="153" t="n">
        <x:v>-1.03</x:v>
      </x:c>
      <x:c r="D1853" s="153" t="n">
        <x:v>2.08</x:v>
      </x:c>
      <x:c r="E1853" s="153" t="n">
        <x:v>111.8676</x:v>
      </x:c>
      <x:c r="F1853" s="153" t="n">
        <x:v>23.19</x:v>
      </x:c>
      <x:c r="G1853" s="153" t="n">
        <x:v>0.08</x:v>
      </x:c>
    </x:row>
    <x:row r="1854">
      <x:c r="A1854" s="155" t="n">
        <x:v>44222</x:v>
      </x:c>
      <x:c r="B1854" s="153" t="n">
        <x:v>1.05</x:v>
      </x:c>
      <x:c r="C1854" s="153" t="n">
        <x:v>-1.03</x:v>
      </x:c>
      <x:c r="D1854" s="153" t="n">
        <x:v>2.08</x:v>
      </x:c>
      <x:c r="E1854" s="153" t="n">
        <x:v>111.6572</x:v>
      </x:c>
      <x:c r="F1854" s="153" t="n">
        <x:v>23.02</x:v>
      </x:c>
      <x:c r="G1854" s="153" t="n">
        <x:v>0.08</x:v>
      </x:c>
    </x:row>
    <x:row r="1855">
      <x:c r="A1855" s="155" t="n">
        <x:v>44223</x:v>
      </x:c>
      <x:c r="B1855" s="153" t="n">
        <x:v>1.04</x:v>
      </x:c>
      <x:c r="C1855" s="153" t="n">
        <x:v>-1.04</x:v>
      </x:c>
      <x:c r="D1855" s="153" t="n">
        <x:v>2.08</x:v>
      </x:c>
      <x:c r="E1855" s="153" t="n">
        <x:v>112.0782</x:v>
      </x:c>
      <x:c r="F1855" s="153" t="n">
        <x:v>37.21</x:v>
      </x:c>
      <x:c r="G1855" s="153" t="n">
        <x:v>0.08</x:v>
      </x:c>
    </x:row>
    <x:row r="1856">
      <x:c r="A1856" s="155" t="n">
        <x:v>44224</x:v>
      </x:c>
      <x:c r="B1856" s="153" t="n">
        <x:v>1.07</x:v>
      </x:c>
      <x:c r="C1856" s="153" t="n">
        <x:v>-1.06</x:v>
      </x:c>
      <x:c r="D1856" s="153" t="n">
        <x:v>2.13</x:v>
      </x:c>
      <x:c r="E1856" s="153" t="n">
        <x:v>112.0059</x:v>
      </x:c>
      <x:c r="F1856" s="153" t="n">
        <x:v>30.21</x:v>
      </x:c>
      <x:c r="G1856" s="153" t="n">
        <x:v>0.07</x:v>
      </x:c>
    </x:row>
    <x:row r="1857">
      <x:c r="A1857" s="155" t="n">
        <x:v>44225</x:v>
      </x:c>
      <x:c r="B1857" s="153" t="n">
        <x:v>1.11</x:v>
      </x:c>
      <x:c r="C1857" s="153" t="n">
        <x:v>-1.02</x:v>
      </x:c>
      <x:c r="D1857" s="153" t="n">
        <x:v>2.13</x:v>
      </x:c>
      <x:c r="E1857" s="153" t="n">
        <x:v>111.9511</x:v>
      </x:c>
      <x:c r="F1857" s="153" t="n">
        <x:v>33.09</x:v>
      </x:c>
      <x:c r="G1857" s="153" t="n">
        <x:v>0.07</x:v>
      </x:c>
    </x:row>
    <x:row r="1858">
      <x:c r="A1858" s="155" t="n">
        <x:v>44226</x:v>
      </x:c>
      <x:c r="B1858" s="153"/>
      <x:c r="C1858" s="153"/>
      <x:c r="D1858" s="153"/>
      <x:c r="E1858" s="153"/>
      <x:c r="F1858" s="153"/>
      <x:c r="G1858" s="153" t="n">
        <x:v>0.07</x:v>
      </x:c>
    </x:row>
    <x:row r="1859">
      <x:c r="A1859" s="155" t="n">
        <x:v>44227</x:v>
      </x:c>
      <x:c r="B1859" s="153"/>
      <x:c r="C1859" s="153"/>
      <x:c r="D1859" s="153"/>
      <x:c r="E1859" s="153"/>
      <x:c r="F1859" s="153"/>
      <x:c r="G1859" s="153" t="n">
        <x:v>0.07</x:v>
      </x:c>
    </x:row>
    <x:row r="1860">
      <x:c r="A1860" s="155" t="n">
        <x:v>44228</x:v>
      </x:c>
      <x:c r="B1860" s="153" t="n">
        <x:v>1.09</x:v>
      </x:c>
      <x:c r="C1860" s="153" t="n">
        <x:v>-1.02</x:v>
      </x:c>
      <x:c r="D1860" s="153" t="n">
        <x:v>2.11</x:v>
      </x:c>
      <x:c r="E1860" s="153" t="n">
        <x:v>112.4189</x:v>
      </x:c>
      <x:c r="F1860" s="153" t="n">
        <x:v>30.24</x:v>
      </x:c>
      <x:c r="G1860" s="153" t="n">
        <x:v>0.08</x:v>
      </x:c>
    </x:row>
    <x:row r="1861">
      <x:c r="A1861" s="155" t="n">
        <x:v>44229</x:v>
      </x:c>
      <x:c r="B1861" s="153" t="n">
        <x:v>1.12</x:v>
      </x:c>
      <x:c r="C1861" s="153" t="n">
        <x:v>-1.03</x:v>
      </x:c>
      <x:c r="D1861" s="153" t="n">
        <x:v>2.15</x:v>
      </x:c>
      <x:c r="E1861" s="153" t="n">
        <x:v>112.2862</x:v>
      </x:c>
      <x:c r="F1861" s="153" t="n">
        <x:v>25.56</x:v>
      </x:c>
      <x:c r="G1861" s="153" t="n">
        <x:v>0.08</x:v>
      </x:c>
    </x:row>
    <x:row r="1862">
      <x:c r="A1862" s="155" t="n">
        <x:v>44230</x:v>
      </x:c>
      <x:c r="B1862" s="153" t="n">
        <x:v>1.15</x:v>
      </x:c>
      <x:c r="C1862" s="153" t="n">
        <x:v>-1.04</x:v>
      </x:c>
      <x:c r="D1862" s="153" t="n">
        <x:v>2.19</x:v>
      </x:c>
      <x:c r="E1862" s="153" t="n">
        <x:v>112.2567</x:v>
      </x:c>
      <x:c r="F1862" s="153" t="n">
        <x:v>22.91</x:v>
      </x:c>
      <x:c r="G1862" s="153" t="n">
        <x:v>0.08</x:v>
      </x:c>
    </x:row>
    <x:row r="1863">
      <x:c r="A1863" s="155" t="n">
        <x:v>44231</x:v>
      </x:c>
      <x:c r="B1863" s="153" t="n">
        <x:v>1.15</x:v>
      </x:c>
      <x:c r="C1863" s="153" t="n">
        <x:v>-1.02</x:v>
      </x:c>
      <x:c r="D1863" s="153" t="n">
        <x:v>2.17</x:v>
      </x:c>
      <x:c r="E1863" s="153" t="n">
        <x:v>112.7469</x:v>
      </x:c>
      <x:c r="F1863" s="153" t="n">
        <x:v>21.77</x:v>
      </x:c>
      <x:c r="G1863" s="153" t="n">
        <x:v>0.08</x:v>
      </x:c>
    </x:row>
    <x:row r="1864">
      <x:c r="A1864" s="155" t="n">
        <x:v>44232</x:v>
      </x:c>
      <x:c r="B1864" s="153" t="n">
        <x:v>1.19</x:v>
      </x:c>
      <x:c r="C1864" s="153" t="n">
        <x:v>-1.02</x:v>
      </x:c>
      <x:c r="D1864" s="153" t="n">
        <x:v>2.21</x:v>
      </x:c>
      <x:c r="E1864" s="153" t="n">
        <x:v>112.2379</x:v>
      </x:c>
      <x:c r="F1864" s="153" t="n">
        <x:v>20.87</x:v>
      </x:c>
      <x:c r="G1864" s="153" t="n">
        <x:v>0.08</x:v>
      </x:c>
    </x:row>
    <x:row r="1865">
      <x:c r="A1865" s="155" t="n">
        <x:v>44233</x:v>
      </x:c>
      <x:c r="B1865" s="153"/>
      <x:c r="C1865" s="153"/>
      <x:c r="D1865" s="153"/>
      <x:c r="E1865" s="153"/>
      <x:c r="F1865" s="153"/>
      <x:c r="G1865" s="153" t="n">
        <x:v>0.08</x:v>
      </x:c>
    </x:row>
    <x:row r="1866">
      <x:c r="A1866" s="155" t="n">
        <x:v>44234</x:v>
      </x:c>
      <x:c r="B1866" s="153"/>
      <x:c r="C1866" s="153"/>
      <x:c r="D1866" s="153"/>
      <x:c r="E1866" s="153"/>
      <x:c r="F1866" s="153"/>
      <x:c r="G1866" s="153" t="n">
        <x:v>0.08</x:v>
      </x:c>
    </x:row>
    <x:row r="1867">
      <x:c r="A1867" s="155" t="n">
        <x:v>44235</x:v>
      </x:c>
      <x:c r="B1867" s="153" t="n">
        <x:v>1.19</x:v>
      </x:c>
      <x:c r="C1867" s="153" t="n">
        <x:v>-1.03</x:v>
      </x:c>
      <x:c r="D1867" s="153" t="n">
        <x:v>2.22</x:v>
      </x:c>
      <x:c r="E1867" s="153" t="n">
        <x:v>112.0428</x:v>
      </x:c>
      <x:c r="F1867" s="153" t="n">
        <x:v>21.24</x:v>
      </x:c>
      <x:c r="G1867" s="153" t="n">
        <x:v>0.07</x:v>
      </x:c>
    </x:row>
    <x:row r="1868">
      <x:c r="A1868" s="155" t="n">
        <x:v>44236</x:v>
      </x:c>
      <x:c r="B1868" s="153" t="n">
        <x:v>1.18</x:v>
      </x:c>
      <x:c r="C1868" s="153" t="n">
        <x:v>-1.04</x:v>
      </x:c>
      <x:c r="D1868" s="153" t="n">
        <x:v>2.22</x:v>
      </x:c>
      <x:c r="E1868" s="153" t="n">
        <x:v>111.7675</x:v>
      </x:c>
      <x:c r="F1868" s="153" t="n">
        <x:v>21.63</x:v>
      </x:c>
      <x:c r="G1868" s="153" t="n">
        <x:v>0.08</x:v>
      </x:c>
    </x:row>
    <x:row r="1869">
      <x:c r="A1869" s="155" t="n">
        <x:v>44237</x:v>
      </x:c>
      <x:c r="B1869" s="153" t="n">
        <x:v>1.15</x:v>
      </x:c>
      <x:c r="C1869" s="153" t="n">
        <x:v>-1.06</x:v>
      </x:c>
      <x:c r="D1869" s="153" t="n">
        <x:v>2.21</x:v>
      </x:c>
      <x:c r="E1869" s="153" t="n">
        <x:v>111.5834</x:v>
      </x:c>
      <x:c r="F1869" s="153" t="n">
        <x:v>21.99</x:v>
      </x:c>
      <x:c r="G1869" s="153" t="n">
        <x:v>0.08</x:v>
      </x:c>
    </x:row>
    <x:row r="1870">
      <x:c r="A1870" s="155" t="n">
        <x:v>44238</x:v>
      </x:c>
      <x:c r="B1870" s="153" t="n">
        <x:v>1.16</x:v>
      </x:c>
      <x:c r="C1870" s="153" t="n">
        <x:v>-1.04</x:v>
      </x:c>
      <x:c r="D1870" s="153" t="n">
        <x:v>2.2</x:v>
      </x:c>
      <x:c r="E1870" s="153" t="n">
        <x:v>111.5272</x:v>
      </x:c>
      <x:c r="F1870" s="153" t="n">
        <x:v>21.25</x:v>
      </x:c>
      <x:c r="G1870" s="153" t="n">
        <x:v>0.08</x:v>
      </x:c>
    </x:row>
    <x:row r="1871">
      <x:c r="A1871" s="155" t="n">
        <x:v>44239</x:v>
      </x:c>
      <x:c r="B1871" s="153" t="n">
        <x:v>1.2</x:v>
      </x:c>
      <x:c r="C1871" s="153" t="n">
        <x:v>-1.01</x:v>
      </x:c>
      <x:c r="D1871" s="153" t="n">
        <x:v>2.21</x:v>
      </x:c>
      <x:c r="E1871" s="153" t="n">
        <x:v>111.4889</x:v>
      </x:c>
      <x:c r="F1871" s="153" t="n">
        <x:v>19.97</x:v>
      </x:c>
      <x:c r="G1871" s="153" t="n">
        <x:v>0.08</x:v>
      </x:c>
    </x:row>
    <x:row r="1872">
      <x:c r="A1872" s="155" t="n">
        <x:v>44240</x:v>
      </x:c>
      <x:c r="B1872" s="153"/>
      <x:c r="C1872" s="153"/>
      <x:c r="D1872" s="153"/>
      <x:c r="E1872" s="153"/>
      <x:c r="F1872" s="153"/>
      <x:c r="G1872" s="153" t="n">
        <x:v>0.08</x:v>
      </x:c>
    </x:row>
    <x:row r="1873">
      <x:c r="A1873" s="155" t="n">
        <x:v>44241</x:v>
      </x:c>
      <x:c r="B1873" s="153"/>
      <x:c r="C1873" s="153"/>
      <x:c r="D1873" s="153"/>
      <x:c r="E1873" s="153"/>
      <x:c r="F1873" s="153"/>
      <x:c r="G1873" s="153" t="n">
        <x:v>0.08</x:v>
      </x:c>
    </x:row>
    <x:row r="1874">
      <x:c r="A1874" s="155" t="n">
        <x:v>44242</x:v>
      </x:c>
      <x:c r="B1874" s="153"/>
      <x:c r="C1874" s="153"/>
      <x:c r="D1874" s="153"/>
      <x:c r="E1874" s="153"/>
      <x:c r="F1874" s="153"/>
      <x:c r="G1874" s="153" t="n">
        <x:v>0.08</x:v>
      </x:c>
    </x:row>
    <x:row r="1875">
      <x:c r="A1875" s="155" t="n">
        <x:v>44243</x:v>
      </x:c>
      <x:c r="B1875" s="153" t="n">
        <x:v>1.3</x:v>
      </x:c>
      <x:c r="C1875" s="153" t="n">
        <x:v>-0.94</x:v>
      </x:c>
      <x:c r="D1875" s="153" t="n">
        <x:v>2.24</x:v>
      </x:c>
      <x:c r="E1875" s="153" t="n">
        <x:v>111.7879</x:v>
      </x:c>
      <x:c r="F1875" s="153" t="n">
        <x:v>21.46</x:v>
      </x:c>
      <x:c r="G1875" s="153" t="n">
        <x:v>0.08</x:v>
      </x:c>
    </x:row>
    <x:row r="1876">
      <x:c r="A1876" s="155" t="n">
        <x:v>44244</x:v>
      </x:c>
      <x:c r="B1876" s="153" t="n">
        <x:v>1.29</x:v>
      </x:c>
      <x:c r="C1876" s="153" t="n">
        <x:v>-0.92</x:v>
      </x:c>
      <x:c r="D1876" s="153" t="n">
        <x:v>2.21</x:v>
      </x:c>
      <x:c r="E1876" s="153" t="n">
        <x:v>112.0204</x:v>
      </x:c>
      <x:c r="F1876" s="153" t="n">
        <x:v>21.5</x:v>
      </x:c>
      <x:c r="G1876" s="153" t="n">
        <x:v>0.08</x:v>
      </x:c>
    </x:row>
    <x:row r="1877">
      <x:c r="A1877" s="155" t="n">
        <x:v>44245</x:v>
      </x:c>
      <x:c r="B1877" s="153" t="n">
        <x:v>1.29</x:v>
      </x:c>
      <x:c r="C1877" s="153" t="n">
        <x:v>-0.87</x:v>
      </x:c>
      <x:c r="D1877" s="153" t="n">
        <x:v>2.16</x:v>
      </x:c>
      <x:c r="E1877" s="153" t="n">
        <x:v>112.1603</x:v>
      </x:c>
      <x:c r="F1877" s="153" t="n">
        <x:v>22.49</x:v>
      </x:c>
      <x:c r="G1877" s="153" t="n">
        <x:v>0.07</x:v>
      </x:c>
    </x:row>
    <x:row r="1878">
      <x:c r="A1878" s="155" t="n">
        <x:v>44246</x:v>
      </x:c>
      <x:c r="B1878" s="153" t="n">
        <x:v>1.34</x:v>
      </x:c>
      <x:c r="C1878" s="153" t="n">
        <x:v>-0.8</x:v>
      </x:c>
      <x:c r="D1878" s="153" t="n">
        <x:v>2.14</x:v>
      </x:c>
      <x:c r="E1878" s="153" t="n">
        <x:v>111.7058</x:v>
      </x:c>
      <x:c r="F1878" s="153" t="n">
        <x:v>22.05</x:v>
      </x:c>
      <x:c r="G1878" s="153" t="n">
        <x:v>0.07</x:v>
      </x:c>
    </x:row>
    <x:row r="1879">
      <x:c r="A1879" s="155" t="n">
        <x:v>44247</x:v>
      </x:c>
      <x:c r="B1879" s="153"/>
      <x:c r="C1879" s="153"/>
      <x:c r="D1879" s="153"/>
      <x:c r="E1879" s="153"/>
      <x:c r="F1879" s="153"/>
      <x:c r="G1879" s="153" t="n">
        <x:v>0.07</x:v>
      </x:c>
    </x:row>
    <x:row r="1880">
      <x:c r="A1880" s="155" t="n">
        <x:v>44248</x:v>
      </x:c>
      <x:c r="B1880" s="153"/>
      <x:c r="C1880" s="153"/>
      <x:c r="D1880" s="153"/>
      <x:c r="E1880" s="153"/>
      <x:c r="F1880" s="153"/>
      <x:c r="G1880" s="153" t="n">
        <x:v>0.07</x:v>
      </x:c>
    </x:row>
    <x:row r="1881">
      <x:c r="A1881" s="155" t="n">
        <x:v>44249</x:v>
      </x:c>
      <x:c r="B1881" s="153" t="n">
        <x:v>1.37</x:v>
      </x:c>
      <x:c r="C1881" s="153" t="n">
        <x:v>-0.79</x:v>
      </x:c>
      <x:c r="D1881" s="153" t="n">
        <x:v>2.16</x:v>
      </x:c>
      <x:c r="E1881" s="153" t="n">
        <x:v>111.918</x:v>
      </x:c>
      <x:c r="F1881" s="153" t="n">
        <x:v>23.45</x:v>
      </x:c>
      <x:c r="G1881" s="153" t="n">
        <x:v>0.07</x:v>
      </x:c>
    </x:row>
    <x:row r="1882">
      <x:c r="A1882" s="155" t="n">
        <x:v>44250</x:v>
      </x:c>
      <x:c r="B1882" s="153" t="n">
        <x:v>1.37</x:v>
      </x:c>
      <x:c r="C1882" s="153" t="n">
        <x:v>-0.79</x:v>
      </x:c>
      <x:c r="D1882" s="153" t="n">
        <x:v>2.16</x:v>
      </x:c>
      <x:c r="E1882" s="153" t="n">
        <x:v>111.8981</x:v>
      </x:c>
      <x:c r="F1882" s="153" t="n">
        <x:v>23.11</x:v>
      </x:c>
      <x:c r="G1882" s="153" t="n">
        <x:v>0.07</x:v>
      </x:c>
    </x:row>
    <x:row r="1883">
      <x:c r="A1883" s="155" t="n">
        <x:v>44251</x:v>
      </x:c>
      <x:c r="B1883" s="153" t="n">
        <x:v>1.38</x:v>
      </x:c>
      <x:c r="C1883" s="153" t="n">
        <x:v>-0.79</x:v>
      </x:c>
      <x:c r="D1883" s="153" t="n">
        <x:v>2.17</x:v>
      </x:c>
      <x:c r="E1883" s="153" t="n">
        <x:v>111.7212</x:v>
      </x:c>
      <x:c r="F1883" s="153" t="n">
        <x:v>21.34</x:v>
      </x:c>
      <x:c r="G1883" s="153" t="n">
        <x:v>0.07</x:v>
      </x:c>
    </x:row>
    <x:row r="1884">
      <x:c r="A1884" s="155" t="n">
        <x:v>44252</x:v>
      </x:c>
      <x:c r="B1884" s="153" t="n">
        <x:v>1.54</x:v>
      </x:c>
      <x:c r="C1884" s="153" t="n">
        <x:v>-0.6</x:v>
      </x:c>
      <x:c r="D1884" s="153" t="n">
        <x:v>2.14</x:v>
      </x:c>
      <x:c r="E1884" s="153" t="n">
        <x:v>111.9253</x:v>
      </x:c>
      <x:c r="F1884" s="153" t="n">
        <x:v>28.89</x:v>
      </x:c>
      <x:c r="G1884" s="153" t="n">
        <x:v>0.07</x:v>
      </x:c>
    </x:row>
    <x:row r="1885">
      <x:c r="A1885" s="155" t="n">
        <x:v>44253</x:v>
      </x:c>
      <x:c r="B1885" s="153" t="n">
        <x:v>1.44</x:v>
      </x:c>
      <x:c r="C1885" s="153" t="n">
        <x:v>-0.71</x:v>
      </x:c>
      <x:c r="D1885" s="153" t="n">
        <x:v>2.15</x:v>
      </x:c>
      <x:c r="E1885" s="153" t="n">
        <x:v>112.8306</x:v>
      </x:c>
      <x:c r="F1885" s="153" t="n">
        <x:v>27.95</x:v>
      </x:c>
      <x:c r="G1885" s="153" t="n">
        <x:v>0.07</x:v>
      </x:c>
    </x:row>
    <x:row r="1886">
      <x:c r="A1886" s="155" t="n">
        <x:v>44254</x:v>
      </x:c>
      <x:c r="B1886" s="153"/>
      <x:c r="C1886" s="153"/>
      <x:c r="D1886" s="153"/>
      <x:c r="E1886" s="153"/>
      <x:c r="F1886" s="153"/>
      <x:c r="G1886" s="153" t="n">
        <x:v>0.07</x:v>
      </x:c>
    </x:row>
    <x:row r="1887">
      <x:c r="A1887" s="155" t="n">
        <x:v>44255</x:v>
      </x:c>
      <x:c r="B1887" s="153"/>
      <x:c r="C1887" s="153"/>
      <x:c r="D1887" s="153"/>
      <x:c r="E1887" s="153"/>
      <x:c r="F1887" s="153"/>
      <x:c r="G1887" s="153" t="n">
        <x:v>0.07</x:v>
      </x:c>
    </x:row>
    <x:row r="1888">
      <x:c r="A1888" s="155" t="n">
        <x:v>44256</x:v>
      </x:c>
      <x:c r="B1888" s="153" t="n">
        <x:v>1.45</x:v>
      </x:c>
      <x:c r="C1888" s="153" t="n">
        <x:v>-0.71</x:v>
      </x:c>
      <x:c r="D1888" s="153" t="n">
        <x:v>2.16</x:v>
      </x:c>
      <x:c r="E1888" s="153" t="n">
        <x:v>112.5263</x:v>
      </x:c>
      <x:c r="F1888" s="153" t="n">
        <x:v>23.35</x:v>
      </x:c>
      <x:c r="G1888" s="153" t="n">
        <x:v>0.07</x:v>
      </x:c>
    </x:row>
    <x:row r="1889">
      <x:c r="A1889" s="155" t="n">
        <x:v>44257</x:v>
      </x:c>
      <x:c r="B1889" s="153" t="n">
        <x:v>1.42</x:v>
      </x:c>
      <x:c r="C1889" s="153" t="n">
        <x:v>-0.78</x:v>
      </x:c>
      <x:c r="D1889" s="153" t="n">
        <x:v>2.2</x:v>
      </x:c>
      <x:c r="E1889" s="153" t="n">
        <x:v>112.5342</x:v>
      </x:c>
      <x:c r="F1889" s="153" t="n">
        <x:v>24.1</x:v>
      </x:c>
      <x:c r="G1889" s="153" t="n">
        <x:v>0.07</x:v>
      </x:c>
    </x:row>
    <x:row r="1890">
      <x:c r="A1890" s="155" t="n">
        <x:v>44258</x:v>
      </x:c>
      <x:c r="B1890" s="153" t="n">
        <x:v>1.47</x:v>
      </x:c>
      <x:c r="C1890" s="153" t="n">
        <x:v>-0.74</x:v>
      </x:c>
      <x:c r="D1890" s="153" t="n">
        <x:v>2.21</x:v>
      </x:c>
      <x:c r="E1890" s="153" t="n">
        <x:v>112.7617</x:v>
      </x:c>
      <x:c r="F1890" s="153" t="n">
        <x:v>26.67</x:v>
      </x:c>
      <x:c r="G1890" s="153" t="n">
        <x:v>0.07</x:v>
      </x:c>
    </x:row>
    <x:row r="1891">
      <x:c r="A1891" s="155" t="n">
        <x:v>44259</x:v>
      </x:c>
      <x:c r="B1891" s="153" t="n">
        <x:v>1.54</x:v>
      </x:c>
      <x:c r="C1891" s="153" t="n">
        <x:v>-0.66</x:v>
      </x:c>
      <x:c r="D1891" s="153" t="n">
        <x:v>2.2</x:v>
      </x:c>
      <x:c r="E1891" s="153" t="n">
        <x:v>112.7037</x:v>
      </x:c>
      <x:c r="F1891" s="153" t="n">
        <x:v>28.57</x:v>
      </x:c>
      <x:c r="G1891" s="153" t="n">
        <x:v>0.07</x:v>
      </x:c>
    </x:row>
    <x:row r="1892">
      <x:c r="A1892" s="155" t="n">
        <x:v>44260</x:v>
      </x:c>
      <x:c r="B1892" s="153" t="n">
        <x:v>1.56</x:v>
      </x:c>
      <x:c r="C1892" s="153" t="n">
        <x:v>-0.66</x:v>
      </x:c>
      <x:c r="D1892" s="153" t="n">
        <x:v>2.22</x:v>
      </x:c>
      <x:c r="E1892" s="153" t="n">
        <x:v>113.7487</x:v>
      </x:c>
      <x:c r="F1892" s="153" t="n">
        <x:v>24.66</x:v>
      </x:c>
      <x:c r="G1892" s="153" t="n">
        <x:v>0.07</x:v>
      </x:c>
    </x:row>
    <x:row r="1893">
      <x:c r="A1893" s="155" t="n">
        <x:v>44261</x:v>
      </x:c>
      <x:c r="B1893" s="153"/>
      <x:c r="C1893" s="153"/>
      <x:c r="D1893" s="153"/>
      <x:c r="E1893" s="153"/>
      <x:c r="F1893" s="153"/>
      <x:c r="G1893" s="153" t="n">
        <x:v>0.07</x:v>
      </x:c>
    </x:row>
    <x:row r="1894">
      <x:c r="A1894" s="155" t="n">
        <x:v>44262</x:v>
      </x:c>
      <x:c r="B1894" s="153"/>
      <x:c r="C1894" s="153"/>
      <x:c r="D1894" s="153"/>
      <x:c r="E1894" s="153"/>
      <x:c r="F1894" s="153"/>
      <x:c r="G1894" s="153" t="n">
        <x:v>0.07</x:v>
      </x:c>
    </x:row>
    <x:row r="1895">
      <x:c r="A1895" s="155" t="n">
        <x:v>44263</x:v>
      </x:c>
      <x:c r="B1895" s="153" t="n">
        <x:v>1.59</x:v>
      </x:c>
      <x:c r="C1895" s="153" t="n">
        <x:v>-0.62</x:v>
      </x:c>
      <x:c r="D1895" s="153" t="n">
        <x:v>2.21</x:v>
      </x:c>
      <x:c r="E1895" s="153" t="n">
        <x:v>114.2678</x:v>
      </x:c>
      <x:c r="F1895" s="153" t="n">
        <x:v>25.47</x:v>
      </x:c>
      <x:c r="G1895" s="153" t="n">
        <x:v>0.07</x:v>
      </x:c>
    </x:row>
    <x:row r="1896">
      <x:c r="A1896" s="155" t="n">
        <x:v>44264</x:v>
      </x:c>
      <x:c r="B1896" s="153" t="n">
        <x:v>1.55</x:v>
      </x:c>
      <x:c r="C1896" s="153" t="n">
        <x:v>-0.66</x:v>
      </x:c>
      <x:c r="D1896" s="153" t="n">
        <x:v>2.21</x:v>
      </x:c>
      <x:c r="E1896" s="153" t="n">
        <x:v>113.928</x:v>
      </x:c>
      <x:c r="F1896" s="153" t="n">
        <x:v>24.03</x:v>
      </x:c>
      <x:c r="G1896" s="153" t="n">
        <x:v>0.07</x:v>
      </x:c>
    </x:row>
    <x:row r="1897">
      <x:c r="A1897" s="155" t="n">
        <x:v>44265</x:v>
      </x:c>
      <x:c r="B1897" s="153" t="n">
        <x:v>1.53</x:v>
      </x:c>
      <x:c r="C1897" s="153" t="n">
        <x:v>-0.73</x:v>
      </x:c>
      <x:c r="D1897" s="153" t="n">
        <x:v>2.26</x:v>
      </x:c>
      <x:c r="E1897" s="153" t="n">
        <x:v>113.5881</x:v>
      </x:c>
      <x:c r="F1897" s="153" t="n">
        <x:v>22.56</x:v>
      </x:c>
      <x:c r="G1897" s="153" t="n">
        <x:v>0.07</x:v>
      </x:c>
    </x:row>
    <x:row r="1898">
      <x:c r="A1898" s="155" t="n">
        <x:v>44266</x:v>
      </x:c>
      <x:c r="B1898" s="153" t="n">
        <x:v>1.54</x:v>
      </x:c>
      <x:c r="C1898" s="153" t="n">
        <x:v>-0.74</x:v>
      </x:c>
      <x:c r="D1898" s="153" t="n">
        <x:v>2.28</x:v>
      </x:c>
      <x:c r="E1898" s="153" t="n">
        <x:v>112.9214</x:v>
      </x:c>
      <x:c r="F1898" s="153" t="n">
        <x:v>21.91</x:v>
      </x:c>
      <x:c r="G1898" s="153" t="n">
        <x:v>0.07</x:v>
      </x:c>
    </x:row>
    <x:row r="1899">
      <x:c r="A1899" s="155" t="n">
        <x:v>44267</x:v>
      </x:c>
      <x:c r="B1899" s="153" t="n">
        <x:v>1.64</x:v>
      </x:c>
      <x:c r="C1899" s="153" t="n">
        <x:v>-0.62</x:v>
      </x:c>
      <x:c r="D1899" s="153" t="n">
        <x:v>2.26</x:v>
      </x:c>
      <x:c r="E1899" s="153" t="n">
        <x:v>113.0269</x:v>
      </x:c>
      <x:c r="F1899" s="153" t="n">
        <x:v>20.69</x:v>
      </x:c>
      <x:c r="G1899" s="153" t="n">
        <x:v>0.07</x:v>
      </x:c>
    </x:row>
    <x:row r="1900">
      <x:c r="A1900" s="155" t="n">
        <x:v>44268</x:v>
      </x:c>
      <x:c r="B1900" s="153"/>
      <x:c r="C1900" s="153"/>
      <x:c r="D1900" s="153"/>
      <x:c r="E1900" s="153"/>
      <x:c r="F1900" s="153"/>
      <x:c r="G1900" s="153" t="n">
        <x:v>0.07</x:v>
      </x:c>
    </x:row>
    <x:row r="1901">
      <x:c r="A1901" s="155" t="n">
        <x:v>44269</x:v>
      </x:c>
      <x:c r="B1901" s="153"/>
      <x:c r="C1901" s="153"/>
      <x:c r="D1901" s="153"/>
      <x:c r="E1901" s="153"/>
      <x:c r="F1901" s="153"/>
      <x:c r="G1901" s="153" t="n">
        <x:v>0.07</x:v>
      </x:c>
    </x:row>
    <x:row r="1902">
      <x:c r="A1902" s="155" t="n">
        <x:v>44270</x:v>
      </x:c>
      <x:c r="B1902" s="153" t="n">
        <x:v>1.62</x:v>
      </x:c>
      <x:c r="C1902" s="153" t="n">
        <x:v>-0.65</x:v>
      </x:c>
      <x:c r="D1902" s="153" t="n">
        <x:v>2.27</x:v>
      </x:c>
      <x:c r="E1902" s="153" t="n">
        <x:v>113.1928</x:v>
      </x:c>
      <x:c r="F1902" s="153" t="n">
        <x:v>20.03</x:v>
      </x:c>
      <x:c r="G1902" s="153" t="n">
        <x:v>0.07</x:v>
      </x:c>
    </x:row>
    <x:row r="1903">
      <x:c r="A1903" s="155" t="n">
        <x:v>44271</x:v>
      </x:c>
      <x:c r="B1903" s="153" t="n">
        <x:v>1.62</x:v>
      </x:c>
      <x:c r="C1903" s="153" t="n">
        <x:v>-0.68</x:v>
      </x:c>
      <x:c r="D1903" s="153" t="n">
        <x:v>2.3</x:v>
      </x:c>
      <x:c r="E1903" s="153" t="n">
        <x:v>112.9839</x:v>
      </x:c>
      <x:c r="F1903" s="153" t="n">
        <x:v>19.79</x:v>
      </x:c>
      <x:c r="G1903" s="153" t="n">
        <x:v>0.07</x:v>
      </x:c>
    </x:row>
    <x:row r="1904">
      <x:c r="A1904" s="155" t="n">
        <x:v>44272</x:v>
      </x:c>
      <x:c r="B1904" s="153" t="n">
        <x:v>1.63</x:v>
      </x:c>
      <x:c r="C1904" s="153" t="n">
        <x:v>-0.67</x:v>
      </x:c>
      <x:c r="D1904" s="153" t="n">
        <x:v>2.3</x:v>
      </x:c>
      <x:c r="E1904" s="153" t="n">
        <x:v>113.1589</x:v>
      </x:c>
      <x:c r="F1904" s="153" t="n">
        <x:v>19.23</x:v>
      </x:c>
      <x:c r="G1904" s="153" t="n">
        <x:v>0.07</x:v>
      </x:c>
    </x:row>
    <x:row r="1905">
      <x:c r="A1905" s="155" t="n">
        <x:v>44273</x:v>
      </x:c>
      <x:c r="B1905" s="153" t="n">
        <x:v>1.71</x:v>
      </x:c>
      <x:c r="C1905" s="153" t="n">
        <x:v>-0.56</x:v>
      </x:c>
      <x:c r="D1905" s="153" t="n">
        <x:v>2.27</x:v>
      </x:c>
      <x:c r="E1905" s="153" t="n">
        <x:v>112.7744</x:v>
      </x:c>
      <x:c r="F1905" s="153" t="n">
        <x:v>21.58</x:v>
      </x:c>
      <x:c r="G1905" s="153" t="n">
        <x:v>0.07</x:v>
      </x:c>
    </x:row>
    <x:row r="1906">
      <x:c r="A1906" s="155" t="n">
        <x:v>44274</x:v>
      </x:c>
      <x:c r="B1906" s="153" t="n">
        <x:v>1.74</x:v>
      </x:c>
      <x:c r="C1906" s="153" t="n">
        <x:v>-0.57</x:v>
      </x:c>
      <x:c r="D1906" s="153" t="n">
        <x:v>2.31</x:v>
      </x:c>
      <x:c r="E1906" s="153" t="n">
        <x:v>112.9756</x:v>
      </x:c>
      <x:c r="F1906" s="153" t="n">
        <x:v>20.95</x:v>
      </x:c>
      <x:c r="G1906" s="153" t="n">
        <x:v>0.07</x:v>
      </x:c>
    </x:row>
    <x:row r="1907">
      <x:c r="A1907" s="155" t="n">
        <x:v>44275</x:v>
      </x:c>
      <x:c r="B1907" s="153"/>
      <x:c r="C1907" s="153"/>
      <x:c r="D1907" s="153"/>
      <x:c r="E1907" s="153"/>
      <x:c r="F1907" s="153"/>
      <x:c r="G1907" s="153" t="n">
        <x:v>0.07</x:v>
      </x:c>
    </x:row>
    <x:row r="1908">
      <x:c r="A1908" s="155" t="n">
        <x:v>44276</x:v>
      </x:c>
      <x:c r="B1908" s="153"/>
      <x:c r="C1908" s="153"/>
      <x:c r="D1908" s="153"/>
      <x:c r="E1908" s="153"/>
      <x:c r="F1908" s="153"/>
      <x:c r="G1908" s="153" t="n">
        <x:v>0.07</x:v>
      </x:c>
    </x:row>
    <x:row r="1909">
      <x:c r="A1909" s="155" t="n">
        <x:v>44277</x:v>
      </x:c>
      <x:c r="B1909" s="153" t="n">
        <x:v>1.69</x:v>
      </x:c>
      <x:c r="C1909" s="153" t="n">
        <x:v>-0.64</x:v>
      </x:c>
      <x:c r="D1909" s="153" t="n">
        <x:v>2.33</x:v>
      </x:c>
      <x:c r="E1909" s="153" t="n">
        <x:v>113.0023</x:v>
      </x:c>
      <x:c r="F1909" s="153" t="n">
        <x:v>18.88</x:v>
      </x:c>
      <x:c r="G1909" s="153" t="n">
        <x:v>0.07</x:v>
      </x:c>
    </x:row>
    <x:row r="1910">
      <x:c r="A1910" s="155" t="n">
        <x:v>44278</x:v>
      </x:c>
      <x:c r="B1910" s="153" t="n">
        <x:v>1.63</x:v>
      </x:c>
      <x:c r="C1910" s="153" t="n">
        <x:v>-0.66</x:v>
      </x:c>
      <x:c r="D1910" s="153" t="n">
        <x:v>2.29</x:v>
      </x:c>
      <x:c r="E1910" s="153" t="n">
        <x:v>113.2916</x:v>
      </x:c>
      <x:c r="F1910" s="153" t="n">
        <x:v>20.3</x:v>
      </x:c>
      <x:c r="G1910" s="153" t="n">
        <x:v>0.07</x:v>
      </x:c>
    </x:row>
    <x:row r="1911">
      <x:c r="A1911" s="155" t="n">
        <x:v>44279</x:v>
      </x:c>
      <x:c r="B1911" s="153" t="n">
        <x:v>1.62</x:v>
      </x:c>
      <x:c r="C1911" s="153" t="n">
        <x:v>-0.69</x:v>
      </x:c>
      <x:c r="D1911" s="153" t="n">
        <x:v>2.31</x:v>
      </x:c>
      <x:c r="E1911" s="153" t="n">
        <x:v>113.6565</x:v>
      </x:c>
      <x:c r="F1911" s="153" t="n">
        <x:v>21.2</x:v>
      </x:c>
      <x:c r="G1911" s="153" t="n">
        <x:v>0.07</x:v>
      </x:c>
    </x:row>
    <x:row r="1912">
      <x:c r="A1912" s="155" t="n">
        <x:v>44280</x:v>
      </x:c>
      <x:c r="B1912" s="153" t="n">
        <x:v>1.63</x:v>
      </x:c>
      <x:c r="C1912" s="153" t="n">
        <x:v>-0.69</x:v>
      </x:c>
      <x:c r="D1912" s="153" t="n">
        <x:v>2.32</x:v>
      </x:c>
      <x:c r="E1912" s="153" t="n">
        <x:v>114.0016</x:v>
      </x:c>
      <x:c r="F1912" s="153" t="n">
        <x:v>19.81</x:v>
      </x:c>
      <x:c r="G1912" s="153" t="n">
        <x:v>0.07</x:v>
      </x:c>
    </x:row>
    <x:row r="1913">
      <x:c r="A1913" s="155" t="n">
        <x:v>44281</x:v>
      </x:c>
      <x:c r="B1913" s="153" t="n">
        <x:v>1.67</x:v>
      </x:c>
      <x:c r="C1913" s="153" t="n">
        <x:v>-0.67</x:v>
      </x:c>
      <x:c r="D1913" s="153" t="n">
        <x:v>2.34</x:v>
      </x:c>
      <x:c r="E1913" s="153" t="n">
        <x:v>113.7406</x:v>
      </x:c>
      <x:c r="F1913" s="153" t="n">
        <x:v>18.86</x:v>
      </x:c>
      <x:c r="G1913" s="153" t="n">
        <x:v>0.07</x:v>
      </x:c>
    </x:row>
    <x:row r="1914">
      <x:c r="A1914" s="155" t="n">
        <x:v>44282</x:v>
      </x:c>
      <x:c r="B1914" s="153"/>
      <x:c r="C1914" s="153"/>
      <x:c r="D1914" s="153"/>
      <x:c r="E1914" s="153"/>
      <x:c r="F1914" s="153"/>
      <x:c r="G1914" s="153" t="n">
        <x:v>0.07</x:v>
      </x:c>
    </x:row>
    <x:row r="1915">
      <x:c r="A1915" s="155" t="n">
        <x:v>44283</x:v>
      </x:c>
      <x:c r="B1915" s="153"/>
      <x:c r="C1915" s="153"/>
      <x:c r="D1915" s="153"/>
      <x:c r="E1915" s="153"/>
      <x:c r="F1915" s="153"/>
      <x:c r="G1915" s="153" t="n">
        <x:v>0.07</x:v>
      </x:c>
    </x:row>
    <x:row r="1916">
      <x:c r="A1916" s="155" t="n">
        <x:v>44284</x:v>
      </x:c>
      <x:c r="B1916" s="153" t="n">
        <x:v>1.73</x:v>
      </x:c>
      <x:c r="C1916" s="153" t="n">
        <x:v>-0.63</x:v>
      </x:c>
      <x:c r="D1916" s="153" t="n">
        <x:v>2.36</x:v>
      </x:c>
      <x:c r="E1916" s="153" t="n">
        <x:v>113.9314</x:v>
      </x:c>
      <x:c r="F1916" s="153" t="n">
        <x:v>20.74</x:v>
      </x:c>
      <x:c r="G1916" s="153" t="n">
        <x:v>0.07</x:v>
      </x:c>
    </x:row>
    <x:row r="1917">
      <x:c r="A1917" s="155" t="n">
        <x:v>44285</x:v>
      </x:c>
      <x:c r="B1917" s="153" t="n">
        <x:v>1.73</x:v>
      </x:c>
      <x:c r="C1917" s="153" t="n">
        <x:v>-0.62</x:v>
      </x:c>
      <x:c r="D1917" s="153" t="n">
        <x:v>2.35</x:v>
      </x:c>
      <x:c r="E1917" s="153" t="n">
        <x:v>114.203</x:v>
      </x:c>
      <x:c r="F1917" s="153" t="n">
        <x:v>19.61</x:v>
      </x:c>
      <x:c r="G1917" s="153" t="n">
        <x:v>0.07</x:v>
      </x:c>
    </x:row>
    <x:row r="1918">
      <x:c r="A1918" s="155" t="n">
        <x:v>44286</x:v>
      </x:c>
      <x:c r="B1918" s="153" t="n">
        <x:v>1.74</x:v>
      </x:c>
      <x:c r="C1918" s="153" t="n">
        <x:v>-0.63</x:v>
      </x:c>
      <x:c r="D1918" s="153" t="n">
        <x:v>2.37</x:v>
      </x:c>
      <x:c r="E1918" s="153" t="n">
        <x:v>113.8234</x:v>
      </x:c>
      <x:c r="F1918" s="153" t="n">
        <x:v>19.4</x:v>
      </x:c>
      <x:c r="G1918" s="153" t="n">
        <x:v>0.06</x:v>
      </x:c>
    </x:row>
    <x:row r="1919">
      <x:c r="A1919" s="155" t="n">
        <x:v>44287</x:v>
      </x:c>
      <x:c r="B1919" s="153" t="n">
        <x:v>1.69</x:v>
      </x:c>
      <x:c r="C1919" s="153" t="n">
        <x:v>-0.66</x:v>
      </x:c>
      <x:c r="D1919" s="153" t="n">
        <x:v>2.35</x:v>
      </x:c>
      <x:c r="E1919" s="153" t="n">
        <x:v>113.7389</x:v>
      </x:c>
      <x:c r="F1919" s="153" t="n">
        <x:v>17.33</x:v>
      </x:c>
      <x:c r="G1919" s="153" t="n">
        <x:v>0.07</x:v>
      </x:c>
    </x:row>
    <x:row r="1920">
      <x:c r="A1920" s="155" t="n">
        <x:v>44288</x:v>
      </x:c>
      <x:c r="B1920" s="153" t="n">
        <x:v>1.72</x:v>
      </x:c>
      <x:c r="C1920" s="153" t="n">
        <x:v>-0.64</x:v>
      </x:c>
      <x:c r="D1920" s="153" t="n">
        <x:v>2.36</x:v>
      </x:c>
      <x:c r="E1920" s="153" t="n">
        <x:v>113.7315</x:v>
      </x:c>
      <x:c r="F1920" s="153"/>
      <x:c r="G1920" s="153" t="n">
        <x:v>0.07</x:v>
      </x:c>
    </x:row>
    <x:row r="1921">
      <x:c r="A1921" s="155" t="n">
        <x:v>44289</x:v>
      </x:c>
      <x:c r="B1921" s="153"/>
      <x:c r="C1921" s="153"/>
      <x:c r="D1921" s="153"/>
      <x:c r="E1921" s="153"/>
      <x:c r="F1921" s="153"/>
      <x:c r="G1921" s="153" t="n">
        <x:v>0.07</x:v>
      </x:c>
    </x:row>
    <x:row r="1922">
      <x:c r="A1922" s="155" t="n">
        <x:v>44290</x:v>
      </x:c>
      <x:c r="B1922" s="153"/>
      <x:c r="C1922" s="153"/>
      <x:c r="D1922" s="153"/>
      <x:c r="E1922" s="153"/>
      <x:c r="F1922" s="153"/>
      <x:c r="G1922" s="153" t="n">
        <x:v>0.07</x:v>
      </x:c>
    </x:row>
    <x:row r="1923">
      <x:c r="A1923" s="155" t="n">
        <x:v>44291</x:v>
      </x:c>
      <x:c r="B1923" s="153" t="n">
        <x:v>1.73</x:v>
      </x:c>
      <x:c r="C1923" s="153" t="n">
        <x:v>-0.62</x:v>
      </x:c>
      <x:c r="D1923" s="153" t="n">
        <x:v>2.35</x:v>
      </x:c>
      <x:c r="E1923" s="153" t="n">
        <x:v>113.394</x:v>
      </x:c>
      <x:c r="F1923" s="153" t="n">
        <x:v>17.91</x:v>
      </x:c>
      <x:c r="G1923" s="153" t="n">
        <x:v>0.07</x:v>
      </x:c>
    </x:row>
    <x:row r="1924">
      <x:c r="A1924" s="155" t="n">
        <x:v>44292</x:v>
      </x:c>
      <x:c r="B1924" s="153" t="n">
        <x:v>1.67</x:v>
      </x:c>
      <x:c r="C1924" s="153" t="n">
        <x:v>-0.65</x:v>
      </x:c>
      <x:c r="D1924" s="153" t="n">
        <x:v>2.32</x:v>
      </x:c>
      <x:c r="E1924" s="153" t="n">
        <x:v>113.1464</x:v>
      </x:c>
      <x:c r="F1924" s="153" t="n">
        <x:v>18.12</x:v>
      </x:c>
      <x:c r="G1924" s="153" t="n">
        <x:v>0.07</x:v>
      </x:c>
    </x:row>
    <x:row r="1925">
      <x:c r="A1925" s="155" t="n">
        <x:v>44293</x:v>
      </x:c>
      <x:c r="B1925" s="153" t="n">
        <x:v>1.68</x:v>
      </x:c>
      <x:c r="C1925" s="153" t="n">
        <x:v>-0.66</x:v>
      </x:c>
      <x:c r="D1925" s="153" t="n">
        <x:v>2.34</x:v>
      </x:c>
      <x:c r="E1925" s="153" t="n">
        <x:v>113.2436</x:v>
      </x:c>
      <x:c r="F1925" s="153" t="n">
        <x:v>17.16</x:v>
      </x:c>
      <x:c r="G1925" s="153" t="n">
        <x:v>0.07</x:v>
      </x:c>
    </x:row>
    <x:row r="1926">
      <x:c r="A1926" s="155" t="n">
        <x:v>44294</x:v>
      </x:c>
      <x:c r="B1926" s="153" t="n">
        <x:v>1.64</x:v>
      </x:c>
      <x:c r="C1926" s="153" t="n">
        <x:v>-0.69</x:v>
      </x:c>
      <x:c r="D1926" s="153" t="n">
        <x:v>2.33</x:v>
      </x:c>
      <x:c r="E1926" s="153" t="n">
        <x:v>113.0917</x:v>
      </x:c>
      <x:c r="F1926" s="153" t="n">
        <x:v>16.95</x:v>
      </x:c>
      <x:c r="G1926" s="153" t="n">
        <x:v>0.07</x:v>
      </x:c>
    </x:row>
    <x:row r="1927">
      <x:c r="A1927" s="155" t="n">
        <x:v>44295</x:v>
      </x:c>
      <x:c r="B1927" s="153" t="n">
        <x:v>1.67</x:v>
      </x:c>
      <x:c r="C1927" s="153" t="n">
        <x:v>-0.64</x:v>
      </x:c>
      <x:c r="D1927" s="153" t="n">
        <x:v>2.31</x:v>
      </x:c>
      <x:c r="E1927" s="153" t="n">
        <x:v>113.2028</x:v>
      </x:c>
      <x:c r="F1927" s="153" t="n">
        <x:v>16.69</x:v>
      </x:c>
      <x:c r="G1927" s="153" t="n">
        <x:v>0.07</x:v>
      </x:c>
    </x:row>
    <x:row r="1928">
      <x:c r="A1928" s="155" t="n">
        <x:v>44296</x:v>
      </x:c>
      <x:c r="B1928" s="153"/>
      <x:c r="C1928" s="153"/>
      <x:c r="D1928" s="153"/>
      <x:c r="E1928" s="153"/>
      <x:c r="F1928" s="153"/>
      <x:c r="G1928" s="153" t="n">
        <x:v>0.07</x:v>
      </x:c>
    </x:row>
    <x:row r="1929">
      <x:c r="A1929" s="155" t="n">
        <x:v>44297</x:v>
      </x:c>
      <x:c r="B1929" s="153"/>
      <x:c r="C1929" s="153"/>
      <x:c r="D1929" s="153"/>
      <x:c r="E1929" s="153"/>
      <x:c r="F1929" s="153"/>
      <x:c r="G1929" s="153" t="n">
        <x:v>0.07</x:v>
      </x:c>
    </x:row>
    <x:row r="1930">
      <x:c r="A1930" s="155" t="n">
        <x:v>44298</x:v>
      </x:c>
      <x:c r="B1930" s="153" t="n">
        <x:v>1.69</x:v>
      </x:c>
      <x:c r="C1930" s="153" t="n">
        <x:v>-0.64</x:v>
      </x:c>
      <x:c r="D1930" s="153" t="n">
        <x:v>2.33</x:v>
      </x:c>
      <x:c r="E1930" s="153" t="n">
        <x:v>113.1815</x:v>
      </x:c>
      <x:c r="F1930" s="153" t="n">
        <x:v>16.91</x:v>
      </x:c>
      <x:c r="G1930" s="153" t="n">
        <x:v>0.07</x:v>
      </x:c>
    </x:row>
    <x:row r="1931">
      <x:c r="A1931" s="155" t="n">
        <x:v>44299</x:v>
      </x:c>
      <x:c r="B1931" s="153" t="n">
        <x:v>1.64</x:v>
      </x:c>
      <x:c r="C1931" s="153" t="n">
        <x:v>-0.69</x:v>
      </x:c>
      <x:c r="D1931" s="153" t="n">
        <x:v>2.33</x:v>
      </x:c>
      <x:c r="E1931" s="153" t="n">
        <x:v>113.0391</x:v>
      </x:c>
      <x:c r="F1931" s="153" t="n">
        <x:v>16.65</x:v>
      </x:c>
      <x:c r="G1931" s="153" t="n">
        <x:v>0.07</x:v>
      </x:c>
    </x:row>
    <x:row r="1932">
      <x:c r="A1932" s="155" t="n">
        <x:v>44300</x:v>
      </x:c>
      <x:c r="B1932" s="153" t="n">
        <x:v>1.64</x:v>
      </x:c>
      <x:c r="C1932" s="153" t="n">
        <x:v>-0.69</x:v>
      </x:c>
      <x:c r="D1932" s="153" t="n">
        <x:v>2.33</x:v>
      </x:c>
      <x:c r="E1932" s="153" t="n">
        <x:v>112.7849</x:v>
      </x:c>
      <x:c r="F1932" s="153" t="n">
        <x:v>16.99</x:v>
      </x:c>
      <x:c r="G1932" s="153" t="n">
        <x:v>0.07</x:v>
      </x:c>
    </x:row>
    <x:row r="1933">
      <x:c r="A1933" s="155" t="n">
        <x:v>44301</x:v>
      </x:c>
      <x:c r="B1933" s="153" t="n">
        <x:v>1.56</x:v>
      </x:c>
      <x:c r="C1933" s="153" t="n">
        <x:v>-0.77</x:v>
      </x:c>
      <x:c r="D1933" s="153" t="n">
        <x:v>2.33</x:v>
      </x:c>
      <x:c r="E1933" s="153" t="n">
        <x:v>112.6181</x:v>
      </x:c>
      <x:c r="F1933" s="153" t="n">
        <x:v>16.57</x:v>
      </x:c>
      <x:c r="G1933" s="153" t="n">
        <x:v>0.07</x:v>
      </x:c>
    </x:row>
    <x:row r="1934">
      <x:c r="A1934" s="155" t="n">
        <x:v>44302</x:v>
      </x:c>
      <x:c r="B1934" s="153" t="n">
        <x:v>1.59</x:v>
      </x:c>
      <x:c r="C1934" s="153" t="n">
        <x:v>-0.77</x:v>
      </x:c>
      <x:c r="D1934" s="153" t="n">
        <x:v>2.36</x:v>
      </x:c>
      <x:c r="E1934" s="153" t="n">
        <x:v>112.4814</x:v>
      </x:c>
      <x:c r="F1934" s="153" t="n">
        <x:v>16.25</x:v>
      </x:c>
      <x:c r="G1934" s="153" t="n">
        <x:v>0.07</x:v>
      </x:c>
    </x:row>
    <x:row r="1935">
      <x:c r="A1935" s="155" t="n">
        <x:v>44303</x:v>
      </x:c>
      <x:c r="B1935" s="153"/>
      <x:c r="C1935" s="153"/>
      <x:c r="D1935" s="153"/>
      <x:c r="E1935" s="153"/>
      <x:c r="F1935" s="153"/>
      <x:c r="G1935" s="153" t="n">
        <x:v>0.07</x:v>
      </x:c>
    </x:row>
    <x:row r="1936">
      <x:c r="A1936" s="155" t="n">
        <x:v>44304</x:v>
      </x:c>
      <x:c r="B1936" s="153"/>
      <x:c r="C1936" s="153"/>
      <x:c r="D1936" s="153"/>
      <x:c r="E1936" s="153"/>
      <x:c r="F1936" s="153"/>
      <x:c r="G1936" s="153" t="n">
        <x:v>0.07</x:v>
      </x:c>
    </x:row>
    <x:row r="1937">
      <x:c r="A1937" s="155" t="n">
        <x:v>44305</x:v>
      </x:c>
      <x:c r="B1937" s="153" t="n">
        <x:v>1.61</x:v>
      </x:c>
      <x:c r="C1937" s="153" t="n">
        <x:v>-0.73</x:v>
      </x:c>
      <x:c r="D1937" s="153" t="n">
        <x:v>2.34</x:v>
      </x:c>
      <x:c r="E1937" s="153" t="n">
        <x:v>112.1835</x:v>
      </x:c>
      <x:c r="F1937" s="153" t="n">
        <x:v>17.29</x:v>
      </x:c>
      <x:c r="G1937" s="153" t="n">
        <x:v>0.07</x:v>
      </x:c>
    </x:row>
    <x:row r="1938">
      <x:c r="A1938" s="155" t="n">
        <x:v>44306</x:v>
      </x:c>
      <x:c r="B1938" s="153" t="n">
        <x:v>1.58</x:v>
      </x:c>
      <x:c r="C1938" s="153" t="n">
        <x:v>-0.74</x:v>
      </x:c>
      <x:c r="D1938" s="153" t="n">
        <x:v>2.32</x:v>
      </x:c>
      <x:c r="E1938" s="153" t="n">
        <x:v>112.2354</x:v>
      </x:c>
      <x:c r="F1938" s="153" t="n">
        <x:v>18.68</x:v>
      </x:c>
      <x:c r="G1938" s="153" t="n">
        <x:v>0.07</x:v>
      </x:c>
    </x:row>
    <x:row r="1939">
      <x:c r="A1939" s="155" t="n">
        <x:v>44307</x:v>
      </x:c>
      <x:c r="B1939" s="153" t="n">
        <x:v>1.57</x:v>
      </x:c>
      <x:c r="C1939" s="153" t="n">
        <x:v>-0.76</x:v>
      </x:c>
      <x:c r="D1939" s="153" t="n">
        <x:v>2.33</x:v>
      </x:c>
      <x:c r="E1939" s="153" t="n">
        <x:v>112.1771</x:v>
      </x:c>
      <x:c r="F1939" s="153" t="n">
        <x:v>17.5</x:v>
      </x:c>
      <x:c r="G1939" s="153" t="n">
        <x:v>0.07</x:v>
      </x:c>
    </x:row>
    <x:row r="1940">
      <x:c r="A1940" s="155" t="n">
        <x:v>44308</x:v>
      </x:c>
      <x:c r="B1940" s="153" t="n">
        <x:v>1.57</x:v>
      </x:c>
      <x:c r="C1940" s="153" t="n">
        <x:v>-0.76</x:v>
      </x:c>
      <x:c r="D1940" s="153" t="n">
        <x:v>2.33</x:v>
      </x:c>
      <x:c r="E1940" s="153" t="n">
        <x:v>112.2297</x:v>
      </x:c>
      <x:c r="F1940" s="153" t="n">
        <x:v>18.71</x:v>
      </x:c>
      <x:c r="G1940" s="153" t="n">
        <x:v>0.07</x:v>
      </x:c>
    </x:row>
    <x:row r="1941">
      <x:c r="A1941" s="155" t="n">
        <x:v>44309</x:v>
      </x:c>
      <x:c r="B1941" s="153" t="n">
        <x:v>1.58</x:v>
      </x:c>
      <x:c r="C1941" s="153" t="n">
        <x:v>-0.76</x:v>
      </x:c>
      <x:c r="D1941" s="153" t="n">
        <x:v>2.34</x:v>
      </x:c>
      <x:c r="E1941" s="153" t="n">
        <x:v>112.0889</x:v>
      </x:c>
      <x:c r="F1941" s="153" t="n">
        <x:v>17.33</x:v>
      </x:c>
      <x:c r="G1941" s="153" t="n">
        <x:v>0.07</x:v>
      </x:c>
    </x:row>
    <x:row r="1942">
      <x:c r="A1942" s="155" t="n">
        <x:v>44310</x:v>
      </x:c>
      <x:c r="B1942" s="153"/>
      <x:c r="C1942" s="153"/>
      <x:c r="D1942" s="153"/>
      <x:c r="E1942" s="153"/>
      <x:c r="F1942" s="153"/>
      <x:c r="G1942" s="153" t="n">
        <x:v>0.07</x:v>
      </x:c>
    </x:row>
    <x:row r="1943">
      <x:c r="A1943" s="155" t="n">
        <x:v>44311</x:v>
      </x:c>
      <x:c r="B1943" s="153"/>
      <x:c r="C1943" s="153"/>
      <x:c r="D1943" s="153"/>
      <x:c r="E1943" s="153"/>
      <x:c r="F1943" s="153"/>
      <x:c r="G1943" s="153" t="n">
        <x:v>0.07</x:v>
      </x:c>
    </x:row>
    <x:row r="1944">
      <x:c r="A1944" s="155" t="n">
        <x:v>44312</x:v>
      </x:c>
      <x:c r="B1944" s="153" t="n">
        <x:v>1.58</x:v>
      </x:c>
      <x:c r="C1944" s="153" t="n">
        <x:v>-0.78</x:v>
      </x:c>
      <x:c r="D1944" s="153" t="n">
        <x:v>2.36</x:v>
      </x:c>
      <x:c r="E1944" s="153" t="n">
        <x:v>111.8109</x:v>
      </x:c>
      <x:c r="F1944" s="153" t="n">
        <x:v>17.64</x:v>
      </x:c>
      <x:c r="G1944" s="153" t="n">
        <x:v>0.07</x:v>
      </x:c>
    </x:row>
    <x:row r="1945">
      <x:c r="A1945" s="155" t="n">
        <x:v>44313</x:v>
      </x:c>
      <x:c r="B1945" s="153" t="n">
        <x:v>1.63</x:v>
      </x:c>
      <x:c r="C1945" s="153" t="n">
        <x:v>-0.76</x:v>
      </x:c>
      <x:c r="D1945" s="153" t="n">
        <x:v>2.39</x:v>
      </x:c>
      <x:c r="E1945" s="153" t="n">
        <x:v>111.9097</x:v>
      </x:c>
      <x:c r="F1945" s="153" t="n">
        <x:v>17.56</x:v>
      </x:c>
      <x:c r="G1945" s="153" t="n">
        <x:v>0.07</x:v>
      </x:c>
    </x:row>
    <x:row r="1946">
      <x:c r="A1946" s="155" t="n">
        <x:v>44314</x:v>
      </x:c>
      <x:c r="B1946" s="153" t="n">
        <x:v>1.63</x:v>
      </x:c>
      <x:c r="C1946" s="153" t="n">
        <x:v>-0.78</x:v>
      </x:c>
      <x:c r="D1946" s="153" t="n">
        <x:v>2.41</x:v>
      </x:c>
      <x:c r="E1946" s="153" t="n">
        <x:v>111.7909</x:v>
      </x:c>
      <x:c r="F1946" s="153" t="n">
        <x:v>17.28</x:v>
      </x:c>
      <x:c r="G1946" s="153" t="n">
        <x:v>0.07</x:v>
      </x:c>
    </x:row>
    <x:row r="1947">
      <x:c r="A1947" s="155" t="n">
        <x:v>44315</x:v>
      </x:c>
      <x:c r="B1947" s="153" t="n">
        <x:v>1.65</x:v>
      </x:c>
      <x:c r="C1947" s="153" t="n">
        <x:v>-0.77</x:v>
      </x:c>
      <x:c r="D1947" s="153" t="n">
        <x:v>2.42</x:v>
      </x:c>
      <x:c r="E1947" s="153" t="n">
        <x:v>111.7464</x:v>
      </x:c>
      <x:c r="F1947" s="153" t="n">
        <x:v>17.61</x:v>
      </x:c>
      <x:c r="G1947" s="153" t="n">
        <x:v>0.06</x:v>
      </x:c>
    </x:row>
    <x:row r="1948">
      <x:c r="A1948" s="155" t="n">
        <x:v>44316</x:v>
      </x:c>
      <x:c r="B1948" s="153" t="n">
        <x:v>1.65</x:v>
      </x:c>
      <x:c r="C1948" s="153" t="n">
        <x:v>-0.76</x:v>
      </x:c>
      <x:c r="D1948" s="153" t="n">
        <x:v>2.41</x:v>
      </x:c>
      <x:c r="E1948" s="153" t="n">
        <x:v>112.0839</x:v>
      </x:c>
      <x:c r="F1948" s="153" t="n">
        <x:v>18.61</x:v>
      </x:c>
      <x:c r="G1948" s="153" t="n">
        <x:v>0.05</x:v>
      </x:c>
    </x:row>
    <x:row r="1949">
      <x:c r="A1949" s="155" t="n">
        <x:v>44317</x:v>
      </x:c>
      <x:c r="B1949" s="153"/>
      <x:c r="C1949" s="153"/>
      <x:c r="D1949" s="153"/>
      <x:c r="E1949" s="153"/>
      <x:c r="F1949" s="153"/>
      <x:c r="G1949" s="153" t="n">
        <x:v>0.05</x:v>
      </x:c>
    </x:row>
    <x:row r="1950">
      <x:c r="A1950" s="155" t="n">
        <x:v>44318</x:v>
      </x:c>
      <x:c r="B1950" s="153"/>
      <x:c r="C1950" s="153"/>
      <x:c r="D1950" s="153"/>
      <x:c r="E1950" s="153"/>
      <x:c r="F1950" s="153"/>
      <x:c r="G1950" s="153" t="n">
        <x:v>0.05</x:v>
      </x:c>
    </x:row>
    <x:row r="1951">
      <x:c r="A1951" s="155" t="n">
        <x:v>44319</x:v>
      </x:c>
      <x:c r="B1951" s="153" t="n">
        <x:v>1.63</x:v>
      </x:c>
      <x:c r="C1951" s="153" t="n">
        <x:v>-0.79</x:v>
      </x:c>
      <x:c r="D1951" s="153" t="n">
        <x:v>2.42</x:v>
      </x:c>
      <x:c r="E1951" s="153" t="n">
        <x:v>112.005</x:v>
      </x:c>
      <x:c r="F1951" s="153" t="n">
        <x:v>18.31</x:v>
      </x:c>
      <x:c r="G1951" s="153" t="n">
        <x:v>0.06</x:v>
      </x:c>
    </x:row>
    <x:row r="1952">
      <x:c r="A1952" s="155" t="n">
        <x:v>44320</x:v>
      </x:c>
      <x:c r="B1952" s="153" t="n">
        <x:v>1.61</x:v>
      </x:c>
      <x:c r="C1952" s="153" t="n">
        <x:v>-0.81</x:v>
      </x:c>
      <x:c r="D1952" s="153" t="n">
        <x:v>2.42</x:v>
      </x:c>
      <x:c r="E1952" s="153" t="n">
        <x:v>112.2896</x:v>
      </x:c>
      <x:c r="F1952" s="153" t="n">
        <x:v>19.48</x:v>
      </x:c>
      <x:c r="G1952" s="153" t="n">
        <x:v>0.06</x:v>
      </x:c>
    </x:row>
    <x:row r="1953">
      <x:c r="A1953" s="155" t="n">
        <x:v>44321</x:v>
      </x:c>
      <x:c r="B1953" s="153" t="n">
        <x:v>1.59</x:v>
      </x:c>
      <x:c r="C1953" s="153" t="n">
        <x:v>-0.88</x:v>
      </x:c>
      <x:c r="D1953" s="153" t="n">
        <x:v>2.47</x:v>
      </x:c>
      <x:c r="E1953" s="153" t="n">
        <x:v>112.1514</x:v>
      </x:c>
      <x:c r="F1953" s="153" t="n">
        <x:v>19.15</x:v>
      </x:c>
      <x:c r="G1953" s="153" t="n">
        <x:v>0.06</x:v>
      </x:c>
    </x:row>
    <x:row r="1954">
      <x:c r="A1954" s="155" t="n">
        <x:v>44322</x:v>
      </x:c>
      <x:c r="B1954" s="153" t="n">
        <x:v>1.58</x:v>
      </x:c>
      <x:c r="C1954" s="153" t="n">
        <x:v>-0.87</x:v>
      </x:c>
      <x:c r="D1954" s="153" t="n">
        <x:v>2.45</x:v>
      </x:c>
      <x:c r="E1954" s="153" t="n">
        <x:v>111.8401</x:v>
      </x:c>
      <x:c r="F1954" s="153" t="n">
        <x:v>18.39</x:v>
      </x:c>
      <x:c r="G1954" s="153" t="n">
        <x:v>0.06</x:v>
      </x:c>
    </x:row>
    <x:row r="1955">
      <x:c r="A1955" s="155" t="n">
        <x:v>44323</x:v>
      </x:c>
      <x:c r="B1955" s="153" t="n">
        <x:v>1.6</x:v>
      </x:c>
      <x:c r="C1955" s="153" t="n">
        <x:v>-0.89</x:v>
      </x:c>
      <x:c r="D1955" s="153" t="n">
        <x:v>2.49</x:v>
      </x:c>
      <x:c r="E1955" s="153" t="n">
        <x:v>111.0249</x:v>
      </x:c>
      <x:c r="F1955" s="153" t="n">
        <x:v>16.69</x:v>
      </x:c>
      <x:c r="G1955" s="153" t="n">
        <x:v>0.06</x:v>
      </x:c>
    </x:row>
    <x:row r="1956">
      <x:c r="A1956" s="155" t="n">
        <x:v>44324</x:v>
      </x:c>
      <x:c r="B1956" s="153"/>
      <x:c r="C1956" s="153"/>
      <x:c r="D1956" s="153"/>
      <x:c r="E1956" s="153"/>
      <x:c r="F1956" s="153"/>
      <x:c r="G1956" s="153" t="n">
        <x:v>0.06</x:v>
      </x:c>
    </x:row>
    <x:row r="1957">
      <x:c r="A1957" s="155" t="n">
        <x:v>44325</x:v>
      </x:c>
      <x:c r="B1957" s="153"/>
      <x:c r="C1957" s="153"/>
      <x:c r="D1957" s="153"/>
      <x:c r="E1957" s="153"/>
      <x:c r="F1957" s="153"/>
      <x:c r="G1957" s="153" t="n">
        <x:v>0.06</x:v>
      </x:c>
    </x:row>
    <x:row r="1958">
      <x:c r="A1958" s="155" t="n">
        <x:v>44326</x:v>
      </x:c>
      <x:c r="B1958" s="153" t="n">
        <x:v>1.63</x:v>
      </x:c>
      <x:c r="C1958" s="153" t="n">
        <x:v>-0.91</x:v>
      </x:c>
      <x:c r="D1958" s="153" t="n">
        <x:v>2.54</x:v>
      </x:c>
      <x:c r="E1958" s="153" t="n">
        <x:v>110.7905</x:v>
      </x:c>
      <x:c r="F1958" s="153" t="n">
        <x:v>19.66</x:v>
      </x:c>
      <x:c r="G1958" s="153" t="n">
        <x:v>0.06</x:v>
      </x:c>
    </x:row>
    <x:row r="1959">
      <x:c r="A1959" s="155" t="n">
        <x:v>44327</x:v>
      </x:c>
      <x:c r="B1959" s="153" t="n">
        <x:v>1.64</x:v>
      </x:c>
      <x:c r="C1959" s="153" t="n">
        <x:v>-0.89</x:v>
      </x:c>
      <x:c r="D1959" s="153" t="n">
        <x:v>2.53</x:v>
      </x:c>
      <x:c r="E1959" s="153" t="n">
        <x:v>110.8921</x:v>
      </x:c>
      <x:c r="F1959" s="153" t="n">
        <x:v>21.84</x:v>
      </x:c>
      <x:c r="G1959" s="153" t="n">
        <x:v>0.06</x:v>
      </x:c>
    </x:row>
    <x:row r="1960">
      <x:c r="A1960" s="155" t="n">
        <x:v>44328</x:v>
      </x:c>
      <x:c r="B1960" s="153" t="n">
        <x:v>1.69</x:v>
      </x:c>
      <x:c r="C1960" s="153" t="n">
        <x:v>-0.85</x:v>
      </x:c>
      <x:c r="D1960" s="153" t="n">
        <x:v>2.54</x:v>
      </x:c>
      <x:c r="E1960" s="153" t="n">
        <x:v>111.5636</x:v>
      </x:c>
      <x:c r="F1960" s="153" t="n">
        <x:v>27.59</x:v>
      </x:c>
      <x:c r="G1960" s="153" t="n">
        <x:v>0.06</x:v>
      </x:c>
    </x:row>
    <x:row r="1961">
      <x:c r="A1961" s="155" t="n">
        <x:v>44329</x:v>
      </x:c>
      <x:c r="B1961" s="153" t="n">
        <x:v>1.66</x:v>
      </x:c>
      <x:c r="C1961" s="153" t="n">
        <x:v>-0.85</x:v>
      </x:c>
      <x:c r="D1961" s="153" t="n">
        <x:v>2.51</x:v>
      </x:c>
      <x:c r="E1961" s="153" t="n">
        <x:v>111.5955</x:v>
      </x:c>
      <x:c r="F1961" s="153" t="n">
        <x:v>23.13</x:v>
      </x:c>
      <x:c r="G1961" s="153" t="n">
        <x:v>0.06</x:v>
      </x:c>
    </x:row>
    <x:row r="1962">
      <x:c r="A1962" s="155" t="n">
        <x:v>44330</x:v>
      </x:c>
      <x:c r="B1962" s="153" t="n">
        <x:v>1.63</x:v>
      </x:c>
      <x:c r="C1962" s="153" t="n">
        <x:v>-0.88</x:v>
      </x:c>
      <x:c r="D1962" s="153" t="n">
        <x:v>2.51</x:v>
      </x:c>
      <x:c r="E1962" s="153" t="n">
        <x:v>111.1353</x:v>
      </x:c>
      <x:c r="F1962" s="153" t="n">
        <x:v>18.81</x:v>
      </x:c>
      <x:c r="G1962" s="153" t="n">
        <x:v>0.06</x:v>
      </x:c>
    </x:row>
    <x:row r="1963">
      <x:c r="A1963" s="155" t="n">
        <x:v>44331</x:v>
      </x:c>
      <x:c r="B1963" s="153"/>
      <x:c r="C1963" s="153"/>
      <x:c r="D1963" s="153"/>
      <x:c r="E1963" s="153"/>
      <x:c r="F1963" s="153"/>
      <x:c r="G1963" s="153" t="n">
        <x:v>0.06</x:v>
      </x:c>
    </x:row>
    <x:row r="1964">
      <x:c r="A1964" s="155" t="n">
        <x:v>44332</x:v>
      </x:c>
      <x:c r="B1964" s="153"/>
      <x:c r="C1964" s="153"/>
      <x:c r="D1964" s="153"/>
      <x:c r="E1964" s="153"/>
      <x:c r="F1964" s="153"/>
      <x:c r="G1964" s="153" t="n">
        <x:v>0.06</x:v>
      </x:c>
    </x:row>
    <x:row r="1965">
      <x:c r="A1965" s="155" t="n">
        <x:v>44333</x:v>
      </x:c>
      <x:c r="B1965" s="153" t="n">
        <x:v>1.64</x:v>
      </x:c>
      <x:c r="C1965" s="153" t="n">
        <x:v>-0.9</x:v>
      </x:c>
      <x:c r="D1965" s="153" t="n">
        <x:v>2.54</x:v>
      </x:c>
      <x:c r="E1965" s="153" t="n">
        <x:v>111.079</x:v>
      </x:c>
      <x:c r="F1965" s="153" t="n">
        <x:v>19.72</x:v>
      </x:c>
      <x:c r="G1965" s="153" t="n">
        <x:v>0.06</x:v>
      </x:c>
    </x:row>
    <x:row r="1966">
      <x:c r="A1966" s="155" t="n">
        <x:v>44334</x:v>
      </x:c>
      <x:c r="B1966" s="153" t="n">
        <x:v>1.64</x:v>
      </x:c>
      <x:c r="C1966" s="153" t="n">
        <x:v>-0.88</x:v>
      </x:c>
      <x:c r="D1966" s="153" t="n">
        <x:v>2.52</x:v>
      </x:c>
      <x:c r="E1966" s="153" t="n">
        <x:v>110.8317</x:v>
      </x:c>
      <x:c r="F1966" s="153" t="n">
        <x:v>21.34</x:v>
      </x:c>
      <x:c r="G1966" s="153" t="n">
        <x:v>0.06</x:v>
      </x:c>
    </x:row>
    <x:row r="1967">
      <x:c r="A1967" s="155" t="n">
        <x:v>44335</x:v>
      </x:c>
      <x:c r="B1967" s="153" t="n">
        <x:v>1.68</x:v>
      </x:c>
      <x:c r="C1967" s="153" t="n">
        <x:v>-0.8</x:v>
      </x:c>
      <x:c r="D1967" s="153" t="n">
        <x:v>2.48</x:v>
      </x:c>
      <x:c r="E1967" s="153" t="n">
        <x:v>110.8807</x:v>
      </x:c>
      <x:c r="F1967" s="153" t="n">
        <x:v>22.18</x:v>
      </x:c>
      <x:c r="G1967" s="153" t="n">
        <x:v>0.06</x:v>
      </x:c>
    </x:row>
    <x:row r="1968">
      <x:c r="A1968" s="155" t="n">
        <x:v>44336</x:v>
      </x:c>
      <x:c r="B1968" s="153" t="n">
        <x:v>1.63</x:v>
      </x:c>
      <x:c r="C1968" s="153" t="n">
        <x:v>-0.78</x:v>
      </x:c>
      <x:c r="D1968" s="153" t="n">
        <x:v>2.41</x:v>
      </x:c>
      <x:c r="E1968" s="153" t="n">
        <x:v>110.8605</x:v>
      </x:c>
      <x:c r="F1968" s="153" t="n">
        <x:v>20.67</x:v>
      </x:c>
      <x:c r="G1968" s="153" t="n">
        <x:v>0.06</x:v>
      </x:c>
    </x:row>
    <x:row r="1969">
      <x:c r="A1969" s="155" t="n">
        <x:v>44337</x:v>
      </x:c>
      <x:c r="B1969" s="153" t="n">
        <x:v>1.63</x:v>
      </x:c>
      <x:c r="C1969" s="153" t="n">
        <x:v>-0.8</x:v>
      </x:c>
      <x:c r="D1969" s="153" t="n">
        <x:v>2.43</x:v>
      </x:c>
      <x:c r="E1969" s="153" t="n">
        <x:v>111.0576</x:v>
      </x:c>
      <x:c r="F1969" s="153" t="n">
        <x:v>20.15</x:v>
      </x:c>
      <x:c r="G1969" s="153" t="n">
        <x:v>0.06</x:v>
      </x:c>
    </x:row>
    <x:row r="1970">
      <x:c r="A1970" s="155" t="n">
        <x:v>44338</x:v>
      </x:c>
      <x:c r="B1970" s="153"/>
      <x:c r="C1970" s="153"/>
      <x:c r="D1970" s="153"/>
      <x:c r="E1970" s="153"/>
      <x:c r="F1970" s="153"/>
      <x:c r="G1970" s="153" t="n">
        <x:v>0.06</x:v>
      </x:c>
    </x:row>
    <x:row r="1971">
      <x:c r="A1971" s="155" t="n">
        <x:v>44339</x:v>
      </x:c>
      <x:c r="B1971" s="153"/>
      <x:c r="C1971" s="153"/>
      <x:c r="D1971" s="153"/>
      <x:c r="E1971" s="153"/>
      <x:c r="F1971" s="153"/>
      <x:c r="G1971" s="153" t="n">
        <x:v>0.06</x:v>
      </x:c>
    </x:row>
    <x:row r="1972">
      <x:c r="A1972" s="155" t="n">
        <x:v>44340</x:v>
      </x:c>
      <x:c r="B1972" s="153" t="n">
        <x:v>1.61</x:v>
      </x:c>
      <x:c r="C1972" s="153" t="n">
        <x:v>-0.83</x:v>
      </x:c>
      <x:c r="D1972" s="153" t="n">
        <x:v>2.44</x:v>
      </x:c>
      <x:c r="E1972" s="153" t="n">
        <x:v>110.9118</x:v>
      </x:c>
      <x:c r="F1972" s="153" t="n">
        <x:v>18.4</x:v>
      </x:c>
      <x:c r="G1972" s="153" t="n">
        <x:v>0.06</x:v>
      </x:c>
    </x:row>
    <x:row r="1973">
      <x:c r="A1973" s="155" t="n">
        <x:v>44341</x:v>
      </x:c>
      <x:c r="B1973" s="153" t="n">
        <x:v>1.56</x:v>
      </x:c>
      <x:c r="C1973" s="153" t="n">
        <x:v>-0.86</x:v>
      </x:c>
      <x:c r="D1973" s="153" t="n">
        <x:v>2.42</x:v>
      </x:c>
      <x:c r="E1973" s="153" t="n">
        <x:v>110.842</x:v>
      </x:c>
      <x:c r="F1973" s="153" t="n">
        <x:v>18.84</x:v>
      </x:c>
      <x:c r="G1973" s="153" t="n">
        <x:v>0.06</x:v>
      </x:c>
    </x:row>
    <x:row r="1974">
      <x:c r="A1974" s="155" t="n">
        <x:v>44342</x:v>
      </x:c>
      <x:c r="B1974" s="153" t="n">
        <x:v>1.58</x:v>
      </x:c>
      <x:c r="C1974" s="153" t="n">
        <x:v>-0.82</x:v>
      </x:c>
      <x:c r="D1974" s="153" t="n">
        <x:v>2.4</x:v>
      </x:c>
      <x:c r="E1974" s="153" t="n">
        <x:v>110.8677</x:v>
      </x:c>
      <x:c r="F1974" s="153" t="n">
        <x:v>17.36</x:v>
      </x:c>
      <x:c r="G1974" s="153" t="n">
        <x:v>0.06</x:v>
      </x:c>
    </x:row>
    <x:row r="1975">
      <x:c r="A1975" s="155" t="n">
        <x:v>44343</x:v>
      </x:c>
      <x:c r="B1975" s="153" t="n">
        <x:v>1.61</x:v>
      </x:c>
      <x:c r="C1975" s="153" t="n">
        <x:v>-0.81</x:v>
      </x:c>
      <x:c r="D1975" s="153" t="n">
        <x:v>2.42</x:v>
      </x:c>
      <x:c r="E1975" s="153" t="n">
        <x:v>110.8688</x:v>
      </x:c>
      <x:c r="F1975" s="153" t="n">
        <x:v>16.74</x:v>
      </x:c>
      <x:c r="G1975" s="153" t="n">
        <x:v>0.06</x:v>
      </x:c>
    </x:row>
    <x:row r="1976">
      <x:c r="A1976" s="155" t="n">
        <x:v>44344</x:v>
      </x:c>
      <x:c r="B1976" s="153" t="n">
        <x:v>1.58</x:v>
      </x:c>
      <x:c r="C1976" s="153" t="n">
        <x:v>-0.84</x:v>
      </x:c>
      <x:c r="D1976" s="153" t="n">
        <x:v>2.42</x:v>
      </x:c>
      <x:c r="E1976" s="153" t="n">
        <x:v>110.7576</x:v>
      </x:c>
      <x:c r="F1976" s="153" t="n">
        <x:v>16.76</x:v>
      </x:c>
      <x:c r="G1976" s="153" t="n">
        <x:v>0.05</x:v>
      </x:c>
    </x:row>
    <x:row r="1977">
      <x:c r="A1977" s="155" t="n">
        <x:v>44345</x:v>
      </x:c>
      <x:c r="B1977" s="153"/>
      <x:c r="C1977" s="153"/>
      <x:c r="D1977" s="153"/>
      <x:c r="E1977" s="153"/>
      <x:c r="F1977" s="153"/>
      <x:c r="G1977" s="153" t="n">
        <x:v>0.05</x:v>
      </x:c>
    </x:row>
    <x:row r="1978">
      <x:c r="A1978" s="155" t="n">
        <x:v>44346</x:v>
      </x:c>
      <x:c r="B1978" s="153"/>
      <x:c r="C1978" s="153"/>
      <x:c r="D1978" s="153"/>
      <x:c r="E1978" s="153"/>
      <x:c r="F1978" s="153"/>
      <x:c r="G1978" s="153" t="n">
        <x:v>0.05</x:v>
      </x:c>
    </x:row>
    <x:row r="1979">
      <x:c r="A1979" s="155" t="n">
        <x:v>44347</x:v>
      </x:c>
      <x:c r="B1979" s="153"/>
      <x:c r="C1979" s="153"/>
      <x:c r="D1979" s="153"/>
      <x:c r="E1979" s="153"/>
      <x:c r="F1979" s="153"/>
      <x:c r="G1979" s="153" t="n">
        <x:v>0.05</x:v>
      </x:c>
    </x:row>
    <x:row r="1980">
      <x:c r="A1980" s="155" t="n">
        <x:v>44348</x:v>
      </x:c>
      <x:c r="B1980" s="153" t="n">
        <x:v>1.62</x:v>
      </x:c>
      <x:c r="C1980" s="153" t="n">
        <x:v>-0.84</x:v>
      </x:c>
      <x:c r="D1980" s="153" t="n">
        <x:v>2.46</x:v>
      </x:c>
      <x:c r="E1980" s="153" t="n">
        <x:v>110.5046</x:v>
      </x:c>
      <x:c r="F1980" s="153" t="n">
        <x:v>17.9</x:v>
      </x:c>
      <x:c r="G1980" s="153" t="n">
        <x:v>0.06</x:v>
      </x:c>
    </x:row>
    <x:row r="1981">
      <x:c r="A1981" s="155" t="n">
        <x:v>44349</x:v>
      </x:c>
      <x:c r="B1981" s="153" t="n">
        <x:v>1.59</x:v>
      </x:c>
      <x:c r="C1981" s="153" t="n">
        <x:v>-0.85</x:v>
      </x:c>
      <x:c r="D1981" s="153" t="n">
        <x:v>2.44</x:v>
      </x:c>
      <x:c r="E1981" s="153" t="n">
        <x:v>110.5799</x:v>
      </x:c>
      <x:c r="F1981" s="153" t="n">
        <x:v>17.48</x:v>
      </x:c>
      <x:c r="G1981" s="153" t="n">
        <x:v>0.06</x:v>
      </x:c>
    </x:row>
    <x:row r="1982">
      <x:c r="A1982" s="155" t="n">
        <x:v>44350</x:v>
      </x:c>
      <x:c r="B1982" s="153" t="n">
        <x:v>1.63</x:v>
      </x:c>
      <x:c r="C1982" s="153" t="n">
        <x:v>-0.79</x:v>
      </x:c>
      <x:c r="D1982" s="153" t="n">
        <x:v>2.42</x:v>
      </x:c>
      <x:c r="E1982" s="153" t="n">
        <x:v>111.1782</x:v>
      </x:c>
      <x:c r="F1982" s="153" t="n">
        <x:v>18.04</x:v>
      </x:c>
      <x:c r="G1982" s="153" t="n">
        <x:v>0.06</x:v>
      </x:c>
    </x:row>
    <x:row r="1983">
      <x:c r="A1983" s="155" t="n">
        <x:v>44351</x:v>
      </x:c>
      <x:c r="B1983" s="153" t="n">
        <x:v>1.56</x:v>
      </x:c>
      <x:c r="C1983" s="153" t="n">
        <x:v>-0.84</x:v>
      </x:c>
      <x:c r="D1983" s="153" t="n">
        <x:v>2.4</x:v>
      </x:c>
      <x:c r="E1983" s="153" t="n">
        <x:v>110.7521</x:v>
      </x:c>
      <x:c r="F1983" s="153" t="n">
        <x:v>16.42</x:v>
      </x:c>
      <x:c r="G1983" s="153" t="n">
        <x:v>0.06</x:v>
      </x:c>
    </x:row>
    <x:row r="1984">
      <x:c r="A1984" s="155" t="n">
        <x:v>44352</x:v>
      </x:c>
      <x:c r="B1984" s="153"/>
      <x:c r="C1984" s="153"/>
      <x:c r="D1984" s="153"/>
      <x:c r="E1984" s="153"/>
      <x:c r="F1984" s="153"/>
      <x:c r="G1984" s="153" t="n">
        <x:v>0.06</x:v>
      </x:c>
    </x:row>
    <x:row r="1985">
      <x:c r="A1985" s="155" t="n">
        <x:v>44353</x:v>
      </x:c>
      <x:c r="B1985" s="153"/>
      <x:c r="C1985" s="153"/>
      <x:c r="D1985" s="153"/>
      <x:c r="E1985" s="153"/>
      <x:c r="F1985" s="153"/>
      <x:c r="G1985" s="153" t="n">
        <x:v>0.06</x:v>
      </x:c>
    </x:row>
    <x:row r="1986">
      <x:c r="A1986" s="155" t="n">
        <x:v>44354</x:v>
      </x:c>
      <x:c r="B1986" s="153" t="n">
        <x:v>1.57</x:v>
      </x:c>
      <x:c r="C1986" s="153" t="n">
        <x:v>-0.82</x:v>
      </x:c>
      <x:c r="D1986" s="153" t="n">
        <x:v>2.39</x:v>
      </x:c>
      <x:c r="E1986" s="153" t="n">
        <x:v>110.5155</x:v>
      </x:c>
      <x:c r="F1986" s="153" t="n">
        <x:v>16.42</x:v>
      </x:c>
      <x:c r="G1986" s="153" t="n">
        <x:v>0.06</x:v>
      </x:c>
    </x:row>
    <x:row r="1987">
      <x:c r="A1987" s="155" t="n">
        <x:v>44355</x:v>
      </x:c>
      <x:c r="B1987" s="153" t="n">
        <x:v>1.53</x:v>
      </x:c>
      <x:c r="C1987" s="153" t="n">
        <x:v>-0.83</x:v>
      </x:c>
      <x:c r="D1987" s="153" t="n">
        <x:v>2.36</x:v>
      </x:c>
      <x:c r="E1987" s="153" t="n">
        <x:v>110.649</x:v>
      </x:c>
      <x:c r="F1987" s="153" t="n">
        <x:v>17.07</x:v>
      </x:c>
      <x:c r="G1987" s="153" t="n">
        <x:v>0.06</x:v>
      </x:c>
    </x:row>
    <x:row r="1988">
      <x:c r="A1988" s="155" t="n">
        <x:v>44356</x:v>
      </x:c>
      <x:c r="B1988" s="153" t="n">
        <x:v>1.5</x:v>
      </x:c>
      <x:c r="C1988" s="153" t="n">
        <x:v>-0.82</x:v>
      </x:c>
      <x:c r="D1988" s="153" t="n">
        <x:v>2.32</x:v>
      </x:c>
      <x:c r="E1988" s="153" t="n">
        <x:v>110.5707</x:v>
      </x:c>
      <x:c r="F1988" s="153" t="n">
        <x:v>17.89</x:v>
      </x:c>
      <x:c r="G1988" s="153" t="n">
        <x:v>0.06</x:v>
      </x:c>
    </x:row>
    <x:row r="1989">
      <x:c r="A1989" s="155" t="n">
        <x:v>44357</x:v>
      </x:c>
      <x:c r="B1989" s="153" t="n">
        <x:v>1.45</x:v>
      </x:c>
      <x:c r="C1989" s="153" t="n">
        <x:v>-0.9</x:v>
      </x:c>
      <x:c r="D1989" s="153" t="n">
        <x:v>2.35</x:v>
      </x:c>
      <x:c r="E1989" s="153" t="n">
        <x:v>110.5456</x:v>
      </x:c>
      <x:c r="F1989" s="153" t="n">
        <x:v>16.1</x:v>
      </x:c>
      <x:c r="G1989" s="153" t="n">
        <x:v>0.06</x:v>
      </x:c>
    </x:row>
    <x:row r="1990">
      <x:c r="A1990" s="155" t="n">
        <x:v>44358</x:v>
      </x:c>
      <x:c r="B1990" s="153" t="n">
        <x:v>1.47</x:v>
      </x:c>
      <x:c r="C1990" s="153" t="n">
        <x:v>-0.85</x:v>
      </x:c>
      <x:c r="D1990" s="153" t="n">
        <x:v>2.32</x:v>
      </x:c>
      <x:c r="E1990" s="153" t="n">
        <x:v>111.0933</x:v>
      </x:c>
      <x:c r="F1990" s="153" t="n">
        <x:v>15.65</x:v>
      </x:c>
      <x:c r="G1990" s="153" t="n">
        <x:v>0.06</x:v>
      </x:c>
    </x:row>
    <x:row r="1991">
      <x:c r="A1991" s="155" t="n">
        <x:v>44359</x:v>
      </x:c>
      <x:c r="B1991" s="153"/>
      <x:c r="C1991" s="153"/>
      <x:c r="D1991" s="153"/>
      <x:c r="E1991" s="153"/>
      <x:c r="F1991" s="153"/>
      <x:c r="G1991" s="153" t="n">
        <x:v>0.06</x:v>
      </x:c>
    </x:row>
    <x:row r="1992">
      <x:c r="A1992" s="155" t="n">
        <x:v>44360</x:v>
      </x:c>
      <x:c r="B1992" s="153"/>
      <x:c r="C1992" s="153"/>
      <x:c r="D1992" s="153"/>
      <x:c r="E1992" s="153"/>
      <x:c r="F1992" s="153"/>
      <x:c r="G1992" s="153" t="n">
        <x:v>0.06</x:v>
      </x:c>
    </x:row>
    <x:row r="1993">
      <x:c r="A1993" s="155" t="n">
        <x:v>44361</x:v>
      </x:c>
      <x:c r="B1993" s="153" t="n">
        <x:v>1.51</x:v>
      </x:c>
      <x:c r="C1993" s="153" t="n">
        <x:v>-0.85</x:v>
      </x:c>
      <x:c r="D1993" s="153" t="n">
        <x:v>2.36</x:v>
      </x:c>
      <x:c r="E1993" s="153" t="n">
        <x:v>110.9659</x:v>
      </x:c>
      <x:c r="F1993" s="153" t="n">
        <x:v>16.39</x:v>
      </x:c>
      <x:c r="G1993" s="153" t="n">
        <x:v>0.06</x:v>
      </x:c>
    </x:row>
    <x:row r="1994">
      <x:c r="A1994" s="155" t="n">
        <x:v>44362</x:v>
      </x:c>
      <x:c r="B1994" s="153" t="n">
        <x:v>1.51</x:v>
      </x:c>
      <x:c r="C1994" s="153" t="n">
        <x:v>-0.87</x:v>
      </x:c>
      <x:c r="D1994" s="153" t="n">
        <x:v>2.38</x:v>
      </x:c>
      <x:c r="E1994" s="153" t="n">
        <x:v>111.3507</x:v>
      </x:c>
      <x:c r="F1994" s="153" t="n">
        <x:v>17.02</x:v>
      </x:c>
      <x:c r="G1994" s="153" t="n">
        <x:v>0.06</x:v>
      </x:c>
    </x:row>
    <x:row r="1995">
      <x:c r="A1995" s="155" t="n">
        <x:v>44363</x:v>
      </x:c>
      <x:c r="B1995" s="153" t="n">
        <x:v>1.57</x:v>
      </x:c>
      <x:c r="C1995" s="153" t="n">
        <x:v>-0.75</x:v>
      </x:c>
      <x:c r="D1995" s="153" t="n">
        <x:v>2.32</x:v>
      </x:c>
      <x:c r="E1995" s="153" t="n">
        <x:v>111.1165</x:v>
      </x:c>
      <x:c r="F1995" s="153" t="n">
        <x:v>18.15</x:v>
      </x:c>
      <x:c r="G1995" s="153" t="n">
        <x:v>0.06</x:v>
      </x:c>
    </x:row>
    <x:row r="1996">
      <x:c r="A1996" s="155" t="n">
        <x:v>44364</x:v>
      </x:c>
      <x:c r="B1996" s="153" t="n">
        <x:v>1.52</x:v>
      </x:c>
      <x:c r="C1996" s="153" t="n">
        <x:v>-0.75</x:v>
      </x:c>
      <x:c r="D1996" s="153" t="n">
        <x:v>2.27</x:v>
      </x:c>
      <x:c r="E1996" s="153" t="n">
        <x:v>112.5772</x:v>
      </x:c>
      <x:c r="F1996" s="153" t="n">
        <x:v>17.75</x:v>
      </x:c>
      <x:c r="G1996" s="153" t="n">
        <x:v>0.1</x:v>
      </x:c>
    </x:row>
    <x:row r="1997">
      <x:c r="A1997" s="155" t="n">
        <x:v>44365</x:v>
      </x:c>
      <x:c r="B1997" s="153" t="n">
        <x:v>1.45</x:v>
      </x:c>
      <x:c r="C1997" s="153" t="n">
        <x:v>-0.79</x:v>
      </x:c>
      <x:c r="D1997" s="153" t="n">
        <x:v>2.24</x:v>
      </x:c>
      <x:c r="E1997" s="153" t="n">
        <x:v>113.0408</x:v>
      </x:c>
      <x:c r="F1997" s="153" t="n">
        <x:v>20.7</x:v>
      </x:c>
      <x:c r="G1997" s="153" t="n">
        <x:v>0.1</x:v>
      </x:c>
    </x:row>
    <x:row r="1998">
      <x:c r="A1998" s="155" t="n">
        <x:v>44366</x:v>
      </x:c>
      <x:c r="B1998" s="153"/>
      <x:c r="C1998" s="153"/>
      <x:c r="D1998" s="153"/>
      <x:c r="E1998" s="153"/>
      <x:c r="F1998" s="153"/>
      <x:c r="G1998" s="153" t="n">
        <x:v>0.1</x:v>
      </x:c>
    </x:row>
    <x:row r="1999">
      <x:c r="A1999" s="155" t="n">
        <x:v>44367</x:v>
      </x:c>
      <x:c r="B1999" s="153"/>
      <x:c r="C1999" s="153"/>
      <x:c r="D1999" s="153"/>
      <x:c r="E1999" s="153"/>
      <x:c r="F1999" s="153"/>
      <x:c r="G1999" s="153" t="n">
        <x:v>0.1</x:v>
      </x:c>
    </x:row>
    <x:row r="2000">
      <x:c r="A2000" s="155" t="n">
        <x:v>44368</x:v>
      </x:c>
      <x:c r="B2000" s="153" t="n">
        <x:v>1.5</x:v>
      </x:c>
      <x:c r="C2000" s="153" t="n">
        <x:v>-0.75</x:v>
      </x:c>
      <x:c r="D2000" s="153" t="n">
        <x:v>2.25</x:v>
      </x:c>
      <x:c r="E2000" s="153" t="n">
        <x:v>112.8391</x:v>
      </x:c>
      <x:c r="F2000" s="153" t="n">
        <x:v>17.89</x:v>
      </x:c>
      <x:c r="G2000" s="153" t="n">
        <x:v>0.1</x:v>
      </x:c>
    </x:row>
    <x:row r="2001">
      <x:c r="A2001" s="155" t="n">
        <x:v>44369</x:v>
      </x:c>
      <x:c r="B2001" s="153" t="n">
        <x:v>1.48</x:v>
      </x:c>
      <x:c r="C2001" s="153" t="n">
        <x:v>-0.83</x:v>
      </x:c>
      <x:c r="D2001" s="153" t="n">
        <x:v>2.31</x:v>
      </x:c>
      <x:c r="E2001" s="153" t="n">
        <x:v>112.9174</x:v>
      </x:c>
      <x:c r="F2001" s="153" t="n">
        <x:v>16.66</x:v>
      </x:c>
      <x:c r="G2001" s="153" t="n">
        <x:v>0.1</x:v>
      </x:c>
    </x:row>
    <x:row r="2002">
      <x:c r="A2002" s="155" t="n">
        <x:v>44370</x:v>
      </x:c>
      <x:c r="B2002" s="153" t="n">
        <x:v>1.5</x:v>
      </x:c>
      <x:c r="C2002" s="153" t="n">
        <x:v>-0.84</x:v>
      </x:c>
      <x:c r="D2002" s="153" t="n">
        <x:v>2.34</x:v>
      </x:c>
      <x:c r="E2002" s="153" t="n">
        <x:v>112.3819</x:v>
      </x:c>
      <x:c r="F2002" s="153" t="n">
        <x:v>16.32</x:v>
      </x:c>
      <x:c r="G2002" s="153" t="n">
        <x:v>0.1</x:v>
      </x:c>
    </x:row>
    <x:row r="2003">
      <x:c r="A2003" s="155" t="n">
        <x:v>44371</x:v>
      </x:c>
      <x:c r="B2003" s="153" t="n">
        <x:v>1.49</x:v>
      </x:c>
      <x:c r="C2003" s="153" t="n">
        <x:v>-0.81</x:v>
      </x:c>
      <x:c r="D2003" s="153" t="n">
        <x:v>2.3</x:v>
      </x:c>
      <x:c r="E2003" s="153" t="n">
        <x:v>112.326</x:v>
      </x:c>
      <x:c r="F2003" s="153" t="n">
        <x:v>15.97</x:v>
      </x:c>
      <x:c r="G2003" s="153" t="n">
        <x:v>0.1</x:v>
      </x:c>
    </x:row>
    <x:row r="2004">
      <x:c r="A2004" s="155" t="n">
        <x:v>44372</x:v>
      </x:c>
      <x:c r="B2004" s="153" t="n">
        <x:v>1.54</x:v>
      </x:c>
      <x:c r="C2004" s="153" t="n">
        <x:v>-0.8</x:v>
      </x:c>
      <x:c r="D2004" s="153" t="n">
        <x:v>2.34</x:v>
      </x:c>
      <x:c r="E2004" s="153" t="n">
        <x:v>111.9655</x:v>
      </x:c>
      <x:c r="F2004" s="153" t="n">
        <x:v>15.62</x:v>
      </x:c>
      <x:c r="G2004" s="153" t="n">
        <x:v>0.1</x:v>
      </x:c>
    </x:row>
    <x:row r="2005">
      <x:c r="A2005" s="155" t="n">
        <x:v>44373</x:v>
      </x:c>
      <x:c r="B2005" s="153"/>
      <x:c r="C2005" s="153"/>
      <x:c r="D2005" s="153"/>
      <x:c r="E2005" s="153"/>
      <x:c r="F2005" s="153"/>
      <x:c r="G2005" s="153" t="n">
        <x:v>0.1</x:v>
      </x:c>
    </x:row>
    <x:row r="2006">
      <x:c r="A2006" s="155" t="n">
        <x:v>44374</x:v>
      </x:c>
      <x:c r="B2006" s="153"/>
      <x:c r="C2006" s="153"/>
      <x:c r="D2006" s="153"/>
      <x:c r="E2006" s="153"/>
      <x:c r="F2006" s="153"/>
      <x:c r="G2006" s="153" t="n">
        <x:v>0.1</x:v>
      </x:c>
    </x:row>
    <x:row r="2007">
      <x:c r="A2007" s="155" t="n">
        <x:v>44375</x:v>
      </x:c>
      <x:c r="B2007" s="153" t="n">
        <x:v>1.49</x:v>
      </x:c>
      <x:c r="C2007" s="153" t="n">
        <x:v>-0.84</x:v>
      </x:c>
      <x:c r="D2007" s="153" t="n">
        <x:v>2.33</x:v>
      </x:c>
      <x:c r="E2007" s="153" t="n">
        <x:v>112.0248</x:v>
      </x:c>
      <x:c r="F2007" s="153" t="n">
        <x:v>15.76</x:v>
      </x:c>
      <x:c r="G2007" s="153" t="n">
        <x:v>0.1</x:v>
      </x:c>
    </x:row>
    <x:row r="2008">
      <x:c r="A2008" s="155" t="n">
        <x:v>44376</x:v>
      </x:c>
      <x:c r="B2008" s="153" t="n">
        <x:v>1.49</x:v>
      </x:c>
      <x:c r="C2008" s="153" t="n">
        <x:v>-0.83</x:v>
      </x:c>
      <x:c r="D2008" s="153" t="n">
        <x:v>2.32</x:v>
      </x:c>
      <x:c r="E2008" s="153" t="n">
        <x:v>112.2613</x:v>
      </x:c>
      <x:c r="F2008" s="153" t="n">
        <x:v>16.02</x:v>
      </x:c>
      <x:c r="G2008" s="153" t="n">
        <x:v>0.1</x:v>
      </x:c>
    </x:row>
    <x:row r="2009">
      <x:c r="A2009" s="155" t="n">
        <x:v>44377</x:v>
      </x:c>
      <x:c r="B2009" s="153" t="n">
        <x:v>1.45</x:v>
      </x:c>
      <x:c r="C2009" s="153" t="n">
        <x:v>-0.87</x:v>
      </x:c>
      <x:c r="D2009" s="153" t="n">
        <x:v>2.32</x:v>
      </x:c>
      <x:c r="E2009" s="153" t="n">
        <x:v>112.5533</x:v>
      </x:c>
      <x:c r="F2009" s="153" t="n">
        <x:v>15.83</x:v>
      </x:c>
      <x:c r="G2009" s="153" t="n">
        <x:v>0.08</x:v>
      </x:c>
    </x:row>
    <x:row r="2010">
      <x:c r="A2010" s="155" t="n">
        <x:v>44378</x:v>
      </x:c>
      <x:c r="B2010" s="153" t="n">
        <x:v>1.48</x:v>
      </x:c>
      <x:c r="C2010" s="153" t="n">
        <x:v>-0.87</x:v>
      </x:c>
      <x:c r="D2010" s="153" t="n">
        <x:v>2.35</x:v>
      </x:c>
      <x:c r="E2010" s="153" t="n">
        <x:v>112.74</x:v>
      </x:c>
      <x:c r="F2010" s="153" t="n">
        <x:v>15.48</x:v>
      </x:c>
      <x:c r="G2010" s="153" t="n">
        <x:v>0.1</x:v>
      </x:c>
    </x:row>
    <x:row r="2011">
      <x:c r="A2011" s="155" t="n">
        <x:v>44379</x:v>
      </x:c>
      <x:c r="B2011" s="153" t="n">
        <x:v>1.44</x:v>
      </x:c>
      <x:c r="C2011" s="153" t="n">
        <x:v>-0.89</x:v>
      </x:c>
      <x:c r="D2011" s="153" t="n">
        <x:v>2.33</x:v>
      </x:c>
      <x:c r="E2011" s="153" t="n">
        <x:v>112.5425</x:v>
      </x:c>
      <x:c r="F2011" s="153" t="n">
        <x:v>15.07</x:v>
      </x:c>
      <x:c r="G2011" s="153" t="n">
        <x:v>0.1</x:v>
      </x:c>
    </x:row>
    <x:row r="2012">
      <x:c r="A2012" s="155" t="n">
        <x:v>44380</x:v>
      </x:c>
      <x:c r="B2012" s="153"/>
      <x:c r="C2012" s="153"/>
      <x:c r="D2012" s="153"/>
      <x:c r="E2012" s="153"/>
      <x:c r="F2012" s="153"/>
      <x:c r="G2012" s="153" t="n">
        <x:v>0.1</x:v>
      </x:c>
    </x:row>
    <x:row r="2013">
      <x:c r="A2013" s="155" t="n">
        <x:v>44381</x:v>
      </x:c>
      <x:c r="B2013" s="153"/>
      <x:c r="C2013" s="153"/>
      <x:c r="D2013" s="153"/>
      <x:c r="E2013" s="153"/>
      <x:c r="F2013" s="153"/>
      <x:c r="G2013" s="153" t="n">
        <x:v>0.1</x:v>
      </x:c>
    </x:row>
    <x:row r="2014">
      <x:c r="A2014" s="155" t="n">
        <x:v>44382</x:v>
      </x:c>
      <x:c r="B2014" s="153"/>
      <x:c r="C2014" s="153"/>
      <x:c r="D2014" s="153"/>
      <x:c r="E2014" s="153"/>
      <x:c r="F2014" s="153"/>
      <x:c r="G2014" s="153" t="n">
        <x:v>0.1</x:v>
      </x:c>
    </x:row>
    <x:row r="2015">
      <x:c r="A2015" s="155" t="n">
        <x:v>44383</x:v>
      </x:c>
      <x:c r="B2015" s="153" t="n">
        <x:v>1.37</x:v>
      </x:c>
      <x:c r="C2015" s="153" t="n">
        <x:v>-0.94</x:v>
      </x:c>
      <x:c r="D2015" s="153" t="n">
        <x:v>2.31</x:v>
      </x:c>
      <x:c r="E2015" s="153" t="n">
        <x:v>112.9516</x:v>
      </x:c>
      <x:c r="F2015" s="153" t="n">
        <x:v>16.44</x:v>
      </x:c>
      <x:c r="G2015" s="153" t="n">
        <x:v>0.1</x:v>
      </x:c>
    </x:row>
    <x:row r="2016">
      <x:c r="A2016" s="155" t="n">
        <x:v>44384</x:v>
      </x:c>
      <x:c r="B2016" s="153" t="n">
        <x:v>1.33</x:v>
      </x:c>
      <x:c r="C2016" s="153" t="n">
        <x:v>-0.95</x:v>
      </x:c>
      <x:c r="D2016" s="153" t="n">
        <x:v>2.28</x:v>
      </x:c>
      <x:c r="E2016" s="153" t="n">
        <x:v>113.1048</x:v>
      </x:c>
      <x:c r="F2016" s="153" t="n">
        <x:v>16.2</x:v>
      </x:c>
      <x:c r="G2016" s="153" t="n">
        <x:v>0.1</x:v>
      </x:c>
    </x:row>
    <x:row r="2017">
      <x:c r="A2017" s="155" t="n">
        <x:v>44385</x:v>
      </x:c>
      <x:c r="B2017" s="153" t="n">
        <x:v>1.3</x:v>
      </x:c>
      <x:c r="C2017" s="153" t="n">
        <x:v>-0.92</x:v>
      </x:c>
      <x:c r="D2017" s="153" t="n">
        <x:v>2.22</x:v>
      </x:c>
      <x:c r="E2017" s="153" t="n">
        <x:v>113.0776</x:v>
      </x:c>
      <x:c r="F2017" s="153" t="n">
        <x:v>19</x:v>
      </x:c>
      <x:c r="G2017" s="153" t="n">
        <x:v>0.1</x:v>
      </x:c>
    </x:row>
    <x:row r="2018">
      <x:c r="A2018" s="155" t="n">
        <x:v>44386</x:v>
      </x:c>
      <x:c r="B2018" s="153" t="n">
        <x:v>1.37</x:v>
      </x:c>
      <x:c r="C2018" s="153" t="n">
        <x:v>-0.91</x:v>
      </x:c>
      <x:c r="D2018" s="153" t="n">
        <x:v>2.28</x:v>
      </x:c>
      <x:c r="E2018" s="153" t="n">
        <x:v>112.8375</x:v>
      </x:c>
      <x:c r="F2018" s="153" t="n">
        <x:v>16.18</x:v>
      </x:c>
      <x:c r="G2018" s="153" t="n">
        <x:v>0.1</x:v>
      </x:c>
    </x:row>
    <x:row r="2019">
      <x:c r="A2019" s="155" t="n">
        <x:v>44387</x:v>
      </x:c>
      <x:c r="B2019" s="153"/>
      <x:c r="C2019" s="153"/>
      <x:c r="D2019" s="153"/>
      <x:c r="E2019" s="153"/>
      <x:c r="F2019" s="153"/>
      <x:c r="G2019" s="153" t="n">
        <x:v>0.1</x:v>
      </x:c>
    </x:row>
    <x:row r="2020">
      <x:c r="A2020" s="155" t="n">
        <x:v>44388</x:v>
      </x:c>
      <x:c r="B2020" s="153"/>
      <x:c r="C2020" s="153"/>
      <x:c r="D2020" s="153"/>
      <x:c r="E2020" s="153"/>
      <x:c r="F2020" s="153"/>
      <x:c r="G2020" s="153" t="n">
        <x:v>0.1</x:v>
      </x:c>
    </x:row>
    <x:row r="2021">
      <x:c r="A2021" s="155" t="n">
        <x:v>44389</x:v>
      </x:c>
      <x:c r="B2021" s="153" t="n">
        <x:v>1.38</x:v>
      </x:c>
      <x:c r="C2021" s="153" t="n">
        <x:v>-0.95</x:v>
      </x:c>
      <x:c r="D2021" s="153" t="n">
        <x:v>2.33</x:v>
      </x:c>
      <x:c r="E2021" s="153" t="n">
        <x:v>112.7611</x:v>
      </x:c>
      <x:c r="F2021" s="153" t="n">
        <x:v>16.17</x:v>
      </x:c>
      <x:c r="G2021" s="153" t="n">
        <x:v>0.1</x:v>
      </x:c>
    </x:row>
    <x:row r="2022">
      <x:c r="A2022" s="155" t="n">
        <x:v>44390</x:v>
      </x:c>
      <x:c r="B2022" s="153" t="n">
        <x:v>1.42</x:v>
      </x:c>
      <x:c r="C2022" s="153" t="n">
        <x:v>-0.94</x:v>
      </x:c>
      <x:c r="D2022" s="153" t="n">
        <x:v>2.36</x:v>
      </x:c>
      <x:c r="E2022" s="153" t="n">
        <x:v>113.0063</x:v>
      </x:c>
      <x:c r="F2022" s="153" t="n">
        <x:v>17.12</x:v>
      </x:c>
      <x:c r="G2022" s="153" t="n">
        <x:v>0.1</x:v>
      </x:c>
    </x:row>
    <x:row r="2023">
      <x:c r="A2023" s="155" t="n">
        <x:v>44391</x:v>
      </x:c>
      <x:c r="B2023" s="153" t="n">
        <x:v>1.37</x:v>
      </x:c>
      <x:c r="C2023" s="153" t="n">
        <x:v>-0.97</x:v>
      </x:c>
      <x:c r="D2023" s="153" t="n">
        <x:v>2.34</x:v>
      </x:c>
      <x:c r="E2023" s="153" t="n">
        <x:v>112.8801</x:v>
      </x:c>
      <x:c r="F2023" s="153" t="n">
        <x:v>16.33</x:v>
      </x:c>
      <x:c r="G2023" s="153" t="n">
        <x:v>0.1</x:v>
      </x:c>
    </x:row>
    <x:row r="2024">
      <x:c r="A2024" s="155" t="n">
        <x:v>44392</x:v>
      </x:c>
      <x:c r="B2024" s="153" t="n">
        <x:v>1.31</x:v>
      </x:c>
      <x:c r="C2024" s="153" t="n">
        <x:v>-1.01</x:v>
      </x:c>
      <x:c r="D2024" s="153" t="n">
        <x:v>2.32</x:v>
      </x:c>
      <x:c r="E2024" s="153" t="n">
        <x:v>113.0041</x:v>
      </x:c>
      <x:c r="F2024" s="153" t="n">
        <x:v>17.01</x:v>
      </x:c>
      <x:c r="G2024" s="153" t="n">
        <x:v>0.1</x:v>
      </x:c>
    </x:row>
    <x:row r="2025">
      <x:c r="A2025" s="155" t="n">
        <x:v>44393</x:v>
      </x:c>
      <x:c r="B2025" s="153" t="n">
        <x:v>1.31</x:v>
      </x:c>
      <x:c r="C2025" s="153" t="n">
        <x:v>-1.02</x:v>
      </x:c>
      <x:c r="D2025" s="153" t="n">
        <x:v>2.33</x:v>
      </x:c>
      <x:c r="E2025" s="153" t="n">
        <x:v>113.0428</x:v>
      </x:c>
      <x:c r="F2025" s="153" t="n">
        <x:v>18.45</x:v>
      </x:c>
      <x:c r="G2025" s="153" t="n">
        <x:v>0.1</x:v>
      </x:c>
    </x:row>
    <x:row r="2026">
      <x:c r="A2026" s="155" t="n">
        <x:v>44394</x:v>
      </x:c>
      <x:c r="B2026" s="153"/>
      <x:c r="C2026" s="153"/>
      <x:c r="D2026" s="153"/>
      <x:c r="E2026" s="153"/>
      <x:c r="F2026" s="153"/>
      <x:c r="G2026" s="153" t="n">
        <x:v>0.1</x:v>
      </x:c>
    </x:row>
    <x:row r="2027">
      <x:c r="A2027" s="155" t="n">
        <x:v>44395</x:v>
      </x:c>
      <x:c r="B2027" s="153"/>
      <x:c r="C2027" s="153"/>
      <x:c r="D2027" s="153"/>
      <x:c r="E2027" s="153"/>
      <x:c r="F2027" s="153"/>
      <x:c r="G2027" s="153" t="n">
        <x:v>0.1</x:v>
      </x:c>
    </x:row>
    <x:row r="2028">
      <x:c r="A2028" s="155" t="n">
        <x:v>44396</x:v>
      </x:c>
      <x:c r="B2028" s="153" t="n">
        <x:v>1.19</x:v>
      </x:c>
      <x:c r="C2028" s="153" t="n">
        <x:v>-1.05</x:v>
      </x:c>
      <x:c r="D2028" s="153" t="n">
        <x:v>2.24</x:v>
      </x:c>
      <x:c r="E2028" s="153" t="n">
        <x:v>113.5472</x:v>
      </x:c>
      <x:c r="F2028" s="153" t="n">
        <x:v>22.5</x:v>
      </x:c>
      <x:c r="G2028" s="153" t="n">
        <x:v>0.1</x:v>
      </x:c>
    </x:row>
    <x:row r="2029">
      <x:c r="A2029" s="155" t="n">
        <x:v>44397</x:v>
      </x:c>
      <x:c r="B2029" s="153" t="n">
        <x:v>1.23</x:v>
      </x:c>
      <x:c r="C2029" s="153" t="n">
        <x:v>-1.03</x:v>
      </x:c>
      <x:c r="D2029" s="153" t="n">
        <x:v>2.26</x:v>
      </x:c>
      <x:c r="E2029" s="153" t="n">
        <x:v>113.7502</x:v>
      </x:c>
      <x:c r="F2029" s="153" t="n">
        <x:v>19.73</x:v>
      </x:c>
      <x:c r="G2029" s="153" t="n">
        <x:v>0.1</x:v>
      </x:c>
    </x:row>
    <x:row r="2030">
      <x:c r="A2030" s="155" t="n">
        <x:v>44398</x:v>
      </x:c>
      <x:c r="B2030" s="153" t="n">
        <x:v>1.3</x:v>
      </x:c>
      <x:c r="C2030" s="153" t="n">
        <x:v>-0.98</x:v>
      </x:c>
      <x:c r="D2030" s="153" t="n">
        <x:v>2.28</x:v>
      </x:c>
      <x:c r="E2030" s="153" t="n">
        <x:v>113.3926</x:v>
      </x:c>
      <x:c r="F2030" s="153" t="n">
        <x:v>17.91</x:v>
      </x:c>
      <x:c r="G2030" s="153" t="n">
        <x:v>0.1</x:v>
      </x:c>
    </x:row>
    <x:row r="2031">
      <x:c r="A2031" s="155" t="n">
        <x:v>44399</x:v>
      </x:c>
      <x:c r="B2031" s="153" t="n">
        <x:v>1.27</x:v>
      </x:c>
      <x:c r="C2031" s="153" t="n">
        <x:v>-1.01</x:v>
      </x:c>
      <x:c r="D2031" s="153" t="n">
        <x:v>2.28</x:v>
      </x:c>
      <x:c r="E2031" s="153" t="n">
        <x:v>113.4695</x:v>
      </x:c>
      <x:c r="F2031" s="153" t="n">
        <x:v>17.69</x:v>
      </x:c>
      <x:c r="G2031" s="153" t="n">
        <x:v>0.1</x:v>
      </x:c>
    </x:row>
    <x:row r="2032">
      <x:c r="A2032" s="155" t="n">
        <x:v>44400</x:v>
      </x:c>
      <x:c r="B2032" s="153" t="n">
        <x:v>1.3</x:v>
      </x:c>
      <x:c r="C2032" s="153" t="n">
        <x:v>-1.05</x:v>
      </x:c>
      <x:c r="D2032" s="153" t="n">
        <x:v>2.35</x:v>
      </x:c>
      <x:c r="E2032" s="153" t="n">
        <x:v>113.4398</x:v>
      </x:c>
      <x:c r="F2032" s="153" t="n">
        <x:v>17.2</x:v>
      </x:c>
      <x:c r="G2032" s="153" t="n">
        <x:v>0.1</x:v>
      </x:c>
    </x:row>
    <x:row r="2033">
      <x:c r="A2033" s="155" t="n">
        <x:v>44401</x:v>
      </x:c>
      <x:c r="B2033" s="153"/>
      <x:c r="C2033" s="153"/>
      <x:c r="D2033" s="153"/>
      <x:c r="E2033" s="153"/>
      <x:c r="F2033" s="153"/>
      <x:c r="G2033" s="153" t="n">
        <x:v>0.1</x:v>
      </x:c>
    </x:row>
    <x:row r="2034">
      <x:c r="A2034" s="155" t="n">
        <x:v>44402</x:v>
      </x:c>
      <x:c r="B2034" s="153"/>
      <x:c r="C2034" s="153"/>
      <x:c r="D2034" s="153"/>
      <x:c r="E2034" s="153"/>
      <x:c r="F2034" s="153"/>
      <x:c r="G2034" s="153" t="n">
        <x:v>0.1</x:v>
      </x:c>
    </x:row>
    <x:row r="2035">
      <x:c r="A2035" s="155" t="n">
        <x:v>44403</x:v>
      </x:c>
      <x:c r="B2035" s="153" t="n">
        <x:v>1.29</x:v>
      </x:c>
      <x:c r="C2035" s="153" t="n">
        <x:v>-1.11</x:v>
      </x:c>
      <x:c r="D2035" s="153" t="n">
        <x:v>2.4</x:v>
      </x:c>
      <x:c r="E2035" s="153" t="n">
        <x:v>113.2238</x:v>
      </x:c>
      <x:c r="F2035" s="153" t="n">
        <x:v>17.58</x:v>
      </x:c>
      <x:c r="G2035" s="153" t="n">
        <x:v>0.1</x:v>
      </x:c>
    </x:row>
    <x:row r="2036">
      <x:c r="A2036" s="155" t="n">
        <x:v>44404</x:v>
      </x:c>
      <x:c r="B2036" s="153" t="n">
        <x:v>1.25</x:v>
      </x:c>
      <x:c r="C2036" s="153" t="n">
        <x:v>-1.13</x:v>
      </x:c>
      <x:c r="D2036" s="153" t="n">
        <x:v>2.38</x:v>
      </x:c>
      <x:c r="E2036" s="153" t="n">
        <x:v>113.2227</x:v>
      </x:c>
      <x:c r="F2036" s="153" t="n">
        <x:v>19.36</x:v>
      </x:c>
      <x:c r="G2036" s="153" t="n">
        <x:v>0.1</x:v>
      </x:c>
    </x:row>
    <x:row r="2037">
      <x:c r="A2037" s="155" t="n">
        <x:v>44405</x:v>
      </x:c>
      <x:c r="B2037" s="153" t="n">
        <x:v>1.26</x:v>
      </x:c>
      <x:c r="C2037" s="153" t="n">
        <x:v>-1.15</x:v>
      </x:c>
      <x:c r="D2037" s="153" t="n">
        <x:v>2.41</x:v>
      </x:c>
      <x:c r="E2037" s="153" t="n">
        <x:v>113.1807</x:v>
      </x:c>
      <x:c r="F2037" s="153" t="n">
        <x:v>18.31</x:v>
      </x:c>
      <x:c r="G2037" s="153" t="n">
        <x:v>0.1</x:v>
      </x:c>
    </x:row>
    <x:row r="2038">
      <x:c r="A2038" s="155" t="n">
        <x:v>44406</x:v>
      </x:c>
      <x:c r="B2038" s="153" t="n">
        <x:v>1.28</x:v>
      </x:c>
      <x:c r="C2038" s="153" t="n">
        <x:v>-1.15</x:v>
      </x:c>
      <x:c r="D2038" s="153" t="n">
        <x:v>2.43</x:v>
      </x:c>
      <x:c r="E2038" s="153" t="n">
        <x:v>112.4834</x:v>
      </x:c>
      <x:c r="F2038" s="153" t="n">
        <x:v>17.7</x:v>
      </x:c>
      <x:c r="G2038" s="153" t="n">
        <x:v>0.1</x:v>
      </x:c>
    </x:row>
    <x:row r="2039">
      <x:c r="A2039" s="155" t="n">
        <x:v>44407</x:v>
      </x:c>
      <x:c r="B2039" s="153" t="n">
        <x:v>1.24</x:v>
      </x:c>
      <x:c r="C2039" s="153" t="n">
        <x:v>-1.16</x:v>
      </x:c>
      <x:c r="D2039" s="153" t="n">
        <x:v>2.4</x:v>
      </x:c>
      <x:c r="E2039" s="153" t="n">
        <x:v>112.6714</x:v>
      </x:c>
      <x:c r="F2039" s="153" t="n">
        <x:v>18.24</x:v>
      </x:c>
      <x:c r="G2039" s="153" t="n">
        <x:v>0.07</x:v>
      </x:c>
    </x:row>
    <x:row r="2040">
      <x:c r="A2040" s="155" t="n">
        <x:v>44408</x:v>
      </x:c>
      <x:c r="B2040" s="153"/>
      <x:c r="C2040" s="153"/>
      <x:c r="D2040" s="153"/>
      <x:c r="E2040" s="153"/>
      <x:c r="F2040" s="153"/>
      <x:c r="G2040" s="153" t="n">
        <x:v>0.07</x:v>
      </x:c>
    </x:row>
    <x:row r="2041">
      <x:c r="A2041" s="155" t="n">
        <x:v>44409</x:v>
      </x:c>
      <x:c r="B2041" s="153"/>
      <x:c r="C2041" s="153"/>
      <x:c r="D2041" s="153"/>
      <x:c r="E2041" s="153"/>
      <x:c r="F2041" s="153"/>
      <x:c r="G2041" s="153" t="n">
        <x:v>0.07</x:v>
      </x:c>
    </x:row>
    <x:row r="2042">
      <x:c r="A2042" s="155" t="n">
        <x:v>44410</x:v>
      </x:c>
      <x:c r="B2042" s="153" t="n">
        <x:v>1.2</x:v>
      </x:c>
      <x:c r="C2042" s="153" t="n">
        <x:v>-1.17</x:v>
      </x:c>
      <x:c r="D2042" s="153" t="n">
        <x:v>2.37</x:v>
      </x:c>
      <x:c r="E2042" s="153" t="n">
        <x:v>112.6691</x:v>
      </x:c>
      <x:c r="F2042" s="153" t="n">
        <x:v>19.46</x:v>
      </x:c>
      <x:c r="G2042" s="153" t="n">
        <x:v>0.1</x:v>
      </x:c>
    </x:row>
    <x:row r="2043">
      <x:c r="A2043" s="155" t="n">
        <x:v>44411</x:v>
      </x:c>
      <x:c r="B2043" s="153" t="n">
        <x:v>1.19</x:v>
      </x:c>
      <x:c r="C2043" s="153" t="n">
        <x:v>-1.19</x:v>
      </x:c>
      <x:c r="D2043" s="153" t="n">
        <x:v>2.38</x:v>
      </x:c>
      <x:c r="E2043" s="153" t="n">
        <x:v>112.8228</x:v>
      </x:c>
      <x:c r="F2043" s="153" t="n">
        <x:v>18.04</x:v>
      </x:c>
      <x:c r="G2043" s="153" t="n">
        <x:v>0.1</x:v>
      </x:c>
    </x:row>
    <x:row r="2044">
      <x:c r="A2044" s="155" t="n">
        <x:v>44412</x:v>
      </x:c>
      <x:c r="B2044" s="153" t="n">
        <x:v>1.19</x:v>
      </x:c>
      <x:c r="C2044" s="153" t="n">
        <x:v>-1.16</x:v>
      </x:c>
      <x:c r="D2044" s="153" t="n">
        <x:v>2.35</x:v>
      </x:c>
      <x:c r="E2044" s="153" t="n">
        <x:v>112.8953</x:v>
      </x:c>
      <x:c r="F2044" s="153" t="n">
        <x:v>17.97</x:v>
      </x:c>
      <x:c r="G2044" s="153" t="n">
        <x:v>0.1</x:v>
      </x:c>
    </x:row>
    <x:row r="2045">
      <x:c r="A2045" s="155" t="n">
        <x:v>44413</x:v>
      </x:c>
      <x:c r="B2045" s="153" t="n">
        <x:v>1.23</x:v>
      </x:c>
      <x:c r="C2045" s="153" t="n">
        <x:v>-1.1</x:v>
      </x:c>
      <x:c r="D2045" s="153" t="n">
        <x:v>2.33</x:v>
      </x:c>
      <x:c r="E2045" s="153" t="n">
        <x:v>112.7674</x:v>
      </x:c>
      <x:c r="F2045" s="153" t="n">
        <x:v>17.28</x:v>
      </x:c>
      <x:c r="G2045" s="153" t="n">
        <x:v>0.1</x:v>
      </x:c>
    </x:row>
    <x:row r="2046">
      <x:c r="A2046" s="155" t="n">
        <x:v>44414</x:v>
      </x:c>
      <x:c r="B2046" s="153" t="n">
        <x:v>1.31</x:v>
      </x:c>
      <x:c r="C2046" s="153" t="n">
        <x:v>-1.06</x:v>
      </x:c>
      <x:c r="D2046" s="153" t="n">
        <x:v>2.37</x:v>
      </x:c>
      <x:c r="E2046" s="153" t="n">
        <x:v>113.3088</x:v>
      </x:c>
      <x:c r="F2046" s="153" t="n">
        <x:v>16.15</x:v>
      </x:c>
      <x:c r="G2046" s="153" t="n">
        <x:v>0.1</x:v>
      </x:c>
    </x:row>
    <x:row r="2047">
      <x:c r="A2047" s="155" t="n">
        <x:v>44415</x:v>
      </x:c>
      <x:c r="B2047" s="153"/>
      <x:c r="C2047" s="153"/>
      <x:c r="D2047" s="153"/>
      <x:c r="E2047" s="153"/>
      <x:c r="F2047" s="153"/>
      <x:c r="G2047" s="153" t="n">
        <x:v>0.1</x:v>
      </x:c>
    </x:row>
    <x:row r="2048">
      <x:c r="A2048" s="155" t="n">
        <x:v>44416</x:v>
      </x:c>
      <x:c r="B2048" s="153"/>
      <x:c r="C2048" s="153"/>
      <x:c r="D2048" s="153"/>
      <x:c r="E2048" s="153"/>
      <x:c r="F2048" s="153"/>
      <x:c r="G2048" s="153" t="n">
        <x:v>0.1</x:v>
      </x:c>
    </x:row>
    <x:row r="2049">
      <x:c r="A2049" s="155" t="n">
        <x:v>44417</x:v>
      </x:c>
      <x:c r="B2049" s="153" t="n">
        <x:v>1.33</x:v>
      </x:c>
      <x:c r="C2049" s="153" t="n">
        <x:v>-1.04</x:v>
      </x:c>
      <x:c r="D2049" s="153" t="n">
        <x:v>2.37</x:v>
      </x:c>
      <x:c r="E2049" s="153" t="n">
        <x:v>113.4521</x:v>
      </x:c>
      <x:c r="F2049" s="153" t="n">
        <x:v>16.72</x:v>
      </x:c>
      <x:c r="G2049" s="153" t="n">
        <x:v>0.1</x:v>
      </x:c>
    </x:row>
    <x:row r="2050">
      <x:c r="A2050" s="155" t="n">
        <x:v>44418</x:v>
      </x:c>
      <x:c r="B2050" s="153" t="n">
        <x:v>1.36</x:v>
      </x:c>
      <x:c r="C2050" s="153" t="n">
        <x:v>-1.04</x:v>
      </x:c>
      <x:c r="D2050" s="153" t="n">
        <x:v>2.4</x:v>
      </x:c>
      <x:c r="E2050" s="153" t="n">
        <x:v>113.4973</x:v>
      </x:c>
      <x:c r="F2050" s="153" t="n">
        <x:v>16.79</x:v>
      </x:c>
      <x:c r="G2050" s="153" t="n">
        <x:v>0.1</x:v>
      </x:c>
    </x:row>
    <x:row r="2051">
      <x:c r="A2051" s="155" t="n">
        <x:v>44419</x:v>
      </x:c>
      <x:c r="B2051" s="153" t="n">
        <x:v>1.35</x:v>
      </x:c>
      <x:c r="C2051" s="153" t="n">
        <x:v>-1.07</x:v>
      </x:c>
      <x:c r="D2051" s="153" t="n">
        <x:v>2.42</x:v>
      </x:c>
      <x:c r="E2051" s="153" t="n">
        <x:v>113.282</x:v>
      </x:c>
      <x:c r="F2051" s="153" t="n">
        <x:v>16.06</x:v>
      </x:c>
      <x:c r="G2051" s="153" t="n">
        <x:v>0.1</x:v>
      </x:c>
    </x:row>
    <x:row r="2052">
      <x:c r="A2052" s="155" t="n">
        <x:v>44420</x:v>
      </x:c>
      <x:c r="B2052" s="153" t="n">
        <x:v>1.36</x:v>
      </x:c>
      <x:c r="C2052" s="153" t="n">
        <x:v>-1.05</x:v>
      </x:c>
      <x:c r="D2052" s="153" t="n">
        <x:v>2.41</x:v>
      </x:c>
      <x:c r="E2052" s="153" t="n">
        <x:v>113.2691</x:v>
      </x:c>
      <x:c r="F2052" s="153" t="n">
        <x:v>15.59</x:v>
      </x:c>
      <x:c r="G2052" s="153" t="n">
        <x:v>0.1</x:v>
      </x:c>
    </x:row>
    <x:row r="2053">
      <x:c r="A2053" s="155" t="n">
        <x:v>44421</x:v>
      </x:c>
      <x:c r="B2053" s="153" t="n">
        <x:v>1.29</x:v>
      </x:c>
      <x:c r="C2053" s="153" t="n">
        <x:v>-1.08</x:v>
      </x:c>
      <x:c r="D2053" s="153" t="n">
        <x:v>2.37</x:v>
      </x:c>
      <x:c r="E2053" s="153" t="n">
        <x:v>113.0615</x:v>
      </x:c>
      <x:c r="F2053" s="153" t="n">
        <x:v>15.45</x:v>
      </x:c>
      <x:c r="G2053" s="153" t="n">
        <x:v>0.1</x:v>
      </x:c>
    </x:row>
    <x:row r="2054">
      <x:c r="A2054" s="155" t="n">
        <x:v>44422</x:v>
      </x:c>
      <x:c r="B2054" s="153"/>
      <x:c r="C2054" s="153"/>
      <x:c r="D2054" s="153"/>
      <x:c r="E2054" s="153"/>
      <x:c r="F2054" s="153"/>
      <x:c r="G2054" s="153" t="n">
        <x:v>0.1</x:v>
      </x:c>
    </x:row>
    <x:row r="2055">
      <x:c r="A2055" s="155" t="n">
        <x:v>44423</x:v>
      </x:c>
      <x:c r="B2055" s="153"/>
      <x:c r="C2055" s="153"/>
      <x:c r="D2055" s="153"/>
      <x:c r="E2055" s="153"/>
      <x:c r="F2055" s="153"/>
      <x:c r="G2055" s="153" t="n">
        <x:v>0.1</x:v>
      </x:c>
    </x:row>
    <x:row r="2056">
      <x:c r="A2056" s="155" t="n">
        <x:v>44424</x:v>
      </x:c>
      <x:c r="B2056" s="153" t="n">
        <x:v>1.26</x:v>
      </x:c>
      <x:c r="C2056" s="153" t="n">
        <x:v>-1.1</x:v>
      </x:c>
      <x:c r="D2056" s="153" t="n">
        <x:v>2.36</x:v>
      </x:c>
      <x:c r="E2056" s="153" t="n">
        <x:v>113.1698</x:v>
      </x:c>
      <x:c r="F2056" s="153" t="n">
        <x:v>16.12</x:v>
      </x:c>
      <x:c r="G2056" s="153" t="n">
        <x:v>0.1</x:v>
      </x:c>
    </x:row>
    <x:row r="2057">
      <x:c r="A2057" s="155" t="n">
        <x:v>44425</x:v>
      </x:c>
      <x:c r="B2057" s="153" t="n">
        <x:v>1.26</x:v>
      </x:c>
      <x:c r="C2057" s="153" t="n">
        <x:v>-1.07</x:v>
      </x:c>
      <x:c r="D2057" s="153" t="n">
        <x:v>2.33</x:v>
      </x:c>
      <x:c r="E2057" s="153" t="n">
        <x:v>113.6174</x:v>
      </x:c>
      <x:c r="F2057" s="153" t="n">
        <x:v>17.91</x:v>
      </x:c>
      <x:c r="G2057" s="153" t="n">
        <x:v>0.1</x:v>
      </x:c>
    </x:row>
    <x:row r="2058">
      <x:c r="A2058" s="155" t="n">
        <x:v>44426</x:v>
      </x:c>
      <x:c r="B2058" s="153" t="n">
        <x:v>1.27</x:v>
      </x:c>
      <x:c r="C2058" s="153" t="n">
        <x:v>-1.05</x:v>
      </x:c>
      <x:c r="D2058" s="153" t="n">
        <x:v>2.32</x:v>
      </x:c>
      <x:c r="E2058" s="153" t="n">
        <x:v>113.6959</x:v>
      </x:c>
      <x:c r="F2058" s="153" t="n">
        <x:v>21.57</x:v>
      </x:c>
      <x:c r="G2058" s="153" t="n">
        <x:v>0.09</x:v>
      </x:c>
    </x:row>
    <x:row r="2059">
      <x:c r="A2059" s="155" t="n">
        <x:v>44427</x:v>
      </x:c>
      <x:c r="B2059" s="153" t="n">
        <x:v>1.24</x:v>
      </x:c>
      <x:c r="C2059" s="153" t="n">
        <x:v>-1.04</x:v>
      </x:c>
      <x:c r="D2059" s="153" t="n">
        <x:v>2.28</x:v>
      </x:c>
      <x:c r="E2059" s="153" t="n">
        <x:v>114.1106</x:v>
      </x:c>
      <x:c r="F2059" s="153" t="n">
        <x:v>21.67</x:v>
      </x:c>
      <x:c r="G2059" s="153" t="n">
        <x:v>0.09</x:v>
      </x:c>
    </x:row>
    <x:row r="2060">
      <x:c r="A2060" s="155" t="n">
        <x:v>44428</x:v>
      </x:c>
      <x:c r="B2060" s="153" t="n">
        <x:v>1.26</x:v>
      </x:c>
      <x:c r="C2060" s="153" t="n">
        <x:v>-1.01</x:v>
      </x:c>
      <x:c r="D2060" s="153" t="n">
        <x:v>2.27</x:v>
      </x:c>
      <x:c r="E2060" s="153" t="n">
        <x:v>114.5009</x:v>
      </x:c>
      <x:c r="F2060" s="153" t="n">
        <x:v>18.56</x:v>
      </x:c>
      <x:c r="G2060" s="153" t="n">
        <x:v>0.09</x:v>
      </x:c>
    </x:row>
    <x:row r="2061">
      <x:c r="A2061" s="155" t="n">
        <x:v>44429</x:v>
      </x:c>
      <x:c r="B2061" s="153"/>
      <x:c r="C2061" s="153"/>
      <x:c r="D2061" s="153"/>
      <x:c r="E2061" s="153"/>
      <x:c r="F2061" s="153"/>
      <x:c r="G2061" s="153" t="n">
        <x:v>0.09</x:v>
      </x:c>
    </x:row>
    <x:row r="2062">
      <x:c r="A2062" s="155" t="n">
        <x:v>44430</x:v>
      </x:c>
      <x:c r="B2062" s="153"/>
      <x:c r="C2062" s="153"/>
      <x:c r="D2062" s="153"/>
      <x:c r="E2062" s="153"/>
      <x:c r="F2062" s="153"/>
      <x:c r="G2062" s="153" t="n">
        <x:v>0.09</x:v>
      </x:c>
    </x:row>
    <x:row r="2063">
      <x:c r="A2063" s="155" t="n">
        <x:v>44431</x:v>
      </x:c>
      <x:c r="B2063" s="153" t="n">
        <x:v>1.25</x:v>
      </x:c>
      <x:c r="C2063" s="153" t="n">
        <x:v>-1.02</x:v>
      </x:c>
      <x:c r="D2063" s="153" t="n">
        <x:v>2.27</x:v>
      </x:c>
      <x:c r="E2063" s="153" t="n">
        <x:v>113.9418</x:v>
      </x:c>
      <x:c r="F2063" s="153" t="n">
        <x:v>17.15</x:v>
      </x:c>
      <x:c r="G2063" s="153" t="n">
        <x:v>0.09</x:v>
      </x:c>
    </x:row>
    <x:row r="2064">
      <x:c r="A2064" s="155" t="n">
        <x:v>44432</x:v>
      </x:c>
      <x:c r="B2064" s="153" t="n">
        <x:v>1.29</x:v>
      </x:c>
      <x:c r="C2064" s="153" t="n">
        <x:v>-1.01</x:v>
      </x:c>
      <x:c r="D2064" s="153" t="n">
        <x:v>2.3</x:v>
      </x:c>
      <x:c r="E2064" s="153" t="n">
        <x:v>113.6795</x:v>
      </x:c>
      <x:c r="F2064" s="153" t="n">
        <x:v>17.22</x:v>
      </x:c>
      <x:c r="G2064" s="153" t="n">
        <x:v>0.09</x:v>
      </x:c>
    </x:row>
    <x:row r="2065">
      <x:c r="A2065" s="155" t="n">
        <x:v>44433</x:v>
      </x:c>
      <x:c r="B2065" s="153" t="n">
        <x:v>1.35</x:v>
      </x:c>
      <x:c r="C2065" s="153" t="n">
        <x:v>-1</x:v>
      </x:c>
      <x:c r="D2065" s="153" t="n">
        <x:v>2.35</x:v>
      </x:c>
      <x:c r="E2065" s="153" t="n">
        <x:v>113.6322</x:v>
      </x:c>
      <x:c r="F2065" s="153" t="n">
        <x:v>16.79</x:v>
      </x:c>
      <x:c r="G2065" s="153" t="n">
        <x:v>0.09</x:v>
      </x:c>
    </x:row>
    <x:row r="2066">
      <x:c r="A2066" s="155" t="n">
        <x:v>44434</x:v>
      </x:c>
      <x:c r="B2066" s="153" t="n">
        <x:v>1.34</x:v>
      </x:c>
      <x:c r="C2066" s="153" t="n">
        <x:v>-0.99</x:v>
      </x:c>
      <x:c r="D2066" s="153" t="n">
        <x:v>2.33</x:v>
      </x:c>
      <x:c r="E2066" s="153" t="n">
        <x:v>113.7883</x:v>
      </x:c>
      <x:c r="F2066" s="153" t="n">
        <x:v>18.84</x:v>
      </x:c>
      <x:c r="G2066" s="153" t="n">
        <x:v>0.09</x:v>
      </x:c>
    </x:row>
    <x:row r="2067">
      <x:c r="A2067" s="155" t="n">
        <x:v>44435</x:v>
      </x:c>
      <x:c r="B2067" s="153" t="n">
        <x:v>1.31</x:v>
      </x:c>
      <x:c r="C2067" s="153" t="n">
        <x:v>-1.08</x:v>
      </x:c>
      <x:c r="D2067" s="153" t="n">
        <x:v>2.39</x:v>
      </x:c>
      <x:c r="E2067" s="153" t="n">
        <x:v>113.3404</x:v>
      </x:c>
      <x:c r="F2067" s="153" t="n">
        <x:v>16.39</x:v>
      </x:c>
      <x:c r="G2067" s="153" t="n">
        <x:v>0.08</x:v>
      </x:c>
    </x:row>
    <x:row r="2068">
      <x:c r="A2068" s="155" t="n">
        <x:v>44436</x:v>
      </x:c>
      <x:c r="B2068" s="153"/>
      <x:c r="C2068" s="153"/>
      <x:c r="D2068" s="153"/>
      <x:c r="E2068" s="153"/>
      <x:c r="F2068" s="153"/>
      <x:c r="G2068" s="153" t="n">
        <x:v>0.08</x:v>
      </x:c>
    </x:row>
    <x:row r="2069">
      <x:c r="A2069" s="155" t="n">
        <x:v>44437</x:v>
      </x:c>
      <x:c r="B2069" s="153"/>
      <x:c r="C2069" s="153"/>
      <x:c r="D2069" s="153"/>
      <x:c r="E2069" s="153"/>
      <x:c r="F2069" s="153"/>
      <x:c r="G2069" s="153" t="n">
        <x:v>0.08</x:v>
      </x:c>
    </x:row>
    <x:row r="2070">
      <x:c r="A2070" s="155" t="n">
        <x:v>44438</x:v>
      </x:c>
      <x:c r="B2070" s="153" t="n">
        <x:v>1.29</x:v>
      </x:c>
      <x:c r="C2070" s="153" t="n">
        <x:v>-1.08</x:v>
      </x:c>
      <x:c r="D2070" s="153" t="n">
        <x:v>2.37</x:v>
      </x:c>
      <x:c r="E2070" s="153" t="n">
        <x:v>113.246</x:v>
      </x:c>
      <x:c r="F2070" s="153" t="n">
        <x:v>16.19</x:v>
      </x:c>
      <x:c r="G2070" s="153" t="n">
        <x:v>0.08</x:v>
      </x:c>
    </x:row>
    <x:row r="2071">
      <x:c r="A2071" s="155" t="n">
        <x:v>44439</x:v>
      </x:c>
      <x:c r="B2071" s="153" t="n">
        <x:v>1.3</x:v>
      </x:c>
      <x:c r="C2071" s="153" t="n">
        <x:v>-1.03</x:v>
      </x:c>
      <x:c r="D2071" s="153" t="n">
        <x:v>2.33</x:v>
      </x:c>
      <x:c r="E2071" s="153" t="n">
        <x:v>113.1076</x:v>
      </x:c>
      <x:c r="F2071" s="153" t="n">
        <x:v>16.48</x:v>
      </x:c>
      <x:c r="G2071" s="153" t="n">
        <x:v>0.06</x:v>
      </x:c>
    </x:row>
    <x:row r="2072">
      <x:c r="A2072" s="155" t="n">
        <x:v>44440</x:v>
      </x:c>
      <x:c r="B2072" s="153" t="n">
        <x:v>1.31</x:v>
      </x:c>
      <x:c r="C2072" s="153" t="n">
        <x:v>-1.03</x:v>
      </x:c>
      <x:c r="D2072" s="153" t="n">
        <x:v>2.34</x:v>
      </x:c>
      <x:c r="E2072" s="153" t="n">
        <x:v>112.8732</x:v>
      </x:c>
      <x:c r="F2072" s="153" t="n">
        <x:v>16.11</x:v>
      </x:c>
      <x:c r="G2072" s="153" t="n">
        <x:v>0.08</x:v>
      </x:c>
    </x:row>
    <x:row r="2073">
      <x:c r="A2073" s="155" t="n">
        <x:v>44441</x:v>
      </x:c>
      <x:c r="B2073" s="153" t="n">
        <x:v>1.29</x:v>
      </x:c>
      <x:c r="C2073" s="153" t="n">
        <x:v>-1.03</x:v>
      </x:c>
      <x:c r="D2073" s="153" t="n">
        <x:v>2.32</x:v>
      </x:c>
      <x:c r="E2073" s="153" t="n">
        <x:v>112.7863</x:v>
      </x:c>
      <x:c r="F2073" s="153" t="n">
        <x:v>16.41</x:v>
      </x:c>
      <x:c r="G2073" s="153" t="n">
        <x:v>0.08</x:v>
      </x:c>
    </x:row>
    <x:row r="2074">
      <x:c r="A2074" s="155" t="n">
        <x:v>44442</x:v>
      </x:c>
      <x:c r="B2074" s="153" t="n">
        <x:v>1.33</x:v>
      </x:c>
      <x:c r="C2074" s="153" t="n">
        <x:v>-1.01</x:v>
      </x:c>
      <x:c r="D2074" s="153" t="n">
        <x:v>2.34</x:v>
      </x:c>
      <x:c r="E2074" s="153" t="n">
        <x:v>112.5476</x:v>
      </x:c>
      <x:c r="F2074" s="153" t="n">
        <x:v>16.41</x:v>
      </x:c>
      <x:c r="G2074" s="153" t="n">
        <x:v>0.08</x:v>
      </x:c>
    </x:row>
    <x:row r="2075">
      <x:c r="A2075" s="155" t="n">
        <x:v>44443</x:v>
      </x:c>
      <x:c r="B2075" s="153"/>
      <x:c r="C2075" s="153"/>
      <x:c r="D2075" s="153"/>
      <x:c r="E2075" s="153"/>
      <x:c r="F2075" s="153"/>
      <x:c r="G2075" s="153" t="n">
        <x:v>0.08</x:v>
      </x:c>
    </x:row>
    <x:row r="2076">
      <x:c r="A2076" s="155" t="n">
        <x:v>44444</x:v>
      </x:c>
      <x:c r="B2076" s="153"/>
      <x:c r="C2076" s="153"/>
      <x:c r="D2076" s="153"/>
      <x:c r="E2076" s="153"/>
      <x:c r="F2076" s="153"/>
      <x:c r="G2076" s="153" t="n">
        <x:v>0.08</x:v>
      </x:c>
    </x:row>
    <x:row r="2077">
      <x:c r="A2077" s="155" t="n">
        <x:v>44445</x:v>
      </x:c>
      <x:c r="B2077" s="153"/>
      <x:c r="C2077" s="153"/>
      <x:c r="D2077" s="153"/>
      <x:c r="E2077" s="153"/>
      <x:c r="F2077" s="153"/>
      <x:c r="G2077" s="153" t="n">
        <x:v>0.08</x:v>
      </x:c>
    </x:row>
    <x:row r="2078">
      <x:c r="A2078" s="155" t="n">
        <x:v>44446</x:v>
      </x:c>
      <x:c r="B2078" s="153" t="n">
        <x:v>1.38</x:v>
      </x:c>
      <x:c r="C2078" s="153" t="n">
        <x:v>-0.98</x:v>
      </x:c>
      <x:c r="D2078" s="153" t="n">
        <x:v>2.36</x:v>
      </x:c>
      <x:c r="E2078" s="153" t="n">
        <x:v>112.9795</x:v>
      </x:c>
      <x:c r="F2078" s="153" t="n">
        <x:v>18.14</x:v>
      </x:c>
      <x:c r="G2078" s="153" t="n">
        <x:v>0.08</x:v>
      </x:c>
    </x:row>
    <x:row r="2079">
      <x:c r="A2079" s="155" t="n">
        <x:v>44447</x:v>
      </x:c>
      <x:c r="B2079" s="153" t="n">
        <x:v>1.35</x:v>
      </x:c>
      <x:c r="C2079" s="153" t="n">
        <x:v>-1.03</x:v>
      </x:c>
      <x:c r="D2079" s="153" t="n">
        <x:v>2.38</x:v>
      </x:c>
      <x:c r="E2079" s="153" t="n">
        <x:v>113.2319</x:v>
      </x:c>
      <x:c r="F2079" s="153" t="n">
        <x:v>17.96</x:v>
      </x:c>
      <x:c r="G2079" s="153" t="n">
        <x:v>0.08</x:v>
      </x:c>
    </x:row>
    <x:row r="2080">
      <x:c r="A2080" s="155" t="n">
        <x:v>44448</x:v>
      </x:c>
      <x:c r="B2080" s="153" t="n">
        <x:v>1.3</x:v>
      </x:c>
      <x:c r="C2080" s="153" t="n">
        <x:v>-1.08</x:v>
      </x:c>
      <x:c r="D2080" s="153" t="n">
        <x:v>2.38</x:v>
      </x:c>
      <x:c r="E2080" s="153" t="n">
        <x:v>113.043</x:v>
      </x:c>
      <x:c r="F2080" s="153" t="n">
        <x:v>18.8</x:v>
      </x:c>
      <x:c r="G2080" s="153" t="n">
        <x:v>0.08</x:v>
      </x:c>
    </x:row>
    <x:row r="2081">
      <x:c r="A2081" s="155" t="n">
        <x:v>44449</x:v>
      </x:c>
      <x:c r="B2081" s="153" t="n">
        <x:v>1.35</x:v>
      </x:c>
      <x:c r="C2081" s="153" t="n">
        <x:v>-1.05</x:v>
      </x:c>
      <x:c r="D2081" s="153" t="n">
        <x:v>2.4</x:v>
      </x:c>
      <x:c r="E2081" s="153" t="n">
        <x:v>112.9425</x:v>
      </x:c>
      <x:c r="F2081" s="153" t="n">
        <x:v>20.95</x:v>
      </x:c>
      <x:c r="G2081" s="153" t="n">
        <x:v>0.08</x:v>
      </x:c>
    </x:row>
    <x:row r="2082">
      <x:c r="A2082" s="155" t="n">
        <x:v>44450</x:v>
      </x:c>
      <x:c r="B2082" s="153"/>
      <x:c r="C2082" s="153"/>
      <x:c r="D2082" s="153"/>
      <x:c r="E2082" s="153"/>
      <x:c r="F2082" s="153"/>
      <x:c r="G2082" s="153" t="n">
        <x:v>0.08</x:v>
      </x:c>
    </x:row>
    <x:row r="2083">
      <x:c r="A2083" s="155" t="n">
        <x:v>44451</x:v>
      </x:c>
      <x:c r="B2083" s="153"/>
      <x:c r="C2083" s="153"/>
      <x:c r="D2083" s="153"/>
      <x:c r="E2083" s="153"/>
      <x:c r="F2083" s="153"/>
      <x:c r="G2083" s="153" t="n">
        <x:v>0.08</x:v>
      </x:c>
    </x:row>
    <x:row r="2084">
      <x:c r="A2084" s="155" t="n">
        <x:v>44452</x:v>
      </x:c>
      <x:c r="B2084" s="153" t="n">
        <x:v>1.33</x:v>
      </x:c>
      <x:c r="C2084" s="153" t="n">
        <x:v>-1.04</x:v>
      </x:c>
      <x:c r="D2084" s="153" t="n">
        <x:v>2.37</x:v>
      </x:c>
      <x:c r="E2084" s="153" t="n">
        <x:v>113.0341</x:v>
      </x:c>
      <x:c r="F2084" s="153" t="n">
        <x:v>19.37</x:v>
      </x:c>
      <x:c r="G2084" s="153" t="n">
        <x:v>0.08</x:v>
      </x:c>
    </x:row>
    <x:row r="2085">
      <x:c r="A2085" s="155" t="n">
        <x:v>44453</x:v>
      </x:c>
      <x:c r="B2085" s="153" t="n">
        <x:v>1.28</x:v>
      </x:c>
      <x:c r="C2085" s="153" t="n">
        <x:v>-1.05</x:v>
      </x:c>
      <x:c r="D2085" s="153" t="n">
        <x:v>2.33</x:v>
      </x:c>
      <x:c r="E2085" s="153" t="n">
        <x:v>113.0061</x:v>
      </x:c>
      <x:c r="F2085" s="153" t="n">
        <x:v>19.46</x:v>
      </x:c>
      <x:c r="G2085" s="153" t="n">
        <x:v>0.08</x:v>
      </x:c>
    </x:row>
    <x:row r="2086">
      <x:c r="A2086" s="155" t="n">
        <x:v>44454</x:v>
      </x:c>
      <x:c r="B2086" s="153" t="n">
        <x:v>1.31</x:v>
      </x:c>
      <x:c r="C2086" s="153" t="n">
        <x:v>-1.04</x:v>
      </x:c>
      <x:c r="D2086" s="153" t="n">
        <x:v>2.35</x:v>
      </x:c>
      <x:c r="E2086" s="153" t="n">
        <x:v>112.9773</x:v>
      </x:c>
      <x:c r="F2086" s="153" t="n">
        <x:v>18.18</x:v>
      </x:c>
      <x:c r="G2086" s="153" t="n">
        <x:v>0.08</x:v>
      </x:c>
    </x:row>
    <x:row r="2087">
      <x:c r="A2087" s="155" t="n">
        <x:v>44455</x:v>
      </x:c>
      <x:c r="B2087" s="153" t="n">
        <x:v>1.34</x:v>
      </x:c>
      <x:c r="C2087" s="153" t="n">
        <x:v>-1.01</x:v>
      </x:c>
      <x:c r="D2087" s="153" t="n">
        <x:v>2.35</x:v>
      </x:c>
      <x:c r="E2087" s="153" t="n">
        <x:v>113.3036</x:v>
      </x:c>
      <x:c r="F2087" s="153" t="n">
        <x:v>18.69</x:v>
      </x:c>
      <x:c r="G2087" s="153" t="n">
        <x:v>0.08</x:v>
      </x:c>
    </x:row>
    <x:row r="2088">
      <x:c r="A2088" s="155" t="n">
        <x:v>44456</x:v>
      </x:c>
      <x:c r="B2088" s="153" t="n">
        <x:v>1.37</x:v>
      </x:c>
      <x:c r="C2088" s="153" t="n">
        <x:v>-0.96</x:v>
      </x:c>
      <x:c r="D2088" s="153" t="n">
        <x:v>2.33</x:v>
      </x:c>
      <x:c r="E2088" s="153" t="n">
        <x:v>113.5989</x:v>
      </x:c>
      <x:c r="F2088" s="153" t="n">
        <x:v>20.81</x:v>
      </x:c>
      <x:c r="G2088" s="153" t="n">
        <x:v>0.08</x:v>
      </x:c>
    </x:row>
    <x:row r="2089">
      <x:c r="A2089" s="155" t="n">
        <x:v>44457</x:v>
      </x:c>
      <x:c r="B2089" s="153"/>
      <x:c r="C2089" s="153"/>
      <x:c r="D2089" s="153"/>
      <x:c r="E2089" s="153"/>
      <x:c r="F2089" s="153"/>
      <x:c r="G2089" s="153" t="n">
        <x:v>0.08</x:v>
      </x:c>
    </x:row>
    <x:row r="2090">
      <x:c r="A2090" s="155" t="n">
        <x:v>44458</x:v>
      </x:c>
      <x:c r="B2090" s="153"/>
      <x:c r="C2090" s="153"/>
      <x:c r="D2090" s="153"/>
      <x:c r="E2090" s="153"/>
      <x:c r="F2090" s="153"/>
      <x:c r="G2090" s="153" t="n">
        <x:v>0.08</x:v>
      </x:c>
    </x:row>
    <x:row r="2091">
      <x:c r="A2091" s="155" t="n">
        <x:v>44459</x:v>
      </x:c>
      <x:c r="B2091" s="153" t="n">
        <x:v>1.31</x:v>
      </x:c>
      <x:c r="C2091" s="153" t="n">
        <x:v>-0.98</x:v>
      </x:c>
      <x:c r="D2091" s="153" t="n">
        <x:v>2.29</x:v>
      </x:c>
      <x:c r="E2091" s="153" t="n">
        <x:v>113.9422</x:v>
      </x:c>
      <x:c r="F2091" s="153" t="n">
        <x:v>25.71</x:v>
      </x:c>
      <x:c r="G2091" s="153" t="n">
        <x:v>0.08</x:v>
      </x:c>
    </x:row>
    <x:row r="2092">
      <x:c r="A2092" s="155" t="n">
        <x:v>44460</x:v>
      </x:c>
      <x:c r="B2092" s="153" t="n">
        <x:v>1.33</x:v>
      </x:c>
      <x:c r="C2092" s="153" t="n">
        <x:v>-0.96</x:v>
      </x:c>
      <x:c r="D2092" s="153" t="n">
        <x:v>2.29</x:v>
      </x:c>
      <x:c r="E2092" s="153" t="n">
        <x:v>113.8179</x:v>
      </x:c>
      <x:c r="F2092" s="153" t="n">
        <x:v>24.36</x:v>
      </x:c>
      <x:c r="G2092" s="153" t="n">
        <x:v>0.08</x:v>
      </x:c>
    </x:row>
    <x:row r="2093">
      <x:c r="A2093" s="155" t="n">
        <x:v>44461</x:v>
      </x:c>
      <x:c r="B2093" s="153" t="n">
        <x:v>1.32</x:v>
      </x:c>
      <x:c r="C2093" s="153" t="n">
        <x:v>-0.96</x:v>
      </x:c>
      <x:c r="D2093" s="153" t="n">
        <x:v>2.28</x:v>
      </x:c>
      <x:c r="E2093" s="153" t="n">
        <x:v>113.6223</x:v>
      </x:c>
      <x:c r="F2093" s="153" t="n">
        <x:v>20.87</x:v>
      </x:c>
      <x:c r="G2093" s="153" t="n">
        <x:v>0.08</x:v>
      </x:c>
    </x:row>
    <x:row r="2094">
      <x:c r="A2094" s="155" t="n">
        <x:v>44462</x:v>
      </x:c>
      <x:c r="B2094" s="153" t="n">
        <x:v>1.41</x:v>
      </x:c>
      <x:c r="C2094" s="153" t="n">
        <x:v>-0.9</x:v>
      </x:c>
      <x:c r="D2094" s="153" t="n">
        <x:v>2.31</x:v>
      </x:c>
      <x:c r="E2094" s="153" t="n">
        <x:v>113.513</x:v>
      </x:c>
      <x:c r="F2094" s="153" t="n">
        <x:v>18.63</x:v>
      </x:c>
      <x:c r="G2094" s="153" t="n">
        <x:v>0.08</x:v>
      </x:c>
    </x:row>
    <x:row r="2095">
      <x:c r="A2095" s="155" t="n">
        <x:v>44463</x:v>
      </x:c>
      <x:c r="B2095" s="153" t="n">
        <x:v>1.47</x:v>
      </x:c>
      <x:c r="C2095" s="153" t="n">
        <x:v>-0.87</x:v>
      </x:c>
      <x:c r="D2095" s="153" t="n">
        <x:v>2.34</x:v>
      </x:c>
      <x:c r="E2095" s="153" t="n">
        <x:v>113.7597</x:v>
      </x:c>
      <x:c r="F2095" s="153" t="n">
        <x:v>17.75</x:v>
      </x:c>
      <x:c r="G2095" s="153" t="n">
        <x:v>0.08</x:v>
      </x:c>
    </x:row>
    <x:row r="2096">
      <x:c r="A2096" s="155" t="n">
        <x:v>44464</x:v>
      </x:c>
      <x:c r="B2096" s="153"/>
      <x:c r="C2096" s="153"/>
      <x:c r="D2096" s="153"/>
      <x:c r="E2096" s="153"/>
      <x:c r="F2096" s="153"/>
      <x:c r="G2096" s="153" t="n">
        <x:v>0.08</x:v>
      </x:c>
    </x:row>
    <x:row r="2097">
      <x:c r="A2097" s="155" t="n">
        <x:v>44465</x:v>
      </x:c>
      <x:c r="B2097" s="153"/>
      <x:c r="C2097" s="153"/>
      <x:c r="D2097" s="153"/>
      <x:c r="E2097" s="153"/>
      <x:c r="F2097" s="153"/>
      <x:c r="G2097" s="153" t="n">
        <x:v>0.08</x:v>
      </x:c>
    </x:row>
    <x:row r="2098">
      <x:c r="A2098" s="155" t="n">
        <x:v>44466</x:v>
      </x:c>
      <x:c r="B2098" s="153" t="n">
        <x:v>1.48</x:v>
      </x:c>
      <x:c r="C2098" s="153" t="n">
        <x:v>-0.87</x:v>
      </x:c>
      <x:c r="D2098" s="153" t="n">
        <x:v>2.35</x:v>
      </x:c>
      <x:c r="E2098" s="153" t="n">
        <x:v>113.7432</x:v>
      </x:c>
      <x:c r="F2098" s="153" t="n">
        <x:v>18.76</x:v>
      </x:c>
      <x:c r="G2098" s="153" t="n">
        <x:v>0.08</x:v>
      </x:c>
    </x:row>
    <x:row r="2099">
      <x:c r="A2099" s="155" t="n">
        <x:v>44467</x:v>
      </x:c>
      <x:c r="B2099" s="153" t="n">
        <x:v>1.54</x:v>
      </x:c>
      <x:c r="C2099" s="153" t="n">
        <x:v>-0.84</x:v>
      </x:c>
      <x:c r="D2099" s="153" t="n">
        <x:v>2.38</x:v>
      </x:c>
      <x:c r="E2099" s="153" t="n">
        <x:v>114.2469</x:v>
      </x:c>
      <x:c r="F2099" s="153" t="n">
        <x:v>23.25</x:v>
      </x:c>
      <x:c r="G2099" s="153" t="n">
        <x:v>0.08</x:v>
      </x:c>
    </x:row>
    <x:row r="2100">
      <x:c r="A2100" s="155" t="n">
        <x:v>44468</x:v>
      </x:c>
      <x:c r="B2100" s="153" t="n">
        <x:v>1.55</x:v>
      </x:c>
      <x:c r="C2100" s="153" t="n">
        <x:v>-0.82</x:v>
      </x:c>
      <x:c r="D2100" s="153" t="n">
        <x:v>2.37</x:v>
      </x:c>
      <x:c r="E2100" s="153" t="n">
        <x:v>114.7092</x:v>
      </x:c>
      <x:c r="F2100" s="153" t="n">
        <x:v>22.56</x:v>
      </x:c>
      <x:c r="G2100" s="153" t="n">
        <x:v>0.08</x:v>
      </x:c>
    </x:row>
    <x:row r="2101">
      <x:c r="A2101" s="155" t="n">
        <x:v>44469</x:v>
      </x:c>
      <x:c r="B2101" s="153" t="n">
        <x:v>1.52</x:v>
      </x:c>
      <x:c r="C2101" s="153" t="n">
        <x:v>-0.85</x:v>
      </x:c>
      <x:c r="D2101" s="153" t="n">
        <x:v>2.37</x:v>
      </x:c>
      <x:c r="E2101" s="153" t="n">
        <x:v>114.6403</x:v>
      </x:c>
      <x:c r="F2101" s="153" t="n">
        <x:v>23.14</x:v>
      </x:c>
      <x:c r="G2101" s="153" t="n">
        <x:v>0.06</x:v>
      </x:c>
    </x:row>
    <x:row r="2102">
      <x:c r="A2102" s="155" t="n">
        <x:v>44470</x:v>
      </x:c>
      <x:c r="B2102" s="153" t="n">
        <x:v>1.48</x:v>
      </x:c>
      <x:c r="C2102" s="153" t="n">
        <x:v>-0.9</x:v>
      </x:c>
      <x:c r="D2102" s="153" t="n">
        <x:v>2.38</x:v>
      </x:c>
      <x:c r="E2102" s="153" t="n">
        <x:v>114.3798</x:v>
      </x:c>
      <x:c r="F2102" s="153" t="n">
        <x:v>21.15</x:v>
      </x:c>
      <x:c r="G2102" s="153" t="n">
        <x:v>0.08</x:v>
      </x:c>
    </x:row>
    <x:row r="2103">
      <x:c r="A2103" s="155" t="n">
        <x:v>44471</x:v>
      </x:c>
      <x:c r="B2103" s="153"/>
      <x:c r="C2103" s="153"/>
      <x:c r="D2103" s="153"/>
      <x:c r="E2103" s="153"/>
      <x:c r="F2103" s="153"/>
      <x:c r="G2103" s="153" t="n">
        <x:v>0.08</x:v>
      </x:c>
    </x:row>
    <x:row r="2104">
      <x:c r="A2104" s="155" t="n">
        <x:v>44472</x:v>
      </x:c>
      <x:c r="B2104" s="153"/>
      <x:c r="C2104" s="153"/>
      <x:c r="D2104" s="153"/>
      <x:c r="E2104" s="153"/>
      <x:c r="F2104" s="153"/>
      <x:c r="G2104" s="153" t="n">
        <x:v>0.08</x:v>
      </x:c>
    </x:row>
    <x:row r="2105">
      <x:c r="A2105" s="155" t="n">
        <x:v>44473</x:v>
      </x:c>
      <x:c r="B2105" s="153" t="n">
        <x:v>1.49</x:v>
      </x:c>
      <x:c r="C2105" s="153" t="n">
        <x:v>-0.89</x:v>
      </x:c>
      <x:c r="D2105" s="153" t="n">
        <x:v>2.38</x:v>
      </x:c>
      <x:c r="E2105" s="153" t="n">
        <x:v>114.2739</x:v>
      </x:c>
      <x:c r="F2105" s="153" t="n">
        <x:v>22.96</x:v>
      </x:c>
      <x:c r="G2105" s="153" t="n">
        <x:v>0.08</x:v>
      </x:c>
    </x:row>
    <x:row r="2106">
      <x:c r="A2106" s="155" t="n">
        <x:v>44474</x:v>
      </x:c>
      <x:c r="B2106" s="153" t="n">
        <x:v>1.54</x:v>
      </x:c>
      <x:c r="C2106" s="153" t="n">
        <x:v>-0.91</x:v>
      </x:c>
      <x:c r="D2106" s="153" t="n">
        <x:v>2.45</x:v>
      </x:c>
      <x:c r="E2106" s="153" t="n">
        <x:v>114.3654</x:v>
      </x:c>
      <x:c r="F2106" s="153" t="n">
        <x:v>21.3</x:v>
      </x:c>
      <x:c r="G2106" s="153" t="n">
        <x:v>0.08</x:v>
      </x:c>
    </x:row>
    <x:row r="2107">
      <x:c r="A2107" s="155" t="n">
        <x:v>44475</x:v>
      </x:c>
      <x:c r="B2107" s="153" t="n">
        <x:v>1.53</x:v>
      </x:c>
      <x:c r="C2107" s="153" t="n">
        <x:v>-0.9</x:v>
      </x:c>
      <x:c r="D2107" s="153" t="n">
        <x:v>2.43</x:v>
      </x:c>
      <x:c r="E2107" s="153" t="n">
        <x:v>114.7185</x:v>
      </x:c>
      <x:c r="F2107" s="153" t="n">
        <x:v>21</x:v>
      </x:c>
      <x:c r="G2107" s="153" t="n">
        <x:v>0.08</x:v>
      </x:c>
    </x:row>
    <x:row r="2108">
      <x:c r="A2108" s="155" t="n">
        <x:v>44476</x:v>
      </x:c>
      <x:c r="B2108" s="153" t="n">
        <x:v>1.58</x:v>
      </x:c>
      <x:c r="C2108" s="153" t="n">
        <x:v>-0.88</x:v>
      </x:c>
      <x:c r="D2108" s="153" t="n">
        <x:v>2.46</x:v>
      </x:c>
      <x:c r="E2108" s="153" t="n">
        <x:v>114.5044</x:v>
      </x:c>
      <x:c r="F2108" s="153" t="n">
        <x:v>19.54</x:v>
      </x:c>
      <x:c r="G2108" s="153" t="n">
        <x:v>0.08</x:v>
      </x:c>
    </x:row>
    <x:row r="2109">
      <x:c r="A2109" s="155" t="n">
        <x:v>44477</x:v>
      </x:c>
      <x:c r="B2109" s="153" t="n">
        <x:v>1.61</x:v>
      </x:c>
      <x:c r="C2109" s="153" t="n">
        <x:v>-0.89</x:v>
      </x:c>
      <x:c r="D2109" s="153" t="n">
        <x:v>2.5</x:v>
      </x:c>
      <x:c r="E2109" s="153" t="n">
        <x:v>114.5986</x:v>
      </x:c>
      <x:c r="F2109" s="153" t="n">
        <x:v>18.77</x:v>
      </x:c>
      <x:c r="G2109" s="153" t="n">
        <x:v>0.08</x:v>
      </x:c>
    </x:row>
    <x:row r="2110">
      <x:c r="A2110" s="155" t="n">
        <x:v>44478</x:v>
      </x:c>
      <x:c r="B2110" s="153"/>
      <x:c r="C2110" s="153"/>
      <x:c r="D2110" s="153"/>
      <x:c r="E2110" s="153"/>
      <x:c r="F2110" s="153"/>
      <x:c r="G2110" s="153" t="n">
        <x:v>0.08</x:v>
      </x:c>
    </x:row>
    <x:row r="2111">
      <x:c r="A2111" s="155" t="n">
        <x:v>44479</x:v>
      </x:c>
      <x:c r="B2111" s="153"/>
      <x:c r="C2111" s="153"/>
      <x:c r="D2111" s="153"/>
      <x:c r="E2111" s="153"/>
      <x:c r="F2111" s="153"/>
      <x:c r="G2111" s="153" t="n">
        <x:v>0.08</x:v>
      </x:c>
    </x:row>
    <x:row r="2112">
      <x:c r="A2112" s="155" t="n">
        <x:v>44480</x:v>
      </x:c>
      <x:c r="B2112" s="153"/>
      <x:c r="C2112" s="153"/>
      <x:c r="D2112" s="153"/>
      <x:c r="E2112" s="153"/>
      <x:c r="F2112" s="153" t="n">
        <x:v>20</x:v>
      </x:c>
      <x:c r="G2112" s="153" t="n">
        <x:v>0.08</x:v>
      </x:c>
    </x:row>
    <x:row r="2113">
      <x:c r="A2113" s="155" t="n">
        <x:v>44481</x:v>
      </x:c>
      <x:c r="B2113" s="153" t="n">
        <x:v>1.59</x:v>
      </x:c>
      <x:c r="C2113" s="153" t="n">
        <x:v>-0.9</x:v>
      </x:c>
      <x:c r="D2113" s="153" t="n">
        <x:v>2.49</x:v>
      </x:c>
      <x:c r="E2113" s="153" t="n">
        <x:v>114.7542</x:v>
      </x:c>
      <x:c r="F2113" s="153" t="n">
        <x:v>19.85</x:v>
      </x:c>
      <x:c r="G2113" s="153" t="n">
        <x:v>0.08</x:v>
      </x:c>
    </x:row>
    <x:row r="2114">
      <x:c r="A2114" s="155" t="n">
        <x:v>44482</x:v>
      </x:c>
      <x:c r="B2114" s="153" t="n">
        <x:v>1.56</x:v>
      </x:c>
      <x:c r="C2114" s="153" t="n">
        <x:v>-0.96</x:v>
      </x:c>
      <x:c r="D2114" s="153" t="n">
        <x:v>2.52</x:v>
      </x:c>
      <x:c r="E2114" s="153" t="n">
        <x:v>114.4705</x:v>
      </x:c>
      <x:c r="F2114" s="153" t="n">
        <x:v>18.64</x:v>
      </x:c>
      <x:c r="G2114" s="153" t="n">
        <x:v>0.08</x:v>
      </x:c>
    </x:row>
    <x:row r="2115">
      <x:c r="A2115" s="155" t="n">
        <x:v>44483</x:v>
      </x:c>
      <x:c r="B2115" s="153" t="n">
        <x:v>1.52</x:v>
      </x:c>
      <x:c r="C2115" s="153" t="n">
        <x:v>-1</x:v>
      </x:c>
      <x:c r="D2115" s="153" t="n">
        <x:v>2.52</x:v>
      </x:c>
      <x:c r="E2115" s="153" t="n">
        <x:v>114.2053</x:v>
      </x:c>
      <x:c r="F2115" s="153" t="n">
        <x:v>16.86</x:v>
      </x:c>
      <x:c r="G2115" s="153" t="n">
        <x:v>0.08</x:v>
      </x:c>
    </x:row>
    <x:row r="2116">
      <x:c r="A2116" s="155" t="n">
        <x:v>44484</x:v>
      </x:c>
      <x:c r="B2116" s="153" t="n">
        <x:v>1.59</x:v>
      </x:c>
      <x:c r="C2116" s="153" t="n">
        <x:v>-0.97</x:v>
      </x:c>
      <x:c r="D2116" s="153" t="n">
        <x:v>2.56</x:v>
      </x:c>
      <x:c r="E2116" s="153" t="n">
        <x:v>114.0905</x:v>
      </x:c>
      <x:c r="F2116" s="153" t="n">
        <x:v>16.3</x:v>
      </x:c>
      <x:c r="G2116" s="153" t="n">
        <x:v>0.08</x:v>
      </x:c>
    </x:row>
    <x:row r="2117">
      <x:c r="A2117" s="155" t="n">
        <x:v>44485</x:v>
      </x:c>
      <x:c r="B2117" s="153"/>
      <x:c r="C2117" s="153"/>
      <x:c r="D2117" s="153"/>
      <x:c r="E2117" s="153"/>
      <x:c r="F2117" s="153"/>
      <x:c r="G2117" s="153" t="n">
        <x:v>0.08</x:v>
      </x:c>
    </x:row>
    <x:row r="2118">
      <x:c r="A2118" s="155" t="n">
        <x:v>44486</x:v>
      </x:c>
      <x:c r="B2118" s="153"/>
      <x:c r="C2118" s="153"/>
      <x:c r="D2118" s="153"/>
      <x:c r="E2118" s="153"/>
      <x:c r="F2118" s="153"/>
      <x:c r="G2118" s="153" t="n">
        <x:v>0.08</x:v>
      </x:c>
    </x:row>
    <x:row r="2119">
      <x:c r="A2119" s="155" t="n">
        <x:v>44487</x:v>
      </x:c>
      <x:c r="B2119" s="153" t="n">
        <x:v>1.59</x:v>
      </x:c>
      <x:c r="C2119" s="153" t="n">
        <x:v>-0.95</x:v>
      </x:c>
      <x:c r="D2119" s="153" t="n">
        <x:v>2.54</x:v>
      </x:c>
      <x:c r="E2119" s="153" t="n">
        <x:v>113.9899</x:v>
      </x:c>
      <x:c r="F2119" s="153" t="n">
        <x:v>16.31</x:v>
      </x:c>
      <x:c r="G2119" s="153" t="n">
        <x:v>0.08</x:v>
      </x:c>
    </x:row>
    <x:row r="2120">
      <x:c r="A2120" s="155" t="n">
        <x:v>44488</x:v>
      </x:c>
      <x:c r="B2120" s="153" t="n">
        <x:v>1.65</x:v>
      </x:c>
      <x:c r="C2120" s="153" t="n">
        <x:v>-0.89</x:v>
      </x:c>
      <x:c r="D2120" s="153" t="n">
        <x:v>2.54</x:v>
      </x:c>
      <x:c r="E2120" s="153" t="n">
        <x:v>113.647</x:v>
      </x:c>
      <x:c r="F2120" s="153" t="n">
        <x:v>15.7</x:v>
      </x:c>
      <x:c r="G2120" s="153" t="n">
        <x:v>0.08</x:v>
      </x:c>
    </x:row>
    <x:row r="2121">
      <x:c r="A2121" s="155" t="n">
        <x:v>44489</x:v>
      </x:c>
      <x:c r="B2121" s="153" t="n">
        <x:v>1.65</x:v>
      </x:c>
      <x:c r="C2121" s="153" t="n">
        <x:v>-0.92</x:v>
      </x:c>
      <x:c r="D2121" s="153" t="n">
        <x:v>2.57</x:v>
      </x:c>
      <x:c r="E2121" s="153" t="n">
        <x:v>113.5083</x:v>
      </x:c>
      <x:c r="F2121" s="153" t="n">
        <x:v>15.49</x:v>
      </x:c>
      <x:c r="G2121" s="153" t="n">
        <x:v>0.08</x:v>
      </x:c>
    </x:row>
    <x:row r="2122">
      <x:c r="A2122" s="155" t="n">
        <x:v>44490</x:v>
      </x:c>
      <x:c r="B2122" s="153" t="n">
        <x:v>1.68</x:v>
      </x:c>
      <x:c r="C2122" s="153" t="n">
        <x:v>-0.96</x:v>
      </x:c>
      <x:c r="D2122" s="153" t="n">
        <x:v>2.64</x:v>
      </x:c>
      <x:c r="E2122" s="153" t="n">
        <x:v>113.6188</x:v>
      </x:c>
      <x:c r="F2122" s="153" t="n">
        <x:v>15.01</x:v>
      </x:c>
      <x:c r="G2122" s="153" t="n">
        <x:v>0.08</x:v>
      </x:c>
    </x:row>
    <x:row r="2123">
      <x:c r="A2123" s="155" t="n">
        <x:v>44491</x:v>
      </x:c>
      <x:c r="B2123" s="153" t="n">
        <x:v>1.66</x:v>
      </x:c>
      <x:c r="C2123" s="153" t="n">
        <x:v>-0.98</x:v>
      </x:c>
      <x:c r="D2123" s="153" t="n">
        <x:v>2.64</x:v>
      </x:c>
      <x:c r="E2123" s="153" t="n">
        <x:v>113.67</x:v>
      </x:c>
      <x:c r="F2123" s="153" t="n">
        <x:v>15.43</x:v>
      </x:c>
      <x:c r="G2123" s="153" t="n">
        <x:v>0.08</x:v>
      </x:c>
    </x:row>
    <x:row r="2124">
      <x:c r="A2124" s="155" t="n">
        <x:v>44492</x:v>
      </x:c>
      <x:c r="B2124" s="153"/>
      <x:c r="C2124" s="153"/>
      <x:c r="D2124" s="153"/>
      <x:c r="E2124" s="153"/>
      <x:c r="F2124" s="153"/>
      <x:c r="G2124" s="153" t="n">
        <x:v>0.08</x:v>
      </x:c>
    </x:row>
    <x:row r="2125">
      <x:c r="A2125" s="155" t="n">
        <x:v>44493</x:v>
      </x:c>
      <x:c r="B2125" s="153"/>
      <x:c r="C2125" s="153"/>
      <x:c r="D2125" s="153"/>
      <x:c r="E2125" s="153"/>
      <x:c r="F2125" s="153"/>
      <x:c r="G2125" s="153" t="n">
        <x:v>0.08</x:v>
      </x:c>
    </x:row>
    <x:row r="2126">
      <x:c r="A2126" s="155" t="n">
        <x:v>44494</x:v>
      </x:c>
      <x:c r="B2126" s="153" t="n">
        <x:v>1.64</x:v>
      </x:c>
      <x:c r="C2126" s="153" t="n">
        <x:v>-1.02</x:v>
      </x:c>
      <x:c r="D2126" s="153" t="n">
        <x:v>2.66</x:v>
      </x:c>
      <x:c r="E2126" s="153" t="n">
        <x:v>113.605</x:v>
      </x:c>
      <x:c r="F2126" s="153" t="n">
        <x:v>15.24</x:v>
      </x:c>
      <x:c r="G2126" s="153" t="n">
        <x:v>0.08</x:v>
      </x:c>
    </x:row>
    <x:row r="2127">
      <x:c r="A2127" s="155" t="n">
        <x:v>44495</x:v>
      </x:c>
      <x:c r="B2127" s="153" t="n">
        <x:v>1.63</x:v>
      </x:c>
      <x:c r="C2127" s="153" t="n">
        <x:v>-1.06</x:v>
      </x:c>
      <x:c r="D2127" s="153" t="n">
        <x:v>2.69</x:v>
      </x:c>
      <x:c r="E2127" s="153" t="n">
        <x:v>113.674</x:v>
      </x:c>
      <x:c r="F2127" s="153" t="n">
        <x:v>15.98</x:v>
      </x:c>
      <x:c r="G2127" s="153" t="n">
        <x:v>0.08</x:v>
      </x:c>
    </x:row>
    <x:row r="2128">
      <x:c r="A2128" s="155" t="n">
        <x:v>44496</x:v>
      </x:c>
      <x:c r="B2128" s="153" t="n">
        <x:v>1.54</x:v>
      </x:c>
      <x:c r="C2128" s="153" t="n">
        <x:v>-1.11</x:v>
      </x:c>
      <x:c r="D2128" s="153" t="n">
        <x:v>2.65</x:v>
      </x:c>
      <x:c r="E2128" s="153" t="n">
        <x:v>113.6218</x:v>
      </x:c>
      <x:c r="F2128" s="153" t="n">
        <x:v>16.98</x:v>
      </x:c>
      <x:c r="G2128" s="153" t="n">
        <x:v>0.08</x:v>
      </x:c>
    </x:row>
    <x:row r="2129">
      <x:c r="A2129" s="155" t="n">
        <x:v>44497</x:v>
      </x:c>
      <x:c r="B2129" s="153" t="n">
        <x:v>1.57</x:v>
      </x:c>
      <x:c r="C2129" s="153" t="n">
        <x:v>-1</x:v>
      </x:c>
      <x:c r="D2129" s="153" t="n">
        <x:v>2.57</x:v>
      </x:c>
      <x:c r="E2129" s="153" t="n">
        <x:v>113.4389</x:v>
      </x:c>
      <x:c r="F2129" s="153" t="n">
        <x:v>16.53</x:v>
      </x:c>
      <x:c r="G2129" s="153" t="n">
        <x:v>0.08</x:v>
      </x:c>
    </x:row>
    <x:row r="2130">
      <x:c r="A2130" s="155" t="n">
        <x:v>44498</x:v>
      </x:c>
      <x:c r="B2130" s="153" t="n">
        <x:v>1.55</x:v>
      </x:c>
      <x:c r="C2130" s="153" t="n">
        <x:v>-0.96</x:v>
      </x:c>
      <x:c r="D2130" s="153" t="n">
        <x:v>2.51</x:v>
      </x:c>
      <x:c r="E2130" s="153" t="n">
        <x:v>114.1349</x:v>
      </x:c>
      <x:c r="F2130" s="153" t="n">
        <x:v>16.26</x:v>
      </x:c>
      <x:c r="G2130" s="153" t="n">
        <x:v>0.07</x:v>
      </x:c>
    </x:row>
    <x:row r="2131">
      <x:c r="A2131" s="155" t="n">
        <x:v>44499</x:v>
      </x:c>
      <x:c r="B2131" s="153"/>
      <x:c r="C2131" s="153"/>
      <x:c r="D2131" s="153"/>
      <x:c r="E2131" s="153"/>
      <x:c r="F2131" s="153"/>
      <x:c r="G2131" s="153" t="n">
        <x:v>0.07</x:v>
      </x:c>
    </x:row>
    <x:row r="2132">
      <x:c r="A2132" s="155" t="n">
        <x:v>44500</x:v>
      </x:c>
      <x:c r="B2132" s="153"/>
      <x:c r="C2132" s="153"/>
      <x:c r="D2132" s="153"/>
      <x:c r="E2132" s="153"/>
      <x:c r="F2132" s="153"/>
      <x:c r="G2132" s="153" t="n">
        <x:v>0.07</x:v>
      </x:c>
    </x:row>
    <x:row r="2133">
      <x:c r="A2133" s="155" t="n">
        <x:v>44501</x:v>
      </x:c>
      <x:c r="B2133" s="153" t="n">
        <x:v>1.58</x:v>
      </x:c>
      <x:c r="C2133" s="153" t="n">
        <x:v>-0.92</x:v>
      </x:c>
      <x:c r="D2133" s="153" t="n">
        <x:v>2.5</x:v>
      </x:c>
      <x:c r="E2133" s="153" t="n">
        <x:v>114.2067</x:v>
      </x:c>
      <x:c r="F2133" s="153" t="n">
        <x:v>16.41</x:v>
      </x:c>
      <x:c r="G2133" s="153" t="n">
        <x:v>0.08</x:v>
      </x:c>
    </x:row>
    <x:row r="2134">
      <x:c r="A2134" s="155" t="n">
        <x:v>44502</x:v>
      </x:c>
      <x:c r="B2134" s="153" t="n">
        <x:v>1.56</x:v>
      </x:c>
      <x:c r="C2134" s="153" t="n">
        <x:v>-0.95</x:v>
      </x:c>
      <x:c r="D2134" s="153" t="n">
        <x:v>2.51</x:v>
      </x:c>
      <x:c r="E2134" s="153" t="n">
        <x:v>114.2847</x:v>
      </x:c>
      <x:c r="F2134" s="153" t="n">
        <x:v>16.03</x:v>
      </x:c>
      <x:c r="G2134" s="153" t="n">
        <x:v>0.08</x:v>
      </x:c>
    </x:row>
    <x:row r="2135">
      <x:c r="A2135" s="155" t="n">
        <x:v>44503</x:v>
      </x:c>
      <x:c r="B2135" s="153" t="n">
        <x:v>1.6</x:v>
      </x:c>
      <x:c r="C2135" s="153" t="n">
        <x:v>-0.93</x:v>
      </x:c>
      <x:c r="D2135" s="153" t="n">
        <x:v>2.53</x:v>
      </x:c>
      <x:c r="E2135" s="153" t="n">
        <x:v>114.3593</x:v>
      </x:c>
      <x:c r="F2135" s="153" t="n">
        <x:v>15.1</x:v>
      </x:c>
      <x:c r="G2135" s="153" t="n">
        <x:v>0.08</x:v>
      </x:c>
    </x:row>
    <x:row r="2136">
      <x:c r="A2136" s="155" t="n">
        <x:v>44504</x:v>
      </x:c>
      <x:c r="B2136" s="153" t="n">
        <x:v>1.53</x:v>
      </x:c>
      <x:c r="C2136" s="153" t="n">
        <x:v>-1.03</x:v>
      </x:c>
      <x:c r="D2136" s="153" t="n">
        <x:v>2.56</x:v>
      </x:c>
      <x:c r="E2136" s="153" t="n">
        <x:v>114.3558</x:v>
      </x:c>
      <x:c r="F2136" s="153" t="n">
        <x:v>15.44</x:v>
      </x:c>
      <x:c r="G2136" s="153" t="n">
        <x:v>0.08</x:v>
      </x:c>
    </x:row>
    <x:row r="2137">
      <x:c r="A2137" s="155" t="n">
        <x:v>44505</x:v>
      </x:c>
      <x:c r="B2137" s="153" t="n">
        <x:v>1.45</x:v>
      </x:c>
      <x:c r="C2137" s="153" t="n">
        <x:v>-1.09</x:v>
      </x:c>
      <x:c r="D2137" s="153" t="n">
        <x:v>2.54</x:v>
      </x:c>
      <x:c r="E2137" s="153" t="n">
        <x:v>114.0732</x:v>
      </x:c>
      <x:c r="F2137" s="153" t="n">
        <x:v>16.48</x:v>
      </x:c>
      <x:c r="G2137" s="153" t="n">
        <x:v>0.08</x:v>
      </x:c>
    </x:row>
    <x:row r="2138">
      <x:c r="A2138" s="155" t="n">
        <x:v>44506</x:v>
      </x:c>
      <x:c r="B2138" s="153"/>
      <x:c r="C2138" s="153"/>
      <x:c r="D2138" s="153"/>
      <x:c r="E2138" s="153"/>
      <x:c r="F2138" s="153"/>
      <x:c r="G2138" s="153" t="n">
        <x:v>0.08</x:v>
      </x:c>
    </x:row>
    <x:row r="2139">
      <x:c r="A2139" s="155" t="n">
        <x:v>44507</x:v>
      </x:c>
      <x:c r="B2139" s="153"/>
      <x:c r="C2139" s="153"/>
      <x:c r="D2139" s="153"/>
      <x:c r="E2139" s="153"/>
      <x:c r="F2139" s="153"/>
      <x:c r="G2139" s="153" t="n">
        <x:v>0.08</x:v>
      </x:c>
    </x:row>
    <x:row r="2140">
      <x:c r="A2140" s="155" t="n">
        <x:v>44508</x:v>
      </x:c>
      <x:c r="B2140" s="153" t="n">
        <x:v>1.51</x:v>
      </x:c>
      <x:c r="C2140" s="153" t="n">
        <x:v>-1.11</x:v>
      </x:c>
      <x:c r="D2140" s="153" t="n">
        <x:v>2.62</x:v>
      </x:c>
      <x:c r="E2140" s="153" t="n">
        <x:v>113.8256</x:v>
      </x:c>
      <x:c r="F2140" s="153" t="n">
        <x:v>17.22</x:v>
      </x:c>
      <x:c r="G2140" s="153" t="n">
        <x:v>0.08</x:v>
      </x:c>
    </x:row>
    <x:row r="2141">
      <x:c r="A2141" s="155" t="n">
        <x:v>44509</x:v>
      </x:c>
      <x:c r="B2141" s="153" t="n">
        <x:v>1.46</x:v>
      </x:c>
      <x:c r="C2141" s="153" t="n">
        <x:v>-1.17</x:v>
      </x:c>
      <x:c r="D2141" s="153" t="n">
        <x:v>2.63</x:v>
      </x:c>
      <x:c r="E2141" s="153" t="n">
        <x:v>113.762</x:v>
      </x:c>
      <x:c r="F2141" s="153" t="n">
        <x:v>17.78</x:v>
      </x:c>
      <x:c r="G2141" s="153" t="n">
        <x:v>0.08</x:v>
      </x:c>
    </x:row>
    <x:row r="2142">
      <x:c r="A2142" s="155" t="n">
        <x:v>44510</x:v>
      </x:c>
      <x:c r="B2142" s="153" t="n">
        <x:v>1.56</x:v>
      </x:c>
      <x:c r="C2142" s="153" t="n">
        <x:v>-1.14</x:v>
      </x:c>
      <x:c r="D2142" s="153" t="n">
        <x:v>2.7</x:v>
      </x:c>
      <x:c r="E2142" s="153" t="n">
        <x:v>114.1484</x:v>
      </x:c>
      <x:c r="F2142" s="153" t="n">
        <x:v>18.73</x:v>
      </x:c>
      <x:c r="G2142" s="153" t="n">
        <x:v>0.08</x:v>
      </x:c>
    </x:row>
    <x:row r="2143">
      <x:c r="A2143" s="155" t="n">
        <x:v>44511</x:v>
      </x:c>
      <x:c r="B2143" s="153"/>
      <x:c r="C2143" s="153"/>
      <x:c r="D2143" s="153"/>
      <x:c r="E2143" s="153"/>
      <x:c r="F2143" s="153" t="n">
        <x:v>17.66</x:v>
      </x:c>
      <x:c r="G2143" s="153" t="n">
        <x:v>0.08</x:v>
      </x:c>
    </x:row>
    <x:row r="2144">
      <x:c r="A2144" s="155" t="n">
        <x:v>44512</x:v>
      </x:c>
      <x:c r="B2144" s="153" t="n">
        <x:v>1.58</x:v>
      </x:c>
      <x:c r="C2144" s="153" t="n">
        <x:v>-1.15</x:v>
      </x:c>
      <x:c r="D2144" s="153" t="n">
        <x:v>2.73</x:v>
      </x:c>
      <x:c r="E2144" s="153" t="n">
        <x:v>114.5144</x:v>
      </x:c>
      <x:c r="F2144" s="153" t="n">
        <x:v>16.29</x:v>
      </x:c>
      <x:c r="G2144" s="153" t="n">
        <x:v>0.08</x:v>
      </x:c>
    </x:row>
    <x:row r="2145">
      <x:c r="A2145" s="155" t="n">
        <x:v>44513</x:v>
      </x:c>
      <x:c r="B2145" s="153"/>
      <x:c r="C2145" s="153"/>
      <x:c r="D2145" s="153"/>
      <x:c r="E2145" s="153"/>
      <x:c r="F2145" s="153"/>
      <x:c r="G2145" s="153" t="n">
        <x:v>0.08</x:v>
      </x:c>
    </x:row>
    <x:row r="2146">
      <x:c r="A2146" s="155" t="n">
        <x:v>44514</x:v>
      </x:c>
      <x:c r="B2146" s="153"/>
      <x:c r="C2146" s="153"/>
      <x:c r="D2146" s="153"/>
      <x:c r="E2146" s="153"/>
      <x:c r="F2146" s="153"/>
      <x:c r="G2146" s="153" t="n">
        <x:v>0.08</x:v>
      </x:c>
    </x:row>
    <x:row r="2147">
      <x:c r="A2147" s="155" t="n">
        <x:v>44515</x:v>
      </x:c>
      <x:c r="B2147" s="153" t="n">
        <x:v>1.63</x:v>
      </x:c>
      <x:c r="C2147" s="153" t="n">
        <x:v>-1.13</x:v>
      </x:c>
      <x:c r="D2147" s="153" t="n">
        <x:v>2.76</x:v>
      </x:c>
      <x:c r="E2147" s="153" t="n">
        <x:v>114.5876</x:v>
      </x:c>
      <x:c r="F2147" s="153" t="n">
        <x:v>16.49</x:v>
      </x:c>
      <x:c r="G2147" s="153" t="n">
        <x:v>0.08</x:v>
      </x:c>
    </x:row>
    <x:row r="2148">
      <x:c r="A2148" s="155" t="n">
        <x:v>44516</x:v>
      </x:c>
      <x:c r="B2148" s="153" t="n">
        <x:v>1.63</x:v>
      </x:c>
      <x:c r="C2148" s="153" t="n">
        <x:v>-1.1</x:v>
      </x:c>
      <x:c r="D2148" s="153" t="n">
        <x:v>2.73</x:v>
      </x:c>
      <x:c r="E2148" s="153" t="n">
        <x:v>115.136</x:v>
      </x:c>
      <x:c r="F2148" s="153" t="n">
        <x:v>16.37</x:v>
      </x:c>
      <x:c r="G2148" s="153" t="n">
        <x:v>0.08</x:v>
      </x:c>
    </x:row>
    <x:row r="2149">
      <x:c r="A2149" s="155" t="n">
        <x:v>44517</x:v>
      </x:c>
      <x:c r="B2149" s="153" t="n">
        <x:v>1.6</x:v>
      </x:c>
      <x:c r="C2149" s="153" t="n">
        <x:v>-1.1</x:v>
      </x:c>
      <x:c r="D2149" s="153" t="n">
        <x:v>2.7</x:v>
      </x:c>
      <x:c r="E2149" s="153" t="n">
        <x:v>115.0263</x:v>
      </x:c>
      <x:c r="F2149" s="153" t="n">
        <x:v>17.11</x:v>
      </x:c>
      <x:c r="G2149" s="153" t="n">
        <x:v>0.08</x:v>
      </x:c>
    </x:row>
    <x:row r="2150">
      <x:c r="A2150" s="155" t="n">
        <x:v>44518</x:v>
      </x:c>
      <x:c r="B2150" s="153" t="n">
        <x:v>1.59</x:v>
      </x:c>
      <x:c r="C2150" s="153" t="n">
        <x:v>-1.14</x:v>
      </x:c>
      <x:c r="D2150" s="153" t="n">
        <x:v>2.73</x:v>
      </x:c>
      <x:c r="E2150" s="153" t="n">
        <x:v>115.0678</x:v>
      </x:c>
      <x:c r="F2150" s="153" t="n">
        <x:v>17.59</x:v>
      </x:c>
      <x:c r="G2150" s="153" t="n">
        <x:v>0.08</x:v>
      </x:c>
    </x:row>
    <x:row r="2151">
      <x:c r="A2151" s="155" t="n">
        <x:v>44519</x:v>
      </x:c>
      <x:c r="B2151" s="153" t="n">
        <x:v>1.54</x:v>
      </x:c>
      <x:c r="C2151" s="153" t="n">
        <x:v>-1.11</x:v>
      </x:c>
      <x:c r="D2151" s="153" t="n">
        <x:v>2.65</x:v>
      </x:c>
      <x:c r="E2151" s="153" t="n">
        <x:v>115.2187</x:v>
      </x:c>
      <x:c r="F2151" s="153" t="n">
        <x:v>17.91</x:v>
      </x:c>
      <x:c r="G2151" s="153" t="n">
        <x:v>0.08</x:v>
      </x:c>
    </x:row>
    <x:row r="2152">
      <x:c r="A2152" s="155" t="n">
        <x:v>44520</x:v>
      </x:c>
      <x:c r="B2152" s="153"/>
      <x:c r="C2152" s="153"/>
      <x:c r="D2152" s="153"/>
      <x:c r="E2152" s="153"/>
      <x:c r="F2152" s="153"/>
      <x:c r="G2152" s="153" t="n">
        <x:v>0.08</x:v>
      </x:c>
    </x:row>
    <x:row r="2153">
      <x:c r="A2153" s="155" t="n">
        <x:v>44521</x:v>
      </x:c>
      <x:c r="B2153" s="153"/>
      <x:c r="C2153" s="153"/>
      <x:c r="D2153" s="153"/>
      <x:c r="E2153" s="153"/>
      <x:c r="F2153" s="153"/>
      <x:c r="G2153" s="153" t="n">
        <x:v>0.08</x:v>
      </x:c>
    </x:row>
    <x:row r="2154">
      <x:c r="A2154" s="155" t="n">
        <x:v>44522</x:v>
      </x:c>
      <x:c r="B2154" s="153" t="n">
        <x:v>1.63</x:v>
      </x:c>
      <x:c r="C2154" s="153" t="n">
        <x:v>-0.98</x:v>
      </x:c>
      <x:c r="D2154" s="153" t="n">
        <x:v>2.61</x:v>
      </x:c>
      <x:c r="E2154" s="153" t="n">
        <x:v>115.6481</x:v>
      </x:c>
      <x:c r="F2154" s="153" t="n">
        <x:v>19.17</x:v>
      </x:c>
      <x:c r="G2154" s="153" t="n">
        <x:v>0.08</x:v>
      </x:c>
    </x:row>
    <x:row r="2155">
      <x:c r="A2155" s="155" t="n">
        <x:v>44523</x:v>
      </x:c>
      <x:c r="B2155" s="153" t="n">
        <x:v>1.67</x:v>
      </x:c>
      <x:c r="C2155" s="153" t="n">
        <x:v>-0.95</x:v>
      </x:c>
      <x:c r="D2155" s="153" t="n">
        <x:v>2.62</x:v>
      </x:c>
      <x:c r="E2155" s="153" t="n">
        <x:v>116.0118</x:v>
      </x:c>
      <x:c r="F2155" s="153" t="n">
        <x:v>19.38</x:v>
      </x:c>
      <x:c r="G2155" s="153" t="n">
        <x:v>0.08</x:v>
      </x:c>
    </x:row>
    <x:row r="2156">
      <x:c r="A2156" s="155" t="n">
        <x:v>44524</x:v>
      </x:c>
      <x:c r="B2156" s="153" t="n">
        <x:v>1.64</x:v>
      </x:c>
      <x:c r="C2156" s="153" t="n">
        <x:v>-0.97</x:v>
      </x:c>
      <x:c r="D2156" s="153" t="n">
        <x:v>2.61</x:v>
      </x:c>
      <x:c r="E2156" s="153" t="n">
        <x:v>116.2711</x:v>
      </x:c>
      <x:c r="F2156" s="153" t="n">
        <x:v>18.58</x:v>
      </x:c>
      <x:c r="G2156" s="153" t="n">
        <x:v>0.08</x:v>
      </x:c>
    </x:row>
    <x:row r="2157">
      <x:c r="A2157" s="155" t="n">
        <x:v>44525</x:v>
      </x:c>
      <x:c r="B2157" s="153"/>
      <x:c r="C2157" s="153"/>
      <x:c r="D2157" s="153"/>
      <x:c r="E2157" s="153"/>
      <x:c r="F2157" s="153"/>
      <x:c r="G2157" s="153" t="n">
        <x:v>0.08</x:v>
      </x:c>
    </x:row>
    <x:row r="2158">
      <x:c r="A2158" s="155" t="n">
        <x:v>44526</x:v>
      </x:c>
      <x:c r="B2158" s="153" t="n">
        <x:v>1.48</x:v>
      </x:c>
      <x:c r="C2158" s="153" t="n">
        <x:v>-1.07</x:v>
      </x:c>
      <x:c r="D2158" s="153" t="n">
        <x:v>2.55</x:v>
      </x:c>
      <x:c r="E2158" s="153" t="n">
        <x:v>116.5103</x:v>
      </x:c>
      <x:c r="F2158" s="153" t="n">
        <x:v>28.62</x:v>
      </x:c>
      <x:c r="G2158" s="153" t="n">
        <x:v>0.08</x:v>
      </x:c>
    </x:row>
    <x:row r="2159">
      <x:c r="A2159" s="155" t="n">
        <x:v>44527</x:v>
      </x:c>
      <x:c r="B2159" s="153"/>
      <x:c r="C2159" s="153"/>
      <x:c r="D2159" s="153"/>
      <x:c r="E2159" s="153"/>
      <x:c r="F2159" s="153"/>
      <x:c r="G2159" s="153" t="n">
        <x:v>0.08</x:v>
      </x:c>
    </x:row>
    <x:row r="2160">
      <x:c r="A2160" s="155" t="n">
        <x:v>44528</x:v>
      </x:c>
      <x:c r="B2160" s="153"/>
      <x:c r="C2160" s="153"/>
      <x:c r="D2160" s="153"/>
      <x:c r="E2160" s="153"/>
      <x:c r="F2160" s="153"/>
      <x:c r="G2160" s="153" t="n">
        <x:v>0.08</x:v>
      </x:c>
    </x:row>
    <x:row r="2161">
      <x:c r="A2161" s="155" t="n">
        <x:v>44529</x:v>
      </x:c>
      <x:c r="B2161" s="153" t="n">
        <x:v>1.52</x:v>
      </x:c>
      <x:c r="C2161" s="153" t="n">
        <x:v>-1.02</x:v>
      </x:c>
      <x:c r="D2161" s="153" t="n">
        <x:v>2.54</x:v>
      </x:c>
      <x:c r="E2161" s="153" t="n">
        <x:v>116.581</x:v>
      </x:c>
      <x:c r="F2161" s="153" t="n">
        <x:v>22.96</x:v>
      </x:c>
      <x:c r="G2161" s="153" t="n">
        <x:v>0.08</x:v>
      </x:c>
    </x:row>
    <x:row r="2162">
      <x:c r="A2162" s="155" t="n">
        <x:v>44530</x:v>
      </x:c>
      <x:c r="B2162" s="153" t="n">
        <x:v>1.43</x:v>
      </x:c>
      <x:c r="C2162" s="153" t="n">
        <x:v>-1.07</x:v>
      </x:c>
      <x:c r="D2162" s="153" t="n">
        <x:v>2.5</x:v>
      </x:c>
      <x:c r="E2162" s="153" t="n">
        <x:v>116.2071</x:v>
      </x:c>
      <x:c r="F2162" s="153" t="n">
        <x:v>27.19</x:v>
      </x:c>
      <x:c r="G2162" s="153" t="n">
        <x:v>0.07</x:v>
      </x:c>
    </x:row>
    <x:row r="2163">
      <x:c r="A2163" s="155" t="n">
        <x:v>44531</x:v>
      </x:c>
      <x:c r="B2163" s="153" t="n">
        <x:v>1.43</x:v>
      </x:c>
      <x:c r="C2163" s="153" t="n">
        <x:v>-1.01</x:v>
      </x:c>
      <x:c r="D2163" s="153" t="n">
        <x:v>2.44</x:v>
      </x:c>
      <x:c r="E2163" s="153" t="n">
        <x:v>115.889</x:v>
      </x:c>
      <x:c r="F2163" s="153" t="n">
        <x:v>31.12</x:v>
      </x:c>
      <x:c r="G2163" s="153" t="n">
        <x:v>0.08</x:v>
      </x:c>
    </x:row>
    <x:row r="2164">
      <x:c r="A2164" s="155" t="n">
        <x:v>44532</x:v>
      </x:c>
      <x:c r="B2164" s="153" t="n">
        <x:v>1.44</x:v>
      </x:c>
      <x:c r="C2164" s="153" t="n">
        <x:v>-1.03</x:v>
      </x:c>
      <x:c r="D2164" s="153" t="n">
        <x:v>2.47</x:v>
      </x:c>
      <x:c r="E2164" s="153" t="n">
        <x:v>116.018</x:v>
      </x:c>
      <x:c r="F2164" s="153" t="n">
        <x:v>27.95</x:v>
      </x:c>
      <x:c r="G2164" s="153" t="n">
        <x:v>0.08</x:v>
      </x:c>
    </x:row>
    <x:row r="2165">
      <x:c r="A2165" s="155" t="n">
        <x:v>44533</x:v>
      </x:c>
      <x:c r="B2165" s="153" t="n">
        <x:v>1.35</x:v>
      </x:c>
      <x:c r="C2165" s="153" t="n">
        <x:v>-1.08</x:v>
      </x:c>
      <x:c r="D2165" s="153" t="n">
        <x:v>2.43</x:v>
      </x:c>
      <x:c r="E2165" s="153" t="n">
        <x:v>116.2377</x:v>
      </x:c>
      <x:c r="F2165" s="153" t="n">
        <x:v>30.67</x:v>
      </x:c>
      <x:c r="G2165" s="153" t="n">
        <x:v>0.08</x:v>
      </x:c>
    </x:row>
    <x:row r="2166">
      <x:c r="A2166" s="155" t="n">
        <x:v>44534</x:v>
      </x:c>
      <x:c r="B2166" s="153"/>
      <x:c r="C2166" s="153"/>
      <x:c r="D2166" s="153"/>
      <x:c r="E2166" s="153"/>
      <x:c r="F2166" s="153"/>
      <x:c r="G2166" s="153" t="n">
        <x:v>0.08</x:v>
      </x:c>
    </x:row>
    <x:row r="2167">
      <x:c r="A2167" s="155" t="n">
        <x:v>44535</x:v>
      </x:c>
      <x:c r="B2167" s="153"/>
      <x:c r="C2167" s="153"/>
      <x:c r="D2167" s="153"/>
      <x:c r="E2167" s="153"/>
      <x:c r="F2167" s="153"/>
      <x:c r="G2167" s="153" t="n">
        <x:v>0.08</x:v>
      </x:c>
    </x:row>
    <x:row r="2168">
      <x:c r="A2168" s="155" t="n">
        <x:v>44536</x:v>
      </x:c>
      <x:c r="B2168" s="153" t="n">
        <x:v>1.43</x:v>
      </x:c>
      <x:c r="C2168" s="153" t="n">
        <x:v>-1.01</x:v>
      </x:c>
      <x:c r="D2168" s="153" t="n">
        <x:v>2.44</x:v>
      </x:c>
      <x:c r="E2168" s="153" t="n">
        <x:v>116.1538</x:v>
      </x:c>
      <x:c r="F2168" s="153" t="n">
        <x:v>27.18</x:v>
      </x:c>
      <x:c r="G2168" s="153" t="n">
        <x:v>0.08</x:v>
      </x:c>
    </x:row>
    <x:row r="2169">
      <x:c r="A2169" s="155" t="n">
        <x:v>44537</x:v>
      </x:c>
      <x:c r="B2169" s="153" t="n">
        <x:v>1.48</x:v>
      </x:c>
      <x:c r="C2169" s="153" t="n">
        <x:v>-0.99</x:v>
      </x:c>
      <x:c r="D2169" s="153" t="n">
        <x:v>2.47</x:v>
      </x:c>
      <x:c r="E2169" s="153" t="n">
        <x:v>115.8555</x:v>
      </x:c>
      <x:c r="F2169" s="153" t="n">
        <x:v>21.89</x:v>
      </x:c>
      <x:c r="G2169" s="153" t="n">
        <x:v>0.08</x:v>
      </x:c>
    </x:row>
    <x:row r="2170">
      <x:c r="A2170" s="155" t="n">
        <x:v>44538</x:v>
      </x:c>
      <x:c r="B2170" s="153" t="n">
        <x:v>1.52</x:v>
      </x:c>
      <x:c r="C2170" s="153" t="n">
        <x:v>-1</x:v>
      </x:c>
      <x:c r="D2170" s="153" t="n">
        <x:v>2.52</x:v>
      </x:c>
      <x:c r="E2170" s="153" t="n">
        <x:v>115.4418</x:v>
      </x:c>
      <x:c r="F2170" s="153" t="n">
        <x:v>19.9</x:v>
      </x:c>
      <x:c r="G2170" s="153" t="n">
        <x:v>0.08</x:v>
      </x:c>
    </x:row>
    <x:row r="2171">
      <x:c r="A2171" s="155" t="n">
        <x:v>44539</x:v>
      </x:c>
      <x:c r="B2171" s="153" t="n">
        <x:v>1.49</x:v>
      </x:c>
      <x:c r="C2171" s="153" t="n">
        <x:v>-0.98</x:v>
      </x:c>
      <x:c r="D2171" s="153" t="n">
        <x:v>2.47</x:v>
      </x:c>
      <x:c r="E2171" s="153" t="n">
        <x:v>115.7784</x:v>
      </x:c>
      <x:c r="F2171" s="153" t="n">
        <x:v>21.58</x:v>
      </x:c>
      <x:c r="G2171" s="153" t="n">
        <x:v>0.08</x:v>
      </x:c>
    </x:row>
    <x:row r="2172">
      <x:c r="A2172" s="155" t="n">
        <x:v>44540</x:v>
      </x:c>
      <x:c r="B2172" s="153" t="n">
        <x:v>1.48</x:v>
      </x:c>
      <x:c r="C2172" s="153" t="n">
        <x:v>-0.96</x:v>
      </x:c>
      <x:c r="D2172" s="153" t="n">
        <x:v>2.44</x:v>
      </x:c>
      <x:c r="E2172" s="153" t="n">
        <x:v>115.5732</x:v>
      </x:c>
      <x:c r="F2172" s="153" t="n">
        <x:v>18.69</x:v>
      </x:c>
      <x:c r="G2172" s="153" t="n">
        <x:v>0.08</x:v>
      </x:c>
    </x:row>
    <x:row r="2173">
      <x:c r="A2173" s="155" t="n">
        <x:v>44541</x:v>
      </x:c>
      <x:c r="B2173" s="153"/>
      <x:c r="C2173" s="153"/>
      <x:c r="D2173" s="153"/>
      <x:c r="E2173" s="153"/>
      <x:c r="F2173" s="153"/>
      <x:c r="G2173" s="153" t="n">
        <x:v>0.08</x:v>
      </x:c>
    </x:row>
    <x:row r="2174">
      <x:c r="A2174" s="155" t="n">
        <x:v>44542</x:v>
      </x:c>
      <x:c r="B2174" s="153"/>
      <x:c r="C2174" s="153"/>
      <x:c r="D2174" s="153"/>
      <x:c r="E2174" s="153"/>
      <x:c r="F2174" s="153"/>
      <x:c r="G2174" s="153" t="n">
        <x:v>0.08</x:v>
      </x:c>
    </x:row>
    <x:row r="2175">
      <x:c r="A2175" s="155" t="n">
        <x:v>44543</x:v>
      </x:c>
      <x:c r="B2175" s="153" t="n">
        <x:v>1.42</x:v>
      </x:c>
      <x:c r="C2175" s="153" t="n">
        <x:v>-0.98</x:v>
      </x:c>
      <x:c r="D2175" s="153" t="n">
        <x:v>2.4</x:v>
      </x:c>
      <x:c r="E2175" s="153" t="n">
        <x:v>115.842</x:v>
      </x:c>
      <x:c r="F2175" s="153" t="n">
        <x:v>20.31</x:v>
      </x:c>
      <x:c r="G2175" s="153" t="n">
        <x:v>0.08</x:v>
      </x:c>
    </x:row>
    <x:row r="2176">
      <x:c r="A2176" s="155" t="n">
        <x:v>44544</x:v>
      </x:c>
      <x:c r="B2176" s="153" t="n">
        <x:v>1.44</x:v>
      </x:c>
      <x:c r="C2176" s="153" t="n">
        <x:v>-0.93</x:v>
      </x:c>
      <x:c r="D2176" s="153" t="n">
        <x:v>2.37</x:v>
      </x:c>
      <x:c r="E2176" s="153" t="n">
        <x:v>116.2397</x:v>
      </x:c>
      <x:c r="F2176" s="153" t="n">
        <x:v>21.89</x:v>
      </x:c>
      <x:c r="G2176" s="153" t="n">
        <x:v>0.08</x:v>
      </x:c>
    </x:row>
    <x:row r="2177">
      <x:c r="A2177" s="155" t="n">
        <x:v>44545</x:v>
      </x:c>
      <x:c r="B2177" s="153" t="n">
        <x:v>1.47</x:v>
      </x:c>
      <x:c r="C2177" s="153" t="n">
        <x:v>-0.92</x:v>
      </x:c>
      <x:c r="D2177" s="153" t="n">
        <x:v>2.39</x:v>
      </x:c>
      <x:c r="E2177" s="153" t="n">
        <x:v>116.4219</x:v>
      </x:c>
      <x:c r="F2177" s="153" t="n">
        <x:v>19.29</x:v>
      </x:c>
      <x:c r="G2177" s="153" t="n">
        <x:v>0.08</x:v>
      </x:c>
    </x:row>
    <x:row r="2178">
      <x:c r="A2178" s="155" t="n">
        <x:v>44546</x:v>
      </x:c>
      <x:c r="B2178" s="153" t="n">
        <x:v>1.44</x:v>
      </x:c>
      <x:c r="C2178" s="153" t="n">
        <x:v>-0.98</x:v>
      </x:c>
      <x:c r="D2178" s="153" t="n">
        <x:v>2.42</x:v>
      </x:c>
      <x:c r="E2178" s="153" t="n">
        <x:v>115.7146</x:v>
      </x:c>
      <x:c r="F2178" s="153" t="n">
        <x:v>20.57</x:v>
      </x:c>
      <x:c r="G2178" s="153" t="n">
        <x:v>0.08</x:v>
      </x:c>
    </x:row>
    <x:row r="2179">
      <x:c r="A2179" s="155" t="n">
        <x:v>44547</x:v>
      </x:c>
      <x:c r="B2179" s="153" t="n">
        <x:v>1.41</x:v>
      </x:c>
      <x:c r="C2179" s="153" t="n">
        <x:v>-0.97</x:v>
      </x:c>
      <x:c r="D2179" s="153" t="n">
        <x:v>2.38</x:v>
      </x:c>
      <x:c r="E2179" s="153" t="n">
        <x:v>115.791</x:v>
      </x:c>
      <x:c r="F2179" s="153" t="n">
        <x:v>21.57</x:v>
      </x:c>
      <x:c r="G2179" s="153" t="n">
        <x:v>0.08</x:v>
      </x:c>
    </x:row>
    <x:row r="2180">
      <x:c r="A2180" s="155" t="n">
        <x:v>44548</x:v>
      </x:c>
      <x:c r="B2180" s="153"/>
      <x:c r="C2180" s="153"/>
      <x:c r="D2180" s="153"/>
      <x:c r="E2180" s="153"/>
      <x:c r="F2180" s="153"/>
      <x:c r="G2180" s="153" t="n">
        <x:v>0.08</x:v>
      </x:c>
    </x:row>
    <x:row r="2181">
      <x:c r="A2181" s="155" t="n">
        <x:v>44549</x:v>
      </x:c>
      <x:c r="B2181" s="153"/>
      <x:c r="C2181" s="153"/>
      <x:c r="D2181" s="153"/>
      <x:c r="E2181" s="153"/>
      <x:c r="F2181" s="153"/>
      <x:c r="G2181" s="153" t="n">
        <x:v>0.08</x:v>
      </x:c>
    </x:row>
    <x:row r="2182">
      <x:c r="A2182" s="155" t="n">
        <x:v>44550</x:v>
      </x:c>
      <x:c r="B2182" s="153" t="n">
        <x:v>1.43</x:v>
      </x:c>
      <x:c r="C2182" s="153" t="n">
        <x:v>-0.96</x:v>
      </x:c>
      <x:c r="D2182" s="153" t="n">
        <x:v>2.39</x:v>
      </x:c>
      <x:c r="E2182" s="153" t="n">
        <x:v>116.0092</x:v>
      </x:c>
      <x:c r="F2182" s="153" t="n">
        <x:v>22.87</x:v>
      </x:c>
      <x:c r="G2182" s="153" t="n">
        <x:v>0.08</x:v>
      </x:c>
    </x:row>
    <x:row r="2183">
      <x:c r="A2183" s="155" t="n">
        <x:v>44551</x:v>
      </x:c>
      <x:c r="B2183" s="153" t="n">
        <x:v>1.48</x:v>
      </x:c>
      <x:c r="C2183" s="153" t="n">
        <x:v>-0.96</x:v>
      </x:c>
      <x:c r="D2183" s="153" t="n">
        <x:v>2.44</x:v>
      </x:c>
      <x:c r="E2183" s="153" t="n">
        <x:v>116.1089</x:v>
      </x:c>
      <x:c r="F2183" s="153" t="n">
        <x:v>21.01</x:v>
      </x:c>
      <x:c r="G2183" s="153" t="n">
        <x:v>0.08</x:v>
      </x:c>
    </x:row>
    <x:row r="2184">
      <x:c r="A2184" s="155" t="n">
        <x:v>44552</x:v>
      </x:c>
      <x:c r="B2184" s="153" t="n">
        <x:v>1.46</x:v>
      </x:c>
      <x:c r="C2184" s="153" t="n">
        <x:v>-1.01</x:v>
      </x:c>
      <x:c r="D2184" s="153" t="n">
        <x:v>2.47</x:v>
      </x:c>
      <x:c r="E2184" s="153" t="n">
        <x:v>115.7485</x:v>
      </x:c>
      <x:c r="F2184" s="153" t="n">
        <x:v>18.63</x:v>
      </x:c>
      <x:c r="G2184" s="153" t="n">
        <x:v>0.08</x:v>
      </x:c>
    </x:row>
    <x:row r="2185">
      <x:c r="A2185" s="155" t="n">
        <x:v>44553</x:v>
      </x:c>
      <x:c r="B2185" s="153" t="n">
        <x:v>1.5</x:v>
      </x:c>
      <x:c r="C2185" s="153" t="n">
        <x:v>-0.97</x:v>
      </x:c>
      <x:c r="D2185" s="153" t="n">
        <x:v>2.47</x:v>
      </x:c>
      <x:c r="E2185" s="153" t="n">
        <x:v>115.5337</x:v>
      </x:c>
      <x:c r="F2185" s="153" t="n">
        <x:v>17.96</x:v>
      </x:c>
      <x:c r="G2185" s="153" t="n">
        <x:v>0.08</x:v>
      </x:c>
    </x:row>
    <x:row r="2186">
      <x:c r="A2186" s="155" t="n">
        <x:v>44554</x:v>
      </x:c>
      <x:c r="B2186" s="153"/>
      <x:c r="C2186" s="153"/>
      <x:c r="D2186" s="153"/>
      <x:c r="E2186" s="153"/>
      <x:c r="F2186" s="153"/>
      <x:c r="G2186" s="153" t="n">
        <x:v>0.08</x:v>
      </x:c>
    </x:row>
    <x:row r="2187">
      <x:c r="A2187" s="155" t="n">
        <x:v>44555</x:v>
      </x:c>
      <x:c r="B2187" s="153"/>
      <x:c r="C2187" s="153"/>
      <x:c r="D2187" s="153"/>
      <x:c r="E2187" s="153"/>
      <x:c r="F2187" s="153"/>
      <x:c r="G2187" s="153" t="n">
        <x:v>0.08</x:v>
      </x:c>
    </x:row>
    <x:row r="2188">
      <x:c r="A2188" s="155" t="n">
        <x:v>44556</x:v>
      </x:c>
      <x:c r="B2188" s="153"/>
      <x:c r="C2188" s="153"/>
      <x:c r="D2188" s="153"/>
      <x:c r="E2188" s="153"/>
      <x:c r="F2188" s="153"/>
      <x:c r="G2188" s="153" t="n">
        <x:v>0.08</x:v>
      </x:c>
    </x:row>
    <x:row r="2189">
      <x:c r="A2189" s="155" t="n">
        <x:v>44557</x:v>
      </x:c>
      <x:c r="B2189" s="153" t="n">
        <x:v>1.48</x:v>
      </x:c>
      <x:c r="C2189" s="153" t="n">
        <x:v>-1.02</x:v>
      </x:c>
      <x:c r="D2189" s="153" t="n">
        <x:v>2.5</x:v>
      </x:c>
      <x:c r="E2189" s="153" t="n">
        <x:v>115.4684</x:v>
      </x:c>
      <x:c r="F2189" s="153" t="n">
        <x:v>17.68</x:v>
      </x:c>
      <x:c r="G2189" s="153" t="n">
        <x:v>0.08</x:v>
      </x:c>
    </x:row>
    <x:row r="2190">
      <x:c r="A2190" s="155" t="n">
        <x:v>44558</x:v>
      </x:c>
      <x:c r="B2190" s="153" t="n">
        <x:v>1.49</x:v>
      </x:c>
      <x:c r="C2190" s="153" t="n">
        <x:v>-1.01</x:v>
      </x:c>
      <x:c r="D2190" s="153" t="n">
        <x:v>2.5</x:v>
      </x:c>
      <x:c r="E2190" s="153" t="n">
        <x:v>115.4192</x:v>
      </x:c>
      <x:c r="F2190" s="153" t="n">
        <x:v>17.54</x:v>
      </x:c>
      <x:c r="G2190" s="153" t="n">
        <x:v>0.08</x:v>
      </x:c>
    </x:row>
    <x:row r="2191">
      <x:c r="A2191" s="155" t="n">
        <x:v>44559</x:v>
      </x:c>
      <x:c r="B2191" s="153" t="n">
        <x:v>1.55</x:v>
      </x:c>
      <x:c r="C2191" s="153" t="n">
        <x:v>-0.98</x:v>
      </x:c>
      <x:c r="D2191" s="153" t="n">
        <x:v>2.53</x:v>
      </x:c>
      <x:c r="E2191" s="153" t="n">
        <x:v>115.3678</x:v>
      </x:c>
      <x:c r="F2191" s="153" t="n">
        <x:v>16.95</x:v>
      </x:c>
      <x:c r="G2191" s="153" t="n">
        <x:v>0.08</x:v>
      </x:c>
    </x:row>
    <x:row r="2192">
      <x:c r="A2192" s="155" t="n">
        <x:v>44560</x:v>
      </x:c>
      <x:c r="B2192" s="153" t="n">
        <x:v>1.52</x:v>
      </x:c>
      <x:c r="C2192" s="153" t="n">
        <x:v>-1.06</x:v>
      </x:c>
      <x:c r="D2192" s="153" t="n">
        <x:v>2.58</x:v>
      </x:c>
      <x:c r="E2192" s="153" t="n">
        <x:v>115.283</x:v>
      </x:c>
      <x:c r="F2192" s="153" t="n">
        <x:v>17.33</x:v>
      </x:c>
      <x:c r="G2192" s="153" t="n">
        <x:v>0.08</x:v>
      </x:c>
    </x:row>
    <x:row r="2193">
      <x:c r="A2193" s="155" t="n">
        <x:v>44561</x:v>
      </x:c>
      <x:c r="B2193" s="153" t="n">
        <x:v>1.52</x:v>
      </x:c>
      <x:c r="C2193" s="153" t="n">
        <x:v>-1.04</x:v>
      </x:c>
      <x:c r="D2193" s="153" t="n">
        <x:v>2.56</x:v>
      </x:c>
      <x:c r="E2193" s="153"/>
      <x:c r="F2193" s="153" t="n">
        <x:v>17.22</x:v>
      </x:c>
      <x:c r="G2193" s="153" t="n">
        <x:v>0.07</x:v>
      </x:c>
    </x:row>
    <x:row r="2194">
      <x:c r="A2194" s="155" t="n">
        <x:v>44562</x:v>
      </x:c>
      <x:c r="B2194" s="153"/>
      <x:c r="C2194" s="153"/>
      <x:c r="D2194" s="153"/>
      <x:c r="E2194" s="153"/>
      <x:c r="F2194" s="153"/>
      <x:c r="G2194" s="153" t="n">
        <x:v>0.07</x:v>
      </x:c>
    </x:row>
    <x:row r="2195">
      <x:c r="A2195" s="155" t="n">
        <x:v>44563</x:v>
      </x:c>
      <x:c r="B2195" s="153"/>
      <x:c r="C2195" s="153"/>
      <x:c r="D2195" s="153"/>
      <x:c r="E2195" s="153"/>
      <x:c r="F2195" s="153"/>
      <x:c r="G2195" s="153" t="n">
        <x:v>0.07</x:v>
      </x:c>
    </x:row>
    <x:row r="2196">
      <x:c r="A2196" s="155" t="n">
        <x:v>44564</x:v>
      </x:c>
      <x:c r="B2196" s="153" t="n">
        <x:v>1.63</x:v>
      </x:c>
      <x:c r="C2196" s="153" t="n">
        <x:v>-0.97</x:v>
      </x:c>
      <x:c r="D2196" s="153" t="n">
        <x:v>2.6</x:v>
      </x:c>
      <x:c r="E2196" s="153" t="n">
        <x:v>115.4101</x:v>
      </x:c>
      <x:c r="F2196" s="153" t="n">
        <x:v>16.6</x:v>
      </x:c>
      <x:c r="G2196" s="153" t="n">
        <x:v>0.08</x:v>
      </x:c>
    </x:row>
    <x:row r="2197">
      <x:c r="A2197" s="155" t="n">
        <x:v>44565</x:v>
      </x:c>
      <x:c r="B2197" s="153" t="n">
        <x:v>1.66</x:v>
      </x:c>
      <x:c r="C2197" s="153" t="n">
        <x:v>-0.91</x:v>
      </x:c>
      <x:c r="D2197" s="153" t="n">
        <x:v>2.57</x:v>
      </x:c>
      <x:c r="E2197" s="153" t="n">
        <x:v>115.3103</x:v>
      </x:c>
      <x:c r="F2197" s="153" t="n">
        <x:v>16.91</x:v>
      </x:c>
      <x:c r="G2197" s="153" t="n">
        <x:v>0.08</x:v>
      </x:c>
    </x:row>
    <x:row r="2198">
      <x:c r="A2198" s="155" t="n">
        <x:v>44566</x:v>
      </x:c>
      <x:c r="B2198" s="153" t="n">
        <x:v>1.71</x:v>
      </x:c>
      <x:c r="C2198" s="153" t="n">
        <x:v>-0.82</x:v>
      </x:c>
      <x:c r="D2198" s="153" t="n">
        <x:v>2.53</x:v>
      </x:c>
      <x:c r="E2198" s="153" t="n">
        <x:v>115.137</x:v>
      </x:c>
      <x:c r="F2198" s="153" t="n">
        <x:v>19.73</x:v>
      </x:c>
      <x:c r="G2198" s="153" t="n">
        <x:v>0.08</x:v>
      </x:c>
    </x:row>
    <x:row r="2199">
      <x:c r="A2199" s="155" t="n">
        <x:v>44567</x:v>
      </x:c>
      <x:c r="B2199" s="153" t="n">
        <x:v>1.73</x:v>
      </x:c>
      <x:c r="C2199" s="153" t="n">
        <x:v>-0.73</x:v>
      </x:c>
      <x:c r="D2199" s="153" t="n">
        <x:v>2.46</x:v>
      </x:c>
      <x:c r="E2199" s="153" t="n">
        <x:v>115.4046</x:v>
      </x:c>
      <x:c r="F2199" s="153" t="n">
        <x:v>19.61</x:v>
      </x:c>
      <x:c r="G2199" s="153" t="n">
        <x:v>0.08</x:v>
      </x:c>
    </x:row>
    <x:row r="2200">
      <x:c r="A2200" s="155" t="n">
        <x:v>44568</x:v>
      </x:c>
      <x:c r="B2200" s="153" t="n">
        <x:v>1.76</x:v>
      </x:c>
      <x:c r="C2200" s="153" t="n">
        <x:v>-0.72</x:v>
      </x:c>
      <x:c r="D2200" s="153" t="n">
        <x:v>2.48</x:v>
      </x:c>
      <x:c r="E2200" s="153" t="n">
        <x:v>115.0451</x:v>
      </x:c>
      <x:c r="F2200" s="153" t="n">
        <x:v>18.76</x:v>
      </x:c>
      <x:c r="G2200" s="153" t="n">
        <x:v>0.08</x:v>
      </x:c>
    </x:row>
    <x:row r="2201">
      <x:c r="A2201" s="155" t="n">
        <x:v>44569</x:v>
      </x:c>
      <x:c r="B2201" s="153"/>
      <x:c r="C2201" s="153"/>
      <x:c r="D2201" s="153"/>
      <x:c r="E2201" s="153"/>
      <x:c r="F2201" s="153"/>
      <x:c r="G2201" s="153" t="n">
        <x:v>0.08</x:v>
      </x:c>
    </x:row>
    <x:row r="2202">
      <x:c r="A2202" s="155" t="n">
        <x:v>44570</x:v>
      </x:c>
      <x:c r="B2202" s="153"/>
      <x:c r="C2202" s="153"/>
      <x:c r="D2202" s="153"/>
      <x:c r="E2202" s="153"/>
      <x:c r="F2202" s="153"/>
      <x:c r="G2202" s="153" t="n">
        <x:v>0.08</x:v>
      </x:c>
    </x:row>
    <x:row r="2203">
      <x:c r="A2203" s="155" t="n">
        <x:v>44571</x:v>
      </x:c>
      <x:c r="B2203" s="153" t="n">
        <x:v>1.78</x:v>
      </x:c>
      <x:c r="C2203" s="153" t="n">
        <x:v>-0.7</x:v>
      </x:c>
      <x:c r="D2203" s="153" t="n">
        <x:v>2.48</x:v>
      </x:c>
      <x:c r="E2203" s="153" t="n">
        <x:v>115.2216</x:v>
      </x:c>
      <x:c r="F2203" s="153" t="n">
        <x:v>19.4</x:v>
      </x:c>
      <x:c r="G2203" s="153" t="n">
        <x:v>0.08</x:v>
      </x:c>
    </x:row>
    <x:row r="2204">
      <x:c r="A2204" s="155" t="n">
        <x:v>44572</x:v>
      </x:c>
      <x:c r="B2204" s="153" t="n">
        <x:v>1.75</x:v>
      </x:c>
      <x:c r="C2204" s="153" t="n">
        <x:v>-0.79</x:v>
      </x:c>
      <x:c r="D2204" s="153" t="n">
        <x:v>2.54</x:v>
      </x:c>
      <x:c r="E2204" s="153" t="n">
        <x:v>114.8332</x:v>
      </x:c>
      <x:c r="F2204" s="153" t="n">
        <x:v>18.41</x:v>
      </x:c>
      <x:c r="G2204" s="153" t="n">
        <x:v>0.08</x:v>
      </x:c>
    </x:row>
    <x:row r="2205">
      <x:c r="A2205" s="155" t="n">
        <x:v>44573</x:v>
      </x:c>
      <x:c r="B2205" s="153" t="n">
        <x:v>1.74</x:v>
      </x:c>
      <x:c r="C2205" s="153" t="n">
        <x:v>-0.74</x:v>
      </x:c>
      <x:c r="D2205" s="153" t="n">
        <x:v>2.48</x:v>
      </x:c>
      <x:c r="E2205" s="153" t="n">
        <x:v>114.355</x:v>
      </x:c>
      <x:c r="F2205" s="153" t="n">
        <x:v>17.62</x:v>
      </x:c>
      <x:c r="G2205" s="153" t="n">
        <x:v>0.08</x:v>
      </x:c>
    </x:row>
    <x:row r="2206">
      <x:c r="A2206" s="155" t="n">
        <x:v>44574</x:v>
      </x:c>
      <x:c r="B2206" s="153" t="n">
        <x:v>1.7</x:v>
      </x:c>
      <x:c r="C2206" s="153" t="n">
        <x:v>-0.73</x:v>
      </x:c>
      <x:c r="D2206" s="153" t="n">
        <x:v>2.43</x:v>
      </x:c>
      <x:c r="E2206" s="153" t="n">
        <x:v>114.177</x:v>
      </x:c>
      <x:c r="F2206" s="153" t="n">
        <x:v>20.31</x:v>
      </x:c>
      <x:c r="G2206" s="153" t="n">
        <x:v>0.08</x:v>
      </x:c>
    </x:row>
    <x:row r="2207">
      <x:c r="A2207" s="155" t="n">
        <x:v>44575</x:v>
      </x:c>
      <x:c r="B2207" s="153" t="n">
        <x:v>1.78</x:v>
      </x:c>
      <x:c r="C2207" s="153" t="n">
        <x:v>-0.66</x:v>
      </x:c>
      <x:c r="D2207" s="153" t="n">
        <x:v>2.44</x:v>
      </x:c>
      <x:c r="E2207" s="153" t="n">
        <x:v>114.3825</x:v>
      </x:c>
      <x:c r="F2207" s="153" t="n">
        <x:v>19.19</x:v>
      </x:c>
      <x:c r="G2207" s="153" t="n">
        <x:v>0.08</x:v>
      </x:c>
    </x:row>
    <x:row r="2208">
      <x:c r="A2208" s="155" t="n">
        <x:v>44576</x:v>
      </x:c>
      <x:c r="B2208" s="153"/>
      <x:c r="C2208" s="153"/>
      <x:c r="D2208" s="153"/>
      <x:c r="E2208" s="153"/>
      <x:c r="F2208" s="153"/>
      <x:c r="G2208" s="153" t="n">
        <x:v>0.08</x:v>
      </x:c>
    </x:row>
    <x:row r="2209">
      <x:c r="A2209" s="155" t="n">
        <x:v>44577</x:v>
      </x:c>
      <x:c r="B2209" s="153"/>
      <x:c r="C2209" s="153"/>
      <x:c r="D2209" s="153"/>
      <x:c r="E2209" s="153"/>
      <x:c r="F2209" s="153"/>
      <x:c r="G2209" s="153" t="n">
        <x:v>0.08</x:v>
      </x:c>
    </x:row>
    <x:row r="2210">
      <x:c r="A2210" s="155" t="n">
        <x:v>44578</x:v>
      </x:c>
      <x:c r="B2210" s="153"/>
      <x:c r="C2210" s="153"/>
      <x:c r="D2210" s="153"/>
      <x:c r="E2210" s="153"/>
      <x:c r="F2210" s="153"/>
      <x:c r="G2210" s="153" t="n">
        <x:v>0.08</x:v>
      </x:c>
    </x:row>
    <x:row r="2211">
      <x:c r="A2211" s="155" t="n">
        <x:v>44579</x:v>
      </x:c>
      <x:c r="B2211" s="153" t="n">
        <x:v>1.87</x:v>
      </x:c>
      <x:c r="C2211" s="153" t="n">
        <x:v>-0.59</x:v>
      </x:c>
      <x:c r="D2211" s="153" t="n">
        <x:v>2.46</x:v>
      </x:c>
      <x:c r="E2211" s="153" t="n">
        <x:v>114.7373</x:v>
      </x:c>
      <x:c r="F2211" s="153" t="n">
        <x:v>22.79</x:v>
      </x:c>
      <x:c r="G2211" s="153" t="n">
        <x:v>0.08</x:v>
      </x:c>
    </x:row>
    <x:row r="2212">
      <x:c r="A2212" s="155" t="n">
        <x:v>44580</x:v>
      </x:c>
      <x:c r="B2212" s="153" t="n">
        <x:v>1.83</x:v>
      </x:c>
      <x:c r="C2212" s="153" t="n">
        <x:v>-0.57</x:v>
      </x:c>
      <x:c r="D2212" s="153" t="n">
        <x:v>2.4</x:v>
      </x:c>
      <x:c r="E2212" s="153" t="n">
        <x:v>114.6109</x:v>
      </x:c>
      <x:c r="F2212" s="153" t="n">
        <x:v>23.85</x:v>
      </x:c>
      <x:c r="G2212" s="153" t="n">
        <x:v>0.08</x:v>
      </x:c>
    </x:row>
    <x:row r="2213">
      <x:c r="A2213" s="155" t="n">
        <x:v>44581</x:v>
      </x:c>
      <x:c r="B2213" s="153" t="n">
        <x:v>1.83</x:v>
      </x:c>
      <x:c r="C2213" s="153" t="n">
        <x:v>-0.5</x:v>
      </x:c>
      <x:c r="D2213" s="153" t="n">
        <x:v>2.33</x:v>
      </x:c>
      <x:c r="E2213" s="153" t="n">
        <x:v>114.4642</x:v>
      </x:c>
      <x:c r="F2213" s="153" t="n">
        <x:v>25.59</x:v>
      </x:c>
      <x:c r="G2213" s="153" t="n">
        <x:v>0.08</x:v>
      </x:c>
    </x:row>
    <x:row r="2214">
      <x:c r="A2214" s="155" t="n">
        <x:v>44582</x:v>
      </x:c>
      <x:c r="B2214" s="153" t="n">
        <x:v>1.75</x:v>
      </x:c>
      <x:c r="C2214" s="153" t="n">
        <x:v>-0.59</x:v>
      </x:c>
      <x:c r="D2214" s="153" t="n">
        <x:v>2.34</x:v>
      </x:c>
      <x:c r="E2214" s="153" t="n">
        <x:v>114.6125</x:v>
      </x:c>
      <x:c r="F2214" s="153" t="n">
        <x:v>28.85</x:v>
      </x:c>
      <x:c r="G2214" s="153" t="n">
        <x:v>0.08</x:v>
      </x:c>
    </x:row>
    <x:row r="2215">
      <x:c r="A2215" s="155" t="n">
        <x:v>44583</x:v>
      </x:c>
      <x:c r="B2215" s="153"/>
      <x:c r="C2215" s="153"/>
      <x:c r="D2215" s="153"/>
      <x:c r="E2215" s="153"/>
      <x:c r="F2215" s="153"/>
      <x:c r="G2215" s="153" t="n">
        <x:v>0.08</x:v>
      </x:c>
    </x:row>
    <x:row r="2216">
      <x:c r="A2216" s="155" t="n">
        <x:v>44584</x:v>
      </x:c>
      <x:c r="B2216" s="153"/>
      <x:c r="C2216" s="153"/>
      <x:c r="D2216" s="153"/>
      <x:c r="E2216" s="153"/>
      <x:c r="F2216" s="153"/>
      <x:c r="G2216" s="153" t="n">
        <x:v>0.08</x:v>
      </x:c>
    </x:row>
    <x:row r="2217">
      <x:c r="A2217" s="155" t="n">
        <x:v>44585</x:v>
      </x:c>
      <x:c r="B2217" s="153" t="n">
        <x:v>1.75</x:v>
      </x:c>
      <x:c r="C2217" s="153" t="n">
        <x:v>-0.63</x:v>
      </x:c>
      <x:c r="D2217" s="153" t="n">
        <x:v>2.38</x:v>
      </x:c>
      <x:c r="E2217" s="153" t="n">
        <x:v>115.2034</x:v>
      </x:c>
      <x:c r="F2217" s="153" t="n">
        <x:v>29.9</x:v>
      </x:c>
      <x:c r="G2217" s="153" t="n">
        <x:v>0.08</x:v>
      </x:c>
    </x:row>
    <x:row r="2218">
      <x:c r="A2218" s="155" t="n">
        <x:v>44586</x:v>
      </x:c>
      <x:c r="B2218" s="153" t="n">
        <x:v>1.78</x:v>
      </x:c>
      <x:c r="C2218" s="153" t="n">
        <x:v>-0.63</x:v>
      </x:c>
      <x:c r="D2218" s="153" t="n">
        <x:v>2.41</x:v>
      </x:c>
      <x:c r="E2218" s="153" t="n">
        <x:v>115.1654</x:v>
      </x:c>
      <x:c r="F2218" s="153" t="n">
        <x:v>31.16</x:v>
      </x:c>
      <x:c r="G2218" s="153" t="n">
        <x:v>0.08</x:v>
      </x:c>
    </x:row>
    <x:row r="2219">
      <x:c r="A2219" s="155" t="n">
        <x:v>44587</x:v>
      </x:c>
      <x:c r="B2219" s="153" t="n">
        <x:v>1.85</x:v>
      </x:c>
      <x:c r="C2219" s="153" t="n">
        <x:v>-0.53</x:v>
      </x:c>
      <x:c r="D2219" s="153" t="n">
        <x:v>2.38</x:v>
      </x:c>
      <x:c r="E2219" s="153" t="n">
        <x:v>115.0922</x:v>
      </x:c>
      <x:c r="F2219" s="153" t="n">
        <x:v>31.96</x:v>
      </x:c>
      <x:c r="G2219" s="153" t="n">
        <x:v>0.08</x:v>
      </x:c>
    </x:row>
    <x:row r="2220">
      <x:c r="A2220" s="155" t="n">
        <x:v>44588</x:v>
      </x:c>
      <x:c r="B2220" s="153" t="n">
        <x:v>1.81</x:v>
      </x:c>
      <x:c r="C2220" s="153" t="n">
        <x:v>-0.59</x:v>
      </x:c>
      <x:c r="D2220" s="153" t="n">
        <x:v>2.4</x:v>
      </x:c>
      <x:c r="E2220" s="153" t="n">
        <x:v>115.978</x:v>
      </x:c>
      <x:c r="F2220" s="153" t="n">
        <x:v>30.49</x:v>
      </x:c>
      <x:c r="G2220" s="153" t="n">
        <x:v>0.08</x:v>
      </x:c>
    </x:row>
    <x:row r="2221">
      <x:c r="A2221" s="155" t="n">
        <x:v>44589</x:v>
      </x:c>
      <x:c r="B2221" s="153" t="n">
        <x:v>1.78</x:v>
      </x:c>
      <x:c r="C2221" s="153" t="n">
        <x:v>-0.66</x:v>
      </x:c>
      <x:c r="D2221" s="153" t="n">
        <x:v>2.44</x:v>
      </x:c>
      <x:c r="E2221" s="153" t="n">
        <x:v>116.0393</x:v>
      </x:c>
      <x:c r="F2221" s="153" t="n">
        <x:v>27.66</x:v>
      </x:c>
      <x:c r="G2221" s="153" t="n">
        <x:v>0.08</x:v>
      </x:c>
    </x:row>
    <x:row r="2222">
      <x:c r="A2222" s="155" t="n">
        <x:v>44590</x:v>
      </x:c>
      <x:c r="B2222" s="153"/>
      <x:c r="C2222" s="153"/>
      <x:c r="D2222" s="153"/>
      <x:c r="E2222" s="153"/>
      <x:c r="F2222" s="153"/>
      <x:c r="G2222" s="153" t="n">
        <x:v>0.08</x:v>
      </x:c>
    </x:row>
    <x:row r="2223">
      <x:c r="A2223" s="155" t="n">
        <x:v>44591</x:v>
      </x:c>
      <x:c r="B2223" s="153"/>
      <x:c r="C2223" s="153"/>
      <x:c r="D2223" s="153"/>
      <x:c r="E2223" s="153"/>
      <x:c r="F2223" s="153"/>
      <x:c r="G2223" s="153" t="n">
        <x:v>0.08</x:v>
      </x:c>
    </x:row>
    <x:row r="2224">
      <x:c r="A2224" s="155" t="n">
        <x:v>44592</x:v>
      </x:c>
      <x:c r="B2224" s="153" t="n">
        <x:v>1.79</x:v>
      </x:c>
      <x:c r="C2224" s="153" t="n">
        <x:v>-0.65</x:v>
      </x:c>
      <x:c r="D2224" s="153" t="n">
        <x:v>2.44</x:v>
      </x:c>
      <x:c r="E2224" s="153" t="n">
        <x:v>115.566</x:v>
      </x:c>
      <x:c r="F2224" s="153" t="n">
        <x:v>24.83</x:v>
      </x:c>
      <x:c r="G2224" s="153" t="n">
        <x:v>0.08</x:v>
      </x:c>
    </x:row>
    <x:row r="2225">
      <x:c r="A2225" s="155" t="n">
        <x:v>44593</x:v>
      </x:c>
      <x:c r="B2225" s="153" t="n">
        <x:v>1.81</x:v>
      </x:c>
      <x:c r="C2225" s="153" t="n">
        <x:v>-0.62</x:v>
      </x:c>
      <x:c r="D2225" s="153" t="n">
        <x:v>2.43</x:v>
      </x:c>
      <x:c r="E2225" s="153" t="n">
        <x:v>115.3685</x:v>
      </x:c>
      <x:c r="F2225" s="153" t="n">
        <x:v>21.96</x:v>
      </x:c>
      <x:c r="G2225" s="153" t="n">
        <x:v>0.08</x:v>
      </x:c>
    </x:row>
    <x:row r="2226">
      <x:c r="A2226" s="155" t="n">
        <x:v>44594</x:v>
      </x:c>
      <x:c r="B2226" s="153" t="n">
        <x:v>1.78</x:v>
      </x:c>
      <x:c r="C2226" s="153" t="n">
        <x:v>-0.63</x:v>
      </x:c>
      <x:c r="D2226" s="153" t="n">
        <x:v>2.41</x:v>
      </x:c>
      <x:c r="E2226" s="153" t="n">
        <x:v>115.1538</x:v>
      </x:c>
      <x:c r="F2226" s="153" t="n">
        <x:v>22.09</x:v>
      </x:c>
      <x:c r="G2226" s="153" t="n">
        <x:v>0.08</x:v>
      </x:c>
    </x:row>
    <x:row r="2227">
      <x:c r="A2227" s="155" t="n">
        <x:v>44595</x:v>
      </x:c>
      <x:c r="B2227" s="153" t="n">
        <x:v>1.82</x:v>
      </x:c>
      <x:c r="C2227" s="153" t="n">
        <x:v>-0.56</x:v>
      </x:c>
      <x:c r="D2227" s="153" t="n">
        <x:v>2.38</x:v>
      </x:c>
      <x:c r="E2227" s="153" t="n">
        <x:v>114.9065</x:v>
      </x:c>
      <x:c r="F2227" s="153" t="n">
        <x:v>24.35</x:v>
      </x:c>
      <x:c r="G2227" s="153" t="n">
        <x:v>0.08</x:v>
      </x:c>
    </x:row>
    <x:row r="2228">
      <x:c r="A2228" s="155" t="n">
        <x:v>44596</x:v>
      </x:c>
      <x:c r="B2228" s="153" t="n">
        <x:v>1.93</x:v>
      </x:c>
      <x:c r="C2228" s="153" t="n">
        <x:v>-0.48</x:v>
      </x:c>
      <x:c r="D2228" s="153" t="n">
        <x:v>2.41</x:v>
      </x:c>
      <x:c r="E2228" s="153" t="n">
        <x:v>115.1362</x:v>
      </x:c>
      <x:c r="F2228" s="153" t="n">
        <x:v>23.22</x:v>
      </x:c>
      <x:c r="G2228" s="153" t="n">
        <x:v>0.08</x:v>
      </x:c>
    </x:row>
    <x:row r="2229">
      <x:c r="A2229" s="155" t="n">
        <x:v>44597</x:v>
      </x:c>
      <x:c r="B2229" s="153"/>
      <x:c r="C2229" s="153"/>
      <x:c r="D2229" s="153"/>
      <x:c r="E2229" s="153"/>
      <x:c r="F2229" s="153"/>
      <x:c r="G2229" s="153" t="n">
        <x:v>0.08</x:v>
      </x:c>
    </x:row>
    <x:row r="2230">
      <x:c r="A2230" s="155" t="n">
        <x:v>44598</x:v>
      </x:c>
      <x:c r="B2230" s="153"/>
      <x:c r="C2230" s="153"/>
      <x:c r="D2230" s="153"/>
      <x:c r="E2230" s="153"/>
      <x:c r="F2230" s="153"/>
      <x:c r="G2230" s="153" t="n">
        <x:v>0.08</x:v>
      </x:c>
    </x:row>
    <x:row r="2231">
      <x:c r="A2231" s="155" t="n">
        <x:v>44599</x:v>
      </x:c>
      <x:c r="B2231" s="153" t="n">
        <x:v>1.92</x:v>
      </x:c>
      <x:c r="C2231" s="153" t="n">
        <x:v>-0.48</x:v>
      </x:c>
      <x:c r="D2231" s="153" t="n">
        <x:v>2.4</x:v>
      </x:c>
      <x:c r="E2231" s="153" t="n">
        <x:v>115.0098</x:v>
      </x:c>
      <x:c r="F2231" s="153" t="n">
        <x:v>22.86</x:v>
      </x:c>
      <x:c r="G2231" s="153" t="n">
        <x:v>0.08</x:v>
      </x:c>
    </x:row>
    <x:row r="2232">
      <x:c r="A2232" s="155" t="n">
        <x:v>44600</x:v>
      </x:c>
      <x:c r="B2232" s="153" t="n">
        <x:v>1.96</x:v>
      </x:c>
      <x:c r="C2232" s="153" t="n">
        <x:v>-0.46</x:v>
      </x:c>
      <x:c r="D2232" s="153" t="n">
        <x:v>2.42</x:v>
      </x:c>
      <x:c r="E2232" s="153" t="n">
        <x:v>115.0892</x:v>
      </x:c>
      <x:c r="F2232" s="153" t="n">
        <x:v>21.44</x:v>
      </x:c>
      <x:c r="G2232" s="153" t="n">
        <x:v>0.08</x:v>
      </x:c>
    </x:row>
    <x:row r="2233">
      <x:c r="A2233" s="155" t="n">
        <x:v>44601</x:v>
      </x:c>
      <x:c r="B2233" s="153" t="n">
        <x:v>1.94</x:v>
      </x:c>
      <x:c r="C2233" s="153" t="n">
        <x:v>-0.48</x:v>
      </x:c>
      <x:c r="D2233" s="153" t="n">
        <x:v>2.42</x:v>
      </x:c>
      <x:c r="E2233" s="153" t="n">
        <x:v>114.8232</x:v>
      </x:c>
      <x:c r="F2233" s="153" t="n">
        <x:v>19.96</x:v>
      </x:c>
      <x:c r="G2233" s="153" t="n">
        <x:v>0.08</x:v>
      </x:c>
    </x:row>
    <x:row r="2234">
      <x:c r="A2234" s="155" t="n">
        <x:v>44602</x:v>
      </x:c>
      <x:c r="B2234" s="153" t="n">
        <x:v>2.03</x:v>
      </x:c>
      <x:c r="C2234" s="153" t="n">
        <x:v>-0.42</x:v>
      </x:c>
      <x:c r="D2234" s="153" t="n">
        <x:v>2.45</x:v>
      </x:c>
      <x:c r="E2234" s="153" t="n">
        <x:v>114.5527</x:v>
      </x:c>
      <x:c r="F2234" s="153" t="n">
        <x:v>23.91</x:v>
      </x:c>
      <x:c r="G2234" s="153" t="n">
        <x:v>0.08</x:v>
      </x:c>
    </x:row>
    <x:row r="2235">
      <x:c r="A2235" s="155" t="n">
        <x:v>44603</x:v>
      </x:c>
      <x:c r="B2235" s="153" t="n">
        <x:v>1.92</x:v>
      </x:c>
      <x:c r="C2235" s="153" t="n">
        <x:v>-0.51</x:v>
      </x:c>
      <x:c r="D2235" s="153" t="n">
        <x:v>2.43</x:v>
      </x:c>
      <x:c r="E2235" s="153" t="n">
        <x:v>114.8413</x:v>
      </x:c>
      <x:c r="F2235" s="153" t="n">
        <x:v>27.36</x:v>
      </x:c>
      <x:c r="G2235" s="153" t="n">
        <x:v>0.08</x:v>
      </x:c>
    </x:row>
    <x:row r="2236">
      <x:c r="A2236" s="155" t="n">
        <x:v>44604</x:v>
      </x:c>
      <x:c r="B2236" s="153"/>
      <x:c r="C2236" s="153"/>
      <x:c r="D2236" s="153"/>
      <x:c r="E2236" s="153"/>
      <x:c r="F2236" s="153"/>
      <x:c r="G2236" s="153" t="n">
        <x:v>0.08</x:v>
      </x:c>
    </x:row>
    <x:row r="2237">
      <x:c r="A2237" s="155" t="n">
        <x:v>44605</x:v>
      </x:c>
      <x:c r="B2237" s="153"/>
      <x:c r="C2237" s="153"/>
      <x:c r="D2237" s="153"/>
      <x:c r="E2237" s="153"/>
      <x:c r="F2237" s="153"/>
      <x:c r="G2237" s="153" t="n">
        <x:v>0.08</x:v>
      </x:c>
    </x:row>
    <x:row r="2238">
      <x:c r="A2238" s="155" t="n">
        <x:v>44606</x:v>
      </x:c>
      <x:c r="B2238" s="153" t="n">
        <x:v>1.98</x:v>
      </x:c>
      <x:c r="C2238" s="153" t="n">
        <x:v>-0.5</x:v>
      </x:c>
      <x:c r="D2238" s="153" t="n">
        <x:v>2.48</x:v>
      </x:c>
      <x:c r="E2238" s="153" t="n">
        <x:v>115.1946</x:v>
      </x:c>
      <x:c r="F2238" s="153" t="n">
        <x:v>28.33</x:v>
      </x:c>
      <x:c r="G2238" s="153" t="n">
        <x:v>0.08</x:v>
      </x:c>
    </x:row>
    <x:row r="2239">
      <x:c r="A2239" s="155" t="n">
        <x:v>44607</x:v>
      </x:c>
      <x:c r="B2239" s="153" t="n">
        <x:v>2.05</x:v>
      </x:c>
      <x:c r="C2239" s="153" t="n">
        <x:v>-0.43</x:v>
      </x:c>
      <x:c r="D2239" s="153" t="n">
        <x:v>2.48</x:v>
      </x:c>
      <x:c r="E2239" s="153" t="n">
        <x:v>114.93</x:v>
      </x:c>
      <x:c r="F2239" s="153" t="n">
        <x:v>25.7</x:v>
      </x:c>
      <x:c r="G2239" s="153" t="n">
        <x:v>0.08</x:v>
      </x:c>
    </x:row>
    <x:row r="2240">
      <x:c r="A2240" s="155" t="n">
        <x:v>44608</x:v>
      </x:c>
      <x:c r="B2240" s="153" t="n">
        <x:v>2.03</x:v>
      </x:c>
      <x:c r="C2240" s="153" t="n">
        <x:v>-0.43</x:v>
      </x:c>
      <x:c r="D2240" s="153" t="n">
        <x:v>2.46</x:v>
      </x:c>
      <x:c r="E2240" s="153" t="n">
        <x:v>114.6886</x:v>
      </x:c>
      <x:c r="F2240" s="153" t="n">
        <x:v>24.29</x:v>
      </x:c>
      <x:c r="G2240" s="153" t="n">
        <x:v>0.08</x:v>
      </x:c>
    </x:row>
    <x:row r="2241">
      <x:c r="A2241" s="155" t="n">
        <x:v>44609</x:v>
      </x:c>
      <x:c r="B2241" s="153" t="n">
        <x:v>1.97</x:v>
      </x:c>
      <x:c r="C2241" s="153" t="n">
        <x:v>-0.46</x:v>
      </x:c>
      <x:c r="D2241" s="153" t="n">
        <x:v>2.43</x:v>
      </x:c>
      <x:c r="E2241" s="153" t="n">
        <x:v>114.6755</x:v>
      </x:c>
      <x:c r="F2241" s="153" t="n">
        <x:v>28.11</x:v>
      </x:c>
      <x:c r="G2241" s="153" t="n">
        <x:v>0.08</x:v>
      </x:c>
    </x:row>
    <x:row r="2242">
      <x:c r="A2242" s="155" t="n">
        <x:v>44610</x:v>
      </x:c>
      <x:c r="B2242" s="153" t="n">
        <x:v>1.92</x:v>
      </x:c>
      <x:c r="C2242" s="153" t="n">
        <x:v>-0.49</x:v>
      </x:c>
      <x:c r="D2242" s="153" t="n">
        <x:v>2.41</x:v>
      </x:c>
      <x:c r="E2242" s="153" t="n">
        <x:v>114.7982</x:v>
      </x:c>
      <x:c r="F2242" s="153" t="n">
        <x:v>27.75</x:v>
      </x:c>
      <x:c r="G2242" s="153" t="n">
        <x:v>0.08</x:v>
      </x:c>
    </x:row>
    <x:row r="2243">
      <x:c r="A2243" s="155" t="n">
        <x:v>44611</x:v>
      </x:c>
      <x:c r="B2243" s="153"/>
      <x:c r="C2243" s="153"/>
      <x:c r="D2243" s="153"/>
      <x:c r="E2243" s="153"/>
      <x:c r="F2243" s="153"/>
      <x:c r="G2243" s="153" t="n">
        <x:v>0.08</x:v>
      </x:c>
    </x:row>
    <x:row r="2244">
      <x:c r="A2244" s="155" t="n">
        <x:v>44612</x:v>
      </x:c>
      <x:c r="B2244" s="153"/>
      <x:c r="C2244" s="153"/>
      <x:c r="D2244" s="153"/>
      <x:c r="E2244" s="153"/>
      <x:c r="F2244" s="153"/>
      <x:c r="G2244" s="153" t="n">
        <x:v>0.08</x:v>
      </x:c>
    </x:row>
    <x:row r="2245">
      <x:c r="A2245" s="155" t="n">
        <x:v>44613</x:v>
      </x:c>
      <x:c r="B2245" s="153"/>
      <x:c r="C2245" s="153"/>
      <x:c r="D2245" s="153"/>
      <x:c r="E2245" s="153"/>
      <x:c r="F2245" s="153"/>
      <x:c r="G2245" s="153" t="n">
        <x:v>0.08</x:v>
      </x:c>
    </x:row>
    <x:row r="2246">
      <x:c r="A2246" s="155" t="n">
        <x:v>44614</x:v>
      </x:c>
      <x:c r="B2246" s="153" t="n">
        <x:v>1.94</x:v>
      </x:c>
      <x:c r="C2246" s="153" t="n">
        <x:v>-0.51</x:v>
      </x:c>
      <x:c r="D2246" s="153" t="n">
        <x:v>2.45</x:v>
      </x:c>
      <x:c r="E2246" s="153" t="n">
        <x:v>114.7002</x:v>
      </x:c>
      <x:c r="F2246" s="153" t="n">
        <x:v>28.81</x:v>
      </x:c>
      <x:c r="G2246" s="153" t="n">
        <x:v>0.08</x:v>
      </x:c>
    </x:row>
    <x:row r="2247">
      <x:c r="A2247" s="155" t="n">
        <x:v>44615</x:v>
      </x:c>
      <x:c r="B2247" s="153" t="n">
        <x:v>1.99</x:v>
      </x:c>
      <x:c r="C2247" s="153" t="n">
        <x:v>-0.54</x:v>
      </x:c>
      <x:c r="D2247" s="153" t="n">
        <x:v>2.53</x:v>
      </x:c>
      <x:c r="E2247" s="153" t="n">
        <x:v>114.6668</x:v>
      </x:c>
      <x:c r="F2247" s="153" t="n">
        <x:v>31.02</x:v>
      </x:c>
      <x:c r="G2247" s="153" t="n">
        <x:v>0.08</x:v>
      </x:c>
    </x:row>
    <x:row r="2248">
      <x:c r="A2248" s="155" t="n">
        <x:v>44616</x:v>
      </x:c>
      <x:c r="B2248" s="153" t="n">
        <x:v>1.96</x:v>
      </x:c>
      <x:c r="C2248" s="153" t="n">
        <x:v>-0.59</x:v>
      </x:c>
      <x:c r="D2248" s="153" t="n">
        <x:v>2.55</x:v>
      </x:c>
      <x:c r="E2248" s="153" t="n">
        <x:v>115.9419</x:v>
      </x:c>
      <x:c r="F2248" s="153" t="n">
        <x:v>30.32</x:v>
      </x:c>
      <x:c r="G2248" s="153" t="n">
        <x:v>0.08</x:v>
      </x:c>
    </x:row>
    <x:row r="2249">
      <x:c r="A2249" s="155" t="n">
        <x:v>44617</x:v>
      </x:c>
      <x:c r="B2249" s="153" t="n">
        <x:v>1.97</x:v>
      </x:c>
      <x:c r="C2249" s="153" t="n">
        <x:v>-0.57</x:v>
      </x:c>
      <x:c r="D2249" s="153" t="n">
        <x:v>2.54</x:v>
      </x:c>
      <x:c r="E2249" s="153" t="n">
        <x:v>115.2577</x:v>
      </x:c>
      <x:c r="F2249" s="153" t="n">
        <x:v>27.59</x:v>
      </x:c>
      <x:c r="G2249" s="153" t="n">
        <x:v>0.08</x:v>
      </x:c>
    </x:row>
    <x:row r="2250">
      <x:c r="A2250" s="155" t="n">
        <x:v>44618</x:v>
      </x:c>
      <x:c r="B2250" s="153"/>
      <x:c r="C2250" s="153"/>
      <x:c r="D2250" s="153"/>
      <x:c r="E2250" s="153"/>
      <x:c r="F2250" s="153"/>
      <x:c r="G2250" s="153" t="n">
        <x:v>0.08</x:v>
      </x:c>
    </x:row>
    <x:row r="2251">
      <x:c r="A2251" s="155" t="n">
        <x:v>44619</x:v>
      </x:c>
      <x:c r="B2251" s="153"/>
      <x:c r="C2251" s="153"/>
      <x:c r="D2251" s="153"/>
      <x:c r="E2251" s="153"/>
      <x:c r="F2251" s="153"/>
      <x:c r="G2251" s="153" t="n">
        <x:v>0.08</x:v>
      </x:c>
    </x:row>
    <x:row r="2252">
      <x:c r="A2252" s="155" t="n">
        <x:v>44620</x:v>
      </x:c>
      <x:c r="B2252" s="153" t="n">
        <x:v>1.83</x:v>
      </x:c>
      <x:c r="C2252" s="153" t="n">
        <x:v>-0.79</x:v>
      </x:c>
      <x:c r="D2252" s="153" t="n">
        <x:v>2.62</x:v>
      </x:c>
      <x:c r="E2252" s="153" t="n">
        <x:v>115.2224</x:v>
      </x:c>
      <x:c r="F2252" s="153" t="n">
        <x:v>30.15</x:v>
      </x:c>
      <x:c r="G2252" s="153" t="n">
        <x:v>0.08</x:v>
      </x:c>
    </x:row>
    <x:row r="2253">
      <x:c r="A2253" s="155" t="n">
        <x:v>44621</x:v>
      </x:c>
      <x:c r="B2253" s="153" t="n">
        <x:v>1.72</x:v>
      </x:c>
      <x:c r="C2253" s="153" t="n">
        <x:v>-0.9</x:v>
      </x:c>
      <x:c r="D2253" s="153" t="n">
        <x:v>2.62</x:v>
      </x:c>
      <x:c r="E2253" s="153" t="n">
        <x:v>115.7962</x:v>
      </x:c>
      <x:c r="F2253" s="153" t="n">
        <x:v>33.32</x:v>
      </x:c>
      <x:c r="G2253" s="153" t="n">
        <x:v>0.08</x:v>
      </x:c>
    </x:row>
    <x:row r="2254">
      <x:c r="A2254" s="155" t="n">
        <x:v>44622</x:v>
      </x:c>
      <x:c r="B2254" s="153" t="n">
        <x:v>1.86</x:v>
      </x:c>
      <x:c r="C2254" s="153" t="n">
        <x:v>-0.85</x:v>
      </x:c>
      <x:c r="D2254" s="153" t="n">
        <x:v>2.71</x:v>
      </x:c>
      <x:c r="E2254" s="153" t="n">
        <x:v>115.7623</x:v>
      </x:c>
      <x:c r="F2254" s="153" t="n">
        <x:v>30.74</x:v>
      </x:c>
      <x:c r="G2254" s="153" t="n">
        <x:v>0.08</x:v>
      </x:c>
    </x:row>
    <x:row r="2255">
      <x:c r="A2255" s="155" t="n">
        <x:v>44623</x:v>
      </x:c>
      <x:c r="B2255" s="153" t="n">
        <x:v>1.86</x:v>
      </x:c>
      <x:c r="C2255" s="153" t="n">
        <x:v>-0.83</x:v>
      </x:c>
      <x:c r="D2255" s="153" t="n">
        <x:v>2.69</x:v>
      </x:c>
      <x:c r="E2255" s="153" t="n">
        <x:v>115.9495</x:v>
      </x:c>
      <x:c r="F2255" s="153" t="n">
        <x:v>30.48</x:v>
      </x:c>
      <x:c r="G2255" s="153" t="n">
        <x:v>0.08</x:v>
      </x:c>
    </x:row>
    <x:row r="2256">
      <x:c r="A2256" s="155" t="n">
        <x:v>44624</x:v>
      </x:c>
      <x:c r="B2256" s="153" t="n">
        <x:v>1.74</x:v>
      </x:c>
      <x:c r="C2256" s="153" t="n">
        <x:v>-0.93</x:v>
      </x:c>
      <x:c r="D2256" s="153" t="n">
        <x:v>2.67</x:v>
      </x:c>
      <x:c r="E2256" s="153" t="n">
        <x:v>116.6503</x:v>
      </x:c>
      <x:c r="F2256" s="153" t="n">
        <x:v>31.98</x:v>
      </x:c>
      <x:c r="G2256" s="153" t="n">
        <x:v>0.08</x:v>
      </x:c>
    </x:row>
    <x:row r="2257">
      <x:c r="A2257" s="155" t="n">
        <x:v>44625</x:v>
      </x:c>
      <x:c r="B2257" s="153"/>
      <x:c r="C2257" s="153"/>
      <x:c r="D2257" s="153"/>
      <x:c r="E2257" s="153"/>
      <x:c r="F2257" s="153"/>
      <x:c r="G2257" s="153" t="n">
        <x:v>0.08</x:v>
      </x:c>
    </x:row>
    <x:row r="2258">
      <x:c r="A2258" s="155" t="n">
        <x:v>44626</x:v>
      </x:c>
      <x:c r="B2258" s="153"/>
      <x:c r="C2258" s="153"/>
      <x:c r="D2258" s="153"/>
      <x:c r="E2258" s="153"/>
      <x:c r="F2258" s="153"/>
      <x:c r="G2258" s="153" t="n">
        <x:v>0.08</x:v>
      </x:c>
    </x:row>
    <x:row r="2259">
      <x:c r="A2259" s="155" t="n">
        <x:v>44627</x:v>
      </x:c>
      <x:c r="B2259" s="153" t="n">
        <x:v>1.78</x:v>
      </x:c>
      <x:c r="C2259" s="153" t="n">
        <x:v>-0.99</x:v>
      </x:c>
      <x:c r="D2259" s="153" t="n">
        <x:v>2.77</x:v>
      </x:c>
      <x:c r="E2259" s="153" t="n">
        <x:v>117.3278</x:v>
      </x:c>
      <x:c r="F2259" s="153" t="n">
        <x:v>36.45</x:v>
      </x:c>
      <x:c r="G2259" s="153" t="n">
        <x:v>0.08</x:v>
      </x:c>
    </x:row>
    <x:row r="2260">
      <x:c r="A2260" s="155" t="n">
        <x:v>44628</x:v>
      </x:c>
      <x:c r="B2260" s="153" t="n">
        <x:v>1.86</x:v>
      </x:c>
      <x:c r="C2260" s="153" t="n">
        <x:v>-1.04</x:v>
      </x:c>
      <x:c r="D2260" s="153" t="n">
        <x:v>2.9</x:v>
      </x:c>
      <x:c r="E2260" s="153" t="n">
        <x:v>117.6176</x:v>
      </x:c>
      <x:c r="F2260" s="153" t="n">
        <x:v>35.13</x:v>
      </x:c>
      <x:c r="G2260" s="153" t="n">
        <x:v>0.08</x:v>
      </x:c>
    </x:row>
    <x:row r="2261">
      <x:c r="A2261" s="155" t="n">
        <x:v>44629</x:v>
      </x:c>
      <x:c r="B2261" s="153" t="n">
        <x:v>1.94</x:v>
      </x:c>
      <x:c r="C2261" s="153" t="n">
        <x:v>-0.9</x:v>
      </x:c>
      <x:c r="D2261" s="153" t="n">
        <x:v>2.84</x:v>
      </x:c>
      <x:c r="E2261" s="153" t="n">
        <x:v>116.5961</x:v>
      </x:c>
      <x:c r="F2261" s="153" t="n">
        <x:v>32.45</x:v>
      </x:c>
      <x:c r="G2261" s="153" t="n">
        <x:v>0.08</x:v>
      </x:c>
    </x:row>
    <x:row r="2262">
      <x:c r="A2262" s="155" t="n">
        <x:v>44630</x:v>
      </x:c>
      <x:c r="B2262" s="153" t="n">
        <x:v>1.98</x:v>
      </x:c>
      <x:c r="C2262" s="153" t="n">
        <x:v>-0.88</x:v>
      </x:c>
      <x:c r="D2262" s="153" t="n">
        <x:v>2.86</x:v>
      </x:c>
      <x:c r="E2262" s="153" t="n">
        <x:v>116.7401</x:v>
      </x:c>
      <x:c r="F2262" s="153" t="n">
        <x:v>30.23</x:v>
      </x:c>
      <x:c r="G2262" s="153" t="n">
        <x:v>0.08</x:v>
      </x:c>
    </x:row>
    <x:row r="2263">
      <x:c r="A2263" s="155" t="n">
        <x:v>44631</x:v>
      </x:c>
      <x:c r="B2263" s="153" t="n">
        <x:v>2</x:v>
      </x:c>
      <x:c r="C2263" s="153" t="n">
        <x:v>-0.94</x:v>
      </x:c>
      <x:c r="D2263" s="153" t="n">
        <x:v>2.94</x:v>
      </x:c>
      <x:c r="E2263" s="153" t="n">
        <x:v>117.0192</x:v>
      </x:c>
      <x:c r="F2263" s="153" t="n">
        <x:v>30.75</x:v>
      </x:c>
      <x:c r="G2263" s="153" t="n">
        <x:v>0.08</x:v>
      </x:c>
    </x:row>
    <x:row r="2264">
      <x:c r="A2264" s="155" t="n">
        <x:v>44632</x:v>
      </x:c>
      <x:c r="B2264" s="153"/>
      <x:c r="C2264" s="153"/>
      <x:c r="D2264" s="153"/>
      <x:c r="E2264" s="153"/>
      <x:c r="F2264" s="153"/>
      <x:c r="G2264" s="153" t="n">
        <x:v>0.08</x:v>
      </x:c>
    </x:row>
    <x:row r="2265">
      <x:c r="A2265" s="155" t="n">
        <x:v>44633</x:v>
      </x:c>
      <x:c r="B2265" s="153"/>
      <x:c r="C2265" s="153"/>
      <x:c r="D2265" s="153"/>
      <x:c r="E2265" s="153"/>
      <x:c r="F2265" s="153"/>
      <x:c r="G2265" s="153" t="n">
        <x:v>0.08</x:v>
      </x:c>
    </x:row>
    <x:row r="2266">
      <x:c r="A2266" s="155" t="n">
        <x:v>44634</x:v>
      </x:c>
      <x:c r="B2266" s="153" t="n">
        <x:v>2.14</x:v>
      </x:c>
      <x:c r="C2266" s="153" t="n">
        <x:v>-0.79</x:v>
      </x:c>
      <x:c r="D2266" s="153" t="n">
        <x:v>2.93</x:v>
      </x:c>
      <x:c r="E2266" s="153" t="n">
        <x:v>117.1506</x:v>
      </x:c>
      <x:c r="F2266" s="153" t="n">
        <x:v>31.77</x:v>
      </x:c>
      <x:c r="G2266" s="153" t="n">
        <x:v>0.08</x:v>
      </x:c>
    </x:row>
    <x:row r="2267">
      <x:c r="A2267" s="155" t="n">
        <x:v>44635</x:v>
      </x:c>
      <x:c r="B2267" s="153" t="n">
        <x:v>2.15</x:v>
      </x:c>
      <x:c r="C2267" s="153" t="n">
        <x:v>-0.69</x:v>
      </x:c>
      <x:c r="D2267" s="153" t="n">
        <x:v>2.84</x:v>
      </x:c>
      <x:c r="E2267" s="153" t="n">
        <x:v>117.246</x:v>
      </x:c>
      <x:c r="F2267" s="153" t="n">
        <x:v>29.83</x:v>
      </x:c>
      <x:c r="G2267" s="153" t="n">
        <x:v>0.08</x:v>
      </x:c>
    </x:row>
    <x:row r="2268">
      <x:c r="A2268" s="155" t="n">
        <x:v>44636</x:v>
      </x:c>
      <x:c r="B2268" s="153" t="n">
        <x:v>2.19</x:v>
      </x:c>
      <x:c r="C2268" s="153" t="n">
        <x:v>-0.61</x:v>
      </x:c>
      <x:c r="D2268" s="153" t="n">
        <x:v>2.8</x:v>
      </x:c>
      <x:c r="E2268" s="153" t="n">
        <x:v>116.8073</x:v>
      </x:c>
      <x:c r="F2268" s="153" t="n">
        <x:v>26.67</x:v>
      </x:c>
      <x:c r="G2268" s="153" t="n">
        <x:v>0.08</x:v>
      </x:c>
    </x:row>
    <x:row r="2269">
      <x:c r="A2269" s="155" t="n">
        <x:v>44637</x:v>
      </x:c>
      <x:c r="B2269" s="153" t="n">
        <x:v>2.2</x:v>
      </x:c>
      <x:c r="C2269" s="153" t="n">
        <x:v>-0.71</x:v>
      </x:c>
      <x:c r="D2269" s="153" t="n">
        <x:v>2.91</x:v>
      </x:c>
      <x:c r="E2269" s="153" t="n">
        <x:v>116.0467</x:v>
      </x:c>
      <x:c r="F2269" s="153" t="n">
        <x:v>25.67</x:v>
      </x:c>
      <x:c r="G2269" s="153" t="n">
        <x:v>0.33</x:v>
      </x:c>
    </x:row>
    <x:row r="2270">
      <x:c r="A2270" s="155" t="n">
        <x:v>44638</x:v>
      </x:c>
      <x:c r="B2270" s="153" t="n">
        <x:v>2.14</x:v>
      </x:c>
      <x:c r="C2270" s="153" t="n">
        <x:v>-0.72</x:v>
      </x:c>
      <x:c r="D2270" s="153" t="n">
        <x:v>2.86</x:v>
      </x:c>
      <x:c r="E2270" s="153" t="n">
        <x:v>116.1378</x:v>
      </x:c>
      <x:c r="F2270" s="153" t="n">
        <x:v>23.87</x:v>
      </x:c>
      <x:c r="G2270" s="153" t="n">
        <x:v>0.33</x:v>
      </x:c>
    </x:row>
    <x:row r="2271">
      <x:c r="A2271" s="155" t="n">
        <x:v>44639</x:v>
      </x:c>
      <x:c r="B2271" s="153"/>
      <x:c r="C2271" s="153"/>
      <x:c r="D2271" s="153"/>
      <x:c r="E2271" s="153"/>
      <x:c r="F2271" s="153"/>
      <x:c r="G2271" s="153" t="n">
        <x:v>0.33</x:v>
      </x:c>
    </x:row>
    <x:row r="2272">
      <x:c r="A2272" s="155" t="n">
        <x:v>44640</x:v>
      </x:c>
      <x:c r="B2272" s="153"/>
      <x:c r="C2272" s="153"/>
      <x:c r="D2272" s="153"/>
      <x:c r="E2272" s="153"/>
      <x:c r="F2272" s="153"/>
      <x:c r="G2272" s="153" t="n">
        <x:v>0.33</x:v>
      </x:c>
    </x:row>
    <x:row r="2273">
      <x:c r="A2273" s="155" t="n">
        <x:v>44641</x:v>
      </x:c>
      <x:c r="B2273" s="153" t="n">
        <x:v>2.32</x:v>
      </x:c>
      <x:c r="C2273" s="153" t="n">
        <x:v>-0.58</x:v>
      </x:c>
      <x:c r="D2273" s="153" t="n">
        <x:v>2.9</x:v>
      </x:c>
      <x:c r="E2273" s="153" t="n">
        <x:v>115.9398</x:v>
      </x:c>
      <x:c r="F2273" s="153" t="n">
        <x:v>23.53</x:v>
      </x:c>
      <x:c r="G2273" s="153" t="n">
        <x:v>0.33</x:v>
      </x:c>
    </x:row>
    <x:row r="2274">
      <x:c r="A2274" s="155" t="n">
        <x:v>44642</x:v>
      </x:c>
      <x:c r="B2274" s="153" t="n">
        <x:v>2.38</x:v>
      </x:c>
      <x:c r="C2274" s="153" t="n">
        <x:v>-0.53</x:v>
      </x:c>
      <x:c r="D2274" s="153" t="n">
        <x:v>2.91</x:v>
      </x:c>
      <x:c r="E2274" s="153" t="n">
        <x:v>116.0824</x:v>
      </x:c>
      <x:c r="F2274" s="153" t="n">
        <x:v>22.94</x:v>
      </x:c>
      <x:c r="G2274" s="153" t="n">
        <x:v>0.33</x:v>
      </x:c>
    </x:row>
    <x:row r="2275">
      <x:c r="A2275" s="155" t="n">
        <x:v>44643</x:v>
      </x:c>
      <x:c r="B2275" s="153" t="n">
        <x:v>2.32</x:v>
      </x:c>
      <x:c r="C2275" s="153" t="n">
        <x:v>-0.62</x:v>
      </x:c>
      <x:c r="D2275" s="153" t="n">
        <x:v>2.94</x:v>
      </x:c>
      <x:c r="E2275" s="153" t="n">
        <x:v>116.005</x:v>
      </x:c>
      <x:c r="F2275" s="153" t="n">
        <x:v>23.57</x:v>
      </x:c>
      <x:c r="G2275" s="153" t="n">
        <x:v>0.33</x:v>
      </x:c>
    </x:row>
    <x:row r="2276">
      <x:c r="A2276" s="155" t="n">
        <x:v>44644</x:v>
      </x:c>
      <x:c r="B2276" s="153" t="n">
        <x:v>2.34</x:v>
      </x:c>
      <x:c r="C2276" s="153" t="n">
        <x:v>-0.58</x:v>
      </x:c>
      <x:c r="D2276" s="153" t="n">
        <x:v>2.92</x:v>
      </x:c>
      <x:c r="E2276" s="153" t="n">
        <x:v>115.9599</x:v>
      </x:c>
      <x:c r="F2276" s="153" t="n">
        <x:v>21.67</x:v>
      </x:c>
      <x:c r="G2276" s="153" t="n">
        <x:v>0.33</x:v>
      </x:c>
    </x:row>
    <x:row r="2277">
      <x:c r="A2277" s="155" t="n">
        <x:v>44645</x:v>
      </x:c>
      <x:c r="B2277" s="153" t="n">
        <x:v>2.48</x:v>
      </x:c>
      <x:c r="C2277" s="153" t="n">
        <x:v>-0.47</x:v>
      </x:c>
      <x:c r="D2277" s="153" t="n">
        <x:v>2.95</x:v>
      </x:c>
      <x:c r="E2277" s="153" t="n">
        <x:v>115.7921</x:v>
      </x:c>
      <x:c r="F2277" s="153" t="n">
        <x:v>20.81</x:v>
      </x:c>
      <x:c r="G2277" s="153" t="n">
        <x:v>0.33</x:v>
      </x:c>
    </x:row>
    <x:row r="2278">
      <x:c r="A2278" s="155" t="n">
        <x:v>44646</x:v>
      </x:c>
      <x:c r="B2278" s="153"/>
      <x:c r="C2278" s="153"/>
      <x:c r="D2278" s="153"/>
      <x:c r="E2278" s="153"/>
      <x:c r="F2278" s="153"/>
      <x:c r="G2278" s="153" t="n">
        <x:v>0.33</x:v>
      </x:c>
    </x:row>
    <x:row r="2279">
      <x:c r="A2279" s="155" t="n">
        <x:v>44647</x:v>
      </x:c>
      <x:c r="B2279" s="153"/>
      <x:c r="C2279" s="153"/>
      <x:c r="D2279" s="153"/>
      <x:c r="E2279" s="153"/>
      <x:c r="F2279" s="153"/>
      <x:c r="G2279" s="153" t="n">
        <x:v>0.33</x:v>
      </x:c>
    </x:row>
    <x:row r="2280">
      <x:c r="A2280" s="155" t="n">
        <x:v>44648</x:v>
      </x:c>
      <x:c r="B2280" s="153" t="n">
        <x:v>2.46</x:v>
      </x:c>
      <x:c r="C2280" s="153" t="n">
        <x:v>-0.49</x:v>
      </x:c>
      <x:c r="D2280" s="153" t="n">
        <x:v>2.95</x:v>
      </x:c>
      <x:c r="E2280" s="153" t="n">
        <x:v>116.1911</x:v>
      </x:c>
      <x:c r="F2280" s="153" t="n">
        <x:v>19.63</x:v>
      </x:c>
      <x:c r="G2280" s="153" t="n">
        <x:v>0.33</x:v>
      </x:c>
    </x:row>
    <x:row r="2281">
      <x:c r="A2281" s="155" t="n">
        <x:v>44649</x:v>
      </x:c>
      <x:c r="B2281" s="153" t="n">
        <x:v>2.41</x:v>
      </x:c>
      <x:c r="C2281" s="153" t="n">
        <x:v>-0.45</x:v>
      </x:c>
      <x:c r="D2281" s="153" t="n">
        <x:v>2.86</x:v>
      </x:c>
      <x:c r="E2281" s="153" t="n">
        <x:v>115.5679</x:v>
      </x:c>
      <x:c r="F2281" s="153" t="n">
        <x:v>18.9</x:v>
      </x:c>
      <x:c r="G2281" s="153" t="n">
        <x:v>0.33</x:v>
      </x:c>
    </x:row>
    <x:row r="2282">
      <x:c r="A2282" s="155" t="n">
        <x:v>44650</x:v>
      </x:c>
      <x:c r="B2282" s="153" t="n">
        <x:v>2.35</x:v>
      </x:c>
      <x:c r="C2282" s="153" t="n">
        <x:v>-0.51</x:v>
      </x:c>
      <x:c r="D2282" s="153" t="n">
        <x:v>2.86</x:v>
      </x:c>
      <x:c r="E2282" s="153" t="n">
        <x:v>115.0818</x:v>
      </x:c>
      <x:c r="F2282" s="153" t="n">
        <x:v>19.33</x:v>
      </x:c>
      <x:c r="G2282" s="153" t="n">
        <x:v>0.33</x:v>
      </x:c>
    </x:row>
    <x:row r="2283">
      <x:c r="A2283" s="155" t="n">
        <x:v>44651</x:v>
      </x:c>
      <x:c r="B2283" s="153" t="n">
        <x:v>2.32</x:v>
      </x:c>
      <x:c r="C2283" s="153" t="n">
        <x:v>-0.52</x:v>
      </x:c>
      <x:c r="D2283" s="153" t="n">
        <x:v>2.84</x:v>
      </x:c>
      <x:c r="E2283" s="153" t="n">
        <x:v>115.2218</x:v>
      </x:c>
      <x:c r="F2283" s="153" t="n">
        <x:v>20.56</x:v>
      </x:c>
      <x:c r="G2283" s="153" t="n">
        <x:v>0.33</x:v>
      </x:c>
    </x:row>
    <x:row r="2284">
      <x:c r="A2284" s="155" t="n">
        <x:v>44652</x:v>
      </x:c>
      <x:c r="B2284" s="153" t="n">
        <x:v>2.39</x:v>
      </x:c>
      <x:c r="C2284" s="153" t="n">
        <x:v>-0.41</x:v>
      </x:c>
      <x:c r="D2284" s="153" t="n">
        <x:v>2.8</x:v>
      </x:c>
      <x:c r="E2284" s="153" t="n">
        <x:v>115.4814</x:v>
      </x:c>
      <x:c r="F2284" s="153" t="n">
        <x:v>19.63</x:v>
      </x:c>
      <x:c r="G2284" s="153" t="n">
        <x:v>0.33</x:v>
      </x:c>
    </x:row>
    <x:row r="2285">
      <x:c r="A2285" s="155" t="n">
        <x:v>44653</x:v>
      </x:c>
      <x:c r="B2285" s="153"/>
      <x:c r="C2285" s="153"/>
      <x:c r="D2285" s="153"/>
      <x:c r="E2285" s="153"/>
      <x:c r="F2285" s="153"/>
      <x:c r="G2285" s="153" t="n">
        <x:v>0.33</x:v>
      </x:c>
    </x:row>
    <x:row r="2286">
      <x:c r="A2286" s="155" t="n">
        <x:v>44654</x:v>
      </x:c>
      <x:c r="B2286" s="153"/>
      <x:c r="C2286" s="153"/>
      <x:c r="D2286" s="153"/>
      <x:c r="E2286" s="153"/>
      <x:c r="F2286" s="153"/>
      <x:c r="G2286" s="153" t="n">
        <x:v>0.33</x:v>
      </x:c>
    </x:row>
    <x:row r="2287">
      <x:c r="A2287" s="155" t="n">
        <x:v>44655</x:v>
      </x:c>
      <x:c r="B2287" s="153" t="n">
        <x:v>2.42</x:v>
      </x:c>
      <x:c r="C2287" s="153" t="n">
        <x:v>-0.38</x:v>
      </x:c>
      <x:c r="D2287" s="153" t="n">
        <x:v>2.8</x:v>
      </x:c>
      <x:c r="E2287" s="153" t="n">
        <x:v>115.4112</x:v>
      </x:c>
      <x:c r="F2287" s="153" t="n">
        <x:v>18.57</x:v>
      </x:c>
      <x:c r="G2287" s="153" t="n">
        <x:v>0.33</x:v>
      </x:c>
    </x:row>
    <x:row r="2288">
      <x:c r="A2288" s="155" t="n">
        <x:v>44656</x:v>
      </x:c>
      <x:c r="B2288" s="153" t="n">
        <x:v>2.54</x:v>
      </x:c>
      <x:c r="C2288" s="153" t="n">
        <x:v>-0.3</x:v>
      </x:c>
      <x:c r="D2288" s="153" t="n">
        <x:v>2.84</x:v>
      </x:c>
      <x:c r="E2288" s="153" t="n">
        <x:v>115.73</x:v>
      </x:c>
      <x:c r="F2288" s="153" t="n">
        <x:v>21.03</x:v>
      </x:c>
      <x:c r="G2288" s="153" t="n">
        <x:v>0.33</x:v>
      </x:c>
    </x:row>
    <x:row r="2289">
      <x:c r="A2289" s="155" t="n">
        <x:v>44657</x:v>
      </x:c>
      <x:c r="B2289" s="153" t="n">
        <x:v>2.61</x:v>
      </x:c>
      <x:c r="C2289" s="153" t="n">
        <x:v>-0.22</x:v>
      </x:c>
      <x:c r="D2289" s="153" t="n">
        <x:v>2.83</x:v>
      </x:c>
      <x:c r="E2289" s="153" t="n">
        <x:v>115.9995</x:v>
      </x:c>
      <x:c r="F2289" s="153" t="n">
        <x:v>22.1</x:v>
      </x:c>
      <x:c r="G2289" s="153" t="n">
        <x:v>0.33</x:v>
      </x:c>
    </x:row>
    <x:row r="2290">
      <x:c r="A2290" s="155" t="n">
        <x:v>44658</x:v>
      </x:c>
      <x:c r="B2290" s="153" t="n">
        <x:v>2.66</x:v>
      </x:c>
      <x:c r="C2290" s="153" t="n">
        <x:v>-0.16</x:v>
      </x:c>
      <x:c r="D2290" s="153" t="n">
        <x:v>2.82</x:v>
      </x:c>
      <x:c r="E2290" s="153" t="n">
        <x:v>116.3512</x:v>
      </x:c>
      <x:c r="F2290" s="153" t="n">
        <x:v>21.55</x:v>
      </x:c>
      <x:c r="G2290" s="153" t="n">
        <x:v>0.33</x:v>
      </x:c>
    </x:row>
    <x:row r="2291">
      <x:c r="A2291" s="155" t="n">
        <x:v>44659</x:v>
      </x:c>
      <x:c r="B2291" s="153" t="n">
        <x:v>2.72</x:v>
      </x:c>
      <x:c r="C2291" s="153" t="n">
        <x:v>-0.15</x:v>
      </x:c>
      <x:c r="D2291" s="153" t="n">
        <x:v>2.87</x:v>
      </x:c>
      <x:c r="E2291" s="153" t="n">
        <x:v>116.4176</x:v>
      </x:c>
      <x:c r="F2291" s="153" t="n">
        <x:v>21.16</x:v>
      </x:c>
      <x:c r="G2291" s="153" t="n">
        <x:v>0.33</x:v>
      </x:c>
    </x:row>
    <x:row r="2292">
      <x:c r="A2292" s="155" t="n">
        <x:v>44660</x:v>
      </x:c>
      <x:c r="B2292" s="153"/>
      <x:c r="C2292" s="153"/>
      <x:c r="D2292" s="153"/>
      <x:c r="E2292" s="153"/>
      <x:c r="F2292" s="153"/>
      <x:c r="G2292" s="153" t="n">
        <x:v>0.33</x:v>
      </x:c>
    </x:row>
    <x:row r="2293">
      <x:c r="A2293" s="155" t="n">
        <x:v>44661</x:v>
      </x:c>
      <x:c r="B2293" s="153"/>
      <x:c r="C2293" s="153"/>
      <x:c r="D2293" s="153"/>
      <x:c r="E2293" s="153"/>
      <x:c r="F2293" s="153"/>
      <x:c r="G2293" s="153" t="n">
        <x:v>0.33</x:v>
      </x:c>
    </x:row>
    <x:row r="2294">
      <x:c r="A2294" s="155" t="n">
        <x:v>44662</x:v>
      </x:c>
      <x:c r="B2294" s="153" t="n">
        <x:v>2.79</x:v>
      </x:c>
      <x:c r="C2294" s="153" t="n">
        <x:v>-0.12</x:v>
      </x:c>
      <x:c r="D2294" s="153" t="n">
        <x:v>2.91</x:v>
      </x:c>
      <x:c r="E2294" s="153" t="n">
        <x:v>116.5401</x:v>
      </x:c>
      <x:c r="F2294" s="153" t="n">
        <x:v>24.37</x:v>
      </x:c>
      <x:c r="G2294" s="153" t="n">
        <x:v>0.33</x:v>
      </x:c>
    </x:row>
    <x:row r="2295">
      <x:c r="A2295" s="155" t="n">
        <x:v>44663</x:v>
      </x:c>
      <x:c r="B2295" s="153" t="n">
        <x:v>2.72</x:v>
      </x:c>
      <x:c r="C2295" s="153" t="n">
        <x:v>-0.14</x:v>
      </x:c>
      <x:c r="D2295" s="153" t="n">
        <x:v>2.86</x:v>
      </x:c>
      <x:c r="E2295" s="153" t="n">
        <x:v>116.3866</x:v>
      </x:c>
      <x:c r="F2295" s="153" t="n">
        <x:v>24.26</x:v>
      </x:c>
      <x:c r="G2295" s="153" t="n">
        <x:v>0.33</x:v>
      </x:c>
    </x:row>
    <x:row r="2296">
      <x:c r="A2296" s="155" t="n">
        <x:v>44664</x:v>
      </x:c>
      <x:c r="B2296" s="153" t="n">
        <x:v>2.7</x:v>
      </x:c>
      <x:c r="C2296" s="153" t="n">
        <x:v>-0.1</x:v>
      </x:c>
      <x:c r="D2296" s="153" t="n">
        <x:v>2.8</x:v>
      </x:c>
      <x:c r="E2296" s="153" t="n">
        <x:v>116.2796</x:v>
      </x:c>
      <x:c r="F2296" s="153" t="n">
        <x:v>21.82</x:v>
      </x:c>
      <x:c r="G2296" s="153" t="n">
        <x:v>0.33</x:v>
      </x:c>
    </x:row>
    <x:row r="2297">
      <x:c r="A2297" s="155" t="n">
        <x:v>44665</x:v>
      </x:c>
      <x:c r="B2297" s="153" t="n">
        <x:v>2.83</x:v>
      </x:c>
      <x:c r="C2297" s="153" t="n">
        <x:v>-0.06</x:v>
      </x:c>
      <x:c r="D2297" s="153" t="n">
        <x:v>2.89</x:v>
      </x:c>
      <x:c r="E2297" s="153" t="n">
        <x:v>116.7558</x:v>
      </x:c>
      <x:c r="F2297" s="153" t="n">
        <x:v>22.7</x:v>
      </x:c>
      <x:c r="G2297" s="153" t="n">
        <x:v>0.33</x:v>
      </x:c>
    </x:row>
    <x:row r="2298">
      <x:c r="A2298" s="155" t="n">
        <x:v>44666</x:v>
      </x:c>
      <x:c r="B2298" s="153"/>
      <x:c r="C2298" s="153"/>
      <x:c r="D2298" s="153"/>
      <x:c r="E2298" s="153" t="n">
        <x:v>116.7017</x:v>
      </x:c>
      <x:c r="F2298" s="153"/>
      <x:c r="G2298" s="153" t="n">
        <x:v>0.33</x:v>
      </x:c>
    </x:row>
    <x:row r="2299">
      <x:c r="A2299" s="155" t="n">
        <x:v>44667</x:v>
      </x:c>
      <x:c r="B2299" s="153"/>
      <x:c r="C2299" s="153"/>
      <x:c r="D2299" s="153"/>
      <x:c r="E2299" s="153"/>
      <x:c r="F2299" s="153"/>
      <x:c r="G2299" s="153" t="n">
        <x:v>0.33</x:v>
      </x:c>
    </x:row>
    <x:row r="2300">
      <x:c r="A2300" s="155" t="n">
        <x:v>44668</x:v>
      </x:c>
      <x:c r="B2300" s="153"/>
      <x:c r="C2300" s="153"/>
      <x:c r="D2300" s="153"/>
      <x:c r="E2300" s="153"/>
      <x:c r="F2300" s="153"/>
      <x:c r="G2300" s="153" t="n">
        <x:v>0.33</x:v>
      </x:c>
    </x:row>
    <x:row r="2301">
      <x:c r="A2301" s="155" t="n">
        <x:v>44669</x:v>
      </x:c>
      <x:c r="B2301" s="153" t="n">
        <x:v>2.85</x:v>
      </x:c>
      <x:c r="C2301" s="153" t="n">
        <x:v>-0.07</x:v>
      </x:c>
      <x:c r="D2301" s="153" t="n">
        <x:v>2.92</x:v>
      </x:c>
      <x:c r="E2301" s="153" t="n">
        <x:v>116.8441</x:v>
      </x:c>
      <x:c r="F2301" s="153" t="n">
        <x:v>22.17</x:v>
      </x:c>
      <x:c r="G2301" s="153" t="n">
        <x:v>0.33</x:v>
      </x:c>
    </x:row>
    <x:row r="2302">
      <x:c r="A2302" s="155" t="n">
        <x:v>44670</x:v>
      </x:c>
      <x:c r="B2302" s="153" t="n">
        <x:v>2.93</x:v>
      </x:c>
      <x:c r="C2302" s="153" t="n">
        <x:v>0</x:v>
      </x:c>
      <x:c r="D2302" s="153" t="n">
        <x:v>2.93</x:v>
      </x:c>
      <x:c r="E2302" s="153" t="n">
        <x:v>117.1324</x:v>
      </x:c>
      <x:c r="F2302" s="153" t="n">
        <x:v>21.37</x:v>
      </x:c>
      <x:c r="G2302" s="153" t="n">
        <x:v>0.33</x:v>
      </x:c>
    </x:row>
    <x:row r="2303">
      <x:c r="A2303" s="155" t="n">
        <x:v>44671</x:v>
      </x:c>
      <x:c r="B2303" s="153" t="n">
        <x:v>2.85</x:v>
      </x:c>
      <x:c r="C2303" s="153" t="n">
        <x:v>-0.07</x:v>
      </x:c>
      <x:c r="D2303" s="153" t="n">
        <x:v>2.92</x:v>
      </x:c>
      <x:c r="E2303" s="153" t="n">
        <x:v>116.7306</x:v>
      </x:c>
      <x:c r="F2303" s="153" t="n">
        <x:v>20.32</x:v>
      </x:c>
      <x:c r="G2303" s="153" t="n">
        <x:v>0.33</x:v>
      </x:c>
    </x:row>
    <x:row r="2304">
      <x:c r="A2304" s="155" t="n">
        <x:v>44672</x:v>
      </x:c>
      <x:c r="B2304" s="153" t="n">
        <x:v>2.9</x:v>
      </x:c>
      <x:c r="C2304" s="153" t="n">
        <x:v>-0.12</x:v>
      </x:c>
      <x:c r="D2304" s="153" t="n">
        <x:v>3.02</x:v>
      </x:c>
      <x:c r="E2304" s="153" t="n">
        <x:v>117.1432</x:v>
      </x:c>
      <x:c r="F2304" s="153" t="n">
        <x:v>22.68</x:v>
      </x:c>
      <x:c r="G2304" s="153" t="n">
        <x:v>0.33</x:v>
      </x:c>
    </x:row>
    <x:row r="2305">
      <x:c r="A2305" s="155" t="n">
        <x:v>44673</x:v>
      </x:c>
      <x:c r="B2305" s="153" t="n">
        <x:v>2.9</x:v>
      </x:c>
      <x:c r="C2305" s="153" t="n">
        <x:v>-0.08</x:v>
      </x:c>
      <x:c r="D2305" s="153" t="n">
        <x:v>2.98</x:v>
      </x:c>
      <x:c r="E2305" s="153" t="n">
        <x:v>118.0186</x:v>
      </x:c>
      <x:c r="F2305" s="153" t="n">
        <x:v>28.21</x:v>
      </x:c>
      <x:c r="G2305" s="153" t="n">
        <x:v>0.33</x:v>
      </x:c>
    </x:row>
    <x:row r="2306">
      <x:c r="A2306" s="155" t="n">
        <x:v>44674</x:v>
      </x:c>
      <x:c r="B2306" s="153"/>
      <x:c r="C2306" s="153"/>
      <x:c r="D2306" s="153"/>
      <x:c r="E2306" s="153"/>
      <x:c r="F2306" s="153"/>
      <x:c r="G2306" s="153" t="n">
        <x:v>0.33</x:v>
      </x:c>
    </x:row>
    <x:row r="2307">
      <x:c r="A2307" s="155" t="n">
        <x:v>44675</x:v>
      </x:c>
      <x:c r="B2307" s="153"/>
      <x:c r="C2307" s="153"/>
      <x:c r="D2307" s="153"/>
      <x:c r="E2307" s="153"/>
      <x:c r="F2307" s="153"/>
      <x:c r="G2307" s="153" t="n">
        <x:v>0.33</x:v>
      </x:c>
    </x:row>
    <x:row r="2308">
      <x:c r="A2308" s="155" t="n">
        <x:v>44676</x:v>
      </x:c>
      <x:c r="B2308" s="153" t="n">
        <x:v>2.81</x:v>
      </x:c>
      <x:c r="C2308" s="153" t="n">
        <x:v>-0.1</x:v>
      </x:c>
      <x:c r="D2308" s="153" t="n">
        <x:v>2.91</x:v>
      </x:c>
      <x:c r="E2308" s="153" t="n">
        <x:v>118.6271</x:v>
      </x:c>
      <x:c r="F2308" s="153" t="n">
        <x:v>27.02</x:v>
      </x:c>
      <x:c r="G2308" s="153" t="n">
        <x:v>0.33</x:v>
      </x:c>
    </x:row>
    <x:row r="2309">
      <x:c r="A2309" s="155" t="n">
        <x:v>44677</x:v>
      </x:c>
      <x:c r="B2309" s="153" t="n">
        <x:v>2.77</x:v>
      </x:c>
      <x:c r="C2309" s="153" t="n">
        <x:v>-0.08</x:v>
      </x:c>
      <x:c r="D2309" s="153" t="n">
        <x:v>2.85</x:v>
      </x:c>
      <x:c r="E2309" s="153" t="n">
        <x:v>118.9624</x:v>
      </x:c>
      <x:c r="F2309" s="153" t="n">
        <x:v>33.52</x:v>
      </x:c>
      <x:c r="G2309" s="153" t="n">
        <x:v>0.33</x:v>
      </x:c>
    </x:row>
    <x:row r="2310">
      <x:c r="A2310" s="155" t="n">
        <x:v>44678</x:v>
      </x:c>
      <x:c r="B2310" s="153" t="n">
        <x:v>2.82</x:v>
      </x:c>
      <x:c r="C2310" s="153" t="n">
        <x:v>-0.06</x:v>
      </x:c>
      <x:c r="D2310" s="153" t="n">
        <x:v>2.88</x:v>
      </x:c>
      <x:c r="E2310" s="153" t="n">
        <x:v>119.4708</x:v>
      </x:c>
      <x:c r="F2310" s="153" t="n">
        <x:v>31.6</x:v>
      </x:c>
      <x:c r="G2310" s="153" t="n">
        <x:v>0.33</x:v>
      </x:c>
    </x:row>
    <x:row r="2311">
      <x:c r="A2311" s="155" t="n">
        <x:v>44679</x:v>
      </x:c>
      <x:c r="B2311" s="153" t="n">
        <x:v>2.85</x:v>
      </x:c>
      <x:c r="C2311" s="153" t="n">
        <x:v>-0.12</x:v>
      </x:c>
      <x:c r="D2311" s="153" t="n">
        <x:v>2.97</x:v>
      </x:c>
      <x:c r="E2311" s="153" t="n">
        <x:v>120.0675</x:v>
      </x:c>
      <x:c r="F2311" s="153" t="n">
        <x:v>29.99</x:v>
      </x:c>
      <x:c r="G2311" s="153" t="n">
        <x:v>0.33</x:v>
      </x:c>
    </x:row>
    <x:row r="2312">
      <x:c r="A2312" s="155" t="n">
        <x:v>44680</x:v>
      </x:c>
      <x:c r="B2312" s="153" t="n">
        <x:v>2.89</x:v>
      </x:c>
      <x:c r="C2312" s="153" t="n">
        <x:v>0.01</x:v>
      </x:c>
      <x:c r="D2312" s="153" t="n">
        <x:v>2.88</x:v>
      </x:c>
      <x:c r="E2312" s="153" t="n">
        <x:v>119.4933</x:v>
      </x:c>
      <x:c r="F2312" s="153" t="n">
        <x:v>33.4</x:v>
      </x:c>
      <x:c r="G2312" s="153" t="n">
        <x:v>0.33</x:v>
      </x:c>
    </x:row>
    <x:row r="2313">
      <x:c r="A2313" s="155" t="n">
        <x:v>44681</x:v>
      </x:c>
      <x:c r="B2313" s="153"/>
      <x:c r="C2313" s="153"/>
      <x:c r="D2313" s="153"/>
      <x:c r="E2313" s="153"/>
      <x:c r="F2313" s="153"/>
      <x:c r="G2313" s="153" t="n">
        <x:v>0.33</x:v>
      </x:c>
    </x:row>
    <x:row r="2314">
      <x:c r="A2314" s="155" t="n">
        <x:v>44682</x:v>
      </x:c>
      <x:c r="B2314" s="153"/>
      <x:c r="C2314" s="153"/>
      <x:c r="D2314" s="153"/>
      <x:c r="E2314" s="153"/>
      <x:c r="F2314" s="153"/>
      <x:c r="G2314" s="153" t="n">
        <x:v>0.33</x:v>
      </x:c>
    </x:row>
    <x:row r="2315">
      <x:c r="A2315" s="155" t="n">
        <x:v>44683</x:v>
      </x:c>
      <x:c r="B2315" s="153" t="n">
        <x:v>2.99</x:v>
      </x:c>
      <x:c r="C2315" s="153" t="n">
        <x:v>0.18</x:v>
      </x:c>
      <x:c r="D2315" s="153" t="n">
        <x:v>2.81</x:v>
      </x:c>
      <x:c r="E2315" s="153" t="n">
        <x:v>119.8825</x:v>
      </x:c>
      <x:c r="F2315" s="153" t="n">
        <x:v>32.34</x:v>
      </x:c>
      <x:c r="G2315" s="153" t="n">
        <x:v>0.33</x:v>
      </x:c>
    </x:row>
    <x:row r="2316">
      <x:c r="A2316" s="155" t="n">
        <x:v>44684</x:v>
      </x:c>
      <x:c r="B2316" s="153" t="n">
        <x:v>2.97</x:v>
      </x:c>
      <x:c r="C2316" s="153" t="n">
        <x:v>0.14</x:v>
      </x:c>
      <x:c r="D2316" s="153" t="n">
        <x:v>2.83</x:v>
      </x:c>
      <x:c r="E2316" s="153" t="n">
        <x:v>119.7043</x:v>
      </x:c>
      <x:c r="F2316" s="153" t="n">
        <x:v>29.25</x:v>
      </x:c>
      <x:c r="G2316" s="153" t="n">
        <x:v>0.33</x:v>
      </x:c>
    </x:row>
    <x:row r="2317">
      <x:c r="A2317" s="155" t="n">
        <x:v>44685</x:v>
      </x:c>
      <x:c r="B2317" s="153" t="n">
        <x:v>2.93</x:v>
      </x:c>
      <x:c r="C2317" s="153" t="n">
        <x:v>0.07</x:v>
      </x:c>
      <x:c r="D2317" s="153" t="n">
        <x:v>2.86</x:v>
      </x:c>
      <x:c r="E2317" s="153" t="n">
        <x:v>119.5592</x:v>
      </x:c>
      <x:c r="F2317" s="153" t="n">
        <x:v>25.42</x:v>
      </x:c>
      <x:c r="G2317" s="153" t="n">
        <x:v>0.33</x:v>
      </x:c>
    </x:row>
    <x:row r="2318">
      <x:c r="A2318" s="155" t="n">
        <x:v>44686</x:v>
      </x:c>
      <x:c r="B2318" s="153" t="n">
        <x:v>3.05</x:v>
      </x:c>
      <x:c r="C2318" s="153" t="n">
        <x:v>0.18</x:v>
      </x:c>
      <x:c r="D2318" s="153" t="n">
        <x:v>2.87</x:v>
      </x:c>
      <x:c r="E2318" s="153" t="n">
        <x:v>120.0068</x:v>
      </x:c>
      <x:c r="F2318" s="153" t="n">
        <x:v>31.2</x:v>
      </x:c>
      <x:c r="G2318" s="153" t="n">
        <x:v>0.83</x:v>
      </x:c>
    </x:row>
    <x:row r="2319">
      <x:c r="A2319" s="155" t="n">
        <x:v>44687</x:v>
      </x:c>
      <x:c r="B2319" s="153" t="n">
        <x:v>3.12</x:v>
      </x:c>
      <x:c r="C2319" s="153" t="n">
        <x:v>0.26</x:v>
      </x:c>
      <x:c r="D2319" s="153" t="n">
        <x:v>2.86</x:v>
      </x:c>
      <x:c r="E2319" s="153" t="n">
        <x:v>119.8577</x:v>
      </x:c>
      <x:c r="F2319" s="153" t="n">
        <x:v>30.19</x:v>
      </x:c>
      <x:c r="G2319" s="153" t="n">
        <x:v>0.83</x:v>
      </x:c>
    </x:row>
    <x:row r="2320">
      <x:c r="A2320" s="155" t="n">
        <x:v>44688</x:v>
      </x:c>
      <x:c r="B2320" s="153"/>
      <x:c r="C2320" s="153"/>
      <x:c r="D2320" s="153"/>
      <x:c r="E2320" s="153"/>
      <x:c r="F2320" s="153"/>
      <x:c r="G2320" s="153" t="n">
        <x:v>0.83</x:v>
      </x:c>
    </x:row>
    <x:row r="2321">
      <x:c r="A2321" s="155" t="n">
        <x:v>44689</x:v>
      </x:c>
      <x:c r="B2321" s="153"/>
      <x:c r="C2321" s="153"/>
      <x:c r="D2321" s="153"/>
      <x:c r="E2321" s="153"/>
      <x:c r="F2321" s="153"/>
      <x:c r="G2321" s="153" t="n">
        <x:v>0.83</x:v>
      </x:c>
    </x:row>
    <x:row r="2322">
      <x:c r="A2322" s="155" t="n">
        <x:v>44690</x:v>
      </x:c>
      <x:c r="B2322" s="153" t="n">
        <x:v>3.05</x:v>
      </x:c>
      <x:c r="C2322" s="153" t="n">
        <x:v>0.3</x:v>
      </x:c>
      <x:c r="D2322" s="153" t="n">
        <x:v>2.75</x:v>
      </x:c>
      <x:c r="E2322" s="153" t="n">
        <x:v>120.4972</x:v>
      </x:c>
      <x:c r="F2322" s="153" t="n">
        <x:v>34.75</x:v>
      </x:c>
      <x:c r="G2322" s="153" t="n">
        <x:v>0.83</x:v>
      </x:c>
    </x:row>
    <x:row r="2323">
      <x:c r="A2323" s="155" t="n">
        <x:v>44691</x:v>
      </x:c>
      <x:c r="B2323" s="153" t="n">
        <x:v>2.99</x:v>
      </x:c>
      <x:c r="C2323" s="153" t="n">
        <x:v>0.34</x:v>
      </x:c>
      <x:c r="D2323" s="153" t="n">
        <x:v>2.65</x:v>
      </x:c>
      <x:c r="E2323" s="153" t="n">
        <x:v>120.7742</x:v>
      </x:c>
      <x:c r="F2323" s="153" t="n">
        <x:v>32.99</x:v>
      </x:c>
      <x:c r="G2323" s="153" t="n">
        <x:v>0.83</x:v>
      </x:c>
    </x:row>
    <x:row r="2324">
      <x:c r="A2324" s="155" t="n">
        <x:v>44692</x:v>
      </x:c>
      <x:c r="B2324" s="153" t="n">
        <x:v>2.91</x:v>
      </x:c>
      <x:c r="C2324" s="153" t="n">
        <x:v>0.21</x:v>
      </x:c>
      <x:c r="D2324" s="153" t="n">
        <x:v>2.7</x:v>
      </x:c>
      <x:c r="E2324" s="153" t="n">
        <x:v>120.3925</x:v>
      </x:c>
      <x:c r="F2324" s="153" t="n">
        <x:v>32.56</x:v>
      </x:c>
      <x:c r="G2324" s="153" t="n">
        <x:v>0.83</x:v>
      </x:c>
    </x:row>
    <x:row r="2325">
      <x:c r="A2325" s="155" t="n">
        <x:v>44693</x:v>
      </x:c>
      <x:c r="B2325" s="153" t="n">
        <x:v>2.84</x:v>
      </x:c>
      <x:c r="C2325" s="153" t="n">
        <x:v>0.25</x:v>
      </x:c>
      <x:c r="D2325" s="153" t="n">
        <x:v>2.59</x:v>
      </x:c>
      <x:c r="E2325" s="153" t="n">
        <x:v>121.2796</x:v>
      </x:c>
      <x:c r="F2325" s="153" t="n">
        <x:v>31.77</x:v>
      </x:c>
      <x:c r="G2325" s="153" t="n">
        <x:v>0.83</x:v>
      </x:c>
    </x:row>
    <x:row r="2326">
      <x:c r="A2326" s="155" t="n">
        <x:v>44694</x:v>
      </x:c>
      <x:c r="B2326" s="153" t="n">
        <x:v>2.93</x:v>
      </x:c>
      <x:c r="C2326" s="153" t="n">
        <x:v>0.24</x:v>
      </x:c>
      <x:c r="D2326" s="153" t="n">
        <x:v>2.69</x:v>
      </x:c>
      <x:c r="E2326" s="153" t="n">
        <x:v>120.8442</x:v>
      </x:c>
      <x:c r="F2326" s="153" t="n">
        <x:v>28.87</x:v>
      </x:c>
      <x:c r="G2326" s="153" t="n">
        <x:v>0.83</x:v>
      </x:c>
    </x:row>
    <x:row r="2327">
      <x:c r="A2327" s="155" t="n">
        <x:v>44695</x:v>
      </x:c>
      <x:c r="B2327" s="153"/>
      <x:c r="C2327" s="153"/>
      <x:c r="D2327" s="153"/>
      <x:c r="E2327" s="153"/>
      <x:c r="F2327" s="153"/>
      <x:c r="G2327" s="153" t="n">
        <x:v>0.83</x:v>
      </x:c>
    </x:row>
    <x:row r="2328">
      <x:c r="A2328" s="155" t="n">
        <x:v>44696</x:v>
      </x:c>
      <x:c r="B2328" s="153"/>
      <x:c r="C2328" s="153"/>
      <x:c r="D2328" s="153"/>
      <x:c r="E2328" s="153"/>
      <x:c r="F2328" s="153"/>
      <x:c r="G2328" s="153" t="n">
        <x:v>0.83</x:v>
      </x:c>
    </x:row>
    <x:row r="2329">
      <x:c r="A2329" s="155" t="n">
        <x:v>44697</x:v>
      </x:c>
      <x:c r="B2329" s="153" t="n">
        <x:v>2.88</x:v>
      </x:c>
      <x:c r="C2329" s="153" t="n">
        <x:v>0.2</x:v>
      </x:c>
      <x:c r="D2329" s="153" t="n">
        <x:v>2.68</x:v>
      </x:c>
      <x:c r="E2329" s="153" t="n">
        <x:v>120.6881</x:v>
      </x:c>
      <x:c r="F2329" s="153" t="n">
        <x:v>27.47</x:v>
      </x:c>
      <x:c r="G2329" s="153" t="n">
        <x:v>0.83</x:v>
      </x:c>
    </x:row>
    <x:row r="2330">
      <x:c r="A2330" s="155" t="n">
        <x:v>44698</x:v>
      </x:c>
      <x:c r="B2330" s="153" t="n">
        <x:v>2.98</x:v>
      </x:c>
      <x:c r="C2330" s="153" t="n">
        <x:v>0.27</x:v>
      </x:c>
      <x:c r="D2330" s="153" t="n">
        <x:v>2.71</x:v>
      </x:c>
      <x:c r="E2330" s="153" t="n">
        <x:v>119.8871</x:v>
      </x:c>
      <x:c r="F2330" s="153" t="n">
        <x:v>26.1</x:v>
      </x:c>
      <x:c r="G2330" s="153" t="n">
        <x:v>0.83</x:v>
      </x:c>
    </x:row>
    <x:row r="2331">
      <x:c r="A2331" s="155" t="n">
        <x:v>44699</x:v>
      </x:c>
      <x:c r="B2331" s="153" t="n">
        <x:v>2.89</x:v>
      </x:c>
      <x:c r="C2331" s="153" t="n">
        <x:v>0.17</x:v>
      </x:c>
      <x:c r="D2331" s="153" t="n">
        <x:v>2.72</x:v>
      </x:c>
      <x:c r="E2331" s="153" t="n">
        <x:v>120.0274</x:v>
      </x:c>
      <x:c r="F2331" s="153" t="n">
        <x:v>30.96</x:v>
      </x:c>
      <x:c r="G2331" s="153" t="n">
        <x:v>0.83</x:v>
      </x:c>
    </x:row>
    <x:row r="2332">
      <x:c r="A2332" s="155" t="n">
        <x:v>44700</x:v>
      </x:c>
      <x:c r="B2332" s="153" t="n">
        <x:v>2.84</x:v>
      </x:c>
      <x:c r="C2332" s="153" t="n">
        <x:v>0.25</x:v>
      </x:c>
      <x:c r="D2332" s="153" t="n">
        <x:v>2.59</x:v>
      </x:c>
      <x:c r="E2332" s="153" t="n">
        <x:v>119.4278</x:v>
      </x:c>
      <x:c r="F2332" s="153" t="n">
        <x:v>29.35</x:v>
      </x:c>
      <x:c r="G2332" s="153" t="n">
        <x:v>0.83</x:v>
      </x:c>
    </x:row>
    <x:row r="2333">
      <x:c r="A2333" s="155" t="n">
        <x:v>44701</x:v>
      </x:c>
      <x:c r="B2333" s="153" t="n">
        <x:v>2.78</x:v>
      </x:c>
      <x:c r="C2333" s="153" t="n">
        <x:v>0.23</x:v>
      </x:c>
      <x:c r="D2333" s="153" t="n">
        <x:v>2.55</x:v>
      </x:c>
      <x:c r="E2333" s="153" t="n">
        <x:v>119.3677</x:v>
      </x:c>
      <x:c r="F2333" s="153" t="n">
        <x:v>29.43</x:v>
      </x:c>
      <x:c r="G2333" s="153" t="n">
        <x:v>0.83</x:v>
      </x:c>
    </x:row>
    <x:row r="2334">
      <x:c r="A2334" s="155" t="n">
        <x:v>44702</x:v>
      </x:c>
      <x:c r="B2334" s="153"/>
      <x:c r="C2334" s="153"/>
      <x:c r="D2334" s="153"/>
      <x:c r="E2334" s="153"/>
      <x:c r="F2334" s="153"/>
      <x:c r="G2334" s="153" t="n">
        <x:v>0.83</x:v>
      </x:c>
    </x:row>
    <x:row r="2335">
      <x:c r="A2335" s="155" t="n">
        <x:v>44703</x:v>
      </x:c>
      <x:c r="B2335" s="153"/>
      <x:c r="C2335" s="153"/>
      <x:c r="D2335" s="153"/>
      <x:c r="E2335" s="153"/>
      <x:c r="F2335" s="153"/>
      <x:c r="G2335" s="153" t="n">
        <x:v>0.83</x:v>
      </x:c>
    </x:row>
    <x:row r="2336">
      <x:c r="A2336" s="155" t="n">
        <x:v>44704</x:v>
      </x:c>
      <x:c r="B2336" s="153" t="n">
        <x:v>2.86</x:v>
      </x:c>
      <x:c r="C2336" s="153" t="n">
        <x:v>0.26</x:v>
      </x:c>
      <x:c r="D2336" s="153" t="n">
        <x:v>2.6</x:v>
      </x:c>
      <x:c r="E2336" s="153" t="n">
        <x:v>118.7169</x:v>
      </x:c>
      <x:c r="F2336" s="153" t="n">
        <x:v>28.48</x:v>
      </x:c>
      <x:c r="G2336" s="153" t="n">
        <x:v>0.83</x:v>
      </x:c>
    </x:row>
    <x:row r="2337">
      <x:c r="A2337" s="155" t="n">
        <x:v>44705</x:v>
      </x:c>
      <x:c r="B2337" s="153" t="n">
        <x:v>2.76</x:v>
      </x:c>
      <x:c r="C2337" s="153" t="n">
        <x:v>0.21</x:v>
      </x:c>
      <x:c r="D2337" s="153" t="n">
        <x:v>2.55</x:v>
      </x:c>
      <x:c r="E2337" s="153" t="n">
        <x:v>118.6245</x:v>
      </x:c>
      <x:c r="F2337" s="153" t="n">
        <x:v>29.45</x:v>
      </x:c>
      <x:c r="G2337" s="153" t="n">
        <x:v>0.83</x:v>
      </x:c>
    </x:row>
    <x:row r="2338">
      <x:c r="A2338" s="155" t="n">
        <x:v>44706</x:v>
      </x:c>
      <x:c r="B2338" s="153" t="n">
        <x:v>2.75</x:v>
      </x:c>
      <x:c r="C2338" s="153" t="n">
        <x:v>0.19</x:v>
      </x:c>
      <x:c r="D2338" s="153" t="n">
        <x:v>2.56</x:v>
      </x:c>
      <x:c r="E2338" s="153" t="n">
        <x:v>118.9598</x:v>
      </x:c>
      <x:c r="F2338" s="153" t="n">
        <x:v>28.37</x:v>
      </x:c>
      <x:c r="G2338" s="153" t="n">
        <x:v>0.83</x:v>
      </x:c>
    </x:row>
    <x:row r="2339">
      <x:c r="A2339" s="155" t="n">
        <x:v>44707</x:v>
      </x:c>
      <x:c r="B2339" s="153" t="n">
        <x:v>2.75</x:v>
      </x:c>
      <x:c r="C2339" s="153" t="n">
        <x:v>0.13</x:v>
      </x:c>
      <x:c r="D2339" s="153" t="n">
        <x:v>2.62</x:v>
      </x:c>
      <x:c r="E2339" s="153" t="n">
        <x:v>118.7687</x:v>
      </x:c>
      <x:c r="F2339" s="153" t="n">
        <x:v>27.5</x:v>
      </x:c>
      <x:c r="G2339" s="153" t="n">
        <x:v>0.83</x:v>
      </x:c>
    </x:row>
    <x:row r="2340">
      <x:c r="A2340" s="155" t="n">
        <x:v>44708</x:v>
      </x:c>
      <x:c r="B2340" s="153" t="n">
        <x:v>2.74</x:v>
      </x:c>
      <x:c r="C2340" s="153" t="n">
        <x:v>0.11</x:v>
      </x:c>
      <x:c r="D2340" s="153" t="n">
        <x:v>2.63</x:v>
      </x:c>
      <x:c r="E2340" s="153" t="n">
        <x:v>118.2834</x:v>
      </x:c>
      <x:c r="F2340" s="153" t="n">
        <x:v>25.72</x:v>
      </x:c>
      <x:c r="G2340" s="153" t="n">
        <x:v>0.83</x:v>
      </x:c>
    </x:row>
    <x:row r="2341">
      <x:c r="A2341" s="155" t="n">
        <x:v>44709</x:v>
      </x:c>
      <x:c r="B2341" s="153"/>
      <x:c r="C2341" s="153"/>
      <x:c r="D2341" s="153"/>
      <x:c r="E2341" s="153"/>
      <x:c r="F2341" s="153"/>
      <x:c r="G2341" s="153" t="n">
        <x:v>0.83</x:v>
      </x:c>
    </x:row>
    <x:row r="2342">
      <x:c r="A2342" s="155" t="n">
        <x:v>44710</x:v>
      </x:c>
      <x:c r="B2342" s="153"/>
      <x:c r="C2342" s="153"/>
      <x:c r="D2342" s="153"/>
      <x:c r="E2342" s="153"/>
      <x:c r="F2342" s="153"/>
      <x:c r="G2342" s="153" t="n">
        <x:v>0.83</x:v>
      </x:c>
    </x:row>
    <x:row r="2343">
      <x:c r="A2343" s="155" t="n">
        <x:v>44711</x:v>
      </x:c>
      <x:c r="B2343" s="153"/>
      <x:c r="C2343" s="153"/>
      <x:c r="D2343" s="153"/>
      <x:c r="E2343" s="153"/>
      <x:c r="F2343" s="153" t="n">
        <x:v>26.54</x:v>
      </x:c>
      <x:c r="G2343" s="153" t="n">
        <x:v>0.83</x:v>
      </x:c>
    </x:row>
    <x:row r="2344">
      <x:c r="A2344" s="155" t="n">
        <x:v>44712</x:v>
      </x:c>
      <x:c r="B2344" s="153" t="n">
        <x:v>2.85</x:v>
      </x:c>
      <x:c r="C2344" s="153" t="n">
        <x:v>0.21</x:v>
      </x:c>
      <x:c r="D2344" s="153" t="n">
        <x:v>2.64</x:v>
      </x:c>
      <x:c r="E2344" s="153" t="n">
        <x:v>118.0704</x:v>
      </x:c>
      <x:c r="F2344" s="153" t="n">
        <x:v>26.19</x:v>
      </x:c>
      <x:c r="G2344" s="153" t="n">
        <x:v>0.83</x:v>
      </x:c>
    </x:row>
    <x:row r="2345">
      <x:c r="A2345" s="155" t="n">
        <x:v>44713</x:v>
      </x:c>
      <x:c r="B2345" s="153" t="n">
        <x:v>2.94</x:v>
      </x:c>
      <x:c r="C2345" s="153" t="n">
        <x:v>0.29</x:v>
      </x:c>
      <x:c r="D2345" s="153" t="n">
        <x:v>2.65</x:v>
      </x:c>
      <x:c r="E2345" s="153" t="n">
        <x:v>118.6954</x:v>
      </x:c>
      <x:c r="F2345" s="153" t="n">
        <x:v>25.69</x:v>
      </x:c>
      <x:c r="G2345" s="153" t="n">
        <x:v>0.83</x:v>
      </x:c>
    </x:row>
    <x:row r="2346">
      <x:c r="A2346" s="155" t="n">
        <x:v>44714</x:v>
      </x:c>
      <x:c r="B2346" s="153" t="n">
        <x:v>2.92</x:v>
      </x:c>
      <x:c r="C2346" s="153" t="n">
        <x:v>0.26</x:v>
      </x:c>
      <x:c r="D2346" s="153" t="n">
        <x:v>2.66</x:v>
      </x:c>
      <x:c r="E2346" s="153" t="n">
        <x:v>118.0658</x:v>
      </x:c>
      <x:c r="F2346" s="153" t="n">
        <x:v>24.72</x:v>
      </x:c>
      <x:c r="G2346" s="153" t="n">
        <x:v>0.83</x:v>
      </x:c>
    </x:row>
    <x:row r="2347">
      <x:c r="A2347" s="155" t="n">
        <x:v>44715</x:v>
      </x:c>
      <x:c r="B2347" s="153" t="n">
        <x:v>2.96</x:v>
      </x:c>
      <x:c r="C2347" s="153" t="n">
        <x:v>0.22</x:v>
      </x:c>
      <x:c r="D2347" s="153" t="n">
        <x:v>2.74</x:v>
      </x:c>
      <x:c r="E2347" s="153" t="n">
        <x:v>118.2153</x:v>
      </x:c>
      <x:c r="F2347" s="153" t="n">
        <x:v>24.79</x:v>
      </x:c>
      <x:c r="G2347" s="153" t="n">
        <x:v>0.83</x:v>
      </x:c>
    </x:row>
    <x:row r="2348">
      <x:c r="A2348" s="155" t="n">
        <x:v>44716</x:v>
      </x:c>
      <x:c r="B2348" s="153"/>
      <x:c r="C2348" s="153"/>
      <x:c r="D2348" s="153"/>
      <x:c r="E2348" s="153"/>
      <x:c r="F2348" s="153"/>
      <x:c r="G2348" s="153" t="n">
        <x:v>0.83</x:v>
      </x:c>
    </x:row>
    <x:row r="2349">
      <x:c r="A2349" s="155" t="n">
        <x:v>44717</x:v>
      </x:c>
      <x:c r="B2349" s="153"/>
      <x:c r="C2349" s="153"/>
      <x:c r="D2349" s="153"/>
      <x:c r="E2349" s="153"/>
      <x:c r="F2349" s="153"/>
      <x:c r="G2349" s="153" t="n">
        <x:v>0.83</x:v>
      </x:c>
    </x:row>
    <x:row r="2350">
      <x:c r="A2350" s="155" t="n">
        <x:v>44718</x:v>
      </x:c>
      <x:c r="B2350" s="153" t="n">
        <x:v>3.04</x:v>
      </x:c>
      <x:c r="C2350" s="153" t="n">
        <x:v>0.28</x:v>
      </x:c>
      <x:c r="D2350" s="153" t="n">
        <x:v>2.76</x:v>
      </x:c>
      <x:c r="E2350" s="153" t="n">
        <x:v>118.3081</x:v>
      </x:c>
      <x:c r="F2350" s="153" t="n">
        <x:v>25.07</x:v>
      </x:c>
      <x:c r="G2350" s="153" t="n">
        <x:v>0.83</x:v>
      </x:c>
    </x:row>
    <x:row r="2351">
      <x:c r="A2351" s="155" t="n">
        <x:v>44719</x:v>
      </x:c>
      <x:c r="B2351" s="153" t="n">
        <x:v>2.98</x:v>
      </x:c>
      <x:c r="C2351" s="153" t="n">
        <x:v>0.25</x:v>
      </x:c>
      <x:c r="D2351" s="153" t="n">
        <x:v>2.73</x:v>
      </x:c>
      <x:c r="E2351" s="153" t="n">
        <x:v>118.4414</x:v>
      </x:c>
      <x:c r="F2351" s="153" t="n">
        <x:v>24.02</x:v>
      </x:c>
      <x:c r="G2351" s="153" t="n">
        <x:v>0.83</x:v>
      </x:c>
    </x:row>
    <x:row r="2352">
      <x:c r="A2352" s="155" t="n">
        <x:v>44720</x:v>
      </x:c>
      <x:c r="B2352" s="153" t="n">
        <x:v>3.03</x:v>
      </x:c>
      <x:c r="C2352" s="153" t="n">
        <x:v>0.28</x:v>
      </x:c>
      <x:c r="D2352" s="153" t="n">
        <x:v>2.75</x:v>
      </x:c>
      <x:c r="E2352" s="153" t="n">
        <x:v>118.3951</x:v>
      </x:c>
      <x:c r="F2352" s="153" t="n">
        <x:v>23.96</x:v>
      </x:c>
      <x:c r="G2352" s="153" t="n">
        <x:v>0.83</x:v>
      </x:c>
    </x:row>
    <x:row r="2353">
      <x:c r="A2353" s="155" t="n">
        <x:v>44721</x:v>
      </x:c>
      <x:c r="B2353" s="153" t="n">
        <x:v>3.04</x:v>
      </x:c>
      <x:c r="C2353" s="153" t="n">
        <x:v>0.29</x:v>
      </x:c>
      <x:c r="D2353" s="153" t="n">
        <x:v>2.75</x:v>
      </x:c>
      <x:c r="E2353" s="153" t="n">
        <x:v>118.9226</x:v>
      </x:c>
      <x:c r="F2353" s="153" t="n">
        <x:v>26.09</x:v>
      </x:c>
      <x:c r="G2353" s="153" t="n">
        <x:v>0.83</x:v>
      </x:c>
    </x:row>
    <x:row r="2354">
      <x:c r="A2354" s="155" t="n">
        <x:v>44722</x:v>
      </x:c>
      <x:c r="B2354" s="153" t="n">
        <x:v>3.15</x:v>
      </x:c>
      <x:c r="C2354" s="153" t="n">
        <x:v>0.39</x:v>
      </x:c>
      <x:c r="D2354" s="153" t="n">
        <x:v>2.76</x:v>
      </x:c>
      <x:c r="E2354" s="153" t="n">
        <x:v>119.9981</x:v>
      </x:c>
      <x:c r="F2354" s="153" t="n">
        <x:v>27.75</x:v>
      </x:c>
      <x:c r="G2354" s="153" t="n">
        <x:v>0.83</x:v>
      </x:c>
    </x:row>
    <x:row r="2355">
      <x:c r="A2355" s="155" t="n">
        <x:v>44723</x:v>
      </x:c>
      <x:c r="B2355" s="153"/>
      <x:c r="C2355" s="153"/>
      <x:c r="D2355" s="153"/>
      <x:c r="E2355" s="153"/>
      <x:c r="F2355" s="153"/>
      <x:c r="G2355" s="153" t="n">
        <x:v>0.83</x:v>
      </x:c>
    </x:row>
    <x:row r="2356">
      <x:c r="A2356" s="155" t="n">
        <x:v>44724</x:v>
      </x:c>
      <x:c r="B2356" s="153"/>
      <x:c r="C2356" s="153"/>
      <x:c r="D2356" s="153"/>
      <x:c r="E2356" s="153"/>
      <x:c r="F2356" s="153"/>
      <x:c r="G2356" s="153" t="n">
        <x:v>0.83</x:v>
      </x:c>
    </x:row>
    <x:row r="2357">
      <x:c r="A2357" s="155" t="n">
        <x:v>44725</x:v>
      </x:c>
      <x:c r="B2357" s="153" t="n">
        <x:v>3.43</x:v>
      </x:c>
      <x:c r="C2357" s="153" t="n">
        <x:v>0.69</x:v>
      </x:c>
      <x:c r="D2357" s="153" t="n">
        <x:v>2.74</x:v>
      </x:c>
      <x:c r="E2357" s="153" t="n">
        <x:v>121.1523</x:v>
      </x:c>
      <x:c r="F2357" s="153" t="n">
        <x:v>34.02</x:v>
      </x:c>
      <x:c r="G2357" s="153" t="n">
        <x:v>0.83</x:v>
      </x:c>
    </x:row>
    <x:row r="2358">
      <x:c r="A2358" s="155" t="n">
        <x:v>44726</x:v>
      </x:c>
      <x:c r="B2358" s="153" t="n">
        <x:v>3.49</x:v>
      </x:c>
      <x:c r="C2358" s="153" t="n">
        <x:v>0.89</x:v>
      </x:c>
      <x:c r="D2358" s="153" t="n">
        <x:v>2.6</x:v>
      </x:c>
      <x:c r="E2358" s="153" t="n">
        <x:v>121.6669</x:v>
      </x:c>
      <x:c r="F2358" s="153" t="n">
        <x:v>32.69</x:v>
      </x:c>
      <x:c r="G2358" s="153" t="n">
        <x:v>0.83</x:v>
      </x:c>
    </x:row>
    <x:row r="2359">
      <x:c r="A2359" s="155" t="n">
        <x:v>44727</x:v>
      </x:c>
      <x:c r="B2359" s="153" t="n">
        <x:v>3.33</x:v>
      </x:c>
      <x:c r="C2359" s="153" t="n">
        <x:v>0.63</x:v>
      </x:c>
      <x:c r="D2359" s="153" t="n">
        <x:v>2.7</x:v>
      </x:c>
      <x:c r="E2359" s="153" t="n">
        <x:v>121.6403</x:v>
      </x:c>
      <x:c r="F2359" s="153" t="n">
        <x:v>29.62</x:v>
      </x:c>
      <x:c r="G2359" s="153" t="n">
        <x:v>0.83</x:v>
      </x:c>
    </x:row>
    <x:row r="2360">
      <x:c r="A2360" s="155" t="n">
        <x:v>44728</x:v>
      </x:c>
      <x:c r="B2360" s="153" t="n">
        <x:v>3.28</x:v>
      </x:c>
      <x:c r="C2360" s="153" t="n">
        <x:v>0.66</x:v>
      </x:c>
      <x:c r="D2360" s="153" t="n">
        <x:v>2.62</x:v>
      </x:c>
      <x:c r="E2360" s="153" t="n">
        <x:v>120.6714</x:v>
      </x:c>
      <x:c r="F2360" s="153" t="n">
        <x:v>32.95</x:v>
      </x:c>
      <x:c r="G2360" s="153" t="n">
        <x:v>1.58</x:v>
      </x:c>
    </x:row>
    <x:row r="2361">
      <x:c r="A2361" s="155" t="n">
        <x:v>44729</x:v>
      </x:c>
      <x:c r="B2361" s="153" t="n">
        <x:v>3.25</x:v>
      </x:c>
      <x:c r="C2361" s="153" t="n">
        <x:v>0.67</x:v>
      </x:c>
      <x:c r="D2361" s="153" t="n">
        <x:v>2.58</x:v>
      </x:c>
      <x:c r="E2361" s="153" t="n">
        <x:v>121.2369</x:v>
      </x:c>
      <x:c r="F2361" s="153" t="n">
        <x:v>31.13</x:v>
      </x:c>
      <x:c r="G2361" s="153" t="n">
        <x:v>1.58</x:v>
      </x:c>
    </x:row>
    <x:row r="2362">
      <x:c r="A2362" s="155" t="n">
        <x:v>44730</x:v>
      </x:c>
      <x:c r="B2362" s="153"/>
      <x:c r="C2362" s="153"/>
      <x:c r="D2362" s="153"/>
      <x:c r="E2362" s="153"/>
      <x:c r="F2362" s="153"/>
      <x:c r="G2362" s="153" t="n">
        <x:v>1.58</x:v>
      </x:c>
    </x:row>
    <x:row r="2363">
      <x:c r="A2363" s="155" t="n">
        <x:v>44731</x:v>
      </x:c>
      <x:c r="B2363" s="153"/>
      <x:c r="C2363" s="153"/>
      <x:c r="D2363" s="153"/>
      <x:c r="E2363" s="153"/>
      <x:c r="F2363" s="153"/>
      <x:c r="G2363" s="153" t="n">
        <x:v>1.58</x:v>
      </x:c>
    </x:row>
    <x:row r="2364">
      <x:c r="A2364" s="155" t="n">
        <x:v>44732</x:v>
      </x:c>
      <x:c r="B2364" s="153"/>
      <x:c r="C2364" s="153"/>
      <x:c r="D2364" s="153"/>
      <x:c r="E2364" s="153"/>
      <x:c r="F2364" s="153" t="n">
        <x:v>31.03</x:v>
      </x:c>
      <x:c r="G2364" s="153" t="n">
        <x:v>1.58</x:v>
      </x:c>
    </x:row>
    <x:row r="2365">
      <x:c r="A2365" s="155" t="n">
        <x:v>44733</x:v>
      </x:c>
      <x:c r="B2365" s="153" t="n">
        <x:v>3.31</x:v>
      </x:c>
      <x:c r="C2365" s="153" t="n">
        <x:v>0.7</x:v>
      </x:c>
      <x:c r="D2365" s="153" t="n">
        <x:v>2.61</x:v>
      </x:c>
      <x:c r="E2365" s="153" t="n">
        <x:v>120.6427</x:v>
      </x:c>
      <x:c r="F2365" s="153" t="n">
        <x:v>30.19</x:v>
      </x:c>
      <x:c r="G2365" s="153" t="n">
        <x:v>1.58</x:v>
      </x:c>
    </x:row>
    <x:row r="2366">
      <x:c r="A2366" s="155" t="n">
        <x:v>44734</x:v>
      </x:c>
      <x:c r="B2366" s="153" t="n">
        <x:v>3.16</x:v>
      </x:c>
      <x:c r="C2366" s="153" t="n">
        <x:v>0.62</x:v>
      </x:c>
      <x:c r="D2366" s="153" t="n">
        <x:v>2.54</x:v>
      </x:c>
      <x:c r="E2366" s="153" t="n">
        <x:v>120.5197</x:v>
      </x:c>
      <x:c r="F2366" s="153" t="n">
        <x:v>28.95</x:v>
      </x:c>
      <x:c r="G2366" s="153" t="n">
        <x:v>1.58</x:v>
      </x:c>
    </x:row>
    <x:row r="2367">
      <x:c r="A2367" s="155" t="n">
        <x:v>44735</x:v>
      </x:c>
      <x:c r="B2367" s="153" t="n">
        <x:v>3.09</x:v>
      </x:c>
      <x:c r="C2367" s="153" t="n">
        <x:v>0.59</x:v>
      </x:c>
      <x:c r="D2367" s="153" t="n">
        <x:v>2.5</x:v>
      </x:c>
      <x:c r="E2367" s="153" t="n">
        <x:v>120.7622</x:v>
      </x:c>
      <x:c r="F2367" s="153" t="n">
        <x:v>29.05</x:v>
      </x:c>
      <x:c r="G2367" s="153" t="n">
        <x:v>1.58</x:v>
      </x:c>
    </x:row>
    <x:row r="2368">
      <x:c r="A2368" s="155" t="n">
        <x:v>44736</x:v>
      </x:c>
      <x:c r="B2368" s="153" t="n">
        <x:v>3.13</x:v>
      </x:c>
      <x:c r="C2368" s="153" t="n">
        <x:v>0.57</x:v>
      </x:c>
      <x:c r="D2368" s="153" t="n">
        <x:v>2.56</x:v>
      </x:c>
      <x:c r="E2368" s="153" t="n">
        <x:v>120.4853</x:v>
      </x:c>
      <x:c r="F2368" s="153" t="n">
        <x:v>27.23</x:v>
      </x:c>
      <x:c r="G2368" s="153" t="n">
        <x:v>1.58</x:v>
      </x:c>
    </x:row>
    <x:row r="2369">
      <x:c r="A2369" s="155" t="n">
        <x:v>44737</x:v>
      </x:c>
      <x:c r="B2369" s="153"/>
      <x:c r="C2369" s="153"/>
      <x:c r="D2369" s="153"/>
      <x:c r="E2369" s="153"/>
      <x:c r="F2369" s="153"/>
      <x:c r="G2369" s="153" t="n">
        <x:v>1.58</x:v>
      </x:c>
    </x:row>
    <x:row r="2370">
      <x:c r="A2370" s="155" t="n">
        <x:v>44738</x:v>
      </x:c>
      <x:c r="B2370" s="153"/>
      <x:c r="C2370" s="153"/>
      <x:c r="D2370" s="153"/>
      <x:c r="E2370" s="153"/>
      <x:c r="F2370" s="153"/>
      <x:c r="G2370" s="153" t="n">
        <x:v>1.58</x:v>
      </x:c>
    </x:row>
    <x:row r="2371">
      <x:c r="A2371" s="155" t="n">
        <x:v>44739</x:v>
      </x:c>
      <x:c r="B2371" s="153" t="n">
        <x:v>3.2</x:v>
      </x:c>
      <x:c r="C2371" s="153" t="n">
        <x:v>0.65</x:v>
      </x:c>
      <x:c r="D2371" s="153" t="n">
        <x:v>2.55</x:v>
      </x:c>
      <x:c r="E2371" s="153" t="n">
        <x:v>120.1736</x:v>
      </x:c>
      <x:c r="F2371" s="153" t="n">
        <x:v>26.95</x:v>
      </x:c>
      <x:c r="G2371" s="153" t="n">
        <x:v>1.58</x:v>
      </x:c>
    </x:row>
    <x:row r="2372">
      <x:c r="A2372" s="155" t="n">
        <x:v>44740</x:v>
      </x:c>
      <x:c r="B2372" s="153" t="n">
        <x:v>3.2</x:v>
      </x:c>
      <x:c r="C2372" s="153" t="n">
        <x:v>0.72</x:v>
      </x:c>
      <x:c r="D2372" s="153" t="n">
        <x:v>2.48</x:v>
      </x:c>
      <x:c r="E2372" s="153" t="n">
        <x:v>120.62</x:v>
      </x:c>
      <x:c r="F2372" s="153" t="n">
        <x:v>28.36</x:v>
      </x:c>
      <x:c r="G2372" s="153" t="n">
        <x:v>1.58</x:v>
      </x:c>
    </x:row>
    <x:row r="2373">
      <x:c r="A2373" s="155" t="n">
        <x:v>44741</x:v>
      </x:c>
      <x:c r="B2373" s="153" t="n">
        <x:v>3.1</x:v>
      </x:c>
      <x:c r="C2373" s="153" t="n">
        <x:v>0.74</x:v>
      </x:c>
      <x:c r="D2373" s="153" t="n">
        <x:v>2.36</x:v>
      </x:c>
      <x:c r="E2373" s="153" t="n">
        <x:v>120.9616</x:v>
      </x:c>
      <x:c r="F2373" s="153" t="n">
        <x:v>28.16</x:v>
      </x:c>
      <x:c r="G2373" s="153" t="n">
        <x:v>1.58</x:v>
      </x:c>
    </x:row>
    <x:row r="2374">
      <x:c r="A2374" s="155" t="n">
        <x:v>44742</x:v>
      </x:c>
      <x:c r="B2374" s="153" t="n">
        <x:v>2.98</x:v>
      </x:c>
      <x:c r="C2374" s="153" t="n">
        <x:v>0.65</x:v>
      </x:c>
      <x:c r="D2374" s="153" t="n">
        <x:v>2.33</x:v>
      </x:c>
      <x:c r="E2374" s="153" t="n">
        <x:v>120.9652</x:v>
      </x:c>
      <x:c r="F2374" s="153" t="n">
        <x:v>28.71</x:v>
      </x:c>
      <x:c r="G2374" s="153" t="n">
        <x:v>1.58</x:v>
      </x:c>
    </x:row>
    <x:row r="2375">
      <x:c r="A2375" s="155" t="n">
        <x:v>44743</x:v>
      </x:c>
      <x:c r="B2375" s="153" t="n">
        <x:v>2.88</x:v>
      </x:c>
      <x:c r="C2375" s="153" t="n">
        <x:v>0.54</x:v>
      </x:c>
      <x:c r="D2375" s="153" t="n">
        <x:v>2.34</x:v>
      </x:c>
      <x:c r="E2375" s="153" t="n">
        <x:v>121.5058</x:v>
      </x:c>
      <x:c r="F2375" s="153" t="n">
        <x:v>26.7</x:v>
      </x:c>
      <x:c r="G2375" s="153" t="n">
        <x:v>1.58</x:v>
      </x:c>
    </x:row>
    <x:row r="2376">
      <x:c r="A2376" s="155" t="n">
        <x:v>44744</x:v>
      </x:c>
      <x:c r="B2376" s="153"/>
      <x:c r="C2376" s="153"/>
      <x:c r="D2376" s="153"/>
      <x:c r="E2376" s="153"/>
      <x:c r="F2376" s="153"/>
      <x:c r="G2376" s="153" t="n">
        <x:v>1.58</x:v>
      </x:c>
    </x:row>
    <x:row r="2377">
      <x:c r="A2377" s="155" t="n">
        <x:v>44745</x:v>
      </x:c>
      <x:c r="B2377" s="153"/>
      <x:c r="C2377" s="153"/>
      <x:c r="D2377" s="153"/>
      <x:c r="E2377" s="153"/>
      <x:c r="F2377" s="153"/>
      <x:c r="G2377" s="153" t="n">
        <x:v>1.58</x:v>
      </x:c>
    </x:row>
    <x:row r="2378">
      <x:c r="A2378" s="155" t="n">
        <x:v>44746</x:v>
      </x:c>
      <x:c r="B2378" s="153"/>
      <x:c r="C2378" s="153"/>
      <x:c r="D2378" s="153"/>
      <x:c r="E2378" s="153"/>
      <x:c r="F2378" s="153" t="n">
        <x:v>27.53</x:v>
      </x:c>
      <x:c r="G2378" s="153" t="n">
        <x:v>1.58</x:v>
      </x:c>
    </x:row>
    <x:row r="2379">
      <x:c r="A2379" s="155" t="n">
        <x:v>44747</x:v>
      </x:c>
      <x:c r="B2379" s="153" t="n">
        <x:v>2.82</x:v>
      </x:c>
      <x:c r="C2379" s="153" t="n">
        <x:v>0.52</x:v>
      </x:c>
      <x:c r="D2379" s="153" t="n">
        <x:v>2.3</x:v>
      </x:c>
      <x:c r="E2379" s="153" t="n">
        <x:v>122.6203</x:v>
      </x:c>
      <x:c r="F2379" s="153" t="n">
        <x:v>27.54</x:v>
      </x:c>
      <x:c r="G2379" s="153" t="n">
        <x:v>1.58</x:v>
      </x:c>
    </x:row>
    <x:row r="2380">
      <x:c r="A2380" s="155" t="n">
        <x:v>44748</x:v>
      </x:c>
      <x:c r="B2380" s="153" t="n">
        <x:v>2.93</x:v>
      </x:c>
      <x:c r="C2380" s="153" t="n">
        <x:v>0.64</x:v>
      </x:c>
      <x:c r="D2380" s="153" t="n">
        <x:v>2.29</x:v>
      </x:c>
      <x:c r="E2380" s="153" t="n">
        <x:v>123.0073</x:v>
      </x:c>
      <x:c r="F2380" s="153" t="n">
        <x:v>26.73</x:v>
      </x:c>
      <x:c r="G2380" s="153" t="n">
        <x:v>1.58</x:v>
      </x:c>
    </x:row>
    <x:row r="2381">
      <x:c r="A2381" s="155" t="n">
        <x:v>44749</x:v>
      </x:c>
      <x:c r="B2381" s="153" t="n">
        <x:v>3.01</x:v>
      </x:c>
      <x:c r="C2381" s="153" t="n">
        <x:v>0.68</x:v>
      </x:c>
      <x:c r="D2381" s="153" t="n">
        <x:v>2.33</x:v>
      </x:c>
      <x:c r="E2381" s="153" t="n">
        <x:v>122.7257</x:v>
      </x:c>
      <x:c r="F2381" s="153" t="n">
        <x:v>26.08</x:v>
      </x:c>
      <x:c r="G2381" s="153" t="n">
        <x:v>1.58</x:v>
      </x:c>
    </x:row>
    <x:row r="2382">
      <x:c r="A2382" s="155" t="n">
        <x:v>44750</x:v>
      </x:c>
      <x:c r="B2382" s="153" t="n">
        <x:v>3.09</x:v>
      </x:c>
      <x:c r="C2382" s="153" t="n">
        <x:v>0.72</x:v>
      </x:c>
      <x:c r="D2382" s="153" t="n">
        <x:v>2.37</x:v>
      </x:c>
      <x:c r="E2382" s="153" t="n">
        <x:v>122.4662</x:v>
      </x:c>
      <x:c r="F2382" s="153" t="n">
        <x:v>24.64</x:v>
      </x:c>
      <x:c r="G2382" s="153" t="n">
        <x:v>1.58</x:v>
      </x:c>
    </x:row>
    <x:row r="2383">
      <x:c r="A2383" s="155" t="n">
        <x:v>44751</x:v>
      </x:c>
      <x:c r="B2383" s="153"/>
      <x:c r="C2383" s="153"/>
      <x:c r="D2383" s="153"/>
      <x:c r="E2383" s="153"/>
      <x:c r="F2383" s="153"/>
      <x:c r="G2383" s="153" t="n">
        <x:v>1.58</x:v>
      </x:c>
    </x:row>
    <x:row r="2384">
      <x:c r="A2384" s="155" t="n">
        <x:v>44752</x:v>
      </x:c>
      <x:c r="B2384" s="153"/>
      <x:c r="C2384" s="153"/>
      <x:c r="D2384" s="153"/>
      <x:c r="E2384" s="153"/>
      <x:c r="F2384" s="153"/>
      <x:c r="G2384" s="153" t="n">
        <x:v>1.58</x:v>
      </x:c>
    </x:row>
    <x:row r="2385">
      <x:c r="A2385" s="155" t="n">
        <x:v>44753</x:v>
      </x:c>
      <x:c r="B2385" s="153" t="n">
        <x:v>2.99</x:v>
      </x:c>
      <x:c r="C2385" s="153" t="n">
        <x:v>0.67</x:v>
      </x:c>
      <x:c r="D2385" s="153" t="n">
        <x:v>2.32</x:v>
      </x:c>
      <x:c r="E2385" s="153" t="n">
        <x:v>123.2974</x:v>
      </x:c>
      <x:c r="F2385" s="153" t="n">
        <x:v>26.17</x:v>
      </x:c>
      <x:c r="G2385" s="153" t="n">
        <x:v>1.58</x:v>
      </x:c>
    </x:row>
    <x:row r="2386">
      <x:c r="A2386" s="155" t="n">
        <x:v>44754</x:v>
      </x:c>
      <x:c r="B2386" s="153" t="n">
        <x:v>2.96</x:v>
      </x:c>
      <x:c r="C2386" s="153" t="n">
        <x:v>0.64</x:v>
      </x:c>
      <x:c r="D2386" s="153" t="n">
        <x:v>2.32</x:v>
      </x:c>
      <x:c r="E2386" s="153" t="n">
        <x:v>123.4524</x:v>
      </x:c>
      <x:c r="F2386" s="153" t="n">
        <x:v>27.29</x:v>
      </x:c>
      <x:c r="G2386" s="153" t="n">
        <x:v>1.58</x:v>
      </x:c>
    </x:row>
    <x:row r="2387">
      <x:c r="A2387" s="155" t="n">
        <x:v>44755</x:v>
      </x:c>
      <x:c r="B2387" s="153" t="n">
        <x:v>2.91</x:v>
      </x:c>
      <x:c r="C2387" s="153" t="n">
        <x:v>0.6</x:v>
      </x:c>
      <x:c r="D2387" s="153" t="n">
        <x:v>2.31</x:v>
      </x:c>
      <x:c r="E2387" s="153" t="n">
        <x:v>123.2834</x:v>
      </x:c>
      <x:c r="F2387" s="153" t="n">
        <x:v>26.82</x:v>
      </x:c>
      <x:c r="G2387" s="153" t="n">
        <x:v>1.58</x:v>
      </x:c>
    </x:row>
    <x:row r="2388">
      <x:c r="A2388" s="155" t="n">
        <x:v>44756</x:v>
      </x:c>
      <x:c r="B2388" s="153" t="n">
        <x:v>2.96</x:v>
      </x:c>
      <x:c r="C2388" s="153" t="n">
        <x:v>0.62</x:v>
      </x:c>
      <x:c r="D2388" s="153" t="n">
        <x:v>2.34</x:v>
      </x:c>
      <x:c r="E2388" s="153" t="n">
        <x:v>124.0622</x:v>
      </x:c>
      <x:c r="F2388" s="153" t="n">
        <x:v>26.4</x:v>
      </x:c>
      <x:c r="G2388" s="153" t="n">
        <x:v>1.58</x:v>
      </x:c>
    </x:row>
    <x:row r="2389">
      <x:c r="A2389" s="155" t="n">
        <x:v>44757</x:v>
      </x:c>
      <x:c r="B2389" s="153" t="n">
        <x:v>2.93</x:v>
      </x:c>
      <x:c r="C2389" s="153" t="n">
        <x:v>0.57</x:v>
      </x:c>
      <x:c r="D2389" s="153" t="n">
        <x:v>2.36</x:v>
      </x:c>
      <x:c r="E2389" s="153" t="n">
        <x:v>123.4765</x:v>
      </x:c>
      <x:c r="F2389" s="153" t="n">
        <x:v>24.23</x:v>
      </x:c>
      <x:c r="G2389" s="153" t="n">
        <x:v>1.58</x:v>
      </x:c>
    </x:row>
    <x:row r="2390">
      <x:c r="A2390" s="155" t="n">
        <x:v>44758</x:v>
      </x:c>
      <x:c r="B2390" s="153"/>
      <x:c r="C2390" s="153"/>
      <x:c r="D2390" s="153"/>
      <x:c r="E2390" s="153"/>
      <x:c r="F2390" s="153"/>
      <x:c r="G2390" s="153" t="n">
        <x:v>1.58</x:v>
      </x:c>
    </x:row>
    <x:row r="2391">
      <x:c r="A2391" s="155" t="n">
        <x:v>44759</x:v>
      </x:c>
      <x:c r="B2391" s="153"/>
      <x:c r="C2391" s="153"/>
      <x:c r="D2391" s="153"/>
      <x:c r="E2391" s="153"/>
      <x:c r="F2391" s="153"/>
      <x:c r="G2391" s="153" t="n">
        <x:v>1.58</x:v>
      </x:c>
    </x:row>
    <x:row r="2392">
      <x:c r="A2392" s="155" t="n">
        <x:v>44760</x:v>
      </x:c>
      <x:c r="B2392" s="153" t="n">
        <x:v>2.96</x:v>
      </x:c>
      <x:c r="C2392" s="153" t="n">
        <x:v>0.59</x:v>
      </x:c>
      <x:c r="D2392" s="153" t="n">
        <x:v>2.37</x:v>
      </x:c>
      <x:c r="E2392" s="153" t="n">
        <x:v>122.7727</x:v>
      </x:c>
      <x:c r="F2392" s="153" t="n">
        <x:v>25.3</x:v>
      </x:c>
      <x:c r="G2392" s="153" t="n">
        <x:v>1.58</x:v>
      </x:c>
    </x:row>
    <x:row r="2393">
      <x:c r="A2393" s="155" t="n">
        <x:v>44761</x:v>
      </x:c>
      <x:c r="B2393" s="153" t="n">
        <x:v>3.01</x:v>
      </x:c>
      <x:c r="C2393" s="153" t="n">
        <x:v>0.62</x:v>
      </x:c>
      <x:c r="D2393" s="153" t="n">
        <x:v>2.39</x:v>
      </x:c>
      <x:c r="E2393" s="153" t="n">
        <x:v>122.4819</x:v>
      </x:c>
      <x:c r="F2393" s="153" t="n">
        <x:v>24.5</x:v>
      </x:c>
      <x:c r="G2393" s="153" t="n">
        <x:v>1.58</x:v>
      </x:c>
    </x:row>
    <x:row r="2394">
      <x:c r="A2394" s="155" t="n">
        <x:v>44762</x:v>
      </x:c>
      <x:c r="B2394" s="153" t="n">
        <x:v>3.04</x:v>
      </x:c>
      <x:c r="C2394" s="153" t="n">
        <x:v>0.66</x:v>
      </x:c>
      <x:c r="D2394" s="153" t="n">
        <x:v>2.38</x:v>
      </x:c>
      <x:c r="E2394" s="153" t="n">
        <x:v>122.5997</x:v>
      </x:c>
      <x:c r="F2394" s="153" t="n">
        <x:v>23.88</x:v>
      </x:c>
      <x:c r="G2394" s="153" t="n">
        <x:v>1.58</x:v>
      </x:c>
    </x:row>
    <x:row r="2395">
      <x:c r="A2395" s="155" t="n">
        <x:v>44763</x:v>
      </x:c>
      <x:c r="B2395" s="153" t="n">
        <x:v>2.91</x:v>
      </x:c>
      <x:c r="C2395" s="153" t="n">
        <x:v>0.58</x:v>
      </x:c>
      <x:c r="D2395" s="153" t="n">
        <x:v>2.33</x:v>
      </x:c>
      <x:c r="E2395" s="153" t="n">
        <x:v>122.9032</x:v>
      </x:c>
      <x:c r="F2395" s="153" t="n">
        <x:v>23.11</x:v>
      </x:c>
      <x:c r="G2395" s="153" t="n">
        <x:v>1.58</x:v>
      </x:c>
    </x:row>
    <x:row r="2396">
      <x:c r="A2396" s="155" t="n">
        <x:v>44764</x:v>
      </x:c>
      <x:c r="B2396" s="153" t="n">
        <x:v>2.77</x:v>
      </x:c>
      <x:c r="C2396" s="153" t="n">
        <x:v>0.43</x:v>
      </x:c>
      <x:c r="D2396" s="153" t="n">
        <x:v>2.34</x:v>
      </x:c>
      <x:c r="E2396" s="153" t="n">
        <x:v>122.451</x:v>
      </x:c>
      <x:c r="F2396" s="153" t="n">
        <x:v>23.03</x:v>
      </x:c>
      <x:c r="G2396" s="153" t="n">
        <x:v>1.58</x:v>
      </x:c>
    </x:row>
    <x:row r="2397">
      <x:c r="A2397" s="155" t="n">
        <x:v>44765</x:v>
      </x:c>
      <x:c r="B2397" s="153"/>
      <x:c r="C2397" s="153"/>
      <x:c r="D2397" s="153"/>
      <x:c r="E2397" s="153"/>
      <x:c r="F2397" s="153"/>
      <x:c r="G2397" s="153" t="n">
        <x:v>1.58</x:v>
      </x:c>
    </x:row>
    <x:row r="2398">
      <x:c r="A2398" s="155" t="n">
        <x:v>44766</x:v>
      </x:c>
      <x:c r="B2398" s="153"/>
      <x:c r="C2398" s="153"/>
      <x:c r="D2398" s="153"/>
      <x:c r="E2398" s="153"/>
      <x:c r="F2398" s="153"/>
      <x:c r="G2398" s="153" t="n">
        <x:v>1.58</x:v>
      </x:c>
    </x:row>
    <x:row r="2399">
      <x:c r="A2399" s="155" t="n">
        <x:v>44767</x:v>
      </x:c>
      <x:c r="B2399" s="153" t="n">
        <x:v>2.81</x:v>
      </x:c>
      <x:c r="C2399" s="153" t="n">
        <x:v>0.45</x:v>
      </x:c>
      <x:c r="D2399" s="153" t="n">
        <x:v>2.36</x:v>
      </x:c>
      <x:c r="E2399" s="153" t="n">
        <x:v>122.4594</x:v>
      </x:c>
      <x:c r="F2399" s="153" t="n">
        <x:v>23.36</x:v>
      </x:c>
      <x:c r="G2399" s="153" t="n">
        <x:v>1.58</x:v>
      </x:c>
    </x:row>
    <x:row r="2400">
      <x:c r="A2400" s="155" t="n">
        <x:v>44768</x:v>
      </x:c>
      <x:c r="B2400" s="153" t="n">
        <x:v>2.81</x:v>
      </x:c>
      <x:c r="C2400" s="153" t="n">
        <x:v>0.45</x:v>
      </x:c>
      <x:c r="D2400" s="153" t="n">
        <x:v>2.36</x:v>
      </x:c>
      <x:c r="E2400" s="153" t="n">
        <x:v>122.7581</x:v>
      </x:c>
      <x:c r="F2400" s="153" t="n">
        <x:v>24.69</x:v>
      </x:c>
      <x:c r="G2400" s="153" t="n">
        <x:v>1.58</x:v>
      </x:c>
    </x:row>
    <x:row r="2401">
      <x:c r="A2401" s="155" t="n">
        <x:v>44769</x:v>
      </x:c>
      <x:c r="B2401" s="153" t="n">
        <x:v>2.78</x:v>
      </x:c>
      <x:c r="C2401" s="153" t="n">
        <x:v>0.36</x:v>
      </x:c>
      <x:c r="D2401" s="153" t="n">
        <x:v>2.42</x:v>
      </x:c>
      <x:c r="E2401" s="153" t="n">
        <x:v>122.8169</x:v>
      </x:c>
      <x:c r="F2401" s="153" t="n">
        <x:v>23.24</x:v>
      </x:c>
      <x:c r="G2401" s="153" t="n">
        <x:v>1.58</x:v>
      </x:c>
    </x:row>
    <x:row r="2402">
      <x:c r="A2402" s="155" t="n">
        <x:v>44770</x:v>
      </x:c>
      <x:c r="B2402" s="153" t="n">
        <x:v>2.68</x:v>
      </x:c>
      <x:c r="C2402" s="153" t="n">
        <x:v>0.2</x:v>
      </x:c>
      <x:c r="D2402" s="153" t="n">
        <x:v>2.48</x:v>
      </x:c>
      <x:c r="E2402" s="153" t="n">
        <x:v>122.1161</x:v>
      </x:c>
      <x:c r="F2402" s="153" t="n">
        <x:v>22.33</x:v>
      </x:c>
      <x:c r="G2402" s="153" t="n">
        <x:v>2.33</x:v>
      </x:c>
    </x:row>
    <x:row r="2403">
      <x:c r="A2403" s="155" t="n">
        <x:v>44771</x:v>
      </x:c>
      <x:c r="B2403" s="153" t="n">
        <x:v>2.67</x:v>
      </x:c>
      <x:c r="C2403" s="153" t="n">
        <x:v>0.14</x:v>
      </x:c>
      <x:c r="D2403" s="153" t="n">
        <x:v>2.53</x:v>
      </x:c>
      <x:c r="E2403" s="153" t="n">
        <x:v>121.7678</x:v>
      </x:c>
      <x:c r="F2403" s="153" t="n">
        <x:v>21.33</x:v>
      </x:c>
      <x:c r="G2403" s="153" t="n">
        <x:v>2.32</x:v>
      </x:c>
    </x:row>
    <x:row r="2404">
      <x:c r="A2404" s="155" t="n">
        <x:v>44772</x:v>
      </x:c>
      <x:c r="B2404" s="153"/>
      <x:c r="C2404" s="153"/>
      <x:c r="D2404" s="153"/>
      <x:c r="E2404" s="153"/>
      <x:c r="F2404" s="153"/>
      <x:c r="G2404" s="153" t="n">
        <x:v>2.32</x:v>
      </x:c>
    </x:row>
    <x:row r="2405">
      <x:c r="A2405" s="155" t="n">
        <x:v>44773</x:v>
      </x:c>
      <x:c r="B2405" s="153"/>
      <x:c r="C2405" s="153"/>
      <x:c r="D2405" s="153"/>
      <x:c r="E2405" s="153"/>
      <x:c r="F2405" s="153"/>
      <x:c r="G2405" s="153" t="n">
        <x:v>2.32</x:v>
      </x:c>
    </x:row>
    <x:row r="2406">
      <x:c r="A2406" s="155" t="n">
        <x:v>44774</x:v>
      </x:c>
      <x:c r="B2406" s="153" t="n">
        <x:v>2.6</x:v>
      </x:c>
      <x:c r="C2406" s="153" t="n">
        <x:v>0.09</x:v>
      </x:c>
      <x:c r="D2406" s="153" t="n">
        <x:v>2.51</x:v>
      </x:c>
      <x:c r="E2406" s="153" t="n">
        <x:v>121.4109</x:v>
      </x:c>
      <x:c r="F2406" s="153" t="n">
        <x:v>22.84</x:v>
      </x:c>
      <x:c r="G2406" s="153" t="n">
        <x:v>2.33</x:v>
      </x:c>
    </x:row>
    <x:row r="2407">
      <x:c r="A2407" s="155" t="n">
        <x:v>44775</x:v>
      </x:c>
      <x:c r="B2407" s="153" t="n">
        <x:v>2.75</x:v>
      </x:c>
      <x:c r="C2407" s="153" t="n">
        <x:v>0.27</x:v>
      </x:c>
      <x:c r="D2407" s="153" t="n">
        <x:v>2.48</x:v>
      </x:c>
      <x:c r="E2407" s="153" t="n">
        <x:v>121.9486</x:v>
      </x:c>
      <x:c r="F2407" s="153" t="n">
        <x:v>23.93</x:v>
      </x:c>
      <x:c r="G2407" s="153" t="n">
        <x:v>2.33</x:v>
      </x:c>
    </x:row>
    <x:row r="2408">
      <x:c r="A2408" s="155" t="n">
        <x:v>44776</x:v>
      </x:c>
      <x:c r="B2408" s="153" t="n">
        <x:v>2.73</x:v>
      </x:c>
      <x:c r="C2408" s="153" t="n">
        <x:v>0.23</x:v>
      </x:c>
      <x:c r="D2408" s="153" t="n">
        <x:v>2.5</x:v>
      </x:c>
      <x:c r="E2408" s="153" t="n">
        <x:v>122.3888</x:v>
      </x:c>
      <x:c r="F2408" s="153" t="n">
        <x:v>21.95</x:v>
      </x:c>
      <x:c r="G2408" s="153" t="n">
        <x:v>2.33</x:v>
      </x:c>
    </x:row>
    <x:row r="2409">
      <x:c r="A2409" s="155" t="n">
        <x:v>44777</x:v>
      </x:c>
      <x:c r="B2409" s="153" t="n">
        <x:v>2.68</x:v>
      </x:c>
      <x:c r="C2409" s="153" t="n">
        <x:v>0.22</x:v>
      </x:c>
      <x:c r="D2409" s="153" t="n">
        <x:v>2.46</x:v>
      </x:c>
      <x:c r="E2409" s="153" t="n">
        <x:v>121.8333</x:v>
      </x:c>
      <x:c r="F2409" s="153" t="n">
        <x:v>21.44</x:v>
      </x:c>
      <x:c r="G2409" s="153" t="n">
        <x:v>2.33</x:v>
      </x:c>
    </x:row>
    <x:row r="2410">
      <x:c r="A2410" s="155" t="n">
        <x:v>44778</x:v>
      </x:c>
      <x:c r="B2410" s="153" t="n">
        <x:v>2.83</x:v>
      </x:c>
      <x:c r="C2410" s="153" t="n">
        <x:v>0.37</x:v>
      </x:c>
      <x:c r="D2410" s="153" t="n">
        <x:v>2.46</x:v>
      </x:c>
      <x:c r="E2410" s="153" t="n">
        <x:v>122.321</x:v>
      </x:c>
      <x:c r="F2410" s="153" t="n">
        <x:v>21.15</x:v>
      </x:c>
      <x:c r="G2410" s="153" t="n">
        <x:v>2.33</x:v>
      </x:c>
    </x:row>
    <x:row r="2411">
      <x:c r="A2411" s="155" t="n">
        <x:v>44779</x:v>
      </x:c>
      <x:c r="B2411" s="153"/>
      <x:c r="C2411" s="153"/>
      <x:c r="D2411" s="153"/>
      <x:c r="E2411" s="153"/>
      <x:c r="F2411" s="153"/>
      <x:c r="G2411" s="153" t="n">
        <x:v>2.33</x:v>
      </x:c>
    </x:row>
    <x:row r="2412">
      <x:c r="A2412" s="155" t="n">
        <x:v>44780</x:v>
      </x:c>
      <x:c r="B2412" s="153"/>
      <x:c r="C2412" s="153"/>
      <x:c r="D2412" s="153"/>
      <x:c r="E2412" s="153"/>
      <x:c r="F2412" s="153"/>
      <x:c r="G2412" s="153" t="n">
        <x:v>2.33</x:v>
      </x:c>
    </x:row>
    <x:row r="2413">
      <x:c r="A2413" s="155" t="n">
        <x:v>44781</x:v>
      </x:c>
      <x:c r="B2413" s="153" t="n">
        <x:v>2.77</x:v>
      </x:c>
      <x:c r="C2413" s="153" t="n">
        <x:v>0.29</x:v>
      </x:c>
      <x:c r="D2413" s="153" t="n">
        <x:v>2.48</x:v>
      </x:c>
      <x:c r="E2413" s="153" t="n">
        <x:v>121.8783</x:v>
      </x:c>
      <x:c r="F2413" s="153" t="n">
        <x:v>21.29</x:v>
      </x:c>
      <x:c r="G2413" s="153" t="n">
        <x:v>2.33</x:v>
      </x:c>
    </x:row>
    <x:row r="2414">
      <x:c r="A2414" s="155" t="n">
        <x:v>44782</x:v>
      </x:c>
      <x:c r="B2414" s="153" t="n">
        <x:v>2.8</x:v>
      </x:c>
      <x:c r="C2414" s="153" t="n">
        <x:v>0.33</x:v>
      </x:c>
      <x:c r="D2414" s="153" t="n">
        <x:v>2.47</x:v>
      </x:c>
      <x:c r="E2414" s="153" t="n">
        <x:v>121.8614</x:v>
      </x:c>
      <x:c r="F2414" s="153" t="n">
        <x:v>21.77</x:v>
      </x:c>
      <x:c r="G2414" s="153" t="n">
        <x:v>2.33</x:v>
      </x:c>
    </x:row>
    <x:row r="2415">
      <x:c r="A2415" s="155" t="n">
        <x:v>44783</x:v>
      </x:c>
      <x:c r="B2415" s="153" t="n">
        <x:v>2.78</x:v>
      </x:c>
      <x:c r="C2415" s="153" t="n">
        <x:v>0.35</x:v>
      </x:c>
      <x:c r="D2415" s="153" t="n">
        <x:v>2.43</x:v>
      </x:c>
      <x:c r="E2415" s="153" t="n">
        <x:v>120.7543</x:v>
      </x:c>
      <x:c r="F2415" s="153" t="n">
        <x:v>19.74</x:v>
      </x:c>
      <x:c r="G2415" s="153" t="n">
        <x:v>2.33</x:v>
      </x:c>
    </x:row>
    <x:row r="2416">
      <x:c r="A2416" s="155" t="n">
        <x:v>44784</x:v>
      </x:c>
      <x:c r="B2416" s="153" t="n">
        <x:v>2.87</x:v>
      </x:c>
      <x:c r="C2416" s="153" t="n">
        <x:v>0.4</x:v>
      </x:c>
      <x:c r="D2416" s="153" t="n">
        <x:v>2.47</x:v>
      </x:c>
      <x:c r="E2416" s="153" t="n">
        <x:v>120.7163</x:v>
      </x:c>
      <x:c r="F2416" s="153" t="n">
        <x:v>20.2</x:v>
      </x:c>
      <x:c r="G2416" s="153" t="n">
        <x:v>2.33</x:v>
      </x:c>
    </x:row>
    <x:row r="2417">
      <x:c r="A2417" s="155" t="n">
        <x:v>44785</x:v>
      </x:c>
      <x:c r="B2417" s="153" t="n">
        <x:v>2.84</x:v>
      </x:c>
      <x:c r="C2417" s="153" t="n">
        <x:v>0.37</x:v>
      </x:c>
      <x:c r="D2417" s="153" t="n">
        <x:v>2.47</x:v>
      </x:c>
      <x:c r="E2417" s="153" t="n">
        <x:v>121.018</x:v>
      </x:c>
      <x:c r="F2417" s="153" t="n">
        <x:v>19.53</x:v>
      </x:c>
      <x:c r="G2417" s="153" t="n">
        <x:v>2.33</x:v>
      </x:c>
    </x:row>
    <x:row r="2418">
      <x:c r="A2418" s="155" t="n">
        <x:v>44786</x:v>
      </x:c>
      <x:c r="B2418" s="153"/>
      <x:c r="C2418" s="153"/>
      <x:c r="D2418" s="153"/>
      <x:c r="E2418" s="153"/>
      <x:c r="F2418" s="153"/>
      <x:c r="G2418" s="153" t="n">
        <x:v>2.33</x:v>
      </x:c>
    </x:row>
    <x:row r="2419">
      <x:c r="A2419" s="155" t="n">
        <x:v>44787</x:v>
      </x:c>
      <x:c r="B2419" s="153"/>
      <x:c r="C2419" s="153"/>
      <x:c r="D2419" s="153"/>
      <x:c r="E2419" s="153"/>
      <x:c r="F2419" s="153"/>
      <x:c r="G2419" s="153" t="n">
        <x:v>2.33</x:v>
      </x:c>
    </x:row>
    <x:row r="2420">
      <x:c r="A2420" s="155" t="n">
        <x:v>44788</x:v>
      </x:c>
      <x:c r="B2420" s="153" t="n">
        <x:v>2.79</x:v>
      </x:c>
      <x:c r="C2420" s="153" t="n">
        <x:v>0.35</x:v>
      </x:c>
      <x:c r="D2420" s="153" t="n">
        <x:v>2.44</x:v>
      </x:c>
      <x:c r="E2420" s="153" t="n">
        <x:v>121.4315</x:v>
      </x:c>
      <x:c r="F2420" s="153" t="n">
        <x:v>19.95</x:v>
      </x:c>
      <x:c r="G2420" s="153" t="n">
        <x:v>2.33</x:v>
      </x:c>
    </x:row>
    <x:row r="2421">
      <x:c r="A2421" s="155" t="n">
        <x:v>44789</x:v>
      </x:c>
      <x:c r="B2421" s="153" t="n">
        <x:v>2.82</x:v>
      </x:c>
      <x:c r="C2421" s="153" t="n">
        <x:v>0.38</x:v>
      </x:c>
      <x:c r="D2421" s="153" t="n">
        <x:v>2.44</x:v>
      </x:c>
      <x:c r="E2421" s="153" t="n">
        <x:v>121.6807</x:v>
      </x:c>
      <x:c r="F2421" s="153" t="n">
        <x:v>19.69</x:v>
      </x:c>
      <x:c r="G2421" s="153" t="n">
        <x:v>2.33</x:v>
      </x:c>
    </x:row>
    <x:row r="2422">
      <x:c r="A2422" s="155" t="n">
        <x:v>44790</x:v>
      </x:c>
      <x:c r="B2422" s="153" t="n">
        <x:v>2.89</x:v>
      </x:c>
      <x:c r="C2422" s="153" t="n">
        <x:v>0.43</x:v>
      </x:c>
      <x:c r="D2422" s="153" t="n">
        <x:v>2.46</x:v>
      </x:c>
      <x:c r="E2422" s="153" t="n">
        <x:v>122.0711</x:v>
      </x:c>
      <x:c r="F2422" s="153" t="n">
        <x:v>19.9</x:v>
      </x:c>
      <x:c r="G2422" s="153" t="n">
        <x:v>2.33</x:v>
      </x:c>
    </x:row>
    <x:row r="2423">
      <x:c r="A2423" s="155" t="n">
        <x:v>44791</x:v>
      </x:c>
      <x:c r="B2423" s="153" t="n">
        <x:v>2.88</x:v>
      </x:c>
      <x:c r="C2423" s="153" t="n">
        <x:v>0.36</x:v>
      </x:c>
      <x:c r="D2423" s="153" t="n">
        <x:v>2.52</x:v>
      </x:c>
      <x:c r="E2423" s="153" t="n">
        <x:v>122.3627</x:v>
      </x:c>
      <x:c r="F2423" s="153" t="n">
        <x:v>19.56</x:v>
      </x:c>
      <x:c r="G2423" s="153" t="n">
        <x:v>2.33</x:v>
      </x:c>
    </x:row>
    <x:row r="2424">
      <x:c r="A2424" s="155" t="n">
        <x:v>44792</x:v>
      </x:c>
      <x:c r="B2424" s="153" t="n">
        <x:v>2.98</x:v>
      </x:c>
      <x:c r="C2424" s="153" t="n">
        <x:v>0.43</x:v>
      </x:c>
      <x:c r="D2424" s="153" t="n">
        <x:v>2.55</x:v>
      </x:c>
      <x:c r="E2424" s="153" t="n">
        <x:v>123.0501</x:v>
      </x:c>
      <x:c r="F2424" s="153" t="n">
        <x:v>20.6</x:v>
      </x:c>
      <x:c r="G2424" s="153" t="n">
        <x:v>2.33</x:v>
      </x:c>
    </x:row>
    <x:row r="2425">
      <x:c r="A2425" s="155" t="n">
        <x:v>44793</x:v>
      </x:c>
      <x:c r="B2425" s="153"/>
      <x:c r="C2425" s="153"/>
      <x:c r="D2425" s="153"/>
      <x:c r="E2425" s="153"/>
      <x:c r="F2425" s="153"/>
      <x:c r="G2425" s="153" t="n">
        <x:v>2.33</x:v>
      </x:c>
    </x:row>
    <x:row r="2426">
      <x:c r="A2426" s="155" t="n">
        <x:v>44794</x:v>
      </x:c>
      <x:c r="B2426" s="153"/>
      <x:c r="C2426" s="153"/>
      <x:c r="D2426" s="153"/>
      <x:c r="E2426" s="153"/>
      <x:c r="F2426" s="153"/>
      <x:c r="G2426" s="153" t="n">
        <x:v>2.33</x:v>
      </x:c>
    </x:row>
    <x:row r="2427">
      <x:c r="A2427" s="155" t="n">
        <x:v>44795</x:v>
      </x:c>
      <x:c r="B2427" s="153" t="n">
        <x:v>3.03</x:v>
      </x:c>
      <x:c r="C2427" s="153" t="n">
        <x:v>0.46</x:v>
      </x:c>
      <x:c r="D2427" s="153" t="n">
        <x:v>2.57</x:v>
      </x:c>
      <x:c r="E2427" s="153" t="n">
        <x:v>123.605</x:v>
      </x:c>
      <x:c r="F2427" s="153" t="n">
        <x:v>23.8</x:v>
      </x:c>
      <x:c r="G2427" s="153" t="n">
        <x:v>2.33</x:v>
      </x:c>
    </x:row>
    <x:row r="2428">
      <x:c r="A2428" s="155" t="n">
        <x:v>44796</x:v>
      </x:c>
      <x:c r="B2428" s="153" t="n">
        <x:v>3.05</x:v>
      </x:c>
      <x:c r="C2428" s="153" t="n">
        <x:v>0.47</x:v>
      </x:c>
      <x:c r="D2428" s="153" t="n">
        <x:v>2.58</x:v>
      </x:c>
      <x:c r="E2428" s="153" t="n">
        <x:v>123.0547</x:v>
      </x:c>
      <x:c r="F2428" s="153" t="n">
        <x:v>24.11</x:v>
      </x:c>
      <x:c r="G2428" s="153" t="n">
        <x:v>2.33</x:v>
      </x:c>
    </x:row>
    <x:row r="2429">
      <x:c r="A2429" s="155" t="n">
        <x:v>44797</x:v>
      </x:c>
      <x:c r="B2429" s="153" t="n">
        <x:v>3.11</x:v>
      </x:c>
      <x:c r="C2429" s="153" t="n">
        <x:v>0.49</x:v>
      </x:c>
      <x:c r="D2429" s="153" t="n">
        <x:v>2.62</x:v>
      </x:c>
      <x:c r="E2429" s="153" t="n">
        <x:v>123.109</x:v>
      </x:c>
      <x:c r="F2429" s="153" t="n">
        <x:v>22.82</x:v>
      </x:c>
      <x:c r="G2429" s="153" t="n">
        <x:v>2.33</x:v>
      </x:c>
    </x:row>
    <x:row r="2430">
      <x:c r="A2430" s="155" t="n">
        <x:v>44798</x:v>
      </x:c>
      <x:c r="B2430" s="153" t="n">
        <x:v>3.03</x:v>
      </x:c>
      <x:c r="C2430" s="153" t="n">
        <x:v>0.43</x:v>
      </x:c>
      <x:c r="D2430" s="153" t="n">
        <x:v>2.6</x:v>
      </x:c>
      <x:c r="E2430" s="153" t="n">
        <x:v>123.0586</x:v>
      </x:c>
      <x:c r="F2430" s="153" t="n">
        <x:v>21.78</x:v>
      </x:c>
      <x:c r="G2430" s="153" t="n">
        <x:v>2.33</x:v>
      </x:c>
    </x:row>
    <x:row r="2431">
      <x:c r="A2431" s="155" t="n">
        <x:v>44799</x:v>
      </x:c>
      <x:c r="B2431" s="153" t="n">
        <x:v>3.04</x:v>
      </x:c>
      <x:c r="C2431" s="153" t="n">
        <x:v>0.47</x:v>
      </x:c>
      <x:c r="D2431" s="153" t="n">
        <x:v>2.57</x:v>
      </x:c>
      <x:c r="E2431" s="153" t="n">
        <x:v>123.0656</x:v>
      </x:c>
      <x:c r="F2431" s="153" t="n">
        <x:v>25.56</x:v>
      </x:c>
      <x:c r="G2431" s="153" t="n">
        <x:v>2.33</x:v>
      </x:c>
    </x:row>
    <x:row r="2432">
      <x:c r="A2432" s="155" t="n">
        <x:v>44800</x:v>
      </x:c>
      <x:c r="B2432" s="153"/>
      <x:c r="C2432" s="153"/>
      <x:c r="D2432" s="153"/>
      <x:c r="E2432" s="153"/>
      <x:c r="F2432" s="153"/>
      <x:c r="G2432" s="153" t="n">
        <x:v>2.33</x:v>
      </x:c>
    </x:row>
    <x:row r="2433">
      <x:c r="A2433" s="155" t="n">
        <x:v>44801</x:v>
      </x:c>
      <x:c r="B2433" s="153"/>
      <x:c r="C2433" s="153"/>
      <x:c r="D2433" s="153"/>
      <x:c r="E2433" s="153"/>
      <x:c r="F2433" s="153"/>
      <x:c r="G2433" s="153" t="n">
        <x:v>2.33</x:v>
      </x:c>
    </x:row>
    <x:row r="2434">
      <x:c r="A2434" s="155" t="n">
        <x:v>44802</x:v>
      </x:c>
      <x:c r="B2434" s="153" t="n">
        <x:v>3.12</x:v>
      </x:c>
      <x:c r="C2434" s="153" t="n">
        <x:v>0.54</x:v>
      </x:c>
      <x:c r="D2434" s="153" t="n">
        <x:v>2.58</x:v>
      </x:c>
      <x:c r="E2434" s="153" t="n">
        <x:v>123.4686</x:v>
      </x:c>
      <x:c r="F2434" s="153" t="n">
        <x:v>26.21</x:v>
      </x:c>
      <x:c r="G2434" s="153" t="n">
        <x:v>2.33</x:v>
      </x:c>
    </x:row>
    <x:row r="2435">
      <x:c r="A2435" s="155" t="n">
        <x:v>44803</x:v>
      </x:c>
      <x:c r="B2435" s="153" t="n">
        <x:v>3.11</x:v>
      </x:c>
      <x:c r="C2435" s="153" t="n">
        <x:v>0.56</x:v>
      </x:c>
      <x:c r="D2435" s="153" t="n">
        <x:v>2.55</x:v>
      </x:c>
      <x:c r="E2435" s="153" t="n">
        <x:v>123.6848</x:v>
      </x:c>
      <x:c r="F2435" s="153" t="n">
        <x:v>26.21</x:v>
      </x:c>
      <x:c r="G2435" s="153" t="n">
        <x:v>2.33</x:v>
      </x:c>
    </x:row>
    <x:row r="2436">
      <x:c r="A2436" s="155" t="n">
        <x:v>44804</x:v>
      </x:c>
      <x:c r="B2436" s="153" t="n">
        <x:v>3.15</x:v>
      </x:c>
      <x:c r="C2436" s="153" t="n">
        <x:v>0.67</x:v>
      </x:c>
      <x:c r="D2436" s="153" t="n">
        <x:v>2.48</x:v>
      </x:c>
      <x:c r="E2436" s="153" t="n">
        <x:v>123.535</x:v>
      </x:c>
      <x:c r="F2436" s="153" t="n">
        <x:v>25.87</x:v>
      </x:c>
      <x:c r="G2436" s="153" t="n">
        <x:v>2.33</x:v>
      </x:c>
    </x:row>
    <x:row r="2437">
      <x:c r="A2437" s="155" t="n">
        <x:v>44805</x:v>
      </x:c>
      <x:c r="B2437" s="153" t="n">
        <x:v>3.26</x:v>
      </x:c>
      <x:c r="C2437" s="153" t="n">
        <x:v>0.81</x:v>
      </x:c>
      <x:c r="D2437" s="153" t="n">
        <x:v>2.45</x:v>
      </x:c>
      <x:c r="E2437" s="153" t="n">
        <x:v>124.4006</x:v>
      </x:c>
      <x:c r="F2437" s="153" t="n">
        <x:v>25.56</x:v>
      </x:c>
      <x:c r="G2437" s="153" t="n">
        <x:v>2.33</x:v>
      </x:c>
    </x:row>
    <x:row r="2438">
      <x:c r="A2438" s="155" t="n">
        <x:v>44806</x:v>
      </x:c>
      <x:c r="B2438" s="153" t="n">
        <x:v>3.2</x:v>
      </x:c>
      <x:c r="C2438" s="153" t="n">
        <x:v>0.73</x:v>
      </x:c>
      <x:c r="D2438" s="153" t="n">
        <x:v>2.47</x:v>
      </x:c>
      <x:c r="E2438" s="153" t="n">
        <x:v>123.7743</x:v>
      </x:c>
      <x:c r="F2438" s="153" t="n">
        <x:v>25.47</x:v>
      </x:c>
      <x:c r="G2438" s="153" t="n">
        <x:v>2.33</x:v>
      </x:c>
    </x:row>
    <x:row r="2439">
      <x:c r="A2439" s="155" t="n">
        <x:v>44807</x:v>
      </x:c>
      <x:c r="B2439" s="153"/>
      <x:c r="C2439" s="153"/>
      <x:c r="D2439" s="153"/>
      <x:c r="E2439" s="153"/>
      <x:c r="F2439" s="153"/>
      <x:c r="G2439" s="153" t="n">
        <x:v>2.33</x:v>
      </x:c>
    </x:row>
    <x:row r="2440">
      <x:c r="A2440" s="155" t="n">
        <x:v>44808</x:v>
      </x:c>
      <x:c r="B2440" s="153"/>
      <x:c r="C2440" s="153"/>
      <x:c r="D2440" s="153"/>
      <x:c r="E2440" s="153"/>
      <x:c r="F2440" s="153"/>
      <x:c r="G2440" s="153" t="n">
        <x:v>2.33</x:v>
      </x:c>
    </x:row>
    <x:row r="2441">
      <x:c r="A2441" s="155" t="n">
        <x:v>44809</x:v>
      </x:c>
      <x:c r="B2441" s="153"/>
      <x:c r="C2441" s="153"/>
      <x:c r="D2441" s="153"/>
      <x:c r="E2441" s="153"/>
      <x:c r="F2441" s="153" t="n">
        <x:v>25.99</x:v>
      </x:c>
      <x:c r="G2441" s="153" t="n">
        <x:v>2.33</x:v>
      </x:c>
    </x:row>
    <x:row r="2442">
      <x:c r="A2442" s="155" t="n">
        <x:v>44810</x:v>
      </x:c>
      <x:c r="B2442" s="153" t="n">
        <x:v>3.33</x:v>
      </x:c>
      <x:c r="C2442" s="153" t="n">
        <x:v>0.85</x:v>
      </x:c>
      <x:c r="D2442" s="153" t="n">
        <x:v>2.48</x:v>
      </x:c>
      <x:c r="E2442" s="153" t="n">
        <x:v>124.767</x:v>
      </x:c>
      <x:c r="F2442" s="153" t="n">
        <x:v>26.91</x:v>
      </x:c>
      <x:c r="G2442" s="153" t="n">
        <x:v>2.33</x:v>
      </x:c>
    </x:row>
    <x:row r="2443">
      <x:c r="A2443" s="155" t="n">
        <x:v>44811</x:v>
      </x:c>
      <x:c r="B2443" s="153" t="n">
        <x:v>3.27</x:v>
      </x:c>
      <x:c r="C2443" s="153" t="n">
        <x:v>0.82</x:v>
      </x:c>
      <x:c r="D2443" s="153" t="n">
        <x:v>2.45</x:v>
      </x:c>
      <x:c r="E2443" s="153" t="n">
        <x:v>124.8408</x:v>
      </x:c>
      <x:c r="F2443" s="153" t="n">
        <x:v>24.64</x:v>
      </x:c>
      <x:c r="G2443" s="153" t="n">
        <x:v>2.33</x:v>
      </x:c>
    </x:row>
    <x:row r="2444">
      <x:c r="A2444" s="155" t="n">
        <x:v>44812</x:v>
      </x:c>
      <x:c r="B2444" s="153" t="n">
        <x:v>3.29</x:v>
      </x:c>
      <x:c r="C2444" s="153" t="n">
        <x:v>0.88</x:v>
      </x:c>
      <x:c r="D2444" s="153" t="n">
        <x:v>2.41</x:v>
      </x:c>
      <x:c r="E2444" s="153" t="n">
        <x:v>124.578</x:v>
      </x:c>
      <x:c r="F2444" s="153" t="n">
        <x:v>23.61</x:v>
      </x:c>
      <x:c r="G2444" s="153" t="n">
        <x:v>2.33</x:v>
      </x:c>
    </x:row>
    <x:row r="2445">
      <x:c r="A2445" s="155" t="n">
        <x:v>44813</x:v>
      </x:c>
      <x:c r="B2445" s="153" t="n">
        <x:v>3.33</x:v>
      </x:c>
      <x:c r="C2445" s="153" t="n">
        <x:v>0.91</x:v>
      </x:c>
      <x:c r="D2445" s="153" t="n">
        <x:v>2.42</x:v>
      </x:c>
      <x:c r="E2445" s="153" t="n">
        <x:v>123.7874</x:v>
      </x:c>
      <x:c r="F2445" s="153" t="n">
        <x:v>22.79</x:v>
      </x:c>
      <x:c r="G2445" s="153" t="n">
        <x:v>2.33</x:v>
      </x:c>
    </x:row>
    <x:row r="2446">
      <x:c r="A2446" s="155" t="n">
        <x:v>44814</x:v>
      </x:c>
      <x:c r="B2446" s="153"/>
      <x:c r="C2446" s="153"/>
      <x:c r="D2446" s="153"/>
      <x:c r="E2446" s="153"/>
      <x:c r="F2446" s="153"/>
      <x:c r="G2446" s="153" t="n">
        <x:v>2.33</x:v>
      </x:c>
    </x:row>
    <x:row r="2447">
      <x:c r="A2447" s="155" t="n">
        <x:v>44815</x:v>
      </x:c>
      <x:c r="B2447" s="153"/>
      <x:c r="C2447" s="153"/>
      <x:c r="D2447" s="153"/>
      <x:c r="E2447" s="153"/>
      <x:c r="F2447" s="153"/>
      <x:c r="G2447" s="153" t="n">
        <x:v>2.33</x:v>
      </x:c>
    </x:row>
    <x:row r="2448">
      <x:c r="A2448" s="155" t="n">
        <x:v>44816</x:v>
      </x:c>
      <x:c r="B2448" s="153" t="n">
        <x:v>3.37</x:v>
      </x:c>
      <x:c r="C2448" s="153" t="n">
        <x:v>0.95</x:v>
      </x:c>
      <x:c r="D2448" s="153" t="n">
        <x:v>2.42</x:v>
      </x:c>
      <x:c r="E2448" s="153" t="n">
        <x:v>123.3332</x:v>
      </x:c>
      <x:c r="F2448" s="153" t="n">
        <x:v>23.87</x:v>
      </x:c>
      <x:c r="G2448" s="153" t="n">
        <x:v>2.33</x:v>
      </x:c>
    </x:row>
    <x:row r="2449">
      <x:c r="A2449" s="155" t="n">
        <x:v>44817</x:v>
      </x:c>
      <x:c r="B2449" s="153" t="n">
        <x:v>3.42</x:v>
      </x:c>
      <x:c r="C2449" s="153" t="n">
        <x:v>0.98</x:v>
      </x:c>
      <x:c r="D2449" s="153" t="n">
        <x:v>2.44</x:v>
      </x:c>
      <x:c r="E2449" s="153" t="n">
        <x:v>124.4242</x:v>
      </x:c>
      <x:c r="F2449" s="153" t="n">
        <x:v>27.27</x:v>
      </x:c>
      <x:c r="G2449" s="153" t="n">
        <x:v>2.33</x:v>
      </x:c>
    </x:row>
    <x:row r="2450">
      <x:c r="A2450" s="155" t="n">
        <x:v>44818</x:v>
      </x:c>
      <x:c r="B2450" s="153" t="n">
        <x:v>3.41</x:v>
      </x:c>
      <x:c r="C2450" s="153" t="n">
        <x:v>0.95</x:v>
      </x:c>
      <x:c r="D2450" s="153" t="n">
        <x:v>2.46</x:v>
      </x:c>
      <x:c r="E2450" s="153" t="n">
        <x:v>124.4509</x:v>
      </x:c>
      <x:c r="F2450" s="153" t="n">
        <x:v>26.16</x:v>
      </x:c>
      <x:c r="G2450" s="153" t="n">
        <x:v>2.33</x:v>
      </x:c>
    </x:row>
    <x:row r="2451">
      <x:c r="A2451" s="155" t="n">
        <x:v>44819</x:v>
      </x:c>
      <x:c r="B2451" s="153" t="n">
        <x:v>3.45</x:v>
      </x:c>
      <x:c r="C2451" s="153" t="n">
        <x:v>1.02</x:v>
      </x:c>
      <x:c r="D2451" s="153" t="n">
        <x:v>2.43</x:v>
      </x:c>
      <x:c r="E2451" s="153" t="n">
        <x:v>124.8843</x:v>
      </x:c>
      <x:c r="F2451" s="153" t="n">
        <x:v>26.27</x:v>
      </x:c>
      <x:c r="G2451" s="153" t="n">
        <x:v>2.33</x:v>
      </x:c>
    </x:row>
    <x:row r="2452">
      <x:c r="A2452" s="155" t="n">
        <x:v>44820</x:v>
      </x:c>
      <x:c r="B2452" s="153" t="n">
        <x:v>3.45</x:v>
      </x:c>
      <x:c r="C2452" s="153" t="n">
        <x:v>1.07</x:v>
      </x:c>
      <x:c r="D2452" s="153" t="n">
        <x:v>2.38</x:v>
      </x:c>
      <x:c r="E2452" s="153" t="n">
        <x:v>124.8794</x:v>
      </x:c>
      <x:c r="F2452" s="153" t="n">
        <x:v>26.3</x:v>
      </x:c>
      <x:c r="G2452" s="153" t="n">
        <x:v>2.33</x:v>
      </x:c>
    </x:row>
    <x:row r="2453">
      <x:c r="A2453" s="155" t="n">
        <x:v>44821</x:v>
      </x:c>
      <x:c r="B2453" s="153"/>
      <x:c r="C2453" s="153"/>
      <x:c r="D2453" s="153"/>
      <x:c r="E2453" s="153"/>
      <x:c r="F2453" s="153"/>
      <x:c r="G2453" s="153" t="n">
        <x:v>2.33</x:v>
      </x:c>
    </x:row>
    <x:row r="2454">
      <x:c r="A2454" s="155" t="n">
        <x:v>44822</x:v>
      </x:c>
      <x:c r="B2454" s="153"/>
      <x:c r="C2454" s="153"/>
      <x:c r="D2454" s="153"/>
      <x:c r="E2454" s="153"/>
      <x:c r="F2454" s="153"/>
      <x:c r="G2454" s="153" t="n">
        <x:v>2.33</x:v>
      </x:c>
    </x:row>
    <x:row r="2455">
      <x:c r="A2455" s="155" t="n">
        <x:v>44823</x:v>
      </x:c>
      <x:c r="B2455" s="153" t="n">
        <x:v>3.49</x:v>
      </x:c>
      <x:c r="C2455" s="153" t="n">
        <x:v>1.15</x:v>
      </x:c>
      <x:c r="D2455" s="153" t="n">
        <x:v>2.34</x:v>
      </x:c>
      <x:c r="E2455" s="153" t="n">
        <x:v>125.0104</x:v>
      </x:c>
      <x:c r="F2455" s="153" t="n">
        <x:v>25.76</x:v>
      </x:c>
      <x:c r="G2455" s="153" t="n">
        <x:v>2.33</x:v>
      </x:c>
    </x:row>
    <x:row r="2456">
      <x:c r="A2456" s="155" t="n">
        <x:v>44824</x:v>
      </x:c>
      <x:c r="B2456" s="153" t="n">
        <x:v>3.57</x:v>
      </x:c>
      <x:c r="C2456" s="153" t="n">
        <x:v>1.17</x:v>
      </x:c>
      <x:c r="D2456" s="153" t="n">
        <x:v>2.4</x:v>
      </x:c>
      <x:c r="E2456" s="153" t="n">
        <x:v>125.1248</x:v>
      </x:c>
      <x:c r="F2456" s="153" t="n">
        <x:v>27.16</x:v>
      </x:c>
      <x:c r="G2456" s="153" t="n">
        <x:v>2.33</x:v>
      </x:c>
    </x:row>
    <x:row r="2457">
      <x:c r="A2457" s="155" t="n">
        <x:v>44825</x:v>
      </x:c>
      <x:c r="B2457" s="153" t="n">
        <x:v>3.51</x:v>
      </x:c>
      <x:c r="C2457" s="153" t="n">
        <x:v>1.13</x:v>
      </x:c>
      <x:c r="D2457" s="153" t="n">
        <x:v>2.38</x:v>
      </x:c>
      <x:c r="E2457" s="153" t="n">
        <x:v>125.7399</x:v>
      </x:c>
      <x:c r="F2457" s="153" t="n">
        <x:v>27.99</x:v>
      </x:c>
      <x:c r="G2457" s="153" t="n">
        <x:v>2.33</x:v>
      </x:c>
    </x:row>
    <x:row r="2458">
      <x:c r="A2458" s="155" t="n">
        <x:v>44826</x:v>
      </x:c>
      <x:c r="B2458" s="153" t="n">
        <x:v>3.7</x:v>
      </x:c>
      <x:c r="C2458" s="153" t="n">
        <x:v>1.29</x:v>
      </x:c>
      <x:c r="D2458" s="153" t="n">
        <x:v>2.41</x:v>
      </x:c>
      <x:c r="E2458" s="153" t="n">
        <x:v>126.1667</x:v>
      </x:c>
      <x:c r="F2458" s="153" t="n">
        <x:v>27.35</x:v>
      </x:c>
      <x:c r="G2458" s="153" t="n">
        <x:v>3.08</x:v>
      </x:c>
    </x:row>
    <x:row r="2459">
      <x:c r="A2459" s="155" t="n">
        <x:v>44827</x:v>
      </x:c>
      <x:c r="B2459" s="153" t="n">
        <x:v>3.69</x:v>
      </x:c>
      <x:c r="C2459" s="153" t="n">
        <x:v>1.32</x:v>
      </x:c>
      <x:c r="D2459" s="153" t="n">
        <x:v>2.37</x:v>
      </x:c>
      <x:c r="E2459" s="153" t="n">
        <x:v>127.2853</x:v>
      </x:c>
      <x:c r="F2459" s="153" t="n">
        <x:v>29.92</x:v>
      </x:c>
      <x:c r="G2459" s="153" t="n">
        <x:v>3.08</x:v>
      </x:c>
    </x:row>
    <x:row r="2460">
      <x:c r="A2460" s="155" t="n">
        <x:v>44828</x:v>
      </x:c>
      <x:c r="B2460" s="153"/>
      <x:c r="C2460" s="153"/>
      <x:c r="D2460" s="153"/>
      <x:c r="E2460" s="153"/>
      <x:c r="F2460" s="153"/>
      <x:c r="G2460" s="153" t="n">
        <x:v>3.08</x:v>
      </x:c>
    </x:row>
    <x:row r="2461">
      <x:c r="A2461" s="155" t="n">
        <x:v>44829</x:v>
      </x:c>
      <x:c r="B2461" s="153"/>
      <x:c r="C2461" s="153"/>
      <x:c r="D2461" s="153"/>
      <x:c r="E2461" s="153"/>
      <x:c r="F2461" s="153"/>
      <x:c r="G2461" s="153" t="n">
        <x:v>3.08</x:v>
      </x:c>
    </x:row>
    <x:row r="2462">
      <x:c r="A2462" s="155" t="n">
        <x:v>44830</x:v>
      </x:c>
      <x:c r="B2462" s="153" t="n">
        <x:v>3.88</x:v>
      </x:c>
      <x:c r="C2462" s="153" t="n">
        <x:v>1.56</x:v>
      </x:c>
      <x:c r="D2462" s="153" t="n">
        <x:v>2.32</x:v>
      </x:c>
      <x:c r="E2462" s="153" t="n">
        <x:v>128.4539</x:v>
      </x:c>
      <x:c r="F2462" s="153" t="n">
        <x:v>32.26</x:v>
      </x:c>
      <x:c r="G2462" s="153" t="n">
        <x:v>3.08</x:v>
      </x:c>
    </x:row>
    <x:row r="2463">
      <x:c r="A2463" s="155" t="n">
        <x:v>44831</x:v>
      </x:c>
      <x:c r="B2463" s="153" t="n">
        <x:v>3.97</x:v>
      </x:c>
      <x:c r="C2463" s="153" t="n">
        <x:v>1.64</x:v>
      </x:c>
      <x:c r="D2463" s="153" t="n">
        <x:v>2.33</x:v>
      </x:c>
      <x:c r="E2463" s="153" t="n">
        <x:v>128.4386</x:v>
      </x:c>
      <x:c r="F2463" s="153" t="n">
        <x:v>32.6</x:v>
      </x:c>
      <x:c r="G2463" s="153" t="n">
        <x:v>3.08</x:v>
      </x:c>
    </x:row>
    <x:row r="2464">
      <x:c r="A2464" s="155" t="n">
        <x:v>44832</x:v>
      </x:c>
      <x:c r="B2464" s="153" t="n">
        <x:v>3.72</x:v>
      </x:c>
      <x:c r="C2464" s="153" t="n">
        <x:v>1.39</x:v>
      </x:c>
      <x:c r="D2464" s="153" t="n">
        <x:v>2.33</x:v>
      </x:c>
      <x:c r="E2464" s="153" t="n">
        <x:v>128.0884</x:v>
      </x:c>
      <x:c r="F2464" s="153" t="n">
        <x:v>30.18</x:v>
      </x:c>
      <x:c r="G2464" s="153" t="n">
        <x:v>3.08</x:v>
      </x:c>
    </x:row>
    <x:row r="2465">
      <x:c r="A2465" s="155" t="n">
        <x:v>44833</x:v>
      </x:c>
      <x:c r="B2465" s="153" t="n">
        <x:v>3.76</x:v>
      </x:c>
      <x:c r="C2465" s="153" t="n">
        <x:v>1.57</x:v>
      </x:c>
      <x:c r="D2465" s="153" t="n">
        <x:v>2.19</x:v>
      </x:c>
      <x:c r="E2465" s="153" t="n">
        <x:v>127.5437</x:v>
      </x:c>
      <x:c r="F2465" s="153" t="n">
        <x:v>31.84</x:v>
      </x:c>
      <x:c r="G2465" s="153" t="n">
        <x:v>3.08</x:v>
      </x:c>
    </x:row>
    <x:row r="2466">
      <x:c r="A2466" s="155" t="n">
        <x:v>44834</x:v>
      </x:c>
      <x:c r="B2466" s="153" t="n">
        <x:v>3.83</x:v>
      </x:c>
      <x:c r="C2466" s="153" t="n">
        <x:v>1.68</x:v>
      </x:c>
      <x:c r="D2466" s="153" t="n">
        <x:v>2.15</x:v>
      </x:c>
      <x:c r="E2466" s="153" t="n">
        <x:v>127.5148</x:v>
      </x:c>
      <x:c r="F2466" s="153" t="n">
        <x:v>31.62</x:v>
      </x:c>
      <x:c r="G2466" s="153" t="n">
        <x:v>3.08</x:v>
      </x:c>
    </x:row>
    <x:row r="2467">
      <x:c r="A2467" s="155" t="n">
        <x:v>44835</x:v>
      </x:c>
      <x:c r="B2467" s="153"/>
      <x:c r="C2467" s="153"/>
      <x:c r="D2467" s="153"/>
      <x:c r="E2467" s="153"/>
      <x:c r="F2467" s="153"/>
      <x:c r="G2467" s="153" t="n">
        <x:v>3.08</x:v>
      </x:c>
    </x:row>
    <x:row r="2468">
      <x:c r="A2468" s="155" t="n">
        <x:v>44836</x:v>
      </x:c>
      <x:c r="B2468" s="153"/>
      <x:c r="C2468" s="153"/>
      <x:c r="D2468" s="153"/>
      <x:c r="E2468" s="153"/>
      <x:c r="F2468" s="153"/>
      <x:c r="G2468" s="153" t="n">
        <x:v>3.08</x:v>
      </x:c>
    </x:row>
    <x:row r="2469">
      <x:c r="A2469" s="155" t="n">
        <x:v>44837</x:v>
      </x:c>
      <x:c r="B2469" s="153" t="n">
        <x:v>3.67</x:v>
      </x:c>
      <x:c r="C2469" s="153" t="n">
        <x:v>1.43</x:v>
      </x:c>
      <x:c r="D2469" s="153" t="n">
        <x:v>2.24</x:v>
      </x:c>
      <x:c r="E2469" s="153" t="n">
        <x:v>127.0813</x:v>
      </x:c>
      <x:c r="F2469" s="153" t="n">
        <x:v>30.1</x:v>
      </x:c>
      <x:c r="G2469" s="153" t="n">
        <x:v>3.08</x:v>
      </x:c>
    </x:row>
    <x:row r="2470">
      <x:c r="A2470" s="155" t="n">
        <x:v>44838</x:v>
      </x:c>
      <x:c r="B2470" s="153" t="n">
        <x:v>3.62</x:v>
      </x:c>
      <x:c r="C2470" s="153" t="n">
        <x:v>1.38</x:v>
      </x:c>
      <x:c r="D2470" s="153" t="n">
        <x:v>2.24</x:v>
      </x:c>
      <x:c r="E2470" s="153" t="n">
        <x:v>126.1819</x:v>
      </x:c>
      <x:c r="F2470" s="153" t="n">
        <x:v>29.07</x:v>
      </x:c>
      <x:c r="G2470" s="153" t="n">
        <x:v>3.08</x:v>
      </x:c>
    </x:row>
    <x:row r="2471">
      <x:c r="A2471" s="155" t="n">
        <x:v>44839</x:v>
      </x:c>
      <x:c r="B2471" s="153" t="n">
        <x:v>3.76</x:v>
      </x:c>
      <x:c r="C2471" s="153" t="n">
        <x:v>1.54</x:v>
      </x:c>
      <x:c r="D2471" s="153" t="n">
        <x:v>2.22</x:v>
      </x:c>
      <x:c r="E2471" s="153" t="n">
        <x:v>126.8616</x:v>
      </x:c>
      <x:c r="F2471" s="153" t="n">
        <x:v>28.55</x:v>
      </x:c>
      <x:c r="G2471" s="153" t="n">
        <x:v>3.08</x:v>
      </x:c>
    </x:row>
    <x:row r="2472">
      <x:c r="A2472" s="155" t="n">
        <x:v>44840</x:v>
      </x:c>
      <x:c r="B2472" s="153" t="n">
        <x:v>3.83</x:v>
      </x:c>
      <x:c r="C2472" s="153" t="n">
        <x:v>1.61</x:v>
      </x:c>
      <x:c r="D2472" s="153" t="n">
        <x:v>2.22</x:v>
      </x:c>
      <x:c r="E2472" s="153" t="n">
        <x:v>127.2493</x:v>
      </x:c>
      <x:c r="F2472" s="153" t="n">
        <x:v>30.52</x:v>
      </x:c>
      <x:c r="G2472" s="153" t="n">
        <x:v>3.08</x:v>
      </x:c>
    </x:row>
    <x:row r="2473">
      <x:c r="A2473" s="155" t="n">
        <x:v>44841</x:v>
      </x:c>
      <x:c r="B2473" s="153" t="n">
        <x:v>3.89</x:v>
      </x:c>
      <x:c r="C2473" s="153" t="n">
        <x:v>1.62</x:v>
      </x:c>
      <x:c r="D2473" s="153" t="n">
        <x:v>2.27</x:v>
      </x:c>
      <x:c r="E2473" s="153" t="n">
        <x:v>127.3111</x:v>
      </x:c>
      <x:c r="F2473" s="153" t="n">
        <x:v>31.36</x:v>
      </x:c>
      <x:c r="G2473" s="153" t="n">
        <x:v>3.08</x:v>
      </x:c>
    </x:row>
    <x:row r="2474">
      <x:c r="A2474" s="155" t="n">
        <x:v>44842</x:v>
      </x:c>
      <x:c r="B2474" s="153"/>
      <x:c r="C2474" s="153"/>
      <x:c r="D2474" s="153"/>
      <x:c r="E2474" s="153"/>
      <x:c r="F2474" s="153"/>
      <x:c r="G2474" s="153" t="n">
        <x:v>3.08</x:v>
      </x:c>
    </x:row>
    <x:row r="2475">
      <x:c r="A2475" s="155" t="n">
        <x:v>44843</x:v>
      </x:c>
      <x:c r="B2475" s="153"/>
      <x:c r="C2475" s="153"/>
      <x:c r="D2475" s="153"/>
      <x:c r="E2475" s="153"/>
      <x:c r="F2475" s="153"/>
      <x:c r="G2475" s="153" t="n">
        <x:v>3.08</x:v>
      </x:c>
    </x:row>
    <x:row r="2476">
      <x:c r="A2476" s="155" t="n">
        <x:v>44844</x:v>
      </x:c>
      <x:c r="B2476" s="153"/>
      <x:c r="C2476" s="153"/>
      <x:c r="D2476" s="153"/>
      <x:c r="E2476" s="153"/>
      <x:c r="F2476" s="153" t="n">
        <x:v>32.45</x:v>
      </x:c>
      <x:c r="G2476" s="153" t="n">
        <x:v>3.08</x:v>
      </x:c>
    </x:row>
    <x:row r="2477">
      <x:c r="A2477" s="155" t="n">
        <x:v>44845</x:v>
      </x:c>
      <x:c r="B2477" s="153" t="n">
        <x:v>3.93</x:v>
      </x:c>
      <x:c r="C2477" s="153" t="n">
        <x:v>1.62</x:v>
      </x:c>
      <x:c r="D2477" s="153" t="n">
        <x:v>2.31</x:v>
      </x:c>
      <x:c r="E2477" s="153" t="n">
        <x:v>127.6641</x:v>
      </x:c>
      <x:c r="F2477" s="153" t="n">
        <x:v>33.63</x:v>
      </x:c>
      <x:c r="G2477" s="153" t="n">
        <x:v>3.08</x:v>
      </x:c>
    </x:row>
    <x:row r="2478">
      <x:c r="A2478" s="155" t="n">
        <x:v>44846</x:v>
      </x:c>
      <x:c r="B2478" s="153" t="n">
        <x:v>3.91</x:v>
      </x:c>
      <x:c r="C2478" s="153" t="n">
        <x:v>1.62</x:v>
      </x:c>
      <x:c r="D2478" s="153" t="n">
        <x:v>2.29</x:v>
      </x:c>
      <x:c r="E2478" s="153" t="n">
        <x:v>128.1481</x:v>
      </x:c>
      <x:c r="F2478" s="153" t="n">
        <x:v>33.57</x:v>
      </x:c>
      <x:c r="G2478" s="153" t="n">
        <x:v>3.08</x:v>
      </x:c>
    </x:row>
    <x:row r="2479">
      <x:c r="A2479" s="155" t="n">
        <x:v>44847</x:v>
      </x:c>
      <x:c r="B2479" s="153" t="n">
        <x:v>3.97</x:v>
      </x:c>
      <x:c r="C2479" s="153" t="n">
        <x:v>1.63</x:v>
      </x:c>
      <x:c r="D2479" s="153" t="n">
        <x:v>2.34</x:v>
      </x:c>
      <x:c r="E2479" s="153" t="n">
        <x:v>127.7286</x:v>
      </x:c>
      <x:c r="F2479" s="153" t="n">
        <x:v>31.94</x:v>
      </x:c>
      <x:c r="G2479" s="153" t="n">
        <x:v>3.08</x:v>
      </x:c>
    </x:row>
    <x:row r="2480">
      <x:c r="A2480" s="155" t="n">
        <x:v>44848</x:v>
      </x:c>
      <x:c r="B2480" s="153" t="n">
        <x:v>4</x:v>
      </x:c>
      <x:c r="C2480" s="153" t="n">
        <x:v>1.59</x:v>
      </x:c>
      <x:c r="D2480" s="153" t="n">
        <x:v>2.41</x:v>
      </x:c>
      <x:c r="E2480" s="153" t="n">
        <x:v>128.3325</x:v>
      </x:c>
      <x:c r="F2480" s="153" t="n">
        <x:v>32.02</x:v>
      </x:c>
      <x:c r="G2480" s="153" t="n">
        <x:v>3.08</x:v>
      </x:c>
    </x:row>
    <x:row r="2481">
      <x:c r="A2481" s="155" t="n">
        <x:v>44849</x:v>
      </x:c>
      <x:c r="B2481" s="153"/>
      <x:c r="C2481" s="153"/>
      <x:c r="D2481" s="153"/>
      <x:c r="E2481" s="153"/>
      <x:c r="F2481" s="153"/>
      <x:c r="G2481" s="153" t="n">
        <x:v>3.08</x:v>
      </x:c>
    </x:row>
    <x:row r="2482">
      <x:c r="A2482" s="155" t="n">
        <x:v>44850</x:v>
      </x:c>
      <x:c r="B2482" s="153"/>
      <x:c r="C2482" s="153"/>
      <x:c r="D2482" s="153"/>
      <x:c r="E2482" s="153"/>
      <x:c r="F2482" s="153"/>
      <x:c r="G2482" s="153" t="n">
        <x:v>3.08</x:v>
      </x:c>
    </x:row>
    <x:row r="2483">
      <x:c r="A2483" s="155" t="n">
        <x:v>44851</x:v>
      </x:c>
      <x:c r="B2483" s="153" t="n">
        <x:v>4.02</x:v>
      </x:c>
      <x:c r="C2483" s="153" t="n">
        <x:v>1.57</x:v>
      </x:c>
      <x:c r="D2483" s="153" t="n">
        <x:v>2.45</x:v>
      </x:c>
      <x:c r="E2483" s="153" t="n">
        <x:v>127.6448</x:v>
      </x:c>
      <x:c r="F2483" s="153" t="n">
        <x:v>31.37</x:v>
      </x:c>
      <x:c r="G2483" s="153" t="n">
        <x:v>3.08</x:v>
      </x:c>
    </x:row>
    <x:row r="2484">
      <x:c r="A2484" s="155" t="n">
        <x:v>44852</x:v>
      </x:c>
      <x:c r="B2484" s="153" t="n">
        <x:v>4.01</x:v>
      </x:c>
      <x:c r="C2484" s="153" t="n">
        <x:v>1.6</x:v>
      </x:c>
      <x:c r="D2484" s="153" t="n">
        <x:v>2.41</x:v>
      </x:c>
      <x:c r="E2484" s="153" t="n">
        <x:v>127.9153</x:v>
      </x:c>
      <x:c r="F2484" s="153" t="n">
        <x:v>30.5</x:v>
      </x:c>
      <x:c r="G2484" s="153" t="n">
        <x:v>3.08</x:v>
      </x:c>
    </x:row>
    <x:row r="2485">
      <x:c r="A2485" s="155" t="n">
        <x:v>44853</x:v>
      </x:c>
      <x:c r="B2485" s="153" t="n">
        <x:v>4.14</x:v>
      </x:c>
      <x:c r="C2485" s="153" t="n">
        <x:v>1.72</x:v>
      </x:c>
      <x:c r="D2485" s="153" t="n">
        <x:v>2.42</x:v>
      </x:c>
      <x:c r="E2485" s="153" t="n">
        <x:v>128.3968</x:v>
      </x:c>
      <x:c r="F2485" s="153" t="n">
        <x:v>30.76</x:v>
      </x:c>
      <x:c r="G2485" s="153" t="n">
        <x:v>3.08</x:v>
      </x:c>
    </x:row>
    <x:row r="2486">
      <x:c r="A2486" s="155" t="n">
        <x:v>44854</x:v>
      </x:c>
      <x:c r="B2486" s="153" t="n">
        <x:v>4.24</x:v>
      </x:c>
      <x:c r="C2486" s="153" t="n">
        <x:v>1.73</x:v>
      </x:c>
      <x:c r="D2486" s="153" t="n">
        <x:v>2.51</x:v>
      </x:c>
      <x:c r="E2486" s="153" t="n">
        <x:v>128.0052</x:v>
      </x:c>
      <x:c r="F2486" s="153" t="n">
        <x:v>29.98</x:v>
      </x:c>
      <x:c r="G2486" s="153" t="n">
        <x:v>3.08</x:v>
      </x:c>
    </x:row>
    <x:row r="2487">
      <x:c r="A2487" s="155" t="n">
        <x:v>44855</x:v>
      </x:c>
      <x:c r="B2487" s="153" t="n">
        <x:v>4.21</x:v>
      </x:c>
      <x:c r="C2487" s="153" t="n">
        <x:v>1.69</x:v>
      </x:c>
      <x:c r="D2487" s="153" t="n">
        <x:v>2.52</x:v>
      </x:c>
      <x:c r="E2487" s="153" t="n">
        <x:v>127.6735</x:v>
      </x:c>
      <x:c r="F2487" s="153" t="n">
        <x:v>29.69</x:v>
      </x:c>
      <x:c r="G2487" s="153" t="n">
        <x:v>3.08</x:v>
      </x:c>
    </x:row>
    <x:row r="2488">
      <x:c r="A2488" s="155" t="n">
        <x:v>44856</x:v>
      </x:c>
      <x:c r="B2488" s="153"/>
      <x:c r="C2488" s="153"/>
      <x:c r="D2488" s="153"/>
      <x:c r="E2488" s="153"/>
      <x:c r="F2488" s="153"/>
      <x:c r="G2488" s="153" t="n">
        <x:v>3.08</x:v>
      </x:c>
    </x:row>
    <x:row r="2489">
      <x:c r="A2489" s="155" t="n">
        <x:v>44857</x:v>
      </x:c>
      <x:c r="B2489" s="153"/>
      <x:c r="C2489" s="153"/>
      <x:c r="D2489" s="153"/>
      <x:c r="E2489" s="153"/>
      <x:c r="F2489" s="153"/>
      <x:c r="G2489" s="153" t="n">
        <x:v>3.08</x:v>
      </x:c>
    </x:row>
    <x:row r="2490">
      <x:c r="A2490" s="155" t="n">
        <x:v>44858</x:v>
      </x:c>
      <x:c r="B2490" s="153" t="n">
        <x:v>4.25</x:v>
      </x:c>
      <x:c r="C2490" s="153" t="n">
        <x:v>1.66</x:v>
      </x:c>
      <x:c r="D2490" s="153" t="n">
        <x:v>2.59</x:v>
      </x:c>
      <x:c r="E2490" s="153" t="n">
        <x:v>128.0304</x:v>
      </x:c>
      <x:c r="F2490" s="153" t="n">
        <x:v>29.85</x:v>
      </x:c>
      <x:c r="G2490" s="153" t="n">
        <x:v>3.08</x:v>
      </x:c>
    </x:row>
    <x:row r="2491">
      <x:c r="A2491" s="155" t="n">
        <x:v>44859</x:v>
      </x:c>
      <x:c r="B2491" s="153" t="n">
        <x:v>4.1</x:v>
      </x:c>
      <x:c r="C2491" s="153" t="n">
        <x:v>1.59</x:v>
      </x:c>
      <x:c r="D2491" s="153" t="n">
        <x:v>2.51</x:v>
      </x:c>
      <x:c r="E2491" s="153" t="n">
        <x:v>127.3771</x:v>
      </x:c>
      <x:c r="F2491" s="153" t="n">
        <x:v>28.46</x:v>
      </x:c>
      <x:c r="G2491" s="153" t="n">
        <x:v>3.08</x:v>
      </x:c>
    </x:row>
    <x:row r="2492">
      <x:c r="A2492" s="155" t="n">
        <x:v>44860</x:v>
      </x:c>
      <x:c r="B2492" s="153" t="n">
        <x:v>4.04</x:v>
      </x:c>
      <x:c r="C2492" s="153" t="n">
        <x:v>1.6</x:v>
      </x:c>
      <x:c r="D2492" s="153" t="n">
        <x:v>2.44</x:v>
      </x:c>
      <x:c r="E2492" s="153" t="n">
        <x:v>126.4723</x:v>
      </x:c>
      <x:c r="F2492" s="153" t="n">
        <x:v>27.28</x:v>
      </x:c>
      <x:c r="G2492" s="153" t="n">
        <x:v>3.08</x:v>
      </x:c>
    </x:row>
    <x:row r="2493">
      <x:c r="A2493" s="155" t="n">
        <x:v>44861</x:v>
      </x:c>
      <x:c r="B2493" s="153" t="n">
        <x:v>3.96</x:v>
      </x:c>
      <x:c r="C2493" s="153" t="n">
        <x:v>1.51</x:v>
      </x:c>
      <x:c r="D2493" s="153" t="n">
        <x:v>2.45</x:v>
      </x:c>
      <x:c r="E2493" s="153" t="n">
        <x:v>126.7028</x:v>
      </x:c>
      <x:c r="F2493" s="153" t="n">
        <x:v>27.39</x:v>
      </x:c>
      <x:c r="G2493" s="153" t="n">
        <x:v>3.08</x:v>
      </x:c>
    </x:row>
    <x:row r="2494">
      <x:c r="A2494" s="155" t="n">
        <x:v>44862</x:v>
      </x:c>
      <x:c r="B2494" s="153" t="n">
        <x:v>4.02</x:v>
      </x:c>
      <x:c r="C2494" s="153" t="n">
        <x:v>1.51</x:v>
      </x:c>
      <x:c r="D2494" s="153" t="n">
        <x:v>2.51</x:v>
      </x:c>
      <x:c r="E2494" s="153" t="n">
        <x:v>127.2135</x:v>
      </x:c>
      <x:c r="F2494" s="153" t="n">
        <x:v>25.75</x:v>
      </x:c>
      <x:c r="G2494" s="153" t="n">
        <x:v>3.08</x:v>
      </x:c>
    </x:row>
    <x:row r="2495">
      <x:c r="A2495" s="155" t="n">
        <x:v>44863</x:v>
      </x:c>
      <x:c r="B2495" s="153"/>
      <x:c r="C2495" s="153"/>
      <x:c r="D2495" s="153"/>
      <x:c r="E2495" s="153"/>
      <x:c r="F2495" s="153"/>
      <x:c r="G2495" s="153" t="n">
        <x:v>3.08</x:v>
      </x:c>
    </x:row>
    <x:row r="2496">
      <x:c r="A2496" s="155" t="n">
        <x:v>44864</x:v>
      </x:c>
      <x:c r="B2496" s="153"/>
      <x:c r="C2496" s="153"/>
      <x:c r="D2496" s="153"/>
      <x:c r="E2496" s="153"/>
      <x:c r="F2496" s="153"/>
      <x:c r="G2496" s="153" t="n">
        <x:v>3.08</x:v>
      </x:c>
    </x:row>
    <x:row r="2497">
      <x:c r="A2497" s="155" t="n">
        <x:v>44865</x:v>
      </x:c>
      <x:c r="B2497" s="153" t="n">
        <x:v>4.1</x:v>
      </x:c>
      <x:c r="C2497" s="153" t="n">
        <x:v>1.58</x:v>
      </x:c>
      <x:c r="D2497" s="153" t="n">
        <x:v>2.52</x:v>
      </x:c>
      <x:c r="E2497" s="153" t="n">
        <x:v>127.6219</x:v>
      </x:c>
      <x:c r="F2497" s="153" t="n">
        <x:v>25.88</x:v>
      </x:c>
      <x:c r="G2497" s="153" t="n">
        <x:v>3.08</x:v>
      </x:c>
    </x:row>
    <x:row r="2498">
      <x:c r="A2498" s="155" t="n">
        <x:v>44866</x:v>
      </x:c>
      <x:c r="B2498" s="153" t="n">
        <x:v>4.07</x:v>
      </x:c>
      <x:c r="C2498" s="153" t="n">
        <x:v>1.56</x:v>
      </x:c>
      <x:c r="D2498" s="153" t="n">
        <x:v>2.51</x:v>
      </x:c>
      <x:c r="E2498" s="153" t="n">
        <x:v>127.3987</x:v>
      </x:c>
      <x:c r="F2498" s="153" t="n">
        <x:v>25.81</x:v>
      </x:c>
      <x:c r="G2498" s="153" t="n">
        <x:v>3.08</x:v>
      </x:c>
    </x:row>
    <x:row r="2499">
      <x:c r="A2499" s="155" t="n">
        <x:v>44867</x:v>
      </x:c>
      <x:c r="B2499" s="153" t="n">
        <x:v>4.1</x:v>
      </x:c>
      <x:c r="C2499" s="153" t="n">
        <x:v>1.57</x:v>
      </x:c>
      <x:c r="D2499" s="153" t="n">
        <x:v>2.53</x:v>
      </x:c>
      <x:c r="E2499" s="153" t="n">
        <x:v>127.3115</x:v>
      </x:c>
      <x:c r="F2499" s="153" t="n">
        <x:v>25.86</x:v>
      </x:c>
      <x:c r="G2499" s="153" t="n">
        <x:v>3.08</x:v>
      </x:c>
    </x:row>
    <x:row r="2500">
      <x:c r="A2500" s="155" t="n">
        <x:v>44868</x:v>
      </x:c>
      <x:c r="B2500" s="153" t="n">
        <x:v>4.14</x:v>
      </x:c>
      <x:c r="C2500" s="153" t="n">
        <x:v>1.74</x:v>
      </x:c>
      <x:c r="D2500" s="153" t="n">
        <x:v>2.4</x:v>
      </x:c>
      <x:c r="E2500" s="153" t="n">
        <x:v>128.1743</x:v>
      </x:c>
      <x:c r="F2500" s="153" t="n">
        <x:v>25.3</x:v>
      </x:c>
      <x:c r="G2500" s="153" t="n">
        <x:v>3.83</x:v>
      </x:c>
    </x:row>
    <x:row r="2501">
      <x:c r="A2501" s="155" t="n">
        <x:v>44869</x:v>
      </x:c>
      <x:c r="B2501" s="153" t="n">
        <x:v>4.17</x:v>
      </x:c>
      <x:c r="C2501" s="153" t="n">
        <x:v>1.69</x:v>
      </x:c>
      <x:c r="D2501" s="153" t="n">
        <x:v>2.48</x:v>
      </x:c>
      <x:c r="E2501" s="153" t="n">
        <x:v>127.1468</x:v>
      </x:c>
      <x:c r="F2501" s="153" t="n">
        <x:v>24.55</x:v>
      </x:c>
      <x:c r="G2501" s="153" t="n">
        <x:v>3.83</x:v>
      </x:c>
    </x:row>
    <x:row r="2502">
      <x:c r="A2502" s="155" t="n">
        <x:v>44870</x:v>
      </x:c>
      <x:c r="B2502" s="153"/>
      <x:c r="C2502" s="153"/>
      <x:c r="D2502" s="153"/>
      <x:c r="E2502" s="153"/>
      <x:c r="F2502" s="153"/>
      <x:c r="G2502" s="153" t="n">
        <x:v>3.83</x:v>
      </x:c>
    </x:row>
    <x:row r="2503">
      <x:c r="A2503" s="155" t="n">
        <x:v>44871</x:v>
      </x:c>
      <x:c r="B2503" s="153"/>
      <x:c r="C2503" s="153"/>
      <x:c r="D2503" s="153"/>
      <x:c r="E2503" s="153"/>
      <x:c r="F2503" s="153"/>
      <x:c r="G2503" s="153" t="n">
        <x:v>3.83</x:v>
      </x:c>
    </x:row>
    <x:row r="2504">
      <x:c r="A2504" s="155" t="n">
        <x:v>44872</x:v>
      </x:c>
      <x:c r="B2504" s="153" t="n">
        <x:v>4.22</x:v>
      </x:c>
      <x:c r="C2504" s="153" t="n">
        <x:v>1.69</x:v>
      </x:c>
      <x:c r="D2504" s="153" t="n">
        <x:v>2.53</x:v>
      </x:c>
      <x:c r="E2504" s="153" t="n">
        <x:v>126.3062</x:v>
      </x:c>
      <x:c r="F2504" s="153" t="n">
        <x:v>24.35</x:v>
      </x:c>
      <x:c r="G2504" s="153" t="n">
        <x:v>3.83</x:v>
      </x:c>
    </x:row>
    <x:row r="2505">
      <x:c r="A2505" s="155" t="n">
        <x:v>44873</x:v>
      </x:c>
      <x:c r="B2505" s="153" t="n">
        <x:v>4.14</x:v>
      </x:c>
      <x:c r="C2505" s="153" t="n">
        <x:v>1.64</x:v>
      </x:c>
      <x:c r="D2505" s="153" t="n">
        <x:v>2.5</x:v>
      </x:c>
      <x:c r="E2505" s="153" t="n">
        <x:v>125.633</x:v>
      </x:c>
      <x:c r="F2505" s="153" t="n">
        <x:v>25.54</x:v>
      </x:c>
      <x:c r="G2505" s="153" t="n">
        <x:v>3.83</x:v>
      </x:c>
    </x:row>
    <x:row r="2506">
      <x:c r="A2506" s="155" t="n">
        <x:v>44874</x:v>
      </x:c>
      <x:c r="B2506" s="153" t="n">
        <x:v>4.12</x:v>
      </x:c>
      <x:c r="C2506" s="153" t="n">
        <x:v>1.7</x:v>
      </x:c>
      <x:c r="D2506" s="153" t="n">
        <x:v>2.42</x:v>
      </x:c>
      <x:c r="E2506" s="153" t="n">
        <x:v>125.9861</x:v>
      </x:c>
      <x:c r="F2506" s="153" t="n">
        <x:v>26.09</x:v>
      </x:c>
      <x:c r="G2506" s="153" t="n">
        <x:v>3.83</x:v>
      </x:c>
    </x:row>
    <x:row r="2507">
      <x:c r="A2507" s="155" t="n">
        <x:v>44875</x:v>
      </x:c>
      <x:c r="B2507" s="153" t="n">
        <x:v>3.82</x:v>
      </x:c>
      <x:c r="C2507" s="153" t="n">
        <x:v>1.43</x:v>
      </x:c>
      <x:c r="D2507" s="153" t="n">
        <x:v>2.39</x:v>
      </x:c>
      <x:c r="E2507" s="153" t="n">
        <x:v>124.7044</x:v>
      </x:c>
      <x:c r="F2507" s="153" t="n">
        <x:v>23.53</x:v>
      </x:c>
      <x:c r="G2507" s="153" t="n">
        <x:v>3.83</x:v>
      </x:c>
    </x:row>
    <x:row r="2508">
      <x:c r="A2508" s="155" t="n">
        <x:v>44876</x:v>
      </x:c>
      <x:c r="B2508" s="153"/>
      <x:c r="C2508" s="153"/>
      <x:c r="D2508" s="153"/>
      <x:c r="E2508" s="153"/>
      <x:c r="F2508" s="153" t="n">
        <x:v>22.52</x:v>
      </x:c>
      <x:c r="G2508" s="153" t="n">
        <x:v>3.83</x:v>
      </x:c>
    </x:row>
    <x:row r="2509">
      <x:c r="A2509" s="155" t="n">
        <x:v>44877</x:v>
      </x:c>
      <x:c r="B2509" s="153"/>
      <x:c r="C2509" s="153"/>
      <x:c r="D2509" s="153"/>
      <x:c r="E2509" s="153"/>
      <x:c r="F2509" s="153"/>
      <x:c r="G2509" s="153" t="n">
        <x:v>3.83</x:v>
      </x:c>
    </x:row>
    <x:row r="2510">
      <x:c r="A2510" s="155" t="n">
        <x:v>44878</x:v>
      </x:c>
      <x:c r="B2510" s="153"/>
      <x:c r="C2510" s="153"/>
      <x:c r="D2510" s="153"/>
      <x:c r="E2510" s="153"/>
      <x:c r="F2510" s="153"/>
      <x:c r="G2510" s="153" t="n">
        <x:v>3.83</x:v>
      </x:c>
    </x:row>
    <x:row r="2511">
      <x:c r="A2511" s="155" t="n">
        <x:v>44879</x:v>
      </x:c>
      <x:c r="B2511" s="153" t="n">
        <x:v>3.88</x:v>
      </x:c>
      <x:c r="C2511" s="153" t="n">
        <x:v>1.51</x:v>
      </x:c>
      <x:c r="D2511" s="153" t="n">
        <x:v>2.37</x:v>
      </x:c>
      <x:c r="E2511" s="153" t="n">
        <x:v>123.4277</x:v>
      </x:c>
      <x:c r="F2511" s="153" t="n">
        <x:v>23.73</x:v>
      </x:c>
      <x:c r="G2511" s="153" t="n">
        <x:v>3.83</x:v>
      </x:c>
    </x:row>
    <x:row r="2512">
      <x:c r="A2512" s="155" t="n">
        <x:v>44880</x:v>
      </x:c>
      <x:c r="B2512" s="153" t="n">
        <x:v>3.8</x:v>
      </x:c>
      <x:c r="C2512" s="153" t="n">
        <x:v>1.45</x:v>
      </x:c>
      <x:c r="D2512" s="153" t="n">
        <x:v>2.35</x:v>
      </x:c>
      <x:c r="E2512" s="153" t="n">
        <x:v>123.039</x:v>
      </x:c>
      <x:c r="F2512" s="153" t="n">
        <x:v>24.54</x:v>
      </x:c>
      <x:c r="G2512" s="153" t="n">
        <x:v>3.83</x:v>
      </x:c>
    </x:row>
    <x:row r="2513">
      <x:c r="A2513" s="155" t="n">
        <x:v>44881</x:v>
      </x:c>
      <x:c r="B2513" s="153" t="n">
        <x:v>3.67</x:v>
      </x:c>
      <x:c r="C2513" s="153" t="n">
        <x:v>1.38</x:v>
      </x:c>
      <x:c r="D2513" s="153" t="n">
        <x:v>2.29</x:v>
      </x:c>
      <x:c r="E2513" s="153" t="n">
        <x:v>123.2817</x:v>
      </x:c>
      <x:c r="F2513" s="153" t="n">
        <x:v>24.11</x:v>
      </x:c>
      <x:c r="G2513" s="153" t="n">
        <x:v>3.83</x:v>
      </x:c>
    </x:row>
    <x:row r="2514">
      <x:c r="A2514" s="155" t="n">
        <x:v>44882</x:v>
      </x:c>
      <x:c r="B2514" s="153" t="n">
        <x:v>3.77</x:v>
      </x:c>
      <x:c r="C2514" s="153" t="n">
        <x:v>1.49</x:v>
      </x:c>
      <x:c r="D2514" s="153" t="n">
        <x:v>2.28</x:v>
      </x:c>
      <x:c r="E2514" s="153" t="n">
        <x:v>123.977</x:v>
      </x:c>
      <x:c r="F2514" s="153" t="n">
        <x:v>23.93</x:v>
      </x:c>
      <x:c r="G2514" s="153" t="n">
        <x:v>3.83</x:v>
      </x:c>
    </x:row>
    <x:row r="2515">
      <x:c r="A2515" s="155" t="n">
        <x:v>44883</x:v>
      </x:c>
      <x:c r="B2515" s="153" t="n">
        <x:v>3.82</x:v>
      </x:c>
      <x:c r="C2515" s="153" t="n">
        <x:v>1.57</x:v>
      </x:c>
      <x:c r="D2515" s="153" t="n">
        <x:v>2.25</x:v>
      </x:c>
      <x:c r="E2515" s="153" t="n">
        <x:v>123.8524</x:v>
      </x:c>
      <x:c r="F2515" s="153" t="n">
        <x:v>23.12</x:v>
      </x:c>
      <x:c r="G2515" s="153" t="n">
        <x:v>3.83</x:v>
      </x:c>
    </x:row>
    <x:row r="2516">
      <x:c r="A2516" s="155" t="n">
        <x:v>44884</x:v>
      </x:c>
      <x:c r="B2516" s="153"/>
      <x:c r="C2516" s="153"/>
      <x:c r="D2516" s="153"/>
      <x:c r="E2516" s="153"/>
      <x:c r="F2516" s="153"/>
      <x:c r="G2516" s="153" t="n">
        <x:v>3.83</x:v>
      </x:c>
    </x:row>
    <x:row r="2517">
      <x:c r="A2517" s="155" t="n">
        <x:v>44885</x:v>
      </x:c>
      <x:c r="B2517" s="153"/>
      <x:c r="C2517" s="153"/>
      <x:c r="D2517" s="153"/>
      <x:c r="E2517" s="153"/>
      <x:c r="F2517" s="153"/>
      <x:c r="G2517" s="153" t="n">
        <x:v>3.83</x:v>
      </x:c>
    </x:row>
    <x:row r="2518">
      <x:c r="A2518" s="155" t="n">
        <x:v>44886</x:v>
      </x:c>
      <x:c r="B2518" s="153" t="n">
        <x:v>3.83</x:v>
      </x:c>
      <x:c r="C2518" s="153" t="n">
        <x:v>1.52</x:v>
      </x:c>
      <x:c r="D2518" s="153" t="n">
        <x:v>2.31</x:v>
      </x:c>
      <x:c r="E2518" s="153" t="n">
        <x:v>124.7009</x:v>
      </x:c>
      <x:c r="F2518" s="153" t="n">
        <x:v>22.36</x:v>
      </x:c>
      <x:c r="G2518" s="153" t="n">
        <x:v>3.83</x:v>
      </x:c>
    </x:row>
    <x:row r="2519">
      <x:c r="A2519" s="155" t="n">
        <x:v>44887</x:v>
      </x:c>
      <x:c r="B2519" s="153" t="n">
        <x:v>3.76</x:v>
      </x:c>
      <x:c r="C2519" s="153" t="n">
        <x:v>1.44</x:v>
      </x:c>
      <x:c r="D2519" s="153" t="n">
        <x:v>2.32</x:v>
      </x:c>
      <x:c r="E2519" s="153" t="n">
        <x:v>124.2365</x:v>
      </x:c>
      <x:c r="F2519" s="153" t="n">
        <x:v>21.29</x:v>
      </x:c>
      <x:c r="G2519" s="153" t="n">
        <x:v>3.83</x:v>
      </x:c>
    </x:row>
    <x:row r="2520">
      <x:c r="A2520" s="155" t="n">
        <x:v>44888</x:v>
      </x:c>
      <x:c r="B2520" s="153" t="n">
        <x:v>3.71</x:v>
      </x:c>
      <x:c r="C2520" s="153" t="n">
        <x:v>1.39</x:v>
      </x:c>
      <x:c r="D2520" s="153" t="n">
        <x:v>2.32</x:v>
      </x:c>
      <x:c r="E2520" s="153" t="n">
        <x:v>123.7574</x:v>
      </x:c>
      <x:c r="F2520" s="153" t="n">
        <x:v>20.35</x:v>
      </x:c>
      <x:c r="G2520" s="153" t="n">
        <x:v>3.83</x:v>
      </x:c>
    </x:row>
    <x:row r="2521">
      <x:c r="A2521" s="155" t="n">
        <x:v>44889</x:v>
      </x:c>
      <x:c r="B2521" s="153"/>
      <x:c r="C2521" s="153"/>
      <x:c r="D2521" s="153"/>
      <x:c r="E2521" s="153"/>
      <x:c r="F2521" s="153" t="n">
        <x:v>20.42</x:v>
      </x:c>
      <x:c r="G2521" s="153" t="n">
        <x:v>3.83</x:v>
      </x:c>
    </x:row>
    <x:row r="2522">
      <x:c r="A2522" s="155" t="n">
        <x:v>44890</x:v>
      </x:c>
      <x:c r="B2522" s="153" t="n">
        <x:v>3.68</x:v>
      </x:c>
      <x:c r="C2522" s="153" t="n">
        <x:v>1.36</x:v>
      </x:c>
      <x:c r="D2522" s="153" t="n">
        <x:v>2.32</x:v>
      </x:c>
      <x:c r="E2522" s="153" t="n">
        <x:v>123.3386</x:v>
      </x:c>
      <x:c r="F2522" s="153" t="n">
        <x:v>20.5</x:v>
      </x:c>
      <x:c r="G2522" s="153" t="n">
        <x:v>3.83</x:v>
      </x:c>
    </x:row>
    <x:row r="2523">
      <x:c r="A2523" s="155" t="n">
        <x:v>44891</x:v>
      </x:c>
      <x:c r="B2523" s="153"/>
      <x:c r="C2523" s="153"/>
      <x:c r="D2523" s="153"/>
      <x:c r="E2523" s="153"/>
      <x:c r="F2523" s="153"/>
      <x:c r="G2523" s="153" t="n">
        <x:v>3.83</x:v>
      </x:c>
    </x:row>
    <x:row r="2524">
      <x:c r="A2524" s="155" t="n">
        <x:v>44892</x:v>
      </x:c>
      <x:c r="B2524" s="153"/>
      <x:c r="C2524" s="153"/>
      <x:c r="D2524" s="153"/>
      <x:c r="E2524" s="153"/>
      <x:c r="F2524" s="153"/>
      <x:c r="G2524" s="153" t="n">
        <x:v>3.83</x:v>
      </x:c>
    </x:row>
    <x:row r="2525">
      <x:c r="A2525" s="155" t="n">
        <x:v>44893</x:v>
      </x:c>
      <x:c r="B2525" s="153" t="n">
        <x:v>3.69</x:v>
      </x:c>
      <x:c r="C2525" s="153" t="n">
        <x:v>1.43</x:v>
      </x:c>
      <x:c r="D2525" s="153" t="n">
        <x:v>2.26</x:v>
      </x:c>
      <x:c r="E2525" s="153" t="n">
        <x:v>123.6032</x:v>
      </x:c>
      <x:c r="F2525" s="153" t="n">
        <x:v>22.21</x:v>
      </x:c>
      <x:c r="G2525" s="153" t="n">
        <x:v>3.83</x:v>
      </x:c>
    </x:row>
    <x:row r="2526">
      <x:c r="A2526" s="155" t="n">
        <x:v>44894</x:v>
      </x:c>
      <x:c r="B2526" s="153" t="n">
        <x:v>3.75</x:v>
      </x:c>
      <x:c r="C2526" s="153" t="n">
        <x:v>1.5</x:v>
      </x:c>
      <x:c r="D2526" s="153" t="n">
        <x:v>2.25</x:v>
      </x:c>
      <x:c r="E2526" s="153" t="n">
        <x:v>123.6615</x:v>
      </x:c>
      <x:c r="F2526" s="153" t="n">
        <x:v>21.89</x:v>
      </x:c>
      <x:c r="G2526" s="153" t="n">
        <x:v>3.83</x:v>
      </x:c>
    </x:row>
    <x:row r="2527">
      <x:c r="A2527" s="155" t="n">
        <x:v>44895</x:v>
      </x:c>
      <x:c r="B2527" s="153" t="n">
        <x:v>3.68</x:v>
      </x:c>
      <x:c r="C2527" s="153" t="n">
        <x:v>1.34</x:v>
      </x:c>
      <x:c r="D2527" s="153" t="n">
        <x:v>2.34</x:v>
      </x:c>
      <x:c r="E2527" s="153" t="n">
        <x:v>123.5175</x:v>
      </x:c>
      <x:c r="F2527" s="153" t="n">
        <x:v>20.58</x:v>
      </x:c>
      <x:c r="G2527" s="153" t="n">
        <x:v>3.83</x:v>
      </x:c>
    </x:row>
    <x:row r="2528">
      <x:c r="A2528" s="155" t="n">
        <x:v>44896</x:v>
      </x:c>
      <x:c r="B2528" s="153" t="n">
        <x:v>3.53</x:v>
      </x:c>
      <x:c r="C2528" s="153" t="n">
        <x:v>1.17</x:v>
      </x:c>
      <x:c r="D2528" s="153" t="n">
        <x:v>2.36</x:v>
      </x:c>
      <x:c r="E2528" s="153" t="n">
        <x:v>122.0045</x:v>
      </x:c>
      <x:c r="F2528" s="153" t="n">
        <x:v>19.84</x:v>
      </x:c>
      <x:c r="G2528" s="153" t="n">
        <x:v>3.83</x:v>
      </x:c>
    </x:row>
    <x:row r="2529">
      <x:c r="A2529" s="155" t="n">
        <x:v>44897</x:v>
      </x:c>
      <x:c r="B2529" s="153" t="n">
        <x:v>3.51</x:v>
      </x:c>
      <x:c r="C2529" s="153" t="n">
        <x:v>1.08</x:v>
      </x:c>
      <x:c r="D2529" s="153" t="n">
        <x:v>2.43</x:v>
      </x:c>
      <x:c r="E2529" s="153" t="n">
        <x:v>122.0102</x:v>
      </x:c>
      <x:c r="F2529" s="153" t="n">
        <x:v>19.06</x:v>
      </x:c>
      <x:c r="G2529" s="153" t="n">
        <x:v>3.83</x:v>
      </x:c>
    </x:row>
    <x:row r="2530">
      <x:c r="A2530" s="155" t="n">
        <x:v>44898</x:v>
      </x:c>
      <x:c r="B2530" s="153"/>
      <x:c r="C2530" s="153"/>
      <x:c r="D2530" s="153"/>
      <x:c r="E2530" s="153"/>
      <x:c r="F2530" s="153"/>
      <x:c r="G2530" s="153" t="n">
        <x:v>3.83</x:v>
      </x:c>
    </x:row>
    <x:row r="2531">
      <x:c r="A2531" s="155" t="n">
        <x:v>44899</x:v>
      </x:c>
      <x:c r="B2531" s="153"/>
      <x:c r="C2531" s="153"/>
      <x:c r="D2531" s="153"/>
      <x:c r="E2531" s="153"/>
      <x:c r="F2531" s="153"/>
      <x:c r="G2531" s="153" t="n">
        <x:v>3.83</x:v>
      </x:c>
    </x:row>
    <x:row r="2532">
      <x:c r="A2532" s="155" t="n">
        <x:v>44900</x:v>
      </x:c>
      <x:c r="B2532" s="153" t="n">
        <x:v>3.6</x:v>
      </x:c>
      <x:c r="C2532" s="153" t="n">
        <x:v>1.21</x:v>
      </x:c>
      <x:c r="D2532" s="153" t="n">
        <x:v>2.39</x:v>
      </x:c>
      <x:c r="E2532" s="153" t="n">
        <x:v>122.6384</x:v>
      </x:c>
      <x:c r="F2532" s="153" t="n">
        <x:v>20.75</x:v>
      </x:c>
      <x:c r="G2532" s="153" t="n">
        <x:v>3.83</x:v>
      </x:c>
    </x:row>
    <x:row r="2533">
      <x:c r="A2533" s="155" t="n">
        <x:v>44901</x:v>
      </x:c>
      <x:c r="B2533" s="153" t="n">
        <x:v>3.51</x:v>
      </x:c>
      <x:c r="C2533" s="153" t="n">
        <x:v>1.2</x:v>
      </x:c>
      <x:c r="D2533" s="153" t="n">
        <x:v>2.31</x:v>
      </x:c>
      <x:c r="E2533" s="153" t="n">
        <x:v>123.0191</x:v>
      </x:c>
      <x:c r="F2533" s="153" t="n">
        <x:v>22.17</x:v>
      </x:c>
      <x:c r="G2533" s="153" t="n">
        <x:v>3.83</x:v>
      </x:c>
    </x:row>
    <x:row r="2534">
      <x:c r="A2534" s="155" t="n">
        <x:v>44902</x:v>
      </x:c>
      <x:c r="B2534" s="153" t="n">
        <x:v>3.42</x:v>
      </x:c>
      <x:c r="C2534" s="153" t="n">
        <x:v>1.16</x:v>
      </x:c>
      <x:c r="D2534" s="153" t="n">
        <x:v>2.26</x:v>
      </x:c>
      <x:c r="E2534" s="153" t="n">
        <x:v>122.7608</x:v>
      </x:c>
      <x:c r="F2534" s="153" t="n">
        <x:v>22.68</x:v>
      </x:c>
      <x:c r="G2534" s="153" t="n">
        <x:v>3.83</x:v>
      </x:c>
    </x:row>
    <x:row r="2535">
      <x:c r="A2535" s="155" t="n">
        <x:v>44903</x:v>
      </x:c>
      <x:c r="B2535" s="153" t="n">
        <x:v>3.48</x:v>
      </x:c>
      <x:c r="C2535" s="153" t="n">
        <x:v>1.2</x:v>
      </x:c>
      <x:c r="D2535" s="153" t="n">
        <x:v>2.28</x:v>
      </x:c>
      <x:c r="E2535" s="153" t="n">
        <x:v>122.4152</x:v>
      </x:c>
      <x:c r="F2535" s="153" t="n">
        <x:v>22.29</x:v>
      </x:c>
      <x:c r="G2535" s="153" t="n">
        <x:v>3.83</x:v>
      </x:c>
    </x:row>
    <x:row r="2536">
      <x:c r="A2536" s="155" t="n">
        <x:v>44904</x:v>
      </x:c>
      <x:c r="B2536" s="153" t="n">
        <x:v>3.57</x:v>
      </x:c>
      <x:c r="C2536" s="153" t="n">
        <x:v>1.31</x:v>
      </x:c>
      <x:c r="D2536" s="153" t="n">
        <x:v>2.26</x:v>
      </x:c>
      <x:c r="E2536" s="153" t="n">
        <x:v>122.4201</x:v>
      </x:c>
      <x:c r="F2536" s="153" t="n">
        <x:v>22.83</x:v>
      </x:c>
      <x:c r="G2536" s="153" t="n">
        <x:v>3.83</x:v>
      </x:c>
    </x:row>
    <x:row r="2537">
      <x:c r="A2537" s="155" t="n">
        <x:v>44905</x:v>
      </x:c>
      <x:c r="B2537" s="153"/>
      <x:c r="C2537" s="153"/>
      <x:c r="D2537" s="153"/>
      <x:c r="E2537" s="153"/>
      <x:c r="F2537" s="153"/>
      <x:c r="G2537" s="153" t="n">
        <x:v>3.83</x:v>
      </x:c>
    </x:row>
    <x:row r="2538">
      <x:c r="A2538" s="155" t="n">
        <x:v>44906</x:v>
      </x:c>
      <x:c r="B2538" s="153"/>
      <x:c r="C2538" s="153"/>
      <x:c r="D2538" s="153"/>
      <x:c r="E2538" s="153"/>
      <x:c r="F2538" s="153"/>
      <x:c r="G2538" s="153" t="n">
        <x:v>3.83</x:v>
      </x:c>
    </x:row>
    <x:row r="2539">
      <x:c r="A2539" s="155" t="n">
        <x:v>44907</x:v>
      </x:c>
      <x:c r="B2539" s="153" t="n">
        <x:v>3.61</x:v>
      </x:c>
      <x:c r="C2539" s="153" t="n">
        <x:v>1.33</x:v>
      </x:c>
      <x:c r="D2539" s="153" t="n">
        <x:v>2.28</x:v>
      </x:c>
      <x:c r="E2539" s="153" t="n">
        <x:v>122.7714</x:v>
      </x:c>
      <x:c r="F2539" s="153" t="n">
        <x:v>25</x:v>
      </x:c>
      <x:c r="G2539" s="153" t="n">
        <x:v>3.83</x:v>
      </x:c>
    </x:row>
    <x:row r="2540">
      <x:c r="A2540" s="155" t="n">
        <x:v>44908</x:v>
      </x:c>
      <x:c r="B2540" s="153" t="n">
        <x:v>3.51</x:v>
      </x:c>
      <x:c r="C2540" s="153" t="n">
        <x:v>1.27</x:v>
      </x:c>
      <x:c r="D2540" s="153" t="n">
        <x:v>2.24</x:v>
      </x:c>
      <x:c r="E2540" s="153" t="n">
        <x:v>121.8493</x:v>
      </x:c>
      <x:c r="F2540" s="153" t="n">
        <x:v>22.55</x:v>
      </x:c>
      <x:c r="G2540" s="153" t="n">
        <x:v>3.83</x:v>
      </x:c>
    </x:row>
    <x:row r="2541">
      <x:c r="A2541" s="155" t="n">
        <x:v>44909</x:v>
      </x:c>
      <x:c r="B2541" s="153" t="n">
        <x:v>3.49</x:v>
      </x:c>
      <x:c r="C2541" s="153" t="n">
        <x:v>1.3</x:v>
      </x:c>
      <x:c r="D2541" s="153" t="n">
        <x:v>2.19</x:v>
      </x:c>
      <x:c r="E2541" s="153" t="n">
        <x:v>121.8226</x:v>
      </x:c>
      <x:c r="F2541" s="153" t="n">
        <x:v>21.14</x:v>
      </x:c>
      <x:c r="G2541" s="153" t="n">
        <x:v>3.83</x:v>
      </x:c>
    </x:row>
    <x:row r="2542">
      <x:c r="A2542" s="155" t="n">
        <x:v>44910</x:v>
      </x:c>
      <x:c r="B2542" s="153" t="n">
        <x:v>3.44</x:v>
      </x:c>
      <x:c r="C2542" s="153" t="n">
        <x:v>1.28</x:v>
      </x:c>
      <x:c r="D2542" s="153" t="n">
        <x:v>2.16</x:v>
      </x:c>
      <x:c r="E2542" s="153" t="n">
        <x:v>122.5519</x:v>
      </x:c>
      <x:c r="F2542" s="153" t="n">
        <x:v>22.83</x:v>
      </x:c>
      <x:c r="G2542" s="153" t="n">
        <x:v>4.33</x:v>
      </x:c>
    </x:row>
    <x:row r="2543">
      <x:c r="A2543" s="155" t="n">
        <x:v>44911</x:v>
      </x:c>
      <x:c r="B2543" s="153" t="n">
        <x:v>3.48</x:v>
      </x:c>
      <x:c r="C2543" s="153" t="n">
        <x:v>1.35</x:v>
      </x:c>
      <x:c r="D2543" s="153" t="n">
        <x:v>2.13</x:v>
      </x:c>
      <x:c r="E2543" s="153" t="n">
        <x:v>122.6505</x:v>
      </x:c>
      <x:c r="F2543" s="153" t="n">
        <x:v>22.62</x:v>
      </x:c>
      <x:c r="G2543" s="153" t="n">
        <x:v>4.33</x:v>
      </x:c>
    </x:row>
    <x:row r="2544">
      <x:c r="A2544" s="155" t="n">
        <x:v>44912</x:v>
      </x:c>
      <x:c r="B2544" s="153"/>
      <x:c r="C2544" s="153"/>
      <x:c r="D2544" s="153"/>
      <x:c r="E2544" s="153"/>
      <x:c r="F2544" s="153"/>
      <x:c r="G2544" s="153" t="n">
        <x:v>4.33</x:v>
      </x:c>
    </x:row>
    <x:row r="2545">
      <x:c r="A2545" s="155" t="n">
        <x:v>44913</x:v>
      </x:c>
      <x:c r="B2545" s="153"/>
      <x:c r="C2545" s="153"/>
      <x:c r="D2545" s="153"/>
      <x:c r="E2545" s="153"/>
      <x:c r="F2545" s="153"/>
      <x:c r="G2545" s="153" t="n">
        <x:v>4.33</x:v>
      </x:c>
    </x:row>
    <x:row r="2546">
      <x:c r="A2546" s="155" t="n">
        <x:v>44914</x:v>
      </x:c>
      <x:c r="B2546" s="153" t="n">
        <x:v>3.57</x:v>
      </x:c>
      <x:c r="C2546" s="153" t="n">
        <x:v>1.42</x:v>
      </x:c>
      <x:c r="D2546" s="153" t="n">
        <x:v>2.15</x:v>
      </x:c>
      <x:c r="E2546" s="153" t="n">
        <x:v>122.5275</x:v>
      </x:c>
      <x:c r="F2546" s="153" t="n">
        <x:v>22.42</x:v>
      </x:c>
      <x:c r="G2546" s="153" t="n">
        <x:v>4.33</x:v>
      </x:c>
    </x:row>
    <x:row r="2547">
      <x:c r="A2547" s="155" t="n">
        <x:v>44915</x:v>
      </x:c>
      <x:c r="B2547" s="153" t="n">
        <x:v>3.69</x:v>
      </x:c>
      <x:c r="C2547" s="153" t="n">
        <x:v>1.45</x:v>
      </x:c>
      <x:c r="D2547" s="153" t="n">
        <x:v>2.24</x:v>
      </x:c>
      <x:c r="E2547" s="153" t="n">
        <x:v>122.1357</x:v>
      </x:c>
      <x:c r="F2547" s="153" t="n">
        <x:v>21.48</x:v>
      </x:c>
      <x:c r="G2547" s="153" t="n">
        <x:v>4.33</x:v>
      </x:c>
    </x:row>
    <x:row r="2548">
      <x:c r="A2548" s="155" t="n">
        <x:v>44916</x:v>
      </x:c>
      <x:c r="B2548" s="153" t="n">
        <x:v>3.68</x:v>
      </x:c>
      <x:c r="C2548" s="153" t="n">
        <x:v>1.41</x:v>
      </x:c>
      <x:c r="D2548" s="153" t="n">
        <x:v>2.27</x:v>
      </x:c>
      <x:c r="E2548" s="153" t="n">
        <x:v>122.2828</x:v>
      </x:c>
      <x:c r="F2548" s="153" t="n">
        <x:v>20.07</x:v>
      </x:c>
      <x:c r="G2548" s="153" t="n">
        <x:v>4.33</x:v>
      </x:c>
    </x:row>
    <x:row r="2549">
      <x:c r="A2549" s="155" t="n">
        <x:v>44917</x:v>
      </x:c>
      <x:c r="B2549" s="153" t="n">
        <x:v>3.67</x:v>
      </x:c>
      <x:c r="C2549" s="153" t="n">
        <x:v>1.48</x:v>
      </x:c>
      <x:c r="D2549" s="153" t="n">
        <x:v>2.19</x:v>
      </x:c>
      <x:c r="E2549" s="153" t="n">
        <x:v>122.2419</x:v>
      </x:c>
      <x:c r="F2549" s="153" t="n">
        <x:v>21.97</x:v>
      </x:c>
      <x:c r="G2549" s="153" t="n">
        <x:v>4.33</x:v>
      </x:c>
    </x:row>
    <x:row r="2550">
      <x:c r="A2550" s="155" t="n">
        <x:v>44918</x:v>
      </x:c>
      <x:c r="B2550" s="153" t="n">
        <x:v>3.75</x:v>
      </x:c>
      <x:c r="C2550" s="153" t="n">
        <x:v>1.55</x:v>
      </x:c>
      <x:c r="D2550" s="153" t="n">
        <x:v>2.2</x:v>
      </x:c>
      <x:c r="E2550" s="153" t="n">
        <x:v>121.9743</x:v>
      </x:c>
      <x:c r="F2550" s="153" t="n">
        <x:v>20.87</x:v>
      </x:c>
      <x:c r="G2550" s="153" t="n">
        <x:v>4.33</x:v>
      </x:c>
    </x:row>
    <x:row r="2551">
      <x:c r="A2551" s="155" t="n">
        <x:v>44919</x:v>
      </x:c>
      <x:c r="B2551" s="153"/>
      <x:c r="C2551" s="153"/>
      <x:c r="D2551" s="153"/>
      <x:c r="E2551" s="153"/>
      <x:c r="F2551" s="153"/>
      <x:c r="G2551" s="153" t="n">
        <x:v>4.33</x:v>
      </x:c>
    </x:row>
    <x:row r="2552">
      <x:c r="A2552" s="155" t="n">
        <x:v>44920</x:v>
      </x:c>
      <x:c r="B2552" s="153"/>
      <x:c r="C2552" s="153"/>
      <x:c r="D2552" s="153"/>
      <x:c r="E2552" s="153"/>
      <x:c r="F2552" s="153"/>
      <x:c r="G2552" s="153" t="n">
        <x:v>4.33</x:v>
      </x:c>
    </x:row>
    <x:row r="2553">
      <x:c r="A2553" s="155" t="n">
        <x:v>44921</x:v>
      </x:c>
      <x:c r="B2553" s="153"/>
      <x:c r="C2553" s="153"/>
      <x:c r="D2553" s="153"/>
      <x:c r="E2553" s="153"/>
      <x:c r="F2553" s="153"/>
      <x:c r="G2553" s="153" t="n">
        <x:v>4.33</x:v>
      </x:c>
    </x:row>
    <x:row r="2554">
      <x:c r="A2554" s="155" t="n">
        <x:v>44922</x:v>
      </x:c>
      <x:c r="B2554" s="153" t="n">
        <x:v>3.84</x:v>
      </x:c>
      <x:c r="C2554" s="153" t="n">
        <x:v>1.58</x:v>
      </x:c>
      <x:c r="D2554" s="153" t="n">
        <x:v>2.26</x:v>
      </x:c>
      <x:c r="E2554" s="153" t="n">
        <x:v>121.7539</x:v>
      </x:c>
      <x:c r="F2554" s="153" t="n">
        <x:v>21.65</x:v>
      </x:c>
      <x:c r="G2554" s="153" t="n">
        <x:v>4.33</x:v>
      </x:c>
    </x:row>
    <x:row r="2555">
      <x:c r="A2555" s="155" t="n">
        <x:v>44923</x:v>
      </x:c>
      <x:c r="B2555" s="153" t="n">
        <x:v>3.88</x:v>
      </x:c>
      <x:c r="C2555" s="153" t="n">
        <x:v>1.6</x:v>
      </x:c>
      <x:c r="D2555" s="153" t="n">
        <x:v>2.28</x:v>
      </x:c>
      <x:c r="E2555" s="153" t="n">
        <x:v>122.0075</x:v>
      </x:c>
      <x:c r="F2555" s="153" t="n">
        <x:v>22.14</x:v>
      </x:c>
      <x:c r="G2555" s="153" t="n">
        <x:v>4.33</x:v>
      </x:c>
    </x:row>
    <x:row r="2556">
      <x:c r="A2556" s="155" t="n">
        <x:v>44924</x:v>
      </x:c>
      <x:c r="B2556" s="153" t="n">
        <x:v>3.83</x:v>
      </x:c>
      <x:c r="C2556" s="153" t="n">
        <x:v>1.56</x:v>
      </x:c>
      <x:c r="D2556" s="153" t="n">
        <x:v>2.27</x:v>
      </x:c>
      <x:c r="E2556" s="153" t="n">
        <x:v>121.6577</x:v>
      </x:c>
      <x:c r="F2556" s="153" t="n">
        <x:v>21.44</x:v>
      </x:c>
      <x:c r="G2556" s="153" t="n">
        <x:v>4.33</x:v>
      </x:c>
    </x:row>
    <x:row r="2557">
      <x:c r="A2557" s="155" t="n">
        <x:v>44925</x:v>
      </x:c>
      <x:c r="B2557" s="153" t="n">
        <x:v>3.88</x:v>
      </x:c>
      <x:c r="C2557" s="153" t="n">
        <x:v>1.58</x:v>
      </x:c>
      <x:c r="D2557" s="153" t="n">
        <x:v>2.3</x:v>
      </x:c>
      <x:c r="E2557" s="153" t="n">
        <x:v>121.4256</x:v>
      </x:c>
      <x:c r="F2557" s="153" t="n">
        <x:v>21.67</x:v>
      </x:c>
      <x:c r="G2557" s="153" t="n">
        <x:v>4.33</x:v>
      </x:c>
    </x:row>
    <x:row r="2558">
      <x:c r="A2558" s="155" t="n">
        <x:v>44926</x:v>
      </x:c>
      <x:c r="B2558" s="153"/>
      <x:c r="C2558" s="153"/>
      <x:c r="D2558" s="153"/>
      <x:c r="E2558" s="153"/>
      <x:c r="F2558" s="153"/>
      <x:c r="G2558" s="153" t="n">
        <x:v>4.33</x:v>
      </x:c>
    </x:row>
    <x:row r="2559">
      <x:c r="A2559" s="155" t="n">
        <x:v>44927</x:v>
      </x:c>
      <x:c r="B2559" s="153"/>
      <x:c r="C2559" s="153"/>
      <x:c r="D2559" s="153"/>
      <x:c r="E2559" s="153"/>
      <x:c r="F2559" s="153"/>
      <x:c r="G2559" s="153" t="n">
        <x:v>4.33</x:v>
      </x:c>
    </x:row>
    <x:row r="2560">
      <x:c r="A2560" s="155" t="n">
        <x:v>44928</x:v>
      </x:c>
      <x:c r="B2560" s="153"/>
      <x:c r="C2560" s="153"/>
      <x:c r="D2560" s="153"/>
      <x:c r="E2560" s="153"/>
      <x:c r="F2560" s="153"/>
      <x:c r="G2560" s="153" t="n">
        <x:v>4.33</x:v>
      </x:c>
    </x:row>
    <x:row r="2561">
      <x:c r="A2561" s="155" t="n">
        <x:v>44929</x:v>
      </x:c>
      <x:c r="B2561" s="153" t="n">
        <x:v>3.79</x:v>
      </x:c>
      <x:c r="C2561" s="153" t="n">
        <x:v>1.53</x:v>
      </x:c>
      <x:c r="D2561" s="153" t="n">
        <x:v>2.26</x:v>
      </x:c>
      <x:c r="E2561" s="153" t="n">
        <x:v>122.0905</x:v>
      </x:c>
      <x:c r="F2561" s="153" t="n">
        <x:v>22.9</x:v>
      </x:c>
      <x:c r="G2561" s="153" t="n">
        <x:v>4.33</x:v>
      </x:c>
    </x:row>
    <x:row r="2562">
      <x:c r="A2562" s="155" t="n">
        <x:v>44930</x:v>
      </x:c>
      <x:c r="B2562" s="153" t="n">
        <x:v>3.69</x:v>
      </x:c>
      <x:c r="C2562" s="153" t="n">
        <x:v>1.47</x:v>
      </x:c>
      <x:c r="D2562" s="153" t="n">
        <x:v>2.22</x:v>
      </x:c>
      <x:c r="E2562" s="153" t="n">
        <x:v>121.5008</x:v>
      </x:c>
      <x:c r="F2562" s="153" t="n">
        <x:v>22.01</x:v>
      </x:c>
      <x:c r="G2562" s="153" t="n">
        <x:v>4.33</x:v>
      </x:c>
    </x:row>
    <x:row r="2563">
      <x:c r="A2563" s="155" t="n">
        <x:v>44931</x:v>
      </x:c>
      <x:c r="B2563" s="153" t="n">
        <x:v>3.71</x:v>
      </x:c>
      <x:c r="C2563" s="153" t="n">
        <x:v>1.49</x:v>
      </x:c>
      <x:c r="D2563" s="153" t="n">
        <x:v>2.22</x:v>
      </x:c>
      <x:c r="E2563" s="153" t="n">
        <x:v>122.1017</x:v>
      </x:c>
      <x:c r="F2563" s="153" t="n">
        <x:v>22.46</x:v>
      </x:c>
      <x:c r="G2563" s="153" t="n">
        <x:v>4.33</x:v>
      </x:c>
    </x:row>
    <x:row r="2564">
      <x:c r="A2564" s="155" t="n">
        <x:v>44932</x:v>
      </x:c>
      <x:c r="B2564" s="153" t="n">
        <x:v>3.55</x:v>
      </x:c>
      <x:c r="C2564" s="153" t="n">
        <x:v>1.34</x:v>
      </x:c>
      <x:c r="D2564" s="153" t="n">
        <x:v>2.21</x:v>
      </x:c>
      <x:c r="E2564" s="153" t="n">
        <x:v>121.0852</x:v>
      </x:c>
      <x:c r="F2564" s="153" t="n">
        <x:v>21.13</x:v>
      </x:c>
      <x:c r="G2564" s="153" t="n">
        <x:v>4.33</x:v>
      </x:c>
    </x:row>
    <x:row r="2565">
      <x:c r="A2565" s="155" t="n">
        <x:v>44933</x:v>
      </x:c>
      <x:c r="B2565" s="153"/>
      <x:c r="C2565" s="153"/>
      <x:c r="D2565" s="153"/>
      <x:c r="E2565" s="153"/>
      <x:c r="F2565" s="153"/>
      <x:c r="G2565" s="153" t="n">
        <x:v>4.33</x:v>
      </x:c>
    </x:row>
    <x:row r="2566">
      <x:c r="A2566" s="155" t="n">
        <x:v>44934</x:v>
      </x:c>
      <x:c r="B2566" s="153"/>
      <x:c r="C2566" s="153"/>
      <x:c r="D2566" s="153"/>
      <x:c r="E2566" s="153"/>
      <x:c r="F2566" s="153"/>
      <x:c r="G2566" s="153" t="n">
        <x:v>4.33</x:v>
      </x:c>
    </x:row>
    <x:row r="2567">
      <x:c r="A2567" s="155" t="n">
        <x:v>44935</x:v>
      </x:c>
      <x:c r="B2567" s="153" t="n">
        <x:v>3.53</x:v>
      </x:c>
      <x:c r="C2567" s="153" t="n">
        <x:v>1.31</x:v>
      </x:c>
      <x:c r="D2567" s="153" t="n">
        <x:v>2.22</x:v>
      </x:c>
      <x:c r="E2567" s="153" t="n">
        <x:v>120.1508</x:v>
      </x:c>
      <x:c r="F2567" s="153" t="n">
        <x:v>21.97</x:v>
      </x:c>
      <x:c r="G2567" s="153" t="n">
        <x:v>4.33</x:v>
      </x:c>
    </x:row>
    <x:row r="2568">
      <x:c r="A2568" s="155" t="n">
        <x:v>44936</x:v>
      </x:c>
      <x:c r="B2568" s="153" t="n">
        <x:v>3.61</x:v>
      </x:c>
      <x:c r="C2568" s="153" t="n">
        <x:v>1.37</x:v>
      </x:c>
      <x:c r="D2568" s="153" t="n">
        <x:v>2.24</x:v>
      </x:c>
      <x:c r="E2568" s="153" t="n">
        <x:v>120.2483</x:v>
      </x:c>
      <x:c r="F2568" s="153" t="n">
        <x:v>20.58</x:v>
      </x:c>
      <x:c r="G2568" s="153" t="n">
        <x:v>4.33</x:v>
      </x:c>
    </x:row>
    <x:row r="2569">
      <x:c r="A2569" s="155" t="n">
        <x:v>44937</x:v>
      </x:c>
      <x:c r="B2569" s="153" t="n">
        <x:v>3.54</x:v>
      </x:c>
      <x:c r="C2569" s="153" t="n">
        <x:v>1.31</x:v>
      </x:c>
      <x:c r="D2569" s="153" t="n">
        <x:v>2.23</x:v>
      </x:c>
      <x:c r="E2569" s="153" t="n">
        <x:v>120.1614</x:v>
      </x:c>
      <x:c r="F2569" s="153" t="n">
        <x:v>21.09</x:v>
      </x:c>
      <x:c r="G2569" s="153" t="n">
        <x:v>4.33</x:v>
      </x:c>
    </x:row>
    <x:row r="2570">
      <x:c r="A2570" s="155" t="n">
        <x:v>44938</x:v>
      </x:c>
      <x:c r="B2570" s="153" t="n">
        <x:v>3.43</x:v>
      </x:c>
      <x:c r="C2570" s="153" t="n">
        <x:v>1.22</x:v>
      </x:c>
      <x:c r="D2570" s="153" t="n">
        <x:v>2.21</x:v>
      </x:c>
      <x:c r="E2570" s="153" t="n">
        <x:v>119.4218</x:v>
      </x:c>
      <x:c r="F2570" s="153" t="n">
        <x:v>18.83</x:v>
      </x:c>
      <x:c r="G2570" s="153" t="n">
        <x:v>4.33</x:v>
      </x:c>
    </x:row>
    <x:row r="2571">
      <x:c r="A2571" s="155" t="n">
        <x:v>44939</x:v>
      </x:c>
      <x:c r="B2571" s="153" t="n">
        <x:v>3.49</x:v>
      </x:c>
      <x:c r="C2571" s="153" t="n">
        <x:v>1.31</x:v>
      </x:c>
      <x:c r="D2571" s="153" t="n">
        <x:v>2.18</x:v>
      </x:c>
      <x:c r="E2571" s="153" t="n">
        <x:v>119.1673</x:v>
      </x:c>
      <x:c r="F2571" s="153" t="n">
        <x:v>18.35</x:v>
      </x:c>
      <x:c r="G2571" s="153" t="n">
        <x:v>4.33</x:v>
      </x:c>
    </x:row>
    <x:row r="2572">
      <x:c r="A2572" s="155" t="n">
        <x:v>44940</x:v>
      </x:c>
      <x:c r="B2572" s="153"/>
      <x:c r="C2572" s="153"/>
      <x:c r="D2572" s="153"/>
      <x:c r="E2572" s="153"/>
      <x:c r="F2572" s="153"/>
      <x:c r="G2572" s="153" t="n">
        <x:v>4.33</x:v>
      </x:c>
    </x:row>
    <x:row r="2573">
      <x:c r="A2573" s="155" t="n">
        <x:v>44941</x:v>
      </x:c>
      <x:c r="B2573" s="153"/>
      <x:c r="C2573" s="153"/>
      <x:c r="D2573" s="153"/>
      <x:c r="E2573" s="153"/>
      <x:c r="F2573" s="153"/>
      <x:c r="G2573" s="153" t="n">
        <x:v>4.33</x:v>
      </x:c>
    </x:row>
    <x:row r="2574">
      <x:c r="A2574" s="155" t="n">
        <x:v>44942</x:v>
      </x:c>
      <x:c r="B2574" s="153"/>
      <x:c r="C2574" s="153"/>
      <x:c r="D2574" s="153"/>
      <x:c r="E2574" s="153"/>
      <x:c r="F2574" s="153" t="n">
        <x:v>19.49</x:v>
      </x:c>
      <x:c r="G2574" s="153" t="n">
        <x:v>4.33</x:v>
      </x:c>
    </x:row>
    <x:row r="2575">
      <x:c r="A2575" s="155" t="n">
        <x:v>44943</x:v>
      </x:c>
      <x:c r="B2575" s="153" t="n">
        <x:v>3.53</x:v>
      </x:c>
      <x:c r="C2575" s="153" t="n">
        <x:v>1.36</x:v>
      </x:c>
      <x:c r="D2575" s="153" t="n">
        <x:v>2.17</x:v>
      </x:c>
      <x:c r="E2575" s="153" t="n">
        <x:v>119.2121</x:v>
      </x:c>
      <x:c r="F2575" s="153" t="n">
        <x:v>19.36</x:v>
      </x:c>
      <x:c r="G2575" s="153" t="n">
        <x:v>4.33</x:v>
      </x:c>
    </x:row>
    <x:row r="2576">
      <x:c r="A2576" s="155" t="n">
        <x:v>44944</x:v>
      </x:c>
      <x:c r="B2576" s="153" t="n">
        <x:v>3.37</x:v>
      </x:c>
      <x:c r="C2576" s="153" t="n">
        <x:v>1.25</x:v>
      </x:c>
      <x:c r="D2576" s="153" t="n">
        <x:v>2.12</x:v>
      </x:c>
      <x:c r="E2576" s="153" t="n">
        <x:v>119.0755</x:v>
      </x:c>
      <x:c r="F2576" s="153" t="n">
        <x:v>20.34</x:v>
      </x:c>
      <x:c r="G2576" s="153" t="n">
        <x:v>4.33</x:v>
      </x:c>
    </x:row>
    <x:row r="2577">
      <x:c r="A2577" s="155" t="n">
        <x:v>44945</x:v>
      </x:c>
      <x:c r="B2577" s="153" t="n">
        <x:v>3.39</x:v>
      </x:c>
      <x:c r="C2577" s="153" t="n">
        <x:v>1.19</x:v>
      </x:c>
      <x:c r="D2577" s="153" t="n">
        <x:v>2.2</x:v>
      </x:c>
      <x:c r="E2577" s="153" t="n">
        <x:v>119.6107</x:v>
      </x:c>
      <x:c r="F2577" s="153" t="n">
        <x:v>20.52</x:v>
      </x:c>
      <x:c r="G2577" s="153" t="n">
        <x:v>4.33</x:v>
      </x:c>
    </x:row>
    <x:row r="2578">
      <x:c r="A2578" s="155" t="n">
        <x:v>44946</x:v>
      </x:c>
      <x:c r="B2578" s="153" t="n">
        <x:v>3.48</x:v>
      </x:c>
      <x:c r="C2578" s="153" t="n">
        <x:v>1.25</x:v>
      </x:c>
      <x:c r="D2578" s="153" t="n">
        <x:v>2.23</x:v>
      </x:c>
      <x:c r="E2578" s="153" t="n">
        <x:v>119.3486</x:v>
      </x:c>
      <x:c r="F2578" s="153" t="n">
        <x:v>19.85</x:v>
      </x:c>
      <x:c r="G2578" s="153" t="n">
        <x:v>4.33</x:v>
      </x:c>
    </x:row>
    <x:row r="2579">
      <x:c r="A2579" s="155" t="n">
        <x:v>44947</x:v>
      </x:c>
      <x:c r="B2579" s="153"/>
      <x:c r="C2579" s="153"/>
      <x:c r="D2579" s="153"/>
      <x:c r="E2579" s="153"/>
      <x:c r="F2579" s="153"/>
      <x:c r="G2579" s="153" t="n">
        <x:v>4.33</x:v>
      </x:c>
    </x:row>
    <x:row r="2580">
      <x:c r="A2580" s="155" t="n">
        <x:v>44948</x:v>
      </x:c>
      <x:c r="B2580" s="153"/>
      <x:c r="C2580" s="153"/>
      <x:c r="D2580" s="153"/>
      <x:c r="E2580" s="153"/>
      <x:c r="F2580" s="153"/>
      <x:c r="G2580" s="153" t="n">
        <x:v>4.33</x:v>
      </x:c>
    </x:row>
    <x:row r="2581">
      <x:c r="A2581" s="155" t="n">
        <x:v>44949</x:v>
      </x:c>
      <x:c r="B2581" s="153" t="n">
        <x:v>3.52</x:v>
      </x:c>
      <x:c r="C2581" s="153" t="n">
        <x:v>1.24</x:v>
      </x:c>
      <x:c r="D2581" s="153" t="n">
        <x:v>2.28</x:v>
      </x:c>
      <x:c r="E2581" s="153" t="n">
        <x:v>119.1434</x:v>
      </x:c>
      <x:c r="F2581" s="153" t="n">
        <x:v>19.81</x:v>
      </x:c>
      <x:c r="G2581" s="153" t="n">
        <x:v>4.33</x:v>
      </x:c>
    </x:row>
    <x:row r="2582">
      <x:c r="A2582" s="155" t="n">
        <x:v>44950</x:v>
      </x:c>
      <x:c r="B2582" s="153" t="n">
        <x:v>3.46</x:v>
      </x:c>
      <x:c r="C2582" s="153" t="n">
        <x:v>1.19</x:v>
      </x:c>
      <x:c r="D2582" s="153" t="n">
        <x:v>2.27</x:v>
      </x:c>
      <x:c r="E2582" s="153" t="n">
        <x:v>119.0958</x:v>
      </x:c>
      <x:c r="F2582" s="153" t="n">
        <x:v>19.2</x:v>
      </x:c>
      <x:c r="G2582" s="153" t="n">
        <x:v>4.33</x:v>
      </x:c>
    </x:row>
    <x:row r="2583">
      <x:c r="A2583" s="155" t="n">
        <x:v>44951</x:v>
      </x:c>
      <x:c r="B2583" s="153" t="n">
        <x:v>3.46</x:v>
      </x:c>
      <x:c r="C2583" s="153" t="n">
        <x:v>1.17</x:v>
      </x:c>
      <x:c r="D2583" s="153" t="n">
        <x:v>2.29</x:v>
      </x:c>
      <x:c r="E2583" s="153" t="n">
        <x:v>118.9686</x:v>
      </x:c>
      <x:c r="F2583" s="153" t="n">
        <x:v>19.08</x:v>
      </x:c>
      <x:c r="G2583" s="153" t="n">
        <x:v>4.33</x:v>
      </x:c>
    </x:row>
    <x:row r="2584">
      <x:c r="A2584" s="155" t="n">
        <x:v>44952</x:v>
      </x:c>
      <x:c r="B2584" s="153" t="n">
        <x:v>3.49</x:v>
      </x:c>
      <x:c r="C2584" s="153" t="n">
        <x:v>1.16</x:v>
      </x:c>
      <x:c r="D2584" s="153" t="n">
        <x:v>2.33</x:v>
      </x:c>
      <x:c r="E2584" s="153" t="n">
        <x:v>119.021</x:v>
      </x:c>
      <x:c r="F2584" s="153" t="n">
        <x:v>18.73</x:v>
      </x:c>
      <x:c r="G2584" s="153" t="n">
        <x:v>4.33</x:v>
      </x:c>
    </x:row>
    <x:row r="2585">
      <x:c r="A2585" s="155" t="n">
        <x:v>44953</x:v>
      </x:c>
      <x:c r="B2585" s="153" t="n">
        <x:v>3.52</x:v>
      </x:c>
      <x:c r="C2585" s="153" t="n">
        <x:v>1.19</x:v>
      </x:c>
      <x:c r="D2585" s="153" t="n">
        <x:v>2.33</x:v>
      </x:c>
      <x:c r="E2585" s="153" t="n">
        <x:v>118.9223</x:v>
      </x:c>
      <x:c r="F2585" s="153" t="n">
        <x:v>18.51</x:v>
      </x:c>
      <x:c r="G2585" s="153" t="n">
        <x:v>4.33</x:v>
      </x:c>
    </x:row>
    <x:row r="2586">
      <x:c r="A2586" s="155" t="n">
        <x:v>44954</x:v>
      </x:c>
      <x:c r="B2586" s="153"/>
      <x:c r="C2586" s="153"/>
      <x:c r="D2586" s="153"/>
      <x:c r="E2586" s="153"/>
      <x:c r="F2586" s="153"/>
      <x:c r="G2586" s="153" t="n">
        <x:v>4.33</x:v>
      </x:c>
    </x:row>
    <x:row r="2587">
      <x:c r="A2587" s="155" t="n">
        <x:v>44955</x:v>
      </x:c>
      <x:c r="B2587" s="153"/>
      <x:c r="C2587" s="153"/>
      <x:c r="D2587" s="153"/>
      <x:c r="E2587" s="153"/>
      <x:c r="F2587" s="153"/>
      <x:c r="G2587" s="153" t="n">
        <x:v>4.33</x:v>
      </x:c>
    </x:row>
    <x:row r="2588">
      <x:c r="A2588" s="155" t="n">
        <x:v>44956</x:v>
      </x:c>
      <x:c r="B2588" s="153" t="n">
        <x:v>3.55</x:v>
      </x:c>
      <x:c r="C2588" s="153" t="n">
        <x:v>1.26</x:v>
      </x:c>
      <x:c r="D2588" s="153" t="n">
        <x:v>2.29</x:v>
      </x:c>
      <x:c r="E2588" s="153" t="n">
        <x:v>118.8953</x:v>
      </x:c>
      <x:c r="F2588" s="153" t="n">
        <x:v>19.94</x:v>
      </x:c>
      <x:c r="G2588" s="153" t="n">
        <x:v>4.33</x:v>
      </x:c>
    </x:row>
    <x:row r="2589">
      <x:c r="A2589" s="155" t="n">
        <x:v>44957</x:v>
      </x:c>
      <x:c r="B2589" s="153" t="n">
        <x:v>3.52</x:v>
      </x:c>
      <x:c r="C2589" s="153" t="n">
        <x:v>1.28</x:v>
      </x:c>
      <x:c r="D2589" s="153" t="n">
        <x:v>2.24</x:v>
      </x:c>
      <x:c r="E2589" s="153" t="n">
        <x:v>118.9802</x:v>
      </x:c>
      <x:c r="F2589" s="153" t="n">
        <x:v>19.4</x:v>
      </x:c>
      <x:c r="G2589" s="153" t="n">
        <x:v>4.33</x:v>
      </x:c>
    </x:row>
    <x:row r="2590">
      <x:c r="A2590" s="155" t="n">
        <x:v>44958</x:v>
      </x:c>
      <x:c r="B2590" s="153" t="n">
        <x:v>3.39</x:v>
      </x:c>
      <x:c r="C2590" s="153" t="n">
        <x:v>1.14</x:v>
      </x:c>
      <x:c r="D2590" s="153" t="n">
        <x:v>2.25</x:v>
      </x:c>
      <x:c r="E2590" s="153" t="n">
        <x:v>118.6259</x:v>
      </x:c>
      <x:c r="F2590" s="153" t="n">
        <x:v>17.87</x:v>
      </x:c>
      <x:c r="G2590" s="153" t="n">
        <x:v>4.33</x:v>
      </x:c>
    </x:row>
    <x:row r="2591">
      <x:c r="A2591" s="155" t="n">
        <x:v>44959</x:v>
      </x:c>
      <x:c r="B2591" s="153" t="n">
        <x:v>3.4</x:v>
      </x:c>
      <x:c r="C2591" s="153" t="n">
        <x:v>1.18</x:v>
      </x:c>
      <x:c r="D2591" s="153" t="n">
        <x:v>2.22</x:v>
      </x:c>
      <x:c r="E2591" s="153" t="n">
        <x:v>118.3421</x:v>
      </x:c>
      <x:c r="F2591" s="153" t="n">
        <x:v>18.73</x:v>
      </x:c>
      <x:c r="G2591" s="153" t="n">
        <x:v>4.58</x:v>
      </x:c>
    </x:row>
    <x:row r="2592">
      <x:c r="A2592" s="155" t="n">
        <x:v>44960</x:v>
      </x:c>
      <x:c r="B2592" s="153" t="n">
        <x:v>3.53</x:v>
      </x:c>
      <x:c r="C2592" s="153" t="n">
        <x:v>1.31</x:v>
      </x:c>
      <x:c r="D2592" s="153" t="n">
        <x:v>2.22</x:v>
      </x:c>
      <x:c r="E2592" s="153" t="n">
        <x:v>119.5095</x:v>
      </x:c>
      <x:c r="F2592" s="153" t="n">
        <x:v>18.33</x:v>
      </x:c>
      <x:c r="G2592" s="153" t="n">
        <x:v>4.58</x:v>
      </x:c>
    </x:row>
    <x:row r="2593">
      <x:c r="A2593" s="155" t="n">
        <x:v>44961</x:v>
      </x:c>
      <x:c r="B2593" s="153"/>
      <x:c r="C2593" s="153"/>
      <x:c r="D2593" s="153"/>
      <x:c r="E2593" s="153"/>
      <x:c r="F2593" s="153"/>
      <x:c r="G2593" s="153" t="n">
        <x:v>4.58</x:v>
      </x:c>
    </x:row>
    <x:row r="2594">
      <x:c r="A2594" s="155" t="n">
        <x:v>44962</x:v>
      </x:c>
      <x:c r="B2594" s="153"/>
      <x:c r="C2594" s="153"/>
      <x:c r="D2594" s="153"/>
      <x:c r="E2594" s="153"/>
      <x:c r="F2594" s="153"/>
      <x:c r="G2594" s="153" t="n">
        <x:v>4.58</x:v>
      </x:c>
    </x:row>
    <x:row r="2595">
      <x:c r="A2595" s="155" t="n">
        <x:v>44963</x:v>
      </x:c>
      <x:c r="B2595" s="153" t="n">
        <x:v>3.63</x:v>
      </x:c>
      <x:c r="C2595" s="153" t="n">
        <x:v>1.38</x:v>
      </x:c>
      <x:c r="D2595" s="153" t="n">
        <x:v>2.25</x:v>
      </x:c>
      <x:c r="E2595" s="153" t="n">
        <x:v>120.541</x:v>
      </x:c>
      <x:c r="F2595" s="153" t="n">
        <x:v>19.43</x:v>
      </x:c>
      <x:c r="G2595" s="153" t="n">
        <x:v>4.58</x:v>
      </x:c>
    </x:row>
    <x:row r="2596">
      <x:c r="A2596" s="155" t="n">
        <x:v>44964</x:v>
      </x:c>
      <x:c r="B2596" s="153" t="n">
        <x:v>3.67</x:v>
      </x:c>
      <x:c r="C2596" s="153" t="n">
        <x:v>1.36</x:v>
      </x:c>
      <x:c r="D2596" s="153" t="n">
        <x:v>2.31</x:v>
      </x:c>
      <x:c r="E2596" s="153" t="n">
        <x:v>120.3475</x:v>
      </x:c>
      <x:c r="F2596" s="153" t="n">
        <x:v>18.66</x:v>
      </x:c>
      <x:c r="G2596" s="153" t="n">
        <x:v>4.58</x:v>
      </x:c>
    </x:row>
    <x:row r="2597">
      <x:c r="A2597" s="155" t="n">
        <x:v>44965</x:v>
      </x:c>
      <x:c r="B2597" s="153" t="n">
        <x:v>3.63</x:v>
      </x:c>
      <x:c r="C2597" s="153" t="n">
        <x:v>1.29</x:v>
      </x:c>
      <x:c r="D2597" s="153" t="n">
        <x:v>2.34</x:v>
      </x:c>
      <x:c r="E2597" s="153" t="n">
        <x:v>120.1436</x:v>
      </x:c>
      <x:c r="F2597" s="153" t="n">
        <x:v>19.63</x:v>
      </x:c>
      <x:c r="G2597" s="153" t="n">
        <x:v>4.58</x:v>
      </x:c>
    </x:row>
    <x:row r="2598">
      <x:c r="A2598" s="155" t="n">
        <x:v>44966</x:v>
      </x:c>
      <x:c r="B2598" s="153" t="n">
        <x:v>3.67</x:v>
      </x:c>
      <x:c r="C2598" s="153" t="n">
        <x:v>1.34</x:v>
      </x:c>
      <x:c r="D2598" s="153" t="n">
        <x:v>2.33</x:v>
      </x:c>
      <x:c r="E2598" s="153" t="n">
        <x:v>119.9781</x:v>
      </x:c>
      <x:c r="F2598" s="153" t="n">
        <x:v>20.71</x:v>
      </x:c>
      <x:c r="G2598" s="153" t="n">
        <x:v>4.57</x:v>
      </x:c>
    </x:row>
    <x:row r="2599">
      <x:c r="A2599" s="155" t="n">
        <x:v>44967</x:v>
      </x:c>
      <x:c r="B2599" s="153" t="n">
        <x:v>3.74</x:v>
      </x:c>
      <x:c r="C2599" s="153" t="n">
        <x:v>1.41</x:v>
      </x:c>
      <x:c r="D2599" s="153" t="n">
        <x:v>2.33</x:v>
      </x:c>
      <x:c r="E2599" s="153" t="n">
        <x:v>120.1419</x:v>
      </x:c>
      <x:c r="F2599" s="153" t="n">
        <x:v>20.53</x:v>
      </x:c>
      <x:c r="G2599" s="153" t="n">
        <x:v>4.58</x:v>
      </x:c>
    </x:row>
    <x:row r="2600">
      <x:c r="A2600" s="155" t="n">
        <x:v>44968</x:v>
      </x:c>
      <x:c r="B2600" s="153"/>
      <x:c r="C2600" s="153"/>
      <x:c r="D2600" s="153"/>
      <x:c r="E2600" s="153"/>
      <x:c r="F2600" s="153"/>
      <x:c r="G2600" s="153" t="n">
        <x:v>4.58</x:v>
      </x:c>
    </x:row>
    <x:row r="2601">
      <x:c r="A2601" s="155" t="n">
        <x:v>44969</x:v>
      </x:c>
      <x:c r="B2601" s="153"/>
      <x:c r="C2601" s="153"/>
      <x:c r="D2601" s="153"/>
      <x:c r="E2601" s="153"/>
      <x:c r="F2601" s="153"/>
      <x:c r="G2601" s="153" t="n">
        <x:v>4.58</x:v>
      </x:c>
    </x:row>
    <x:row r="2602">
      <x:c r="A2602" s="155" t="n">
        <x:v>44970</x:v>
      </x:c>
      <x:c r="B2602" s="153" t="n">
        <x:v>3.72</x:v>
      </x:c>
      <x:c r="C2602" s="153" t="n">
        <x:v>1.41</x:v>
      </x:c>
      <x:c r="D2602" s="153" t="n">
        <x:v>2.31</x:v>
      </x:c>
      <x:c r="E2602" s="153" t="n">
        <x:v>119.9828</x:v>
      </x:c>
      <x:c r="F2602" s="153" t="n">
        <x:v>20.34</x:v>
      </x:c>
      <x:c r="G2602" s="153" t="n">
        <x:v>4.58</x:v>
      </x:c>
    </x:row>
    <x:row r="2603">
      <x:c r="A2603" s="155" t="n">
        <x:v>44971</x:v>
      </x:c>
      <x:c r="B2603" s="153" t="n">
        <x:v>3.77</x:v>
      </x:c>
      <x:c r="C2603" s="153" t="n">
        <x:v>1.46</x:v>
      </x:c>
      <x:c r="D2603" s="153" t="n">
        <x:v>2.31</x:v>
      </x:c>
      <x:c r="E2603" s="153" t="n">
        <x:v>119.9229</x:v>
      </x:c>
      <x:c r="F2603" s="153" t="n">
        <x:v>18.91</x:v>
      </x:c>
      <x:c r="G2603" s="153" t="n">
        <x:v>4.58</x:v>
      </x:c>
    </x:row>
    <x:row r="2604">
      <x:c r="A2604" s="155" t="n">
        <x:v>44972</x:v>
      </x:c>
      <x:c r="B2604" s="153" t="n">
        <x:v>3.81</x:v>
      </x:c>
      <x:c r="C2604" s="153" t="n">
        <x:v>1.46</x:v>
      </x:c>
      <x:c r="D2604" s="153" t="n">
        <x:v>2.35</x:v>
      </x:c>
      <x:c r="E2604" s="153" t="n">
        <x:v>120.4557</x:v>
      </x:c>
      <x:c r="F2604" s="153" t="n">
        <x:v>18.23</x:v>
      </x:c>
      <x:c r="G2604" s="153" t="n">
        <x:v>4.58</x:v>
      </x:c>
    </x:row>
    <x:row r="2605">
      <x:c r="A2605" s="155" t="n">
        <x:v>44973</x:v>
      </x:c>
      <x:c r="B2605" s="153" t="n">
        <x:v>3.86</x:v>
      </x:c>
      <x:c r="C2605" s="153" t="n">
        <x:v>1.49</x:v>
      </x:c>
      <x:c r="D2605" s="153" t="n">
        <x:v>2.37</x:v>
      </x:c>
      <x:c r="E2605" s="153" t="n">
        <x:v>120.4651</x:v>
      </x:c>
      <x:c r="F2605" s="153" t="n">
        <x:v>20.17</x:v>
      </x:c>
      <x:c r="G2605" s="153" t="n">
        <x:v>4.58</x:v>
      </x:c>
    </x:row>
    <x:row r="2606">
      <x:c r="A2606" s="155" t="n">
        <x:v>44974</x:v>
      </x:c>
      <x:c r="B2606" s="153" t="n">
        <x:v>3.82</x:v>
      </x:c>
      <x:c r="C2606" s="153" t="n">
        <x:v>1.46</x:v>
      </x:c>
      <x:c r="D2606" s="153" t="n">
        <x:v>2.36</x:v>
      </x:c>
      <x:c r="E2606" s="153" t="n">
        <x:v>120.5526</x:v>
      </x:c>
      <x:c r="F2606" s="153" t="n">
        <x:v>20.02</x:v>
      </x:c>
      <x:c r="G2606" s="153" t="n">
        <x:v>4.58</x:v>
      </x:c>
    </x:row>
    <x:row r="2607">
      <x:c r="A2607" s="155" t="n">
        <x:v>44975</x:v>
      </x:c>
      <x:c r="B2607" s="153"/>
      <x:c r="C2607" s="153"/>
      <x:c r="D2607" s="153"/>
      <x:c r="E2607" s="153"/>
      <x:c r="F2607" s="153"/>
      <x:c r="G2607" s="153" t="n">
        <x:v>4.58</x:v>
      </x:c>
    </x:row>
    <x:row r="2608">
      <x:c r="A2608" s="155" t="n">
        <x:v>44976</x:v>
      </x:c>
      <x:c r="B2608" s="153"/>
      <x:c r="C2608" s="153"/>
      <x:c r="D2608" s="153"/>
      <x:c r="E2608" s="153"/>
      <x:c r="F2608" s="153"/>
      <x:c r="G2608" s="153" t="n">
        <x:v>4.58</x:v>
      </x:c>
    </x:row>
    <x:row r="2609">
      <x:c r="A2609" s="155" t="n">
        <x:v>44977</x:v>
      </x:c>
      <x:c r="B2609" s="153"/>
      <x:c r="C2609" s="153"/>
      <x:c r="D2609" s="153"/>
      <x:c r="E2609" s="153"/>
      <x:c r="F2609" s="153" t="n">
        <x:v>21.23</x:v>
      </x:c>
      <x:c r="G2609" s="153" t="n">
        <x:v>4.58</x:v>
      </x:c>
    </x:row>
    <x:row r="2610">
      <x:c r="A2610" s="155" t="n">
        <x:v>44978</x:v>
      </x:c>
      <x:c r="B2610" s="153" t="n">
        <x:v>3.95</x:v>
      </x:c>
      <x:c r="C2610" s="153" t="n">
        <x:v>1.53</x:v>
      </x:c>
      <x:c r="D2610" s="153" t="n">
        <x:v>2.42</x:v>
      </x:c>
      <x:c r="E2610" s="153" t="n">
        <x:v>120.6256</x:v>
      </x:c>
      <x:c r="F2610" s="153" t="n">
        <x:v>22.87</x:v>
      </x:c>
      <x:c r="G2610" s="153" t="n">
        <x:v>4.58</x:v>
      </x:c>
    </x:row>
    <x:row r="2611">
      <x:c r="A2611" s="155" t="n">
        <x:v>44979</x:v>
      </x:c>
      <x:c r="B2611" s="153" t="n">
        <x:v>3.93</x:v>
      </x:c>
      <x:c r="C2611" s="153" t="n">
        <x:v>1.52</x:v>
      </x:c>
      <x:c r="D2611" s="153" t="n">
        <x:v>2.41</x:v>
      </x:c>
      <x:c r="E2611" s="153" t="n">
        <x:v>120.8389</x:v>
      </x:c>
      <x:c r="F2611" s="153" t="n">
        <x:v>22.29</x:v>
      </x:c>
      <x:c r="G2611" s="153" t="n">
        <x:v>4.58</x:v>
      </x:c>
    </x:row>
    <x:row r="2612">
      <x:c r="A2612" s="155" t="n">
        <x:v>44980</x:v>
      </x:c>
      <x:c r="B2612" s="153" t="n">
        <x:v>3.88</x:v>
      </x:c>
      <x:c r="C2612" s="153" t="n">
        <x:v>1.49</x:v>
      </x:c>
      <x:c r="D2612" s="153" t="n">
        <x:v>2.39</x:v>
      </x:c>
      <x:c r="E2612" s="153" t="n">
        <x:v>121.0896</x:v>
      </x:c>
      <x:c r="F2612" s="153" t="n">
        <x:v>21.14</x:v>
      </x:c>
      <x:c r="G2612" s="153" t="n">
        <x:v>4.58</x:v>
      </x:c>
    </x:row>
    <x:row r="2613">
      <x:c r="A2613" s="155" t="n">
        <x:v>44981</x:v>
      </x:c>
      <x:c r="B2613" s="153" t="n">
        <x:v>3.95</x:v>
      </x:c>
      <x:c r="C2613" s="153" t="n">
        <x:v>1.57</x:v>
      </x:c>
      <x:c r="D2613" s="153" t="n">
        <x:v>2.38</x:v>
      </x:c>
      <x:c r="E2613" s="153" t="n">
        <x:v>121.5681</x:v>
      </x:c>
      <x:c r="F2613" s="153" t="n">
        <x:v>21.67</x:v>
      </x:c>
      <x:c r="G2613" s="153" t="n">
        <x:v>4.58</x:v>
      </x:c>
    </x:row>
    <x:row r="2614">
      <x:c r="A2614" s="155" t="n">
        <x:v>44982</x:v>
      </x:c>
      <x:c r="B2614" s="153"/>
      <x:c r="C2614" s="153"/>
      <x:c r="D2614" s="153"/>
      <x:c r="E2614" s="153"/>
      <x:c r="F2614" s="153"/>
      <x:c r="G2614" s="153" t="n">
        <x:v>4.58</x:v>
      </x:c>
    </x:row>
    <x:row r="2615">
      <x:c r="A2615" s="155" t="n">
        <x:v>44983</x:v>
      </x:c>
      <x:c r="B2615" s="153"/>
      <x:c r="C2615" s="153"/>
      <x:c r="D2615" s="153"/>
      <x:c r="E2615" s="153"/>
      <x:c r="F2615" s="153"/>
      <x:c r="G2615" s="153" t="n">
        <x:v>4.58</x:v>
      </x:c>
    </x:row>
    <x:row r="2616">
      <x:c r="A2616" s="155" t="n">
        <x:v>44984</x:v>
      </x:c>
      <x:c r="B2616" s="153" t="n">
        <x:v>3.92</x:v>
      </x:c>
      <x:c r="C2616" s="153" t="n">
        <x:v>1.56</x:v>
      </x:c>
      <x:c r="D2616" s="153" t="n">
        <x:v>2.36</x:v>
      </x:c>
      <x:c r="E2616" s="153" t="n">
        <x:v>121.3941</x:v>
      </x:c>
      <x:c r="F2616" s="153" t="n">
        <x:v>20.95</x:v>
      </x:c>
      <x:c r="G2616" s="153" t="n">
        <x:v>4.57</x:v>
      </x:c>
    </x:row>
    <x:row r="2617">
      <x:c r="A2617" s="155" t="n">
        <x:v>44985</x:v>
      </x:c>
      <x:c r="B2617" s="153" t="n">
        <x:v>3.92</x:v>
      </x:c>
      <x:c r="C2617" s="153" t="n">
        <x:v>1.49</x:v>
      </x:c>
      <x:c r="D2617" s="153" t="n">
        <x:v>2.43</x:v>
      </x:c>
      <x:c r="E2617" s="153" t="n">
        <x:v>121.3341</x:v>
      </x:c>
      <x:c r="F2617" s="153" t="n">
        <x:v>20.7</x:v>
      </x:c>
      <x:c r="G2617" s="153" t="n">
        <x:v>4.57</x:v>
      </x:c>
    </x:row>
    <x:row r="2618">
      <x:c r="A2618" s="155" t="n">
        <x:v>44986</x:v>
      </x:c>
      <x:c r="B2618" s="153" t="n">
        <x:v>4.01</x:v>
      </x:c>
      <x:c r="C2618" s="153" t="n">
        <x:v>1.57</x:v>
      </x:c>
      <x:c r="D2618" s="153" t="n">
        <x:v>2.44</x:v>
      </x:c>
      <x:c r="E2618" s="153" t="n">
        <x:v>120.6347</x:v>
      </x:c>
      <x:c r="F2618" s="153" t="n">
        <x:v>20.58</x:v>
      </x:c>
      <x:c r="G2618" s="153" t="n">
        <x:v>4.58</x:v>
      </x:c>
    </x:row>
    <x:row r="2619">
      <x:c r="A2619" s="155" t="n">
        <x:v>44987</x:v>
      </x:c>
      <x:c r="B2619" s="153" t="n">
        <x:v>4.08</x:v>
      </x:c>
      <x:c r="C2619" s="153" t="n">
        <x:v>1.6</x:v>
      </x:c>
      <x:c r="D2619" s="153" t="n">
        <x:v>2.48</x:v>
      </x:c>
      <x:c r="E2619" s="153" t="n">
        <x:v>121.1302</x:v>
      </x:c>
      <x:c r="F2619" s="153" t="n">
        <x:v>19.59</x:v>
      </x:c>
      <x:c r="G2619" s="153" t="n">
        <x:v>4.57</x:v>
      </x:c>
    </x:row>
    <x:row r="2620">
      <x:c r="A2620" s="155" t="n">
        <x:v>44988</x:v>
      </x:c>
      <x:c r="B2620" s="153" t="n">
        <x:v>3.97</x:v>
      </x:c>
      <x:c r="C2620" s="153" t="n">
        <x:v>1.45</x:v>
      </x:c>
      <x:c r="D2620" s="153" t="n">
        <x:v>2.52</x:v>
      </x:c>
      <x:c r="E2620" s="153" t="n">
        <x:v>120.7742</x:v>
      </x:c>
      <x:c r="F2620" s="153" t="n">
        <x:v>18.49</x:v>
      </x:c>
      <x:c r="G2620" s="153" t="n">
        <x:v>4.57</x:v>
      </x:c>
    </x:row>
    <x:row r="2621">
      <x:c r="A2621" s="155" t="n">
        <x:v>44989</x:v>
      </x:c>
      <x:c r="B2621" s="153"/>
      <x:c r="C2621" s="153"/>
      <x:c r="D2621" s="153"/>
      <x:c r="E2621" s="153"/>
      <x:c r="F2621" s="153"/>
      <x:c r="G2621" s="153" t="n">
        <x:v>4.57</x:v>
      </x:c>
    </x:row>
    <x:row r="2622">
      <x:c r="A2622" s="155" t="n">
        <x:v>44990</x:v>
      </x:c>
      <x:c r="B2622" s="153"/>
      <x:c r="C2622" s="153"/>
      <x:c r="D2622" s="153"/>
      <x:c r="E2622" s="153"/>
      <x:c r="F2622" s="153"/>
      <x:c r="G2622" s="153" t="n">
        <x:v>4.57</x:v>
      </x:c>
    </x:row>
    <x:row r="2623">
      <x:c r="A2623" s="155" t="n">
        <x:v>44991</x:v>
      </x:c>
      <x:c r="B2623" s="153" t="n">
        <x:v>3.98</x:v>
      </x:c>
      <x:c r="C2623" s="153" t="n">
        <x:v>1.49</x:v>
      </x:c>
      <x:c r="D2623" s="153" t="n">
        <x:v>2.49</x:v>
      </x:c>
      <x:c r="E2623" s="153" t="n">
        <x:v>120.485</x:v>
      </x:c>
      <x:c r="F2623" s="153" t="n">
        <x:v>18.61</x:v>
      </x:c>
      <x:c r="G2623" s="153" t="n">
        <x:v>4.57</x:v>
      </x:c>
    </x:row>
    <x:row r="2624">
      <x:c r="A2624" s="155" t="n">
        <x:v>44992</x:v>
      </x:c>
      <x:c r="B2624" s="153" t="n">
        <x:v>3.97</x:v>
      </x:c>
      <x:c r="C2624" s="153" t="n">
        <x:v>1.59</x:v>
      </x:c>
      <x:c r="D2624" s="153" t="n">
        <x:v>2.38</x:v>
      </x:c>
      <x:c r="E2624" s="153" t="n">
        <x:v>121.4623</x:v>
      </x:c>
      <x:c r="F2624" s="153" t="n">
        <x:v>19.59</x:v>
      </x:c>
      <x:c r="G2624" s="153" t="n">
        <x:v>4.57</x:v>
      </x:c>
    </x:row>
    <x:row r="2625">
      <x:c r="A2625" s="155" t="n">
        <x:v>44993</x:v>
      </x:c>
      <x:c r="B2625" s="153" t="n">
        <x:v>3.98</x:v>
      </x:c>
      <x:c r="C2625" s="153" t="n">
        <x:v>1.66</x:v>
      </x:c>
      <x:c r="D2625" s="153" t="n">
        <x:v>2.32</x:v>
      </x:c>
      <x:c r="E2625" s="153" t="n">
        <x:v>121.4511</x:v>
      </x:c>
      <x:c r="F2625" s="153" t="n">
        <x:v>19.11</x:v>
      </x:c>
      <x:c r="G2625" s="153" t="n">
        <x:v>4.57</x:v>
      </x:c>
    </x:row>
    <x:row r="2626">
      <x:c r="A2626" s="155" t="n">
        <x:v>44994</x:v>
      </x:c>
      <x:c r="B2626" s="153" t="n">
        <x:v>3.93</x:v>
      </x:c>
      <x:c r="C2626" s="153" t="n">
        <x:v>1.63</x:v>
      </x:c>
      <x:c r="D2626" s="153" t="n">
        <x:v>2.3</x:v>
      </x:c>
      <x:c r="E2626" s="153" t="n">
        <x:v>121.4458</x:v>
      </x:c>
      <x:c r="F2626" s="153" t="n">
        <x:v>22.61</x:v>
      </x:c>
      <x:c r="G2626" s="153" t="n">
        <x:v>4.57</x:v>
      </x:c>
    </x:row>
    <x:row r="2627">
      <x:c r="A2627" s="155" t="n">
        <x:v>44995</x:v>
      </x:c>
      <x:c r="B2627" s="153" t="n">
        <x:v>3.7</x:v>
      </x:c>
      <x:c r="C2627" s="153" t="n">
        <x:v>1.44</x:v>
      </x:c>
      <x:c r="D2627" s="153" t="n">
        <x:v>2.26</x:v>
      </x:c>
      <x:c r="E2627" s="153" t="n">
        <x:v>121.2421</x:v>
      </x:c>
      <x:c r="F2627" s="153" t="n">
        <x:v>24.8</x:v>
      </x:c>
      <x:c r="G2627" s="153" t="n">
        <x:v>4.57</x:v>
      </x:c>
    </x:row>
    <x:row r="2628">
      <x:c r="A2628" s="155" t="n">
        <x:v>44996</x:v>
      </x:c>
      <x:c r="B2628" s="153"/>
      <x:c r="C2628" s="153"/>
      <x:c r="D2628" s="153"/>
      <x:c r="E2628" s="153"/>
      <x:c r="F2628" s="153"/>
      <x:c r="G2628" s="153" t="n">
        <x:v>4.57</x:v>
      </x:c>
    </x:row>
    <x:row r="2629">
      <x:c r="A2629" s="155" t="n">
        <x:v>44997</x:v>
      </x:c>
      <x:c r="B2629" s="153"/>
      <x:c r="C2629" s="153"/>
      <x:c r="D2629" s="153"/>
      <x:c r="E2629" s="153"/>
      <x:c r="F2629" s="153"/>
      <x:c r="G2629" s="153" t="n">
        <x:v>4.57</x:v>
      </x:c>
    </x:row>
    <x:row r="2630">
      <x:c r="A2630" s="155" t="n">
        <x:v>44998</x:v>
      </x:c>
      <x:c r="B2630" s="153" t="n">
        <x:v>3.55</x:v>
      </x:c>
      <x:c r="C2630" s="153" t="n">
        <x:v>1.31</x:v>
      </x:c>
      <x:c r="D2630" s="153" t="n">
        <x:v>2.24</x:v>
      </x:c>
      <x:c r="E2630" s="153" t="n">
        <x:v>120.8897</x:v>
      </x:c>
      <x:c r="F2630" s="153" t="n">
        <x:v>26.52</x:v>
      </x:c>
      <x:c r="G2630" s="153" t="n">
        <x:v>4.58</x:v>
      </x:c>
    </x:row>
    <x:row r="2631">
      <x:c r="A2631" s="155" t="n">
        <x:v>44999</x:v>
      </x:c>
      <x:c r="B2631" s="153" t="n">
        <x:v>3.64</x:v>
      </x:c>
      <x:c r="C2631" s="153" t="n">
        <x:v>1.33</x:v>
      </x:c>
      <x:c r="D2631" s="153" t="n">
        <x:v>2.31</x:v>
      </x:c>
      <x:c r="E2631" s="153" t="n">
        <x:v>121.0141</x:v>
      </x:c>
      <x:c r="F2631" s="153" t="n">
        <x:v>23.73</x:v>
      </x:c>
      <x:c r="G2631" s="153" t="n">
        <x:v>4.58</x:v>
      </x:c>
    </x:row>
    <x:row r="2632">
      <x:c r="A2632" s="155" t="n">
        <x:v>45000</x:v>
      </x:c>
      <x:c r="B2632" s="153" t="n">
        <x:v>3.51</x:v>
      </x:c>
      <x:c r="C2632" s="153" t="n">
        <x:v>1.22</x:v>
      </x:c>
      <x:c r="D2632" s="153" t="n">
        <x:v>2.29</x:v>
      </x:c>
      <x:c r="E2632" s="153" t="n">
        <x:v>122.1079</x:v>
      </x:c>
      <x:c r="F2632" s="153" t="n">
        <x:v>26.14</x:v>
      </x:c>
      <x:c r="G2632" s="153" t="n">
        <x:v>4.58</x:v>
      </x:c>
    </x:row>
    <x:row r="2633">
      <x:c r="A2633" s="155" t="n">
        <x:v>45001</x:v>
      </x:c>
      <x:c r="B2633" s="153" t="n">
        <x:v>3.56</x:v>
      </x:c>
      <x:c r="C2633" s="153" t="n">
        <x:v>1.34</x:v>
      </x:c>
      <x:c r="D2633" s="153" t="n">
        <x:v>2.22</x:v>
      </x:c>
      <x:c r="E2633" s="153" t="n">
        <x:v>121.7221</x:v>
      </x:c>
      <x:c r="F2633" s="153" t="n">
        <x:v>22.99</x:v>
      </x:c>
      <x:c r="G2633" s="153" t="n">
        <x:v>4.58</x:v>
      </x:c>
    </x:row>
    <x:row r="2634">
      <x:c r="A2634" s="155" t="n">
        <x:v>45002</x:v>
      </x:c>
      <x:c r="B2634" s="153" t="n">
        <x:v>3.39</x:v>
      </x:c>
      <x:c r="C2634" s="153" t="n">
        <x:v>1.29</x:v>
      </x:c>
      <x:c r="D2634" s="153" t="n">
        <x:v>2.1</x:v>
      </x:c>
      <x:c r="E2634" s="153" t="n">
        <x:v>121.5643</x:v>
      </x:c>
      <x:c r="F2634" s="153" t="n">
        <x:v>25.51</x:v>
      </x:c>
      <x:c r="G2634" s="153" t="n">
        <x:v>4.58</x:v>
      </x:c>
    </x:row>
    <x:row r="2635">
      <x:c r="A2635" s="155" t="n">
        <x:v>45003</x:v>
      </x:c>
      <x:c r="B2635" s="153"/>
      <x:c r="C2635" s="153"/>
      <x:c r="D2635" s="153"/>
      <x:c r="E2635" s="153"/>
      <x:c r="F2635" s="153"/>
      <x:c r="G2635" s="153" t="n">
        <x:v>4.58</x:v>
      </x:c>
    </x:row>
    <x:row r="2636">
      <x:c r="A2636" s="155" t="n">
        <x:v>45004</x:v>
      </x:c>
      <x:c r="B2636" s="153"/>
      <x:c r="C2636" s="153"/>
      <x:c r="D2636" s="153"/>
      <x:c r="E2636" s="153"/>
      <x:c r="F2636" s="153"/>
      <x:c r="G2636" s="153" t="n">
        <x:v>4.58</x:v>
      </x:c>
    </x:row>
    <x:row r="2637">
      <x:c r="A2637" s="155" t="n">
        <x:v>45005</x:v>
      </x:c>
      <x:c r="B2637" s="153" t="n">
        <x:v>3.47</x:v>
      </x:c>
      <x:c r="C2637" s="153" t="n">
        <x:v>1.33</x:v>
      </x:c>
      <x:c r="D2637" s="153" t="n">
        <x:v>2.14</x:v>
      </x:c>
      <x:c r="E2637" s="153" t="n">
        <x:v>121.0141</x:v>
      </x:c>
      <x:c r="F2637" s="153" t="n">
        <x:v>24.15</x:v>
      </x:c>
      <x:c r="G2637" s="153" t="n">
        <x:v>4.58</x:v>
      </x:c>
    </x:row>
    <x:row r="2638">
      <x:c r="A2638" s="155" t="n">
        <x:v>45006</x:v>
      </x:c>
      <x:c r="B2638" s="153" t="n">
        <x:v>3.59</x:v>
      </x:c>
      <x:c r="C2638" s="153" t="n">
        <x:v>1.36</x:v>
      </x:c>
      <x:c r="D2638" s="153" t="n">
        <x:v>2.23</x:v>
      </x:c>
      <x:c r="E2638" s="153" t="n">
        <x:v>120.8958</x:v>
      </x:c>
      <x:c r="F2638" s="153" t="n">
        <x:v>21.38</x:v>
      </x:c>
      <x:c r="G2638" s="153" t="n">
        <x:v>4.58</x:v>
      </x:c>
    </x:row>
    <x:row r="2639">
      <x:c r="A2639" s="155" t="n">
        <x:v>45007</x:v>
      </x:c>
      <x:c r="B2639" s="153" t="n">
        <x:v>3.48</x:v>
      </x:c>
      <x:c r="C2639" s="153" t="n">
        <x:v>1.2</x:v>
      </x:c>
      <x:c r="D2639" s="153" t="n">
        <x:v>2.28</x:v>
      </x:c>
      <x:c r="E2639" s="153" t="n">
        <x:v>120.6217</x:v>
      </x:c>
      <x:c r="F2639" s="153" t="n">
        <x:v>22.26</x:v>
      </x:c>
      <x:c r="G2639" s="153" t="n">
        <x:v>4.58</x:v>
      </x:c>
    </x:row>
    <x:row r="2640">
      <x:c r="A2640" s="155" t="n">
        <x:v>45008</x:v>
      </x:c>
      <x:c r="B2640" s="153" t="n">
        <x:v>3.38</x:v>
      </x:c>
      <x:c r="C2640" s="153" t="n">
        <x:v>1.19</x:v>
      </x:c>
      <x:c r="D2640" s="153" t="n">
        <x:v>2.19</x:v>
      </x:c>
      <x:c r="E2640" s="153" t="n">
        <x:v>119.7587</x:v>
      </x:c>
      <x:c r="F2640" s="153" t="n">
        <x:v>22.61</x:v>
      </x:c>
      <x:c r="G2640" s="153" t="n">
        <x:v>4.83</x:v>
      </x:c>
    </x:row>
    <x:row r="2641">
      <x:c r="A2641" s="155" t="n">
        <x:v>45009</x:v>
      </x:c>
      <x:c r="B2641" s="153" t="n">
        <x:v>3.38</x:v>
      </x:c>
      <x:c r="C2641" s="153" t="n">
        <x:v>1.16</x:v>
      </x:c>
      <x:c r="D2641" s="153" t="n">
        <x:v>2.22</x:v>
      </x:c>
      <x:c r="E2641" s="153" t="n">
        <x:v>120.4598</x:v>
      </x:c>
      <x:c r="F2641" s="153" t="n">
        <x:v>21.74</x:v>
      </x:c>
      <x:c r="G2641" s="153" t="n">
        <x:v>4.83</x:v>
      </x:c>
    </x:row>
    <x:row r="2642">
      <x:c r="A2642" s="155" t="n">
        <x:v>45010</x:v>
      </x:c>
      <x:c r="B2642" s="153"/>
      <x:c r="C2642" s="153"/>
      <x:c r="D2642" s="153"/>
      <x:c r="E2642" s="153"/>
      <x:c r="F2642" s="153"/>
      <x:c r="G2642" s="153" t="n">
        <x:v>4.83</x:v>
      </x:c>
    </x:row>
    <x:row r="2643">
      <x:c r="A2643" s="155" t="n">
        <x:v>45011</x:v>
      </x:c>
      <x:c r="B2643" s="153"/>
      <x:c r="C2643" s="153"/>
      <x:c r="D2643" s="153"/>
      <x:c r="E2643" s="153"/>
      <x:c r="F2643" s="153"/>
      <x:c r="G2643" s="153" t="n">
        <x:v>4.83</x:v>
      </x:c>
    </x:row>
    <x:row r="2644">
      <x:c r="A2644" s="155" t="n">
        <x:v>45012</x:v>
      </x:c>
      <x:c r="B2644" s="153" t="n">
        <x:v>3.53</x:v>
      </x:c>
      <x:c r="C2644" s="153" t="n">
        <x:v>1.29</x:v>
      </x:c>
      <x:c r="D2644" s="153" t="n">
        <x:v>2.24</x:v>
      </x:c>
      <x:c r="E2644" s="153" t="n">
        <x:v>120.2541</x:v>
      </x:c>
      <x:c r="F2644" s="153" t="n">
        <x:v>20.6</x:v>
      </x:c>
      <x:c r="G2644" s="153" t="n">
        <x:v>4.83</x:v>
      </x:c>
    </x:row>
    <x:row r="2645">
      <x:c r="A2645" s="155" t="n">
        <x:v>45013</x:v>
      </x:c>
      <x:c r="B2645" s="153" t="n">
        <x:v>3.55</x:v>
      </x:c>
      <x:c r="C2645" s="153" t="n">
        <x:v>1.24</x:v>
      </x:c>
      <x:c r="D2645" s="153" t="n">
        <x:v>2.31</x:v>
      </x:c>
      <x:c r="E2645" s="153" t="n">
        <x:v>119.7138</x:v>
      </x:c>
      <x:c r="F2645" s="153" t="n">
        <x:v>19.97</x:v>
      </x:c>
      <x:c r="G2645" s="153" t="n">
        <x:v>4.83</x:v>
      </x:c>
    </x:row>
    <x:row r="2646">
      <x:c r="A2646" s="155" t="n">
        <x:v>45014</x:v>
      </x:c>
      <x:c r="B2646" s="153" t="n">
        <x:v>3.57</x:v>
      </x:c>
      <x:c r="C2646" s="153" t="n">
        <x:v>1.24</x:v>
      </x:c>
      <x:c r="D2646" s="153" t="n">
        <x:v>2.33</x:v>
      </x:c>
      <x:c r="E2646" s="153" t="n">
        <x:v>119.7258</x:v>
      </x:c>
      <x:c r="F2646" s="153" t="n">
        <x:v>19.12</x:v>
      </x:c>
      <x:c r="G2646" s="153" t="n">
        <x:v>4.83</x:v>
      </x:c>
    </x:row>
    <x:row r="2647">
      <x:c r="A2647" s="155" t="n">
        <x:v>45015</x:v>
      </x:c>
      <x:c r="B2647" s="153" t="n">
        <x:v>3.55</x:v>
      </x:c>
      <x:c r="C2647" s="153" t="n">
        <x:v>1.21</x:v>
      </x:c>
      <x:c r="D2647" s="153" t="n">
        <x:v>2.34</x:v>
      </x:c>
      <x:c r="E2647" s="153" t="n">
        <x:v>119.4078</x:v>
      </x:c>
      <x:c r="F2647" s="153" t="n">
        <x:v>19.02</x:v>
      </x:c>
      <x:c r="G2647" s="153" t="n">
        <x:v>4.83</x:v>
      </x:c>
    </x:row>
    <x:row r="2648">
      <x:c r="A2648" s="155" t="n">
        <x:v>45016</x:v>
      </x:c>
      <x:c r="B2648" s="153" t="n">
        <x:v>3.48</x:v>
      </x:c>
      <x:c r="C2648" s="153" t="n">
        <x:v>1.16</x:v>
      </x:c>
      <x:c r="D2648" s="153" t="n">
        <x:v>2.32</x:v>
      </x:c>
      <x:c r="E2648" s="153" t="n">
        <x:v>119.3602</x:v>
      </x:c>
      <x:c r="F2648" s="153" t="n">
        <x:v>18.7</x:v>
      </x:c>
      <x:c r="G2648" s="153" t="n">
        <x:v>4.83</x:v>
      </x:c>
    </x:row>
    <x:row r="2649">
      <x:c r="A2649" s="155" t="n">
        <x:v>45017</x:v>
      </x:c>
      <x:c r="B2649" s="153"/>
      <x:c r="C2649" s="153"/>
      <x:c r="D2649" s="153"/>
      <x:c r="E2649" s="153"/>
      <x:c r="F2649" s="153"/>
      <x:c r="G2649" s="153" t="n">
        <x:v>4.83</x:v>
      </x:c>
    </x:row>
    <x:row r="2650">
      <x:c r="A2650" s="155" t="n">
        <x:v>45018</x:v>
      </x:c>
      <x:c r="B2650" s="153"/>
      <x:c r="C2650" s="153"/>
      <x:c r="D2650" s="153"/>
      <x:c r="E2650" s="153"/>
      <x:c r="F2650" s="153"/>
      <x:c r="G2650" s="153" t="n">
        <x:v>4.83</x:v>
      </x:c>
    </x:row>
    <x:row r="2651">
      <x:c r="A2651" s="155" t="n">
        <x:v>45019</x:v>
      </x:c>
      <x:c r="B2651" s="153" t="n">
        <x:v>3.43</x:v>
      </x:c>
      <x:c r="C2651" s="153" t="n">
        <x:v>1.14</x:v>
      </x:c>
      <x:c r="D2651" s="153" t="n">
        <x:v>2.29</x:v>
      </x:c>
      <x:c r="E2651" s="153" t="n">
        <x:v>119.3204</x:v>
      </x:c>
      <x:c r="F2651" s="153" t="n">
        <x:v>18.55</x:v>
      </x:c>
      <x:c r="G2651" s="153" t="n">
        <x:v>4.83</x:v>
      </x:c>
    </x:row>
    <x:row r="2652">
      <x:c r="A2652" s="155" t="n">
        <x:v>45020</x:v>
      </x:c>
      <x:c r="B2652" s="153" t="n">
        <x:v>3.35</x:v>
      </x:c>
      <x:c r="C2652" s="153" t="n">
        <x:v>1.1</x:v>
      </x:c>
      <x:c r="D2652" s="153" t="n">
        <x:v>2.25</x:v>
      </x:c>
      <x:c r="E2652" s="153" t="n">
        <x:v>119.142</x:v>
      </x:c>
      <x:c r="F2652" s="153" t="n">
        <x:v>19</x:v>
      </x:c>
      <x:c r="G2652" s="153" t="n">
        <x:v>4.83</x:v>
      </x:c>
    </x:row>
    <x:row r="2653">
      <x:c r="A2653" s="155" t="n">
        <x:v>45021</x:v>
      </x:c>
      <x:c r="B2653" s="153" t="n">
        <x:v>3.3</x:v>
      </x:c>
      <x:c r="C2653" s="153" t="n">
        <x:v>1.07</x:v>
      </x:c>
      <x:c r="D2653" s="153" t="n">
        <x:v>2.23</x:v>
      </x:c>
      <x:c r="E2653" s="153" t="n">
        <x:v>119.2953</x:v>
      </x:c>
      <x:c r="F2653" s="153" t="n">
        <x:v>19.08</x:v>
      </x:c>
      <x:c r="G2653" s="153" t="n">
        <x:v>4.83</x:v>
      </x:c>
    </x:row>
    <x:row r="2654">
      <x:c r="A2654" s="155" t="n">
        <x:v>45022</x:v>
      </x:c>
      <x:c r="B2654" s="153" t="n">
        <x:v>3.3</x:v>
      </x:c>
      <x:c r="C2654" s="153" t="n">
        <x:v>1.06</x:v>
      </x:c>
      <x:c r="D2654" s="153" t="n">
        <x:v>2.24</x:v>
      </x:c>
      <x:c r="E2654" s="153" t="n">
        <x:v>119.3072</x:v>
      </x:c>
      <x:c r="F2654" s="153" t="n">
        <x:v>18.4</x:v>
      </x:c>
      <x:c r="G2654" s="153" t="n">
        <x:v>4.83</x:v>
      </x:c>
    </x:row>
    <x:row r="2655">
      <x:c r="A2655" s="155" t="n">
        <x:v>45023</x:v>
      </x:c>
      <x:c r="B2655" s="153" t="n">
        <x:v>3.39</x:v>
      </x:c>
      <x:c r="C2655" s="153" t="n">
        <x:v>1.14</x:v>
      </x:c>
      <x:c r="D2655" s="153" t="n">
        <x:v>2.25</x:v>
      </x:c>
      <x:c r="E2655" s="153" t="n">
        <x:v>119.3547</x:v>
      </x:c>
      <x:c r="F2655" s="153"/>
      <x:c r="G2655" s="153" t="n">
        <x:v>4.83</x:v>
      </x:c>
    </x:row>
    <x:row r="2656">
      <x:c r="A2656" s="155" t="n">
        <x:v>45024</x:v>
      </x:c>
      <x:c r="B2656" s="153"/>
      <x:c r="C2656" s="153"/>
      <x:c r="D2656" s="153"/>
      <x:c r="E2656" s="153"/>
      <x:c r="F2656" s="153"/>
      <x:c r="G2656" s="153" t="n">
        <x:v>4.83</x:v>
      </x:c>
    </x:row>
    <x:row r="2657">
      <x:c r="A2657" s="155" t="n">
        <x:v>45025</x:v>
      </x:c>
      <x:c r="B2657" s="153"/>
      <x:c r="C2657" s="153"/>
      <x:c r="D2657" s="153"/>
      <x:c r="E2657" s="153"/>
      <x:c r="F2657" s="153"/>
      <x:c r="G2657" s="153" t="n">
        <x:v>4.83</x:v>
      </x:c>
    </x:row>
    <x:row r="2658">
      <x:c r="A2658" s="155" t="n">
        <x:v>45026</x:v>
      </x:c>
      <x:c r="B2658" s="153" t="n">
        <x:v>3.41</x:v>
      </x:c>
      <x:c r="C2658" s="153" t="n">
        <x:v>1.14</x:v>
      </x:c>
      <x:c r="D2658" s="153" t="n">
        <x:v>2.27</x:v>
      </x:c>
      <x:c r="E2658" s="153" t="n">
        <x:v>119.7948</x:v>
      </x:c>
      <x:c r="F2658" s="153" t="n">
        <x:v>18.97</x:v>
      </x:c>
      <x:c r="G2658" s="153" t="n">
        <x:v>4.83</x:v>
      </x:c>
    </x:row>
    <x:row r="2659">
      <x:c r="A2659" s="155" t="n">
        <x:v>45027</x:v>
      </x:c>
      <x:c r="B2659" s="153" t="n">
        <x:v>3.43</x:v>
      </x:c>
      <x:c r="C2659" s="153" t="n">
        <x:v>1.14</x:v>
      </x:c>
      <x:c r="D2659" s="153" t="n">
        <x:v>2.29</x:v>
      </x:c>
      <x:c r="E2659" s="153" t="n">
        <x:v>119.5248</x:v>
      </x:c>
      <x:c r="F2659" s="153" t="n">
        <x:v>19.1</x:v>
      </x:c>
      <x:c r="G2659" s="153" t="n">
        <x:v>4.83</x:v>
      </x:c>
    </x:row>
    <x:row r="2660">
      <x:c r="A2660" s="155" t="n">
        <x:v>45028</x:v>
      </x:c>
      <x:c r="B2660" s="153" t="n">
        <x:v>3.41</x:v>
      </x:c>
      <x:c r="C2660" s="153" t="n">
        <x:v>1.14</x:v>
      </x:c>
      <x:c r="D2660" s="153" t="n">
        <x:v>2.27</x:v>
      </x:c>
      <x:c r="E2660" s="153" t="n">
        <x:v>119.003</x:v>
      </x:c>
      <x:c r="F2660" s="153" t="n">
        <x:v>19.09</x:v>
      </x:c>
      <x:c r="G2660" s="153" t="n">
        <x:v>4.83</x:v>
      </x:c>
    </x:row>
    <x:row r="2661">
      <x:c r="A2661" s="155" t="n">
        <x:v>45029</x:v>
      </x:c>
      <x:c r="B2661" s="153" t="n">
        <x:v>3.45</x:v>
      </x:c>
      <x:c r="C2661" s="153" t="n">
        <x:v>1.16</x:v>
      </x:c>
      <x:c r="D2661" s="153" t="n">
        <x:v>2.29</x:v>
      </x:c>
      <x:c r="E2661" s="153" t="n">
        <x:v>118.3915</x:v>
      </x:c>
      <x:c r="F2661" s="153" t="n">
        <x:v>17.8</x:v>
      </x:c>
      <x:c r="G2661" s="153" t="n">
        <x:v>4.83</x:v>
      </x:c>
    </x:row>
    <x:row r="2662">
      <x:c r="A2662" s="155" t="n">
        <x:v>45030</x:v>
      </x:c>
      <x:c r="B2662" s="153" t="n">
        <x:v>3.52</x:v>
      </x:c>
      <x:c r="C2662" s="153" t="n">
        <x:v>1.22</x:v>
      </x:c>
      <x:c r="D2662" s="153" t="n">
        <x:v>2.3</x:v>
      </x:c>
      <x:c r="E2662" s="153" t="n">
        <x:v>118.8567</x:v>
      </x:c>
      <x:c r="F2662" s="153" t="n">
        <x:v>17.07</x:v>
      </x:c>
      <x:c r="G2662" s="153" t="n">
        <x:v>4.83</x:v>
      </x:c>
    </x:row>
    <x:row r="2663">
      <x:c r="A2663" s="155" t="n">
        <x:v>45031</x:v>
      </x:c>
      <x:c r="B2663" s="153"/>
      <x:c r="C2663" s="153"/>
      <x:c r="D2663" s="153"/>
      <x:c r="E2663" s="153"/>
      <x:c r="F2663" s="153"/>
      <x:c r="G2663" s="153" t="n">
        <x:v>4.83</x:v>
      </x:c>
    </x:row>
    <x:row r="2664">
      <x:c r="A2664" s="155" t="n">
        <x:v>45032</x:v>
      </x:c>
      <x:c r="B2664" s="153"/>
      <x:c r="C2664" s="153"/>
      <x:c r="D2664" s="153"/>
      <x:c r="E2664" s="153"/>
      <x:c r="F2664" s="153"/>
      <x:c r="G2664" s="153" t="n">
        <x:v>4.83</x:v>
      </x:c>
    </x:row>
    <x:row r="2665">
      <x:c r="A2665" s="155" t="n">
        <x:v>45033</x:v>
      </x:c>
      <x:c r="B2665" s="153" t="n">
        <x:v>3.6</x:v>
      </x:c>
      <x:c r="C2665" s="153" t="n">
        <x:v>1.28</x:v>
      </x:c>
      <x:c r="D2665" s="153" t="n">
        <x:v>2.32</x:v>
      </x:c>
      <x:c r="E2665" s="153" t="n">
        <x:v>119.2787</x:v>
      </x:c>
      <x:c r="F2665" s="153" t="n">
        <x:v>16.95</x:v>
      </x:c>
      <x:c r="G2665" s="153" t="n">
        <x:v>4.83</x:v>
      </x:c>
    </x:row>
    <x:row r="2666">
      <x:c r="A2666" s="155" t="n">
        <x:v>45034</x:v>
      </x:c>
      <x:c r="B2666" s="153" t="n">
        <x:v>3.58</x:v>
      </x:c>
      <x:c r="C2666" s="153" t="n">
        <x:v>1.3</x:v>
      </x:c>
      <x:c r="D2666" s="153" t="n">
        <x:v>2.28</x:v>
      </x:c>
      <x:c r="E2666" s="153" t="n">
        <x:v>119.1049</x:v>
      </x:c>
      <x:c r="F2666" s="153" t="n">
        <x:v>16.83</x:v>
      </x:c>
      <x:c r="G2666" s="153" t="n">
        <x:v>4.83</x:v>
      </x:c>
    </x:row>
    <x:row r="2667">
      <x:c r="A2667" s="155" t="n">
        <x:v>45035</x:v>
      </x:c>
      <x:c r="B2667" s="153" t="n">
        <x:v>3.6</x:v>
      </x:c>
      <x:c r="C2667" s="153" t="n">
        <x:v>1.32</x:v>
      </x:c>
      <x:c r="D2667" s="153" t="n">
        <x:v>2.28</x:v>
      </x:c>
      <x:c r="E2667" s="153" t="n">
        <x:v>119.303</x:v>
      </x:c>
      <x:c r="F2667" s="153" t="n">
        <x:v>16.46</x:v>
      </x:c>
      <x:c r="G2667" s="153" t="n">
        <x:v>4.83</x:v>
      </x:c>
    </x:row>
    <x:row r="2668">
      <x:c r="A2668" s="155" t="n">
        <x:v>45036</x:v>
      </x:c>
      <x:c r="B2668" s="153" t="n">
        <x:v>3.54</x:v>
      </x:c>
      <x:c r="C2668" s="153" t="n">
        <x:v>1.28</x:v>
      </x:c>
      <x:c r="D2668" s="153" t="n">
        <x:v>2.26</x:v>
      </x:c>
      <x:c r="E2668" s="153" t="n">
        <x:v>119.1199</x:v>
      </x:c>
      <x:c r="F2668" s="153" t="n">
        <x:v>17.17</x:v>
      </x:c>
      <x:c r="G2668" s="153" t="n">
        <x:v>4.83</x:v>
      </x:c>
    </x:row>
    <x:row r="2669">
      <x:c r="A2669" s="155" t="n">
        <x:v>45037</x:v>
      </x:c>
      <x:c r="B2669" s="153" t="n">
        <x:v>3.57</x:v>
      </x:c>
      <x:c r="C2669" s="153" t="n">
        <x:v>1.29</x:v>
      </x:c>
      <x:c r="D2669" s="153" t="n">
        <x:v>2.28</x:v>
      </x:c>
      <x:c r="E2669" s="153" t="n">
        <x:v>119.3117</x:v>
      </x:c>
      <x:c r="F2669" s="153" t="n">
        <x:v>16.77</x:v>
      </x:c>
      <x:c r="G2669" s="153" t="n">
        <x:v>4.83</x:v>
      </x:c>
    </x:row>
    <x:row r="2670">
      <x:c r="A2670" s="155" t="n">
        <x:v>45038</x:v>
      </x:c>
      <x:c r="B2670" s="153"/>
      <x:c r="C2670" s="153"/>
      <x:c r="D2670" s="153"/>
      <x:c r="E2670" s="153"/>
      <x:c r="F2670" s="153"/>
      <x:c r="G2670" s="153" t="n">
        <x:v>4.83</x:v>
      </x:c>
    </x:row>
    <x:row r="2671">
      <x:c r="A2671" s="155" t="n">
        <x:v>45039</x:v>
      </x:c>
      <x:c r="B2671" s="153"/>
      <x:c r="C2671" s="153"/>
      <x:c r="D2671" s="153"/>
      <x:c r="E2671" s="153"/>
      <x:c r="F2671" s="153"/>
      <x:c r="G2671" s="153" t="n">
        <x:v>4.83</x:v>
      </x:c>
    </x:row>
    <x:row r="2672">
      <x:c r="A2672" s="155" t="n">
        <x:v>45040</x:v>
      </x:c>
      <x:c r="B2672" s="153" t="n">
        <x:v>3.52</x:v>
      </x:c>
      <x:c r="C2672" s="153" t="n">
        <x:v>1.24</x:v>
      </x:c>
      <x:c r="D2672" s="153" t="n">
        <x:v>2.28</x:v>
      </x:c>
      <x:c r="E2672" s="153" t="n">
        <x:v>119.2039</x:v>
      </x:c>
      <x:c r="F2672" s="153" t="n">
        <x:v>16.89</x:v>
      </x:c>
      <x:c r="G2672" s="153" t="n">
        <x:v>4.83</x:v>
      </x:c>
    </x:row>
    <x:row r="2673">
      <x:c r="A2673" s="155" t="n">
        <x:v>45041</x:v>
      </x:c>
      <x:c r="B2673" s="153" t="n">
        <x:v>3.4</x:v>
      </x:c>
      <x:c r="C2673" s="153" t="n">
        <x:v>1.15</x:v>
      </x:c>
      <x:c r="D2673" s="153" t="n">
        <x:v>2.25</x:v>
      </x:c>
      <x:c r="E2673" s="153" t="n">
        <x:v>119.613</x:v>
      </x:c>
      <x:c r="F2673" s="153" t="n">
        <x:v>18.76</x:v>
      </x:c>
      <x:c r="G2673" s="153" t="n">
        <x:v>4.83</x:v>
      </x:c>
    </x:row>
    <x:row r="2674">
      <x:c r="A2674" s="155" t="n">
        <x:v>45042</x:v>
      </x:c>
      <x:c r="B2674" s="153" t="n">
        <x:v>3.43</x:v>
      </x:c>
      <x:c r="C2674" s="153" t="n">
        <x:v>1.18</x:v>
      </x:c>
      <x:c r="D2674" s="153" t="n">
        <x:v>2.25</x:v>
      </x:c>
      <x:c r="E2674" s="153" t="n">
        <x:v>119.3228</x:v>
      </x:c>
      <x:c r="F2674" s="153" t="n">
        <x:v>18.84</x:v>
      </x:c>
      <x:c r="G2674" s="153" t="n">
        <x:v>4.83</x:v>
      </x:c>
    </x:row>
    <x:row r="2675">
      <x:c r="A2675" s="155" t="n">
        <x:v>45043</x:v>
      </x:c>
      <x:c r="B2675" s="153" t="n">
        <x:v>3.53</x:v>
      </x:c>
      <x:c r="C2675" s="153" t="n">
        <x:v>1.26</x:v>
      </x:c>
      <x:c r="D2675" s="153" t="n">
        <x:v>2.27</x:v>
      </x:c>
      <x:c r="E2675" s="153" t="n">
        <x:v>119.4298</x:v>
      </x:c>
      <x:c r="F2675" s="153" t="n">
        <x:v>17.03</x:v>
      </x:c>
      <x:c r="G2675" s="153" t="n">
        <x:v>4.83</x:v>
      </x:c>
    </x:row>
    <x:row r="2676">
      <x:c r="A2676" s="155" t="n">
        <x:v>45044</x:v>
      </x:c>
      <x:c r="B2676" s="153" t="n">
        <x:v>3.44</x:v>
      </x:c>
      <x:c r="C2676" s="153" t="n">
        <x:v>1.26</x:v>
      </x:c>
      <x:c r="D2676" s="153" t="n">
        <x:v>2.18</x:v>
      </x:c>
      <x:c r="E2676" s="153" t="n">
        <x:v>119.2248</x:v>
      </x:c>
      <x:c r="F2676" s="153" t="n">
        <x:v>15.78</x:v>
      </x:c>
      <x:c r="G2676" s="153" t="n">
        <x:v>4.83</x:v>
      </x:c>
    </x:row>
    <x:row r="2677">
      <x:c r="A2677" s="155" t="n">
        <x:v>45045</x:v>
      </x:c>
      <x:c r="B2677" s="153"/>
      <x:c r="C2677" s="153"/>
      <x:c r="D2677" s="153"/>
      <x:c r="E2677" s="153"/>
      <x:c r="F2677" s="153"/>
      <x:c r="G2677" s="153" t="n">
        <x:v>4.83</x:v>
      </x:c>
    </x:row>
    <x:row r="2678">
      <x:c r="A2678" s="155" t="n">
        <x:v>45046</x:v>
      </x:c>
      <x:c r="B2678" s="153"/>
      <x:c r="C2678" s="153"/>
      <x:c r="D2678" s="153"/>
      <x:c r="E2678" s="153"/>
      <x:c r="F2678" s="153"/>
      <x:c r="G2678" s="153" t="n">
        <x:v>4.83</x:v>
      </x:c>
    </x:row>
    <x:row r="2679">
      <x:c r="A2679" s="155" t="n">
        <x:v>45047</x:v>
      </x:c>
      <x:c r="B2679" s="153" t="n">
        <x:v>3.59</x:v>
      </x:c>
      <x:c r="C2679" s="153" t="n">
        <x:v>1.36</x:v>
      </x:c>
      <x:c r="D2679" s="153" t="n">
        <x:v>2.23</x:v>
      </x:c>
      <x:c r="E2679" s="153" t="n">
        <x:v>119.4435</x:v>
      </x:c>
      <x:c r="F2679" s="153" t="n">
        <x:v>16.08</x:v>
      </x:c>
      <x:c r="G2679" s="153" t="n">
        <x:v>4.83</x:v>
      </x:c>
    </x:row>
    <x:row r="2680">
      <x:c r="A2680" s="155" t="n">
        <x:v>45048</x:v>
      </x:c>
      <x:c r="B2680" s="153" t="n">
        <x:v>3.44</x:v>
      </x:c>
      <x:c r="C2680" s="153" t="n">
        <x:v>1.24</x:v>
      </x:c>
      <x:c r="D2680" s="153" t="n">
        <x:v>2.2</x:v>
      </x:c>
      <x:c r="E2680" s="153" t="n">
        <x:v>119.6105</x:v>
      </x:c>
      <x:c r="F2680" s="153" t="n">
        <x:v>17.78</x:v>
      </x:c>
      <x:c r="G2680" s="153" t="n">
        <x:v>4.83</x:v>
      </x:c>
    </x:row>
    <x:row r="2681">
      <x:c r="A2681" s="155" t="n">
        <x:v>45049</x:v>
      </x:c>
      <x:c r="B2681" s="153" t="n">
        <x:v>3.38</x:v>
      </x:c>
      <x:c r="C2681" s="153" t="n">
        <x:v>1.18</x:v>
      </x:c>
      <x:c r="D2681" s="153" t="n">
        <x:v>2.2</x:v>
      </x:c>
      <x:c r="E2681" s="153" t="n">
        <x:v>119.1233</x:v>
      </x:c>
      <x:c r="F2681" s="153" t="n">
        <x:v>18.34</x:v>
      </x:c>
      <x:c r="G2681" s="153" t="n">
        <x:v>4.83</x:v>
      </x:c>
    </x:row>
    <x:row r="2682">
      <x:c r="A2682" s="155" t="n">
        <x:v>45050</x:v>
      </x:c>
      <x:c r="B2682" s="153" t="n">
        <x:v>3.37</x:v>
      </x:c>
      <x:c r="C2682" s="153" t="n">
        <x:v>1.18</x:v>
      </x:c>
      <x:c r="D2682" s="153" t="n">
        <x:v>2.19</x:v>
      </x:c>
      <x:c r="E2682" s="153" t="n">
        <x:v>119.0465</x:v>
      </x:c>
      <x:c r="F2682" s="153" t="n">
        <x:v>20.09</x:v>
      </x:c>
      <x:c r="G2682" s="153" t="n">
        <x:v>5.08</x:v>
      </x:c>
    </x:row>
    <x:row r="2683">
      <x:c r="A2683" s="155" t="n">
        <x:v>45051</x:v>
      </x:c>
      <x:c r="B2683" s="153" t="n">
        <x:v>3.44</x:v>
      </x:c>
      <x:c r="C2683" s="153" t="n">
        <x:v>1.23</x:v>
      </x:c>
      <x:c r="D2683" s="153" t="n">
        <x:v>2.21</x:v>
      </x:c>
      <x:c r="E2683" s="153" t="n">
        <x:v>118.5548</x:v>
      </x:c>
      <x:c r="F2683" s="153" t="n">
        <x:v>17.19</x:v>
      </x:c>
      <x:c r="G2683" s="153" t="n">
        <x:v>5.08</x:v>
      </x:c>
    </x:row>
    <x:row r="2684">
      <x:c r="A2684" s="155" t="n">
        <x:v>45052</x:v>
      </x:c>
      <x:c r="B2684" s="153"/>
      <x:c r="C2684" s="153"/>
      <x:c r="D2684" s="153"/>
      <x:c r="E2684" s="153"/>
      <x:c r="F2684" s="153"/>
      <x:c r="G2684" s="153" t="n">
        <x:v>5.08</x:v>
      </x:c>
    </x:row>
    <x:row r="2685">
      <x:c r="A2685" s="155" t="n">
        <x:v>45053</x:v>
      </x:c>
      <x:c r="B2685" s="153"/>
      <x:c r="C2685" s="153"/>
      <x:c r="D2685" s="153"/>
      <x:c r="E2685" s="153"/>
      <x:c r="F2685" s="153"/>
      <x:c r="G2685" s="153" t="n">
        <x:v>5.08</x:v>
      </x:c>
    </x:row>
    <x:row r="2686">
      <x:c r="A2686" s="155" t="n">
        <x:v>45054</x:v>
      </x:c>
      <x:c r="B2686" s="153" t="n">
        <x:v>3.52</x:v>
      </x:c>
      <x:c r="C2686" s="153" t="n">
        <x:v>1.29</x:v>
      </x:c>
      <x:c r="D2686" s="153" t="n">
        <x:v>2.23</x:v>
      </x:c>
      <x:c r="E2686" s="153" t="n">
        <x:v>118.5759</x:v>
      </x:c>
      <x:c r="F2686" s="153" t="n">
        <x:v>16.98</x:v>
      </x:c>
      <x:c r="G2686" s="153" t="n">
        <x:v>5.08</x:v>
      </x:c>
    </x:row>
    <x:row r="2687">
      <x:c r="A2687" s="155" t="n">
        <x:v>45055</x:v>
      </x:c>
      <x:c r="B2687" s="153" t="n">
        <x:v>3.53</x:v>
      </x:c>
      <x:c r="C2687" s="153" t="n">
        <x:v>1.3</x:v>
      </x:c>
      <x:c r="D2687" s="153" t="n">
        <x:v>2.23</x:v>
      </x:c>
      <x:c r="E2687" s="153" t="n">
        <x:v>118.8239</x:v>
      </x:c>
      <x:c r="F2687" s="153" t="n">
        <x:v>17.71</x:v>
      </x:c>
      <x:c r="G2687" s="153" t="n">
        <x:v>5.08</x:v>
      </x:c>
    </x:row>
    <x:row r="2688">
      <x:c r="A2688" s="155" t="n">
        <x:v>45056</x:v>
      </x:c>
      <x:c r="B2688" s="153" t="n">
        <x:v>3.43</x:v>
      </x:c>
      <x:c r="C2688" s="153" t="n">
        <x:v>1.26</x:v>
      </x:c>
      <x:c r="D2688" s="153" t="n">
        <x:v>2.17</x:v>
      </x:c>
      <x:c r="E2688" s="153" t="n">
        <x:v>118.5864</x:v>
      </x:c>
      <x:c r="F2688" s="153" t="n">
        <x:v>16.94</x:v>
      </x:c>
      <x:c r="G2688" s="153" t="n">
        <x:v>5.08</x:v>
      </x:c>
    </x:row>
    <x:row r="2689">
      <x:c r="A2689" s="155" t="n">
        <x:v>45057</x:v>
      </x:c>
      <x:c r="B2689" s="153" t="n">
        <x:v>3.39</x:v>
      </x:c>
      <x:c r="C2689" s="153" t="n">
        <x:v>1.23</x:v>
      </x:c>
      <x:c r="D2689" s="153" t="n">
        <x:v>2.16</x:v>
      </x:c>
      <x:c r="E2689" s="153" t="n">
        <x:v>119.0303</x:v>
      </x:c>
      <x:c r="F2689" s="153" t="n">
        <x:v>16.93</x:v>
      </x:c>
      <x:c r="G2689" s="153" t="n">
        <x:v>5.08</x:v>
      </x:c>
    </x:row>
    <x:row r="2690">
      <x:c r="A2690" s="155" t="n">
        <x:v>45058</x:v>
      </x:c>
      <x:c r="B2690" s="153" t="n">
        <x:v>3.46</x:v>
      </x:c>
      <x:c r="C2690" s="153" t="n">
        <x:v>1.28</x:v>
      </x:c>
      <x:c r="D2690" s="153" t="n">
        <x:v>2.18</x:v>
      </x:c>
      <x:c r="E2690" s="153" t="n">
        <x:v>119.3671</x:v>
      </x:c>
      <x:c r="F2690" s="153" t="n">
        <x:v>17.03</x:v>
      </x:c>
      <x:c r="G2690" s="153" t="n">
        <x:v>5.08</x:v>
      </x:c>
    </x:row>
    <x:row r="2691">
      <x:c r="A2691" s="155" t="n">
        <x:v>45059</x:v>
      </x:c>
      <x:c r="B2691" s="153"/>
      <x:c r="C2691" s="153"/>
      <x:c r="D2691" s="153"/>
      <x:c r="E2691" s="153"/>
      <x:c r="F2691" s="153"/>
      <x:c r="G2691" s="153" t="n">
        <x:v>5.08</x:v>
      </x:c>
    </x:row>
    <x:row r="2692">
      <x:c r="A2692" s="155" t="n">
        <x:v>45060</x:v>
      </x:c>
      <x:c r="B2692" s="153"/>
      <x:c r="C2692" s="153"/>
      <x:c r="D2692" s="153"/>
      <x:c r="E2692" s="153"/>
      <x:c r="F2692" s="153"/>
      <x:c r="G2692" s="153" t="n">
        <x:v>5.08</x:v>
      </x:c>
    </x:row>
    <x:row r="2693">
      <x:c r="A2693" s="155" t="n">
        <x:v>45061</x:v>
      </x:c>
      <x:c r="B2693" s="153" t="n">
        <x:v>3.5</x:v>
      </x:c>
      <x:c r="C2693" s="153" t="n">
        <x:v>1.31</x:v>
      </x:c>
      <x:c r="D2693" s="153" t="n">
        <x:v>2.19</x:v>
      </x:c>
      <x:c r="E2693" s="153" t="n">
        <x:v>119.1608</x:v>
      </x:c>
      <x:c r="F2693" s="153" t="n">
        <x:v>17.12</x:v>
      </x:c>
      <x:c r="G2693" s="153" t="n">
        <x:v>5.08</x:v>
      </x:c>
    </x:row>
    <x:row r="2694">
      <x:c r="A2694" s="155" t="n">
        <x:v>45062</x:v>
      </x:c>
      <x:c r="B2694" s="153" t="n">
        <x:v>3.54</x:v>
      </x:c>
      <x:c r="C2694" s="153" t="n">
        <x:v>1.35</x:v>
      </x:c>
      <x:c r="D2694" s="153" t="n">
        <x:v>2.19</x:v>
      </x:c>
      <x:c r="E2694" s="153" t="n">
        <x:v>119.1743</x:v>
      </x:c>
      <x:c r="F2694" s="153" t="n">
        <x:v>17.99</x:v>
      </x:c>
      <x:c r="G2694" s="153" t="n">
        <x:v>5.08</x:v>
      </x:c>
    </x:row>
    <x:row r="2695">
      <x:c r="A2695" s="155" t="n">
        <x:v>45063</x:v>
      </x:c>
      <x:c r="B2695" s="153" t="n">
        <x:v>3.57</x:v>
      </x:c>
      <x:c r="C2695" s="153" t="n">
        <x:v>1.35</x:v>
      </x:c>
      <x:c r="D2695" s="153" t="n">
        <x:v>2.22</x:v>
      </x:c>
      <x:c r="E2695" s="153" t="n">
        <x:v>119.607</x:v>
      </x:c>
      <x:c r="F2695" s="153" t="n">
        <x:v>16.87</x:v>
      </x:c>
      <x:c r="G2695" s="153" t="n">
        <x:v>5.08</x:v>
      </x:c>
    </x:row>
    <x:row r="2696">
      <x:c r="A2696" s="155" t="n">
        <x:v>45064</x:v>
      </x:c>
      <x:c r="B2696" s="153" t="n">
        <x:v>3.65</x:v>
      </x:c>
      <x:c r="C2696" s="153" t="n">
        <x:v>1.42</x:v>
      </x:c>
      <x:c r="D2696" s="153" t="n">
        <x:v>2.23</x:v>
      </x:c>
      <x:c r="E2696" s="153" t="n">
        <x:v>120.0886</x:v>
      </x:c>
      <x:c r="F2696" s="153" t="n">
        <x:v>16.05</x:v>
      </x:c>
      <x:c r="G2696" s="153" t="n">
        <x:v>5.08</x:v>
      </x:c>
    </x:row>
    <x:row r="2697">
      <x:c r="A2697" s="155" t="n">
        <x:v>45065</x:v>
      </x:c>
      <x:c r="B2697" s="153" t="n">
        <x:v>3.7</x:v>
      </x:c>
      <x:c r="C2697" s="153" t="n">
        <x:v>1.46</x:v>
      </x:c>
      <x:c r="D2697" s="153" t="n">
        <x:v>2.24</x:v>
      </x:c>
      <x:c r="E2697" s="153" t="n">
        <x:v>119.7751</x:v>
      </x:c>
      <x:c r="F2697" s="153" t="n">
        <x:v>16.81</x:v>
      </x:c>
      <x:c r="G2697" s="153" t="n">
        <x:v>5.08</x:v>
      </x:c>
    </x:row>
    <x:row r="2698">
      <x:c r="A2698" s="155" t="n">
        <x:v>45066</x:v>
      </x:c>
      <x:c r="B2698" s="153"/>
      <x:c r="C2698" s="153"/>
      <x:c r="D2698" s="153"/>
      <x:c r="E2698" s="153"/>
      <x:c r="F2698" s="153"/>
      <x:c r="G2698" s="153" t="n">
        <x:v>5.08</x:v>
      </x:c>
    </x:row>
    <x:row r="2699">
      <x:c r="A2699" s="155" t="n">
        <x:v>45067</x:v>
      </x:c>
      <x:c r="B2699" s="153"/>
      <x:c r="C2699" s="153"/>
      <x:c r="D2699" s="153"/>
      <x:c r="E2699" s="153"/>
      <x:c r="F2699" s="153"/>
      <x:c r="G2699" s="153" t="n">
        <x:v>5.08</x:v>
      </x:c>
    </x:row>
    <x:row r="2700">
      <x:c r="A2700" s="155" t="n">
        <x:v>45068</x:v>
      </x:c>
      <x:c r="B2700" s="153" t="n">
        <x:v>3.72</x:v>
      </x:c>
      <x:c r="C2700" s="153" t="n">
        <x:v>1.48</x:v>
      </x:c>
      <x:c r="D2700" s="153" t="n">
        <x:v>2.24</x:v>
      </x:c>
      <x:c r="E2700" s="153" t="n">
        <x:v>120.0875</x:v>
      </x:c>
      <x:c r="F2700" s="153" t="n">
        <x:v>17.21</x:v>
      </x:c>
      <x:c r="G2700" s="153" t="n">
        <x:v>5.08</x:v>
      </x:c>
    </x:row>
    <x:row r="2701">
      <x:c r="A2701" s="155" t="n">
        <x:v>45069</x:v>
      </x:c>
      <x:c r="B2701" s="153" t="n">
        <x:v>3.7</x:v>
      </x:c>
      <x:c r="C2701" s="153" t="n">
        <x:v>1.44</x:v>
      </x:c>
      <x:c r="D2701" s="153" t="n">
        <x:v>2.26</x:v>
      </x:c>
      <x:c r="E2701" s="153" t="n">
        <x:v>120.3204</x:v>
      </x:c>
      <x:c r="F2701" s="153" t="n">
        <x:v>18.53</x:v>
      </x:c>
      <x:c r="G2701" s="153" t="n">
        <x:v>5.08</x:v>
      </x:c>
    </x:row>
    <x:row r="2702">
      <x:c r="A2702" s="155" t="n">
        <x:v>45070</x:v>
      </x:c>
      <x:c r="B2702" s="153" t="n">
        <x:v>3.73</x:v>
      </x:c>
      <x:c r="C2702" s="153" t="n">
        <x:v>1.48</x:v>
      </x:c>
      <x:c r="D2702" s="153" t="n">
        <x:v>2.25</x:v>
      </x:c>
      <x:c r="E2702" s="153" t="n">
        <x:v>120.4752</x:v>
      </x:c>
      <x:c r="F2702" s="153" t="n">
        <x:v>20.03</x:v>
      </x:c>
      <x:c r="G2702" s="153" t="n">
        <x:v>5.08</x:v>
      </x:c>
    </x:row>
    <x:row r="2703">
      <x:c r="A2703" s="155" t="n">
        <x:v>45071</x:v>
      </x:c>
      <x:c r="B2703" s="153" t="n">
        <x:v>3.83</x:v>
      </x:c>
      <x:c r="C2703" s="153" t="n">
        <x:v>1.58</x:v>
      </x:c>
      <x:c r="D2703" s="153" t="n">
        <x:v>2.25</x:v>
      </x:c>
      <x:c r="E2703" s="153" t="n">
        <x:v>120.8413</x:v>
      </x:c>
      <x:c r="F2703" s="153" t="n">
        <x:v>19.14</x:v>
      </x:c>
      <x:c r="G2703" s="153" t="n">
        <x:v>5.08</x:v>
      </x:c>
    </x:row>
    <x:row r="2704">
      <x:c r="A2704" s="155" t="n">
        <x:v>45072</x:v>
      </x:c>
      <x:c r="B2704" s="153" t="n">
        <x:v>3.8</x:v>
      </x:c>
      <x:c r="C2704" s="153" t="n">
        <x:v>1.57</x:v>
      </x:c>
      <x:c r="D2704" s="153" t="n">
        <x:v>2.23</x:v>
      </x:c>
      <x:c r="E2704" s="153" t="n">
        <x:v>120.6304</x:v>
      </x:c>
      <x:c r="F2704" s="153" t="n">
        <x:v>17.95</x:v>
      </x:c>
      <x:c r="G2704" s="153" t="n">
        <x:v>5.08</x:v>
      </x:c>
    </x:row>
    <x:row r="2705">
      <x:c r="A2705" s="155" t="n">
        <x:v>45073</x:v>
      </x:c>
      <x:c r="B2705" s="153"/>
      <x:c r="C2705" s="153"/>
      <x:c r="D2705" s="153"/>
      <x:c r="E2705" s="153"/>
      <x:c r="F2705" s="153"/>
      <x:c r="G2705" s="153" t="n">
        <x:v>5.08</x:v>
      </x:c>
    </x:row>
    <x:row r="2706">
      <x:c r="A2706" s="155" t="n">
        <x:v>45074</x:v>
      </x:c>
      <x:c r="B2706" s="153"/>
      <x:c r="C2706" s="153"/>
      <x:c r="D2706" s="153"/>
      <x:c r="E2706" s="153"/>
      <x:c r="F2706" s="153"/>
      <x:c r="G2706" s="153" t="n">
        <x:v>5.08</x:v>
      </x:c>
    </x:row>
    <x:row r="2707">
      <x:c r="A2707" s="155" t="n">
        <x:v>45075</x:v>
      </x:c>
      <x:c r="B2707" s="153"/>
      <x:c r="C2707" s="153"/>
      <x:c r="D2707" s="153"/>
      <x:c r="E2707" s="153"/>
      <x:c r="F2707" s="153" t="n">
        <x:v>17.46</x:v>
      </x:c>
      <x:c r="G2707" s="153" t="n">
        <x:v>5.08</x:v>
      </x:c>
    </x:row>
    <x:row r="2708">
      <x:c r="A2708" s="155" t="n">
        <x:v>45076</x:v>
      </x:c>
      <x:c r="B2708" s="153" t="n">
        <x:v>3.69</x:v>
      </x:c>
      <x:c r="C2708" s="153" t="n">
        <x:v>1.47</x:v>
      </x:c>
      <x:c r="D2708" s="153" t="n">
        <x:v>2.22</x:v>
      </x:c>
      <x:c r="E2708" s="153" t="n">
        <x:v>120.5546</x:v>
      </x:c>
      <x:c r="F2708" s="153" t="n">
        <x:v>17.46</x:v>
      </x:c>
      <x:c r="G2708" s="153" t="n">
        <x:v>5.08</x:v>
      </x:c>
    </x:row>
    <x:row r="2709">
      <x:c r="A2709" s="155" t="n">
        <x:v>45077</x:v>
      </x:c>
      <x:c r="B2709" s="153" t="n">
        <x:v>3.64</x:v>
      </x:c>
      <x:c r="C2709" s="153" t="n">
        <x:v>1.46</x:v>
      </x:c>
      <x:c r="D2709" s="153" t="n">
        <x:v>2.18</x:v>
      </x:c>
      <x:c r="E2709" s="153" t="n">
        <x:v>120.9662</x:v>
      </x:c>
      <x:c r="F2709" s="153" t="n">
        <x:v>17.94</x:v>
      </x:c>
      <x:c r="G2709" s="153" t="n">
        <x:v>5.08</x:v>
      </x:c>
    </x:row>
    <x:row r="2710">
      <x:c r="A2710" s="155" t="n">
        <x:v>45078</x:v>
      </x:c>
      <x:c r="B2710" s="153" t="n">
        <x:v>3.61</x:v>
      </x:c>
      <x:c r="C2710" s="153" t="n">
        <x:v>1.45</x:v>
      </x:c>
      <x:c r="D2710" s="153" t="n">
        <x:v>2.16</x:v>
      </x:c>
      <x:c r="E2710" s="153" t="n">
        <x:v>120.0491</x:v>
      </x:c>
      <x:c r="F2710" s="153" t="n">
        <x:v>15.65</x:v>
      </x:c>
      <x:c r="G2710" s="153" t="n">
        <x:v>5.08</x:v>
      </x:c>
    </x:row>
    <x:row r="2711">
      <x:c r="A2711" s="155" t="n">
        <x:v>45079</x:v>
      </x:c>
      <x:c r="B2711" s="153" t="n">
        <x:v>3.69</x:v>
      </x:c>
      <x:c r="C2711" s="153" t="n">
        <x:v>1.51</x:v>
      </x:c>
      <x:c r="D2711" s="153" t="n">
        <x:v>2.18</x:v>
      </x:c>
      <x:c r="E2711" s="153" t="n">
        <x:v>120.0049</x:v>
      </x:c>
      <x:c r="F2711" s="153" t="n">
        <x:v>14.6</x:v>
      </x:c>
      <x:c r="G2711" s="153" t="n">
        <x:v>5.08</x:v>
      </x:c>
    </x:row>
    <x:row r="2712">
      <x:c r="A2712" s="155" t="n">
        <x:v>45080</x:v>
      </x:c>
      <x:c r="B2712" s="153"/>
      <x:c r="C2712" s="153"/>
      <x:c r="D2712" s="153"/>
      <x:c r="E2712" s="153"/>
      <x:c r="F2712" s="153"/>
      <x:c r="G2712" s="153" t="n">
        <x:v>5.08</x:v>
      </x:c>
    </x:row>
    <x:row r="2713">
      <x:c r="A2713" s="155" t="n">
        <x:v>45081</x:v>
      </x:c>
      <x:c r="B2713" s="153"/>
      <x:c r="C2713" s="153"/>
      <x:c r="D2713" s="153"/>
      <x:c r="E2713" s="153"/>
      <x:c r="F2713" s="153"/>
      <x:c r="G2713" s="153" t="n">
        <x:v>5.08</x:v>
      </x:c>
    </x:row>
    <x:row r="2714">
      <x:c r="A2714" s="155" t="n">
        <x:v>45082</x:v>
      </x:c>
      <x:c r="B2714" s="153" t="n">
        <x:v>3.69</x:v>
      </x:c>
      <x:c r="C2714" s="153" t="n">
        <x:v>1.5</x:v>
      </x:c>
      <x:c r="D2714" s="153" t="n">
        <x:v>2.19</x:v>
      </x:c>
      <x:c r="E2714" s="153" t="n">
        <x:v>120.0048</x:v>
      </x:c>
      <x:c r="F2714" s="153" t="n">
        <x:v>14.73</x:v>
      </x:c>
      <x:c r="G2714" s="153" t="n">
        <x:v>5.08</x:v>
      </x:c>
    </x:row>
    <x:row r="2715">
      <x:c r="A2715" s="155" t="n">
        <x:v>45083</x:v>
      </x:c>
      <x:c r="B2715" s="153" t="n">
        <x:v>3.7</x:v>
      </x:c>
      <x:c r="C2715" s="153" t="n">
        <x:v>1.5</x:v>
      </x:c>
      <x:c r="D2715" s="153" t="n">
        <x:v>2.2</x:v>
      </x:c>
      <x:c r="E2715" s="153" t="n">
        <x:v>119.9718</x:v>
      </x:c>
      <x:c r="F2715" s="153" t="n">
        <x:v>13.96</x:v>
      </x:c>
      <x:c r="G2715" s="153" t="n">
        <x:v>5.08</x:v>
      </x:c>
    </x:row>
    <x:row r="2716">
      <x:c r="A2716" s="155" t="n">
        <x:v>45084</x:v>
      </x:c>
      <x:c r="B2716" s="153" t="n">
        <x:v>3.79</x:v>
      </x:c>
      <x:c r="C2716" s="153" t="n">
        <x:v>1.58</x:v>
      </x:c>
      <x:c r="D2716" s="153" t="n">
        <x:v>2.21</x:v>
      </x:c>
      <x:c r="E2716" s="153" t="n">
        <x:v>119.859</x:v>
      </x:c>
      <x:c r="F2716" s="153" t="n">
        <x:v>13.94</x:v>
      </x:c>
      <x:c r="G2716" s="153" t="n">
        <x:v>5.08</x:v>
      </x:c>
    </x:row>
    <x:row r="2717">
      <x:c r="A2717" s="155" t="n">
        <x:v>45085</x:v>
      </x:c>
      <x:c r="B2717" s="153" t="n">
        <x:v>3.73</x:v>
      </x:c>
      <x:c r="C2717" s="153" t="n">
        <x:v>1.53</x:v>
      </x:c>
      <x:c r="D2717" s="153" t="n">
        <x:v>2.2</x:v>
      </x:c>
      <x:c r="E2717" s="153" t="n">
        <x:v>119.5712</x:v>
      </x:c>
      <x:c r="F2717" s="153" t="n">
        <x:v>13.65</x:v>
      </x:c>
      <x:c r="G2717" s="153" t="n">
        <x:v>5.08</x:v>
      </x:c>
    </x:row>
    <x:row r="2718">
      <x:c r="A2718" s="155" t="n">
        <x:v>45086</x:v>
      </x:c>
      <x:c r="B2718" s="153" t="n">
        <x:v>3.75</x:v>
      </x:c>
      <x:c r="C2718" s="153" t="n">
        <x:v>1.55</x:v>
      </x:c>
      <x:c r="D2718" s="153" t="n">
        <x:v>2.2</x:v>
      </x:c>
      <x:c r="E2718" s="153" t="n">
        <x:v>119.4322</x:v>
      </x:c>
      <x:c r="F2718" s="153" t="n">
        <x:v>13.83</x:v>
      </x:c>
      <x:c r="G2718" s="153" t="n">
        <x:v>5.08</x:v>
      </x:c>
    </x:row>
    <x:row r="2719">
      <x:c r="A2719" s="155" t="n">
        <x:v>45087</x:v>
      </x:c>
      <x:c r="B2719" s="153"/>
      <x:c r="C2719" s="153"/>
      <x:c r="D2719" s="153"/>
      <x:c r="E2719" s="153"/>
      <x:c r="F2719" s="153"/>
      <x:c r="G2719" s="153" t="n">
        <x:v>5.08</x:v>
      </x:c>
    </x:row>
    <x:row r="2720">
      <x:c r="A2720" s="155" t="n">
        <x:v>45088</x:v>
      </x:c>
      <x:c r="B2720" s="153"/>
      <x:c r="C2720" s="153"/>
      <x:c r="D2720" s="153"/>
      <x:c r="E2720" s="153"/>
      <x:c r="F2720" s="153"/>
      <x:c r="G2720" s="153" t="n">
        <x:v>5.08</x:v>
      </x:c>
    </x:row>
    <x:row r="2721">
      <x:c r="A2721" s="155" t="n">
        <x:v>45089</x:v>
      </x:c>
      <x:c r="B2721" s="153" t="n">
        <x:v>3.73</x:v>
      </x:c>
      <x:c r="C2721" s="153" t="n">
        <x:v>1.56</x:v>
      </x:c>
      <x:c r="D2721" s="153" t="n">
        <x:v>2.17</x:v>
      </x:c>
      <x:c r="E2721" s="153" t="n">
        <x:v>119.6376</x:v>
      </x:c>
      <x:c r="F2721" s="153" t="n">
        <x:v>15.01</x:v>
      </x:c>
      <x:c r="G2721" s="153" t="n">
        <x:v>5.08</x:v>
      </x:c>
    </x:row>
    <x:row r="2722">
      <x:c r="A2722" s="155" t="n">
        <x:v>45090</x:v>
      </x:c>
      <x:c r="B2722" s="153" t="n">
        <x:v>3.84</x:v>
      </x:c>
      <x:c r="C2722" s="153" t="n">
        <x:v>1.64</x:v>
      </x:c>
      <x:c r="D2722" s="153" t="n">
        <x:v>2.2</x:v>
      </x:c>
      <x:c r="E2722" s="153" t="n">
        <x:v>119.1899</x:v>
      </x:c>
      <x:c r="F2722" s="153" t="n">
        <x:v>14.61</x:v>
      </x:c>
      <x:c r="G2722" s="153" t="n">
        <x:v>5.08</x:v>
      </x:c>
    </x:row>
    <x:row r="2723">
      <x:c r="A2723" s="155" t="n">
        <x:v>45091</x:v>
      </x:c>
      <x:c r="B2723" s="153" t="n">
        <x:v>3.83</x:v>
      </x:c>
      <x:c r="C2723" s="153" t="n">
        <x:v>1.62</x:v>
      </x:c>
      <x:c r="D2723" s="153" t="n">
        <x:v>2.21</x:v>
      </x:c>
      <x:c r="E2723" s="153" t="n">
        <x:v>118.776</x:v>
      </x:c>
      <x:c r="F2723" s="153" t="n">
        <x:v>13.88</x:v>
      </x:c>
      <x:c r="G2723" s="153" t="n">
        <x:v>5.08</x:v>
      </x:c>
    </x:row>
    <x:row r="2724">
      <x:c r="A2724" s="155" t="n">
        <x:v>45092</x:v>
      </x:c>
      <x:c r="B2724" s="153" t="n">
        <x:v>3.72</x:v>
      </x:c>
      <x:c r="C2724" s="153" t="n">
        <x:v>1.51</x:v>
      </x:c>
      <x:c r="D2724" s="153" t="n">
        <x:v>2.21</x:v>
      </x:c>
      <x:c r="E2724" s="153" t="n">
        <x:v>118.5521</x:v>
      </x:c>
      <x:c r="F2724" s="153" t="n">
        <x:v>14.5</x:v>
      </x:c>
      <x:c r="G2724" s="153" t="n">
        <x:v>5.07</x:v>
      </x:c>
    </x:row>
    <x:row r="2725">
      <x:c r="A2725" s="155" t="n">
        <x:v>45093</x:v>
      </x:c>
      <x:c r="B2725" s="153" t="n">
        <x:v>3.77</x:v>
      </x:c>
      <x:c r="C2725" s="153" t="n">
        <x:v>1.55</x:v>
      </x:c>
      <x:c r="D2725" s="153" t="n">
        <x:v>2.22</x:v>
      </x:c>
      <x:c r="E2725" s="153" t="n">
        <x:v>118.4184</x:v>
      </x:c>
      <x:c r="F2725" s="153" t="n">
        <x:v>13.54</x:v>
      </x:c>
      <x:c r="G2725" s="153" t="n">
        <x:v>5.08</x:v>
      </x:c>
    </x:row>
    <x:row r="2726">
      <x:c r="A2726" s="155" t="n">
        <x:v>45094</x:v>
      </x:c>
      <x:c r="B2726" s="153"/>
      <x:c r="C2726" s="153"/>
      <x:c r="D2726" s="153"/>
      <x:c r="E2726" s="153"/>
      <x:c r="F2726" s="153"/>
      <x:c r="G2726" s="153" t="n">
        <x:v>5.08</x:v>
      </x:c>
    </x:row>
    <x:row r="2727">
      <x:c r="A2727" s="155" t="n">
        <x:v>45095</x:v>
      </x:c>
      <x:c r="B2727" s="153"/>
      <x:c r="C2727" s="153"/>
      <x:c r="D2727" s="153"/>
      <x:c r="E2727" s="153"/>
      <x:c r="F2727" s="153"/>
      <x:c r="G2727" s="153" t="n">
        <x:v>5.08</x:v>
      </x:c>
    </x:row>
    <x:row r="2728">
      <x:c r="A2728" s="155" t="n">
        <x:v>45096</x:v>
      </x:c>
      <x:c r="B2728" s="153"/>
      <x:c r="C2728" s="153"/>
      <x:c r="D2728" s="153"/>
      <x:c r="E2728" s="153"/>
      <x:c r="F2728" s="153" t="n">
        <x:v>14.19</x:v>
      </x:c>
      <x:c r="G2728" s="153" t="n">
        <x:v>5.08</x:v>
      </x:c>
    </x:row>
    <x:row r="2729">
      <x:c r="A2729" s="155" t="n">
        <x:v>45097</x:v>
      </x:c>
      <x:c r="B2729" s="153" t="n">
        <x:v>3.74</x:v>
      </x:c>
      <x:c r="C2729" s="153" t="n">
        <x:v>1.52</x:v>
      </x:c>
      <x:c r="D2729" s="153" t="n">
        <x:v>2.22</x:v>
      </x:c>
      <x:c r="E2729" s="153" t="n">
        <x:v>118.938</x:v>
      </x:c>
      <x:c r="F2729" s="153" t="n">
        <x:v>13.88</x:v>
      </x:c>
      <x:c r="G2729" s="153" t="n">
        <x:v>5.07</x:v>
      </x:c>
    </x:row>
    <x:row r="2730">
      <x:c r="A2730" s="155" t="n">
        <x:v>45098</x:v>
      </x:c>
      <x:c r="B2730" s="153" t="n">
        <x:v>3.72</x:v>
      </x:c>
      <x:c r="C2730" s="153" t="n">
        <x:v>1.51</x:v>
      </x:c>
      <x:c r="D2730" s="153" t="n">
        <x:v>2.21</x:v>
      </x:c>
      <x:c r="E2730" s="153" t="n">
        <x:v>118.727</x:v>
      </x:c>
      <x:c r="F2730" s="153" t="n">
        <x:v>13.2</x:v>
      </x:c>
      <x:c r="G2730" s="153" t="n">
        <x:v>5.07</x:v>
      </x:c>
    </x:row>
    <x:row r="2731">
      <x:c r="A2731" s="155" t="n">
        <x:v>45099</x:v>
      </x:c>
      <x:c r="B2731" s="153" t="n">
        <x:v>3.8</x:v>
      </x:c>
      <x:c r="C2731" s="153" t="n">
        <x:v>1.56</x:v>
      </x:c>
      <x:c r="D2731" s="153" t="n">
        <x:v>2.24</x:v>
      </x:c>
      <x:c r="E2731" s="153" t="n">
        <x:v>118.7552</x:v>
      </x:c>
      <x:c r="F2731" s="153" t="n">
        <x:v>12.91</x:v>
      </x:c>
      <x:c r="G2731" s="153" t="n">
        <x:v>5.07</x:v>
      </x:c>
    </x:row>
    <x:row r="2732">
      <x:c r="A2732" s="155" t="n">
        <x:v>45100</x:v>
      </x:c>
      <x:c r="B2732" s="153" t="n">
        <x:v>3.74</x:v>
      </x:c>
      <x:c r="C2732" s="153" t="n">
        <x:v>1.53</x:v>
      </x:c>
      <x:c r="D2732" s="153" t="n">
        <x:v>2.21</x:v>
      </x:c>
      <x:c r="E2732" s="153" t="n">
        <x:v>119.152</x:v>
      </x:c>
      <x:c r="F2732" s="153" t="n">
        <x:v>13.44</x:v>
      </x:c>
      <x:c r="G2732" s="153" t="n">
        <x:v>5.07</x:v>
      </x:c>
    </x:row>
    <x:row r="2733">
      <x:c r="A2733" s="155" t="n">
        <x:v>45101</x:v>
      </x:c>
      <x:c r="B2733" s="153"/>
      <x:c r="C2733" s="153"/>
      <x:c r="D2733" s="153"/>
      <x:c r="E2733" s="153"/>
      <x:c r="F2733" s="153"/>
      <x:c r="G2733" s="153" t="n">
        <x:v>5.07</x:v>
      </x:c>
    </x:row>
    <x:row r="2734">
      <x:c r="A2734" s="155" t="n">
        <x:v>45102</x:v>
      </x:c>
      <x:c r="B2734" s="153"/>
      <x:c r="C2734" s="153"/>
      <x:c r="D2734" s="153"/>
      <x:c r="E2734" s="153"/>
      <x:c r="F2734" s="153"/>
      <x:c r="G2734" s="153" t="n">
        <x:v>5.07</x:v>
      </x:c>
    </x:row>
    <x:row r="2735">
      <x:c r="A2735" s="155" t="n">
        <x:v>45103</x:v>
      </x:c>
      <x:c r="B2735" s="153" t="n">
        <x:v>3.72</x:v>
      </x:c>
      <x:c r="C2735" s="153" t="n">
        <x:v>1.54</x:v>
      </x:c>
      <x:c r="D2735" s="153" t="n">
        <x:v>2.18</x:v>
      </x:c>
      <x:c r="E2735" s="153" t="n">
        <x:v>119.0761</x:v>
      </x:c>
      <x:c r="F2735" s="153" t="n">
        <x:v>14.25</x:v>
      </x:c>
      <x:c r="G2735" s="153" t="n">
        <x:v>5.07</x:v>
      </x:c>
    </x:row>
    <x:row r="2736">
      <x:c r="A2736" s="155" t="n">
        <x:v>45104</x:v>
      </x:c>
      <x:c r="B2736" s="153" t="n">
        <x:v>3.77</x:v>
      </x:c>
      <x:c r="C2736" s="153" t="n">
        <x:v>1.57</x:v>
      </x:c>
      <x:c r="D2736" s="153" t="n">
        <x:v>2.2</x:v>
      </x:c>
      <x:c r="E2736" s="153" t="n">
        <x:v>118.8949</x:v>
      </x:c>
      <x:c r="F2736" s="153" t="n">
        <x:v>13.74</x:v>
      </x:c>
      <x:c r="G2736" s="153" t="n">
        <x:v>5.07</x:v>
      </x:c>
    </x:row>
    <x:row r="2737">
      <x:c r="A2737" s="155" t="n">
        <x:v>45105</x:v>
      </x:c>
      <x:c r="B2737" s="153" t="n">
        <x:v>3.71</x:v>
      </x:c>
      <x:c r="C2737" s="153" t="n">
        <x:v>1.53</x:v>
      </x:c>
      <x:c r="D2737" s="153" t="n">
        <x:v>2.18</x:v>
      </x:c>
      <x:c r="E2737" s="153" t="n">
        <x:v>119.3382</x:v>
      </x:c>
      <x:c r="F2737" s="153" t="n">
        <x:v>13.43</x:v>
      </x:c>
      <x:c r="G2737" s="153" t="n">
        <x:v>5.07</x:v>
      </x:c>
    </x:row>
    <x:row r="2738">
      <x:c r="A2738" s="155" t="n">
        <x:v>45106</x:v>
      </x:c>
      <x:c r="B2738" s="153" t="n">
        <x:v>3.85</x:v>
      </x:c>
      <x:c r="C2738" s="153" t="n">
        <x:v>1.65</x:v>
      </x:c>
      <x:c r="D2738" s="153" t="n">
        <x:v>2.2</x:v>
      </x:c>
      <x:c r="E2738" s="153" t="n">
        <x:v>119.527</x:v>
      </x:c>
      <x:c r="F2738" s="153" t="n">
        <x:v>13.54</x:v>
      </x:c>
      <x:c r="G2738" s="153" t="n">
        <x:v>5.07</x:v>
      </x:c>
    </x:row>
    <x:row r="2739">
      <x:c r="A2739" s="155" t="n">
        <x:v>45107</x:v>
      </x:c>
      <x:c r="B2739" s="153" t="n">
        <x:v>3.81</x:v>
      </x:c>
      <x:c r="C2739" s="153" t="n">
        <x:v>1.59</x:v>
      </x:c>
      <x:c r="D2739" s="153" t="n">
        <x:v>2.22</x:v>
      </x:c>
      <x:c r="E2739" s="153" t="n">
        <x:v>119.3606</x:v>
      </x:c>
      <x:c r="F2739" s="153" t="n">
        <x:v>13.59</x:v>
      </x:c>
      <x:c r="G2739" s="153" t="n">
        <x:v>5.08</x:v>
      </x:c>
    </x:row>
    <x:row r="2740">
      <x:c r="A2740" s="155" t="n">
        <x:v>45108</x:v>
      </x:c>
      <x:c r="B2740" s="153"/>
      <x:c r="C2740" s="153"/>
      <x:c r="D2740" s="153"/>
      <x:c r="E2740" s="153"/>
      <x:c r="F2740" s="153"/>
      <x:c r="G2740" s="153" t="n">
        <x:v>5.08</x:v>
      </x:c>
    </x:row>
    <x:row r="2741">
      <x:c r="A2741" s="155" t="n">
        <x:v>45109</x:v>
      </x:c>
      <x:c r="B2741" s="153"/>
      <x:c r="C2741" s="153"/>
      <x:c r="D2741" s="153"/>
      <x:c r="E2741" s="153"/>
      <x:c r="F2741" s="153"/>
      <x:c r="G2741" s="153" t="n">
        <x:v>5.08</x:v>
      </x:c>
    </x:row>
    <x:row r="2742">
      <x:c r="A2742" s="155" t="n">
        <x:v>45110</x:v>
      </x:c>
      <x:c r="B2742" s="153" t="n">
        <x:v>3.86</x:v>
      </x:c>
      <x:c r="C2742" s="153" t="n">
        <x:v>1.61</x:v>
      </x:c>
      <x:c r="D2742" s="153" t="n">
        <x:v>2.25</x:v>
      </x:c>
      <x:c r="E2742" s="153" t="n">
        <x:v>119.2119</x:v>
      </x:c>
      <x:c r="F2742" s="153" t="n">
        <x:v>13.57</x:v>
      </x:c>
      <x:c r="G2742" s="153" t="n">
        <x:v>5.08</x:v>
      </x:c>
    </x:row>
    <x:row r="2743">
      <x:c r="A2743" s="155" t="n">
        <x:v>45111</x:v>
      </x:c>
      <x:c r="B2743" s="153"/>
      <x:c r="C2743" s="153"/>
      <x:c r="D2743" s="153"/>
      <x:c r="E2743" s="153"/>
      <x:c r="F2743" s="153" t="n">
        <x:v>13.7</x:v>
      </x:c>
      <x:c r="G2743" s="153" t="n">
        <x:v>5.08</x:v>
      </x:c>
    </x:row>
    <x:row r="2744">
      <x:c r="A2744" s="155" t="n">
        <x:v>45112</x:v>
      </x:c>
      <x:c r="B2744" s="153" t="n">
        <x:v>3.95</x:v>
      </x:c>
      <x:c r="C2744" s="153" t="n">
        <x:v>1.69</x:v>
      </x:c>
      <x:c r="D2744" s="153" t="n">
        <x:v>2.26</x:v>
      </x:c>
      <x:c r="E2744" s="153" t="n">
        <x:v>119.3483</x:v>
      </x:c>
      <x:c r="F2744" s="153" t="n">
        <x:v>14.18</x:v>
      </x:c>
      <x:c r="G2744" s="153" t="n">
        <x:v>5.08</x:v>
      </x:c>
    </x:row>
    <x:row r="2745">
      <x:c r="A2745" s="155" t="n">
        <x:v>45113</x:v>
      </x:c>
      <x:c r="B2745" s="153" t="n">
        <x:v>4.05</x:v>
      </x:c>
      <x:c r="C2745" s="153" t="n">
        <x:v>1.78</x:v>
      </x:c>
      <x:c r="D2745" s="153" t="n">
        <x:v>2.27</x:v>
      </x:c>
      <x:c r="E2745" s="153" t="n">
        <x:v>119.8193</x:v>
      </x:c>
      <x:c r="F2745" s="153" t="n">
        <x:v>15.44</x:v>
      </x:c>
      <x:c r="G2745" s="153" t="n">
        <x:v>5.08</x:v>
      </x:c>
    </x:row>
    <x:row r="2746">
      <x:c r="A2746" s="155" t="n">
        <x:v>45114</x:v>
      </x:c>
      <x:c r="B2746" s="153" t="n">
        <x:v>4.06</x:v>
      </x:c>
      <x:c r="C2746" s="153" t="n">
        <x:v>1.79</x:v>
      </x:c>
      <x:c r="D2746" s="153" t="n">
        <x:v>2.27</x:v>
      </x:c>
      <x:c r="E2746" s="153" t="n">
        <x:v>119.0761</x:v>
      </x:c>
      <x:c r="F2746" s="153" t="n">
        <x:v>14.83</x:v>
      </x:c>
      <x:c r="G2746" s="153" t="n">
        <x:v>5.08</x:v>
      </x:c>
    </x:row>
    <x:row r="2747">
      <x:c r="A2747" s="155" t="n">
        <x:v>45115</x:v>
      </x:c>
      <x:c r="B2747" s="153"/>
      <x:c r="C2747" s="153"/>
      <x:c r="D2747" s="153"/>
      <x:c r="E2747" s="153"/>
      <x:c r="F2747" s="153"/>
      <x:c r="G2747" s="153" t="n">
        <x:v>5.08</x:v>
      </x:c>
    </x:row>
    <x:row r="2748">
      <x:c r="A2748" s="155" t="n">
        <x:v>45116</x:v>
      </x:c>
      <x:c r="B2748" s="153"/>
      <x:c r="C2748" s="153"/>
      <x:c r="D2748" s="153"/>
      <x:c r="E2748" s="153"/>
      <x:c r="F2748" s="153"/>
      <x:c r="G2748" s="153" t="n">
        <x:v>5.08</x:v>
      </x:c>
    </x:row>
    <x:row r="2749">
      <x:c r="A2749" s="155" t="n">
        <x:v>45117</x:v>
      </x:c>
      <x:c r="B2749" s="153" t="n">
        <x:v>4.01</x:v>
      </x:c>
      <x:c r="C2749" s="153" t="n">
        <x:v>1.76</x:v>
      </x:c>
      <x:c r="D2749" s="153" t="n">
        <x:v>2.25</x:v>
      </x:c>
      <x:c r="E2749" s="153" t="n">
        <x:v>118.9548</x:v>
      </x:c>
      <x:c r="F2749" s="153" t="n">
        <x:v>15.07</x:v>
      </x:c>
      <x:c r="G2749" s="153" t="n">
        <x:v>5.07</x:v>
      </x:c>
    </x:row>
    <x:row r="2750">
      <x:c r="A2750" s="155" t="n">
        <x:v>45118</x:v>
      </x:c>
      <x:c r="B2750" s="153" t="n">
        <x:v>3.99</x:v>
      </x:c>
      <x:c r="C2750" s="153" t="n">
        <x:v>1.75</x:v>
      </x:c>
      <x:c r="D2750" s="153" t="n">
        <x:v>2.24</x:v>
      </x:c>
      <x:c r="E2750" s="153" t="n">
        <x:v>118.7344</x:v>
      </x:c>
      <x:c r="F2750" s="153" t="n">
        <x:v>14.84</x:v>
      </x:c>
      <x:c r="G2750" s="153" t="n">
        <x:v>5.08</x:v>
      </x:c>
    </x:row>
    <x:row r="2751">
      <x:c r="A2751" s="155" t="n">
        <x:v>45119</x:v>
      </x:c>
      <x:c r="B2751" s="153" t="n">
        <x:v>3.86</x:v>
      </x:c>
      <x:c r="C2751" s="153" t="n">
        <x:v>1.6</x:v>
      </x:c>
      <x:c r="D2751" s="153" t="n">
        <x:v>2.26</x:v>
      </x:c>
      <x:c r="E2751" s="153" t="n">
        <x:v>117.6385</x:v>
      </x:c>
      <x:c r="F2751" s="153" t="n">
        <x:v>13.54</x:v>
      </x:c>
      <x:c r="G2751" s="153" t="n">
        <x:v>5.08</x:v>
      </x:c>
    </x:row>
    <x:row r="2752">
      <x:c r="A2752" s="155" t="n">
        <x:v>45120</x:v>
      </x:c>
      <x:c r="B2752" s="153" t="n">
        <x:v>3.76</x:v>
      </x:c>
      <x:c r="C2752" s="153" t="n">
        <x:v>1.52</x:v>
      </x:c>
      <x:c r="D2752" s="153" t="n">
        <x:v>2.24</x:v>
      </x:c>
      <x:c r="E2752" s="153" t="n">
        <x:v>117.1831</x:v>
      </x:c>
      <x:c r="F2752" s="153" t="n">
        <x:v>13.61</x:v>
      </x:c>
      <x:c r="G2752" s="153" t="n">
        <x:v>5.08</x:v>
      </x:c>
    </x:row>
    <x:row r="2753">
      <x:c r="A2753" s="155" t="n">
        <x:v>45121</x:v>
      </x:c>
      <x:c r="B2753" s="153" t="n">
        <x:v>3.83</x:v>
      </x:c>
      <x:c r="C2753" s="153" t="n">
        <x:v>1.59</x:v>
      </x:c>
      <x:c r="D2753" s="153" t="n">
        <x:v>2.24</x:v>
      </x:c>
      <x:c r="E2753" s="153" t="n">
        <x:v>117.0463</x:v>
      </x:c>
      <x:c r="F2753" s="153" t="n">
        <x:v>13.34</x:v>
      </x:c>
      <x:c r="G2753" s="153" t="n">
        <x:v>5.08</x:v>
      </x:c>
    </x:row>
    <x:row r="2754">
      <x:c r="A2754" s="155" t="n">
        <x:v>45122</x:v>
      </x:c>
      <x:c r="B2754" s="153"/>
      <x:c r="C2754" s="153"/>
      <x:c r="D2754" s="153"/>
      <x:c r="E2754" s="153"/>
      <x:c r="F2754" s="153"/>
      <x:c r="G2754" s="153" t="n">
        <x:v>5.08</x:v>
      </x:c>
    </x:row>
    <x:row r="2755">
      <x:c r="A2755" s="155" t="n">
        <x:v>45123</x:v>
      </x:c>
      <x:c r="B2755" s="153"/>
      <x:c r="C2755" s="153"/>
      <x:c r="D2755" s="153"/>
      <x:c r="E2755" s="153"/>
      <x:c r="F2755" s="153"/>
      <x:c r="G2755" s="153" t="n">
        <x:v>5.08</x:v>
      </x:c>
    </x:row>
    <x:row r="2756">
      <x:c r="A2756" s="155" t="n">
        <x:v>45124</x:v>
      </x:c>
      <x:c r="B2756" s="153" t="n">
        <x:v>3.81</x:v>
      </x:c>
      <x:c r="C2756" s="153" t="n">
        <x:v>1.56</x:v>
      </x:c>
      <x:c r="D2756" s="153" t="n">
        <x:v>2.25</x:v>
      </x:c>
      <x:c r="E2756" s="153" t="n">
        <x:v>117.1267</x:v>
      </x:c>
      <x:c r="F2756" s="153" t="n">
        <x:v>13.48</x:v>
      </x:c>
      <x:c r="G2756" s="153" t="n">
        <x:v>5.08</x:v>
      </x:c>
    </x:row>
    <x:row r="2757">
      <x:c r="A2757" s="155" t="n">
        <x:v>45125</x:v>
      </x:c>
      <x:c r="B2757" s="153" t="n">
        <x:v>3.8</x:v>
      </x:c>
      <x:c r="C2757" s="153" t="n">
        <x:v>1.57</x:v>
      </x:c>
      <x:c r="D2757" s="153" t="n">
        <x:v>2.23</x:v>
      </x:c>
      <x:c r="E2757" s="153" t="n">
        <x:v>117.0264</x:v>
      </x:c>
      <x:c r="F2757" s="153" t="n">
        <x:v>13.3</x:v>
      </x:c>
      <x:c r="G2757" s="153" t="n">
        <x:v>5.08</x:v>
      </x:c>
    </x:row>
    <x:row r="2758">
      <x:c r="A2758" s="155" t="n">
        <x:v>45126</x:v>
      </x:c>
      <x:c r="B2758" s="153" t="n">
        <x:v>3.75</x:v>
      </x:c>
      <x:c r="C2758" s="153" t="n">
        <x:v>1.53</x:v>
      </x:c>
      <x:c r="D2758" s="153" t="n">
        <x:v>2.22</x:v>
      </x:c>
      <x:c r="E2758" s="153" t="n">
        <x:v>117.3462</x:v>
      </x:c>
      <x:c r="F2758" s="153" t="n">
        <x:v>13.76</x:v>
      </x:c>
      <x:c r="G2758" s="153" t="n">
        <x:v>5.08</x:v>
      </x:c>
    </x:row>
    <x:row r="2759">
      <x:c r="A2759" s="155" t="n">
        <x:v>45127</x:v>
      </x:c>
      <x:c r="B2759" s="153" t="n">
        <x:v>3.85</x:v>
      </x:c>
      <x:c r="C2759" s="153" t="n">
        <x:v>1.5</x:v>
      </x:c>
      <x:c r="D2759" s="153" t="n">
        <x:v>2.35</x:v>
      </x:c>
      <x:c r="E2759" s="153" t="n">
        <x:v>117.5947</x:v>
      </x:c>
      <x:c r="F2759" s="153" t="n">
        <x:v>13.99</x:v>
      </x:c>
      <x:c r="G2759" s="153" t="n">
        <x:v>5.08</x:v>
      </x:c>
    </x:row>
    <x:row r="2760">
      <x:c r="A2760" s="155" t="n">
        <x:v>45128</x:v>
      </x:c>
      <x:c r="B2760" s="153" t="n">
        <x:v>3.84</x:v>
      </x:c>
      <x:c r="C2760" s="153" t="n">
        <x:v>1.49</x:v>
      </x:c>
      <x:c r="D2760" s="153" t="n">
        <x:v>2.35</x:v>
      </x:c>
      <x:c r="E2760" s="153" t="n">
        <x:v>117.9418</x:v>
      </x:c>
      <x:c r="F2760" s="153" t="n">
        <x:v>13.6</x:v>
      </x:c>
      <x:c r="G2760" s="153" t="n">
        <x:v>5.08</x:v>
      </x:c>
    </x:row>
    <x:row r="2761">
      <x:c r="A2761" s="155" t="n">
        <x:v>45129</x:v>
      </x:c>
      <x:c r="B2761" s="153"/>
      <x:c r="C2761" s="153"/>
      <x:c r="D2761" s="153"/>
      <x:c r="E2761" s="153"/>
      <x:c r="F2761" s="153"/>
      <x:c r="G2761" s="153" t="n">
        <x:v>5.08</x:v>
      </x:c>
    </x:row>
    <x:row r="2762">
      <x:c r="A2762" s="155" t="n">
        <x:v>45130</x:v>
      </x:c>
      <x:c r="B2762" s="153"/>
      <x:c r="C2762" s="153"/>
      <x:c r="D2762" s="153"/>
      <x:c r="E2762" s="153"/>
      <x:c r="F2762" s="153"/>
      <x:c r="G2762" s="153" t="n">
        <x:v>5.08</x:v>
      </x:c>
    </x:row>
    <x:row r="2763">
      <x:c r="A2763" s="155" t="n">
        <x:v>45131</x:v>
      </x:c>
      <x:c r="B2763" s="153" t="n">
        <x:v>3.86</x:v>
      </x:c>
      <x:c r="C2763" s="153" t="n">
        <x:v>1.48</x:v>
      </x:c>
      <x:c r="D2763" s="153" t="n">
        <x:v>2.38</x:v>
      </x:c>
      <x:c r="E2763" s="153" t="n">
        <x:v>117.8124</x:v>
      </x:c>
      <x:c r="F2763" s="153" t="n">
        <x:v>13.91</x:v>
      </x:c>
      <x:c r="G2763" s="153" t="n">
        <x:v>5.08</x:v>
      </x:c>
    </x:row>
    <x:row r="2764">
      <x:c r="A2764" s="155" t="n">
        <x:v>45132</x:v>
      </x:c>
      <x:c r="B2764" s="153" t="n">
        <x:v>3.91</x:v>
      </x:c>
      <x:c r="C2764" s="153" t="n">
        <x:v>1.52</x:v>
      </x:c>
      <x:c r="D2764" s="153" t="n">
        <x:v>2.39</x:v>
      </x:c>
      <x:c r="E2764" s="153" t="n">
        <x:v>117.8565</x:v>
      </x:c>
      <x:c r="F2764" s="153" t="n">
        <x:v>13.86</x:v>
      </x:c>
      <x:c r="G2764" s="153" t="n">
        <x:v>5.08</x:v>
      </x:c>
    </x:row>
    <x:row r="2765">
      <x:c r="A2765" s="155" t="n">
        <x:v>45133</x:v>
      </x:c>
      <x:c r="B2765" s="153" t="n">
        <x:v>3.86</x:v>
      </x:c>
      <x:c r="C2765" s="153" t="n">
        <x:v>1.5</x:v>
      </x:c>
      <x:c r="D2765" s="153" t="n">
        <x:v>2.36</x:v>
      </x:c>
      <x:c r="E2765" s="153" t="n">
        <x:v>117.76</x:v>
      </x:c>
      <x:c r="F2765" s="153" t="n">
        <x:v>13.19</x:v>
      </x:c>
      <x:c r="G2765" s="153" t="n">
        <x:v>5.08</x:v>
      </x:c>
    </x:row>
    <x:row r="2766">
      <x:c r="A2766" s="155" t="n">
        <x:v>45134</x:v>
      </x:c>
      <x:c r="B2766" s="153" t="n">
        <x:v>4.01</x:v>
      </x:c>
      <x:c r="C2766" s="153" t="n">
        <x:v>1.64</x:v>
      </x:c>
      <x:c r="D2766" s="153" t="n">
        <x:v>2.37</x:v>
      </x:c>
      <x:c r="E2766" s="153" t="n">
        <x:v>117.8938</x:v>
      </x:c>
      <x:c r="F2766" s="153" t="n">
        <x:v>14.41</x:v>
      </x:c>
      <x:c r="G2766" s="153" t="n">
        <x:v>5.33</x:v>
      </x:c>
    </x:row>
    <x:row r="2767">
      <x:c r="A2767" s="155" t="n">
        <x:v>45135</x:v>
      </x:c>
      <x:c r="B2767" s="153" t="n">
        <x:v>3.96</x:v>
      </x:c>
      <x:c r="C2767" s="153" t="n">
        <x:v>1.58</x:v>
      </x:c>
      <x:c r="D2767" s="153" t="n">
        <x:v>2.38</x:v>
      </x:c>
      <x:c r="E2767" s="153" t="n">
        <x:v>117.788</x:v>
      </x:c>
      <x:c r="F2767" s="153" t="n">
        <x:v>13.33</x:v>
      </x:c>
      <x:c r="G2767" s="153" t="n">
        <x:v>5.33</x:v>
      </x:c>
    </x:row>
    <x:row r="2768">
      <x:c r="A2768" s="155" t="n">
        <x:v>45136</x:v>
      </x:c>
      <x:c r="B2768" s="153"/>
      <x:c r="C2768" s="153"/>
      <x:c r="D2768" s="153"/>
      <x:c r="E2768" s="153"/>
      <x:c r="F2768" s="153"/>
      <x:c r="G2768" s="153" t="n">
        <x:v>5.33</x:v>
      </x:c>
    </x:row>
    <x:row r="2769">
      <x:c r="A2769" s="155" t="n">
        <x:v>45137</x:v>
      </x:c>
      <x:c r="B2769" s="153"/>
      <x:c r="C2769" s="153"/>
      <x:c r="D2769" s="153"/>
      <x:c r="E2769" s="153"/>
      <x:c r="F2769" s="153"/>
      <x:c r="G2769" s="153" t="n">
        <x:v>5.33</x:v>
      </x:c>
    </x:row>
    <x:row r="2770">
      <x:c r="A2770" s="155" t="n">
        <x:v>45138</x:v>
      </x:c>
      <x:c r="B2770" s="153" t="n">
        <x:v>3.97</x:v>
      </x:c>
      <x:c r="C2770" s="153" t="n">
        <x:v>1.6</x:v>
      </x:c>
      <x:c r="D2770" s="153" t="n">
        <x:v>2.37</x:v>
      </x:c>
      <x:c r="E2770" s="153" t="n">
        <x:v>117.8241</x:v>
      </x:c>
      <x:c r="F2770" s="153" t="n">
        <x:v>13.63</x:v>
      </x:c>
      <x:c r="G2770" s="153" t="n">
        <x:v>5.33</x:v>
      </x:c>
    </x:row>
    <x:row r="2771">
      <x:c r="A2771" s="155" t="n">
        <x:v>45139</x:v>
      </x:c>
      <x:c r="B2771" s="153" t="n">
        <x:v>4.05</x:v>
      </x:c>
      <x:c r="C2771" s="153" t="n">
        <x:v>1.68</x:v>
      </x:c>
      <x:c r="D2771" s="153" t="n">
        <x:v>2.37</x:v>
      </x:c>
      <x:c r="E2771" s="153" t="n">
        <x:v>118.5738</x:v>
      </x:c>
      <x:c r="F2771" s="153" t="n">
        <x:v>13.93</x:v>
      </x:c>
      <x:c r="G2771" s="153" t="n">
        <x:v>5.33</x:v>
      </x:c>
    </x:row>
    <x:row r="2772">
      <x:c r="A2772" s="155" t="n">
        <x:v>45140</x:v>
      </x:c>
      <x:c r="B2772" s="153" t="n">
        <x:v>4.08</x:v>
      </x:c>
      <x:c r="C2772" s="153" t="n">
        <x:v>1.72</x:v>
      </x:c>
      <x:c r="D2772" s="153" t="n">
        <x:v>2.36</x:v>
      </x:c>
      <x:c r="E2772" s="153" t="n">
        <x:v>119.1268</x:v>
      </x:c>
      <x:c r="F2772" s="153" t="n">
        <x:v>16.09</x:v>
      </x:c>
      <x:c r="G2772" s="153" t="n">
        <x:v>5.33</x:v>
      </x:c>
    </x:row>
    <x:row r="2773">
      <x:c r="A2773" s="155" t="n">
        <x:v>45141</x:v>
      </x:c>
      <x:c r="B2773" s="153" t="n">
        <x:v>4.2</x:v>
      </x:c>
      <x:c r="C2773" s="153" t="n">
        <x:v>1.83</x:v>
      </x:c>
      <x:c r="D2773" s="153" t="n">
        <x:v>2.37</x:v>
      </x:c>
      <x:c r="E2773" s="153" t="n">
        <x:v>119.3963</x:v>
      </x:c>
      <x:c r="F2773" s="153" t="n">
        <x:v>15.92</x:v>
      </x:c>
      <x:c r="G2773" s="153" t="n">
        <x:v>5.33</x:v>
      </x:c>
    </x:row>
    <x:row r="2774">
      <x:c r="A2774" s="155" t="n">
        <x:v>45142</x:v>
      </x:c>
      <x:c r="B2774" s="153" t="n">
        <x:v>4.05</x:v>
      </x:c>
      <x:c r="C2774" s="153" t="n">
        <x:v>1.67</x:v>
      </x:c>
      <x:c r="D2774" s="153" t="n">
        <x:v>2.38</x:v>
      </x:c>
      <x:c r="E2774" s="153" t="n">
        <x:v>118.821</x:v>
      </x:c>
      <x:c r="F2774" s="153" t="n">
        <x:v>17.1</x:v>
      </x:c>
      <x:c r="G2774" s="153" t="n">
        <x:v>5.33</x:v>
      </x:c>
    </x:row>
    <x:row r="2775">
      <x:c r="A2775" s="155" t="n">
        <x:v>45143</x:v>
      </x:c>
      <x:c r="B2775" s="153"/>
      <x:c r="C2775" s="153"/>
      <x:c r="D2775" s="153"/>
      <x:c r="E2775" s="153"/>
      <x:c r="F2775" s="153"/>
      <x:c r="G2775" s="153" t="n">
        <x:v>5.33</x:v>
      </x:c>
    </x:row>
    <x:row r="2776">
      <x:c r="A2776" s="155" t="n">
        <x:v>45144</x:v>
      </x:c>
      <x:c r="B2776" s="153"/>
      <x:c r="C2776" s="153"/>
      <x:c r="D2776" s="153"/>
      <x:c r="E2776" s="153"/>
      <x:c r="F2776" s="153"/>
      <x:c r="G2776" s="153" t="n">
        <x:v>5.33</x:v>
      </x:c>
    </x:row>
    <x:row r="2777">
      <x:c r="A2777" s="155" t="n">
        <x:v>45145</x:v>
      </x:c>
      <x:c r="B2777" s="153" t="n">
        <x:v>4.09</x:v>
      </x:c>
      <x:c r="C2777" s="153" t="n">
        <x:v>1.68</x:v>
      </x:c>
      <x:c r="D2777" s="153" t="n">
        <x:v>2.41</x:v>
      </x:c>
      <x:c r="E2777" s="153" t="n">
        <x:v>119.0809</x:v>
      </x:c>
      <x:c r="F2777" s="153" t="n">
        <x:v>15.77</x:v>
      </x:c>
      <x:c r="G2777" s="153" t="n">
        <x:v>5.33</x:v>
      </x:c>
    </x:row>
    <x:row r="2778">
      <x:c r="A2778" s="155" t="n">
        <x:v>45146</x:v>
      </x:c>
      <x:c r="B2778" s="153" t="n">
        <x:v>4.02</x:v>
      </x:c>
      <x:c r="C2778" s="153" t="n">
        <x:v>1.66</x:v>
      </x:c>
      <x:c r="D2778" s="153" t="n">
        <x:v>2.36</x:v>
      </x:c>
      <x:c r="E2778" s="153" t="n">
        <x:v>119.6407</x:v>
      </x:c>
      <x:c r="F2778" s="153" t="n">
        <x:v>15.99</x:v>
      </x:c>
      <x:c r="G2778" s="153" t="n">
        <x:v>5.33</x:v>
      </x:c>
    </x:row>
    <x:row r="2779">
      <x:c r="A2779" s="155" t="n">
        <x:v>45147</x:v>
      </x:c>
      <x:c r="B2779" s="153" t="n">
        <x:v>4</x:v>
      </x:c>
      <x:c r="C2779" s="153" t="n">
        <x:v>1.66</x:v>
      </x:c>
      <x:c r="D2779" s="153" t="n">
        <x:v>2.34</x:v>
      </x:c>
      <x:c r="E2779" s="153" t="n">
        <x:v>119.476</x:v>
      </x:c>
      <x:c r="F2779" s="153" t="n">
        <x:v>15.96</x:v>
      </x:c>
      <x:c r="G2779" s="153" t="n">
        <x:v>5.33</x:v>
      </x:c>
    </x:row>
    <x:row r="2780">
      <x:c r="A2780" s="155" t="n">
        <x:v>45148</x:v>
      </x:c>
      <x:c r="B2780" s="153" t="n">
        <x:v>4.09</x:v>
      </x:c>
      <x:c r="C2780" s="153" t="n">
        <x:v>1.76</x:v>
      </x:c>
      <x:c r="D2780" s="153" t="n">
        <x:v>2.33</x:v>
      </x:c>
      <x:c r="E2780" s="153" t="n">
        <x:v>119.1581</x:v>
      </x:c>
      <x:c r="F2780" s="153" t="n">
        <x:v>15.85</x:v>
      </x:c>
      <x:c r="G2780" s="153" t="n">
        <x:v>5.33</x:v>
      </x:c>
    </x:row>
    <x:row r="2781">
      <x:c r="A2781" s="155" t="n">
        <x:v>45149</x:v>
      </x:c>
      <x:c r="B2781" s="153" t="n">
        <x:v>4.16</x:v>
      </x:c>
      <x:c r="C2781" s="153" t="n">
        <x:v>1.8</x:v>
      </x:c>
      <x:c r="D2781" s="153" t="n">
        <x:v>2.36</x:v>
      </x:c>
      <x:c r="E2781" s="153" t="n">
        <x:v>119.6268</x:v>
      </x:c>
      <x:c r="F2781" s="153" t="n">
        <x:v>14.84</x:v>
      </x:c>
      <x:c r="G2781" s="153" t="n">
        <x:v>5.33</x:v>
      </x:c>
    </x:row>
    <x:row r="2782">
      <x:c r="A2782" s="155" t="n">
        <x:v>45150</x:v>
      </x:c>
      <x:c r="B2782" s="153"/>
      <x:c r="C2782" s="153"/>
      <x:c r="D2782" s="153"/>
      <x:c r="E2782" s="153"/>
      <x:c r="F2782" s="153"/>
      <x:c r="G2782" s="153" t="n">
        <x:v>5.33</x:v>
      </x:c>
    </x:row>
    <x:row r="2783">
      <x:c r="A2783" s="155" t="n">
        <x:v>45151</x:v>
      </x:c>
      <x:c r="B2783" s="153"/>
      <x:c r="C2783" s="153"/>
      <x:c r="D2783" s="153"/>
      <x:c r="E2783" s="153"/>
      <x:c r="F2783" s="153"/>
      <x:c r="G2783" s="153" t="n">
        <x:v>5.33</x:v>
      </x:c>
    </x:row>
    <x:row r="2784">
      <x:c r="A2784" s="155" t="n">
        <x:v>45152</x:v>
      </x:c>
      <x:c r="B2784" s="153" t="n">
        <x:v>4.19</x:v>
      </x:c>
      <x:c r="C2784" s="153" t="n">
        <x:v>1.83</x:v>
      </x:c>
      <x:c r="D2784" s="153" t="n">
        <x:v>2.36</x:v>
      </x:c>
      <x:c r="E2784" s="153" t="n">
        <x:v>120.0725</x:v>
      </x:c>
      <x:c r="F2784" s="153" t="n">
        <x:v>14.82</x:v>
      </x:c>
      <x:c r="G2784" s="153" t="n">
        <x:v>5.33</x:v>
      </x:c>
    </x:row>
    <x:row r="2785">
      <x:c r="A2785" s="155" t="n">
        <x:v>45153</x:v>
      </x:c>
      <x:c r="B2785" s="153" t="n">
        <x:v>4.21</x:v>
      </x:c>
      <x:c r="C2785" s="153" t="n">
        <x:v>1.89</x:v>
      </x:c>
      <x:c r="D2785" s="153" t="n">
        <x:v>2.32</x:v>
      </x:c>
      <x:c r="E2785" s="153" t="n">
        <x:v>120.2127</x:v>
      </x:c>
      <x:c r="F2785" s="153" t="n">
        <x:v>16.46</x:v>
      </x:c>
      <x:c r="G2785" s="153" t="n">
        <x:v>5.33</x:v>
      </x:c>
    </x:row>
    <x:row r="2786">
      <x:c r="A2786" s="155" t="n">
        <x:v>45154</x:v>
      </x:c>
      <x:c r="B2786" s="153" t="n">
        <x:v>4.28</x:v>
      </x:c>
      <x:c r="C2786" s="153" t="n">
        <x:v>1.96</x:v>
      </x:c>
      <x:c r="D2786" s="153" t="n">
        <x:v>2.32</x:v>
      </x:c>
      <x:c r="E2786" s="153" t="n">
        <x:v>120.3551</x:v>
      </x:c>
      <x:c r="F2786" s="153" t="n">
        <x:v>16.78</x:v>
      </x:c>
      <x:c r="G2786" s="153" t="n">
        <x:v>5.33</x:v>
      </x:c>
    </x:row>
    <x:row r="2787">
      <x:c r="A2787" s="155" t="n">
        <x:v>45155</x:v>
      </x:c>
      <x:c r="B2787" s="153" t="n">
        <x:v>4.3</x:v>
      </x:c>
      <x:c r="C2787" s="153" t="n">
        <x:v>1.97</x:v>
      </x:c>
      <x:c r="D2787" s="153" t="n">
        <x:v>2.33</x:v>
      </x:c>
      <x:c r="E2787" s="153" t="n">
        <x:v>120.5242</x:v>
      </x:c>
      <x:c r="F2787" s="153" t="n">
        <x:v>17.89</x:v>
      </x:c>
      <x:c r="G2787" s="153" t="n">
        <x:v>5.33</x:v>
      </x:c>
    </x:row>
    <x:row r="2788">
      <x:c r="A2788" s="155" t="n">
        <x:v>45156</x:v>
      </x:c>
      <x:c r="B2788" s="153" t="n">
        <x:v>4.26</x:v>
      </x:c>
      <x:c r="C2788" s="153" t="n">
        <x:v>1.94</x:v>
      </x:c>
      <x:c r="D2788" s="153" t="n">
        <x:v>2.32</x:v>
      </x:c>
      <x:c r="E2788" s="153" t="n">
        <x:v>120.4321</x:v>
      </x:c>
      <x:c r="F2788" s="153" t="n">
        <x:v>17.3</x:v>
      </x:c>
      <x:c r="G2788" s="153" t="n">
        <x:v>5.33</x:v>
      </x:c>
    </x:row>
    <x:row r="2789">
      <x:c r="A2789" s="155" t="n">
        <x:v>45157</x:v>
      </x:c>
      <x:c r="B2789" s="153"/>
      <x:c r="C2789" s="153"/>
      <x:c r="D2789" s="153"/>
      <x:c r="E2789" s="153"/>
      <x:c r="F2789" s="153"/>
      <x:c r="G2789" s="153" t="n">
        <x:v>5.33</x:v>
      </x:c>
    </x:row>
    <x:row r="2790">
      <x:c r="A2790" s="155" t="n">
        <x:v>45158</x:v>
      </x:c>
      <x:c r="B2790" s="153"/>
      <x:c r="C2790" s="153"/>
      <x:c r="D2790" s="153"/>
      <x:c r="E2790" s="153"/>
      <x:c r="F2790" s="153"/>
      <x:c r="G2790" s="153" t="n">
        <x:v>5.33</x:v>
      </x:c>
    </x:row>
    <x:row r="2791">
      <x:c r="A2791" s="155" t="n">
        <x:v>45159</x:v>
      </x:c>
      <x:c r="B2791" s="153" t="n">
        <x:v>4.34</x:v>
      </x:c>
      <x:c r="C2791" s="153" t="n">
        <x:v>2</x:v>
      </x:c>
      <x:c r="D2791" s="153" t="n">
        <x:v>2.34</x:v>
      </x:c>
      <x:c r="E2791" s="153" t="n">
        <x:v>120.4627</x:v>
      </x:c>
      <x:c r="F2791" s="153" t="n">
        <x:v>17.13</x:v>
      </x:c>
      <x:c r="G2791" s="153" t="n">
        <x:v>5.33</x:v>
      </x:c>
    </x:row>
    <x:row r="2792">
      <x:c r="A2792" s="155" t="n">
        <x:v>45160</x:v>
      </x:c>
      <x:c r="B2792" s="153" t="n">
        <x:v>4.34</x:v>
      </x:c>
      <x:c r="C2792" s="153" t="n">
        <x:v>1.99</x:v>
      </x:c>
      <x:c r="D2792" s="153" t="n">
        <x:v>2.35</x:v>
      </x:c>
      <x:c r="E2792" s="153" t="n">
        <x:v>120.3554</x:v>
      </x:c>
      <x:c r="F2792" s="153" t="n">
        <x:v>16.97</x:v>
      </x:c>
      <x:c r="G2792" s="153" t="n">
        <x:v>5.33</x:v>
      </x:c>
    </x:row>
    <x:row r="2793">
      <x:c r="A2793" s="155" t="n">
        <x:v>45161</x:v>
      </x:c>
      <x:c r="B2793" s="153" t="n">
        <x:v>4.19</x:v>
      </x:c>
      <x:c r="C2793" s="153" t="n">
        <x:v>1.84</x:v>
      </x:c>
      <x:c r="D2793" s="153" t="n">
        <x:v>2.35</x:v>
      </x:c>
      <x:c r="E2793" s="153" t="n">
        <x:v>120.0307</x:v>
      </x:c>
      <x:c r="F2793" s="153" t="n">
        <x:v>15.98</x:v>
      </x:c>
      <x:c r="G2793" s="153" t="n">
        <x:v>5.33</x:v>
      </x:c>
    </x:row>
    <x:row r="2794">
      <x:c r="A2794" s="155" t="n">
        <x:v>45162</x:v>
      </x:c>
      <x:c r="B2794" s="153" t="n">
        <x:v>4.23</x:v>
      </x:c>
      <x:c r="C2794" s="153" t="n">
        <x:v>1.91</x:v>
      </x:c>
      <x:c r="D2794" s="153" t="n">
        <x:v>2.32</x:v>
      </x:c>
      <x:c r="E2794" s="153" t="n">
        <x:v>120.2354</x:v>
      </x:c>
      <x:c r="F2794" s="153" t="n">
        <x:v>17.2</x:v>
      </x:c>
      <x:c r="G2794" s="153" t="n">
        <x:v>5.33</x:v>
      </x:c>
    </x:row>
    <x:row r="2795">
      <x:c r="A2795" s="155" t="n">
        <x:v>45163</x:v>
      </x:c>
      <x:c r="B2795" s="153" t="n">
        <x:v>4.25</x:v>
      </x:c>
      <x:c r="C2795" s="153" t="n">
        <x:v>1.92</x:v>
      </x:c>
      <x:c r="D2795" s="153" t="n">
        <x:v>2.33</x:v>
      </x:c>
      <x:c r="E2795" s="153" t="n">
        <x:v>120.5137</x:v>
      </x:c>
      <x:c r="F2795" s="153" t="n">
        <x:v>15.68</x:v>
      </x:c>
      <x:c r="G2795" s="153" t="n">
        <x:v>5.33</x:v>
      </x:c>
    </x:row>
    <x:row r="2796">
      <x:c r="A2796" s="155" t="n">
        <x:v>45164</x:v>
      </x:c>
      <x:c r="B2796" s="153"/>
      <x:c r="C2796" s="153"/>
      <x:c r="D2796" s="153"/>
      <x:c r="E2796" s="153"/>
      <x:c r="F2796" s="153"/>
      <x:c r="G2796" s="153" t="n">
        <x:v>5.33</x:v>
      </x:c>
    </x:row>
    <x:row r="2797">
      <x:c r="A2797" s="155" t="n">
        <x:v>45165</x:v>
      </x:c>
      <x:c r="B2797" s="153"/>
      <x:c r="C2797" s="153"/>
      <x:c r="D2797" s="153"/>
      <x:c r="E2797" s="153"/>
      <x:c r="F2797" s="153"/>
      <x:c r="G2797" s="153" t="n">
        <x:v>5.33</x:v>
      </x:c>
    </x:row>
    <x:row r="2798">
      <x:c r="A2798" s="155" t="n">
        <x:v>45166</x:v>
      </x:c>
      <x:c r="B2798" s="153" t="n">
        <x:v>4.2</x:v>
      </x:c>
      <x:c r="C2798" s="153" t="n">
        <x:v>1.9</x:v>
      </x:c>
      <x:c r="D2798" s="153" t="n">
        <x:v>2.3</x:v>
      </x:c>
      <x:c r="E2798" s="153" t="n">
        <x:v>120.3155</x:v>
      </x:c>
      <x:c r="F2798" s="153" t="n">
        <x:v>15.08</x:v>
      </x:c>
      <x:c r="G2798" s="153" t="n">
        <x:v>5.33</x:v>
      </x:c>
    </x:row>
    <x:row r="2799">
      <x:c r="A2799" s="155" t="n">
        <x:v>45167</x:v>
      </x:c>
      <x:c r="B2799" s="153" t="n">
        <x:v>4.12</x:v>
      </x:c>
      <x:c r="C2799" s="153" t="n">
        <x:v>1.83</x:v>
      </x:c>
      <x:c r="D2799" s="153" t="n">
        <x:v>2.29</x:v>
      </x:c>
      <x:c r="E2799" s="153" t="n">
        <x:v>120.2669</x:v>
      </x:c>
      <x:c r="F2799" s="153" t="n">
        <x:v>14.45</x:v>
      </x:c>
      <x:c r="G2799" s="153" t="n">
        <x:v>5.33</x:v>
      </x:c>
    </x:row>
    <x:row r="2800">
      <x:c r="A2800" s="155" t="n">
        <x:v>45168</x:v>
      </x:c>
      <x:c r="B2800" s="153" t="n">
        <x:v>4.12</x:v>
      </x:c>
      <x:c r="C2800" s="153" t="n">
        <x:v>1.86</x:v>
      </x:c>
      <x:c r="D2800" s="153" t="n">
        <x:v>2.26</x:v>
      </x:c>
      <x:c r="E2800" s="153" t="n">
        <x:v>119.7937</x:v>
      </x:c>
      <x:c r="F2800" s="153" t="n">
        <x:v>13.88</x:v>
      </x:c>
      <x:c r="G2800" s="153" t="n">
        <x:v>5.33</x:v>
      </x:c>
    </x:row>
    <x:row r="2801">
      <x:c r="A2801" s="155" t="n">
        <x:v>45169</x:v>
      </x:c>
      <x:c r="B2801" s="153" t="n">
        <x:v>4.09</x:v>
      </x:c>
      <x:c r="C2801" s="153" t="n">
        <x:v>1.85</x:v>
      </x:c>
      <x:c r="D2801" s="153" t="n">
        <x:v>2.24</x:v>
      </x:c>
      <x:c r="E2801" s="153" t="n">
        <x:v>120.225</x:v>
      </x:c>
      <x:c r="F2801" s="153" t="n">
        <x:v>13.57</x:v>
      </x:c>
      <x:c r="G2801" s="153" t="n">
        <x:v>5.33</x:v>
      </x:c>
    </x:row>
    <x:row r="2802">
      <x:c r="A2802" s="155" t="n">
        <x:v>45170</x:v>
      </x:c>
      <x:c r="B2802" s="153" t="n">
        <x:v>4.18</x:v>
      </x:c>
      <x:c r="C2802" s="153" t="n">
        <x:v>1.92</x:v>
      </x:c>
      <x:c r="D2802" s="153" t="n">
        <x:v>2.26</x:v>
      </x:c>
      <x:c r="E2802" s="153" t="n">
        <x:v>120.759</x:v>
      </x:c>
      <x:c r="F2802" s="153" t="n">
        <x:v>13.09</x:v>
      </x:c>
      <x:c r="G2802" s="153" t="n">
        <x:v>5.33</x:v>
      </x:c>
    </x:row>
    <x:row r="2803">
      <x:c r="A2803" s="155" t="n">
        <x:v>45171</x:v>
      </x:c>
      <x:c r="B2803" s="153"/>
      <x:c r="C2803" s="153"/>
      <x:c r="D2803" s="153"/>
      <x:c r="E2803" s="153"/>
      <x:c r="F2803" s="153"/>
      <x:c r="G2803" s="153" t="n">
        <x:v>5.33</x:v>
      </x:c>
    </x:row>
    <x:row r="2804">
      <x:c r="A2804" s="155" t="n">
        <x:v>45172</x:v>
      </x:c>
      <x:c r="B2804" s="153"/>
      <x:c r="C2804" s="153"/>
      <x:c r="D2804" s="153"/>
      <x:c r="E2804" s="153"/>
      <x:c r="F2804" s="153"/>
      <x:c r="G2804" s="153" t="n">
        <x:v>5.33</x:v>
      </x:c>
    </x:row>
    <x:row r="2805">
      <x:c r="A2805" s="155" t="n">
        <x:v>45173</x:v>
      </x:c>
      <x:c r="B2805" s="153"/>
      <x:c r="C2805" s="153"/>
      <x:c r="D2805" s="153"/>
      <x:c r="E2805" s="153"/>
      <x:c r="F2805" s="153" t="n">
        <x:v>13.82</x:v>
      </x:c>
      <x:c r="G2805" s="153" t="n">
        <x:v>5.33</x:v>
      </x:c>
    </x:row>
    <x:row r="2806">
      <x:c r="A2806" s="155" t="n">
        <x:v>45174</x:v>
      </x:c>
      <x:c r="B2806" s="153" t="n">
        <x:v>4.27</x:v>
      </x:c>
      <x:c r="C2806" s="153" t="n">
        <x:v>1.98</x:v>
      </x:c>
      <x:c r="D2806" s="153" t="n">
        <x:v>2.29</x:v>
      </x:c>
      <x:c r="E2806" s="153" t="n">
        <x:v>121.4345</x:v>
      </x:c>
      <x:c r="F2806" s="153" t="n">
        <x:v>14.01</x:v>
      </x:c>
      <x:c r="G2806" s="153" t="n">
        <x:v>5.33</x:v>
      </x:c>
    </x:row>
    <x:row r="2807">
      <x:c r="A2807" s="155" t="n">
        <x:v>45175</x:v>
      </x:c>
      <x:c r="B2807" s="153" t="n">
        <x:v>4.3</x:v>
      </x:c>
      <x:c r="C2807" s="153" t="n">
        <x:v>2</x:v>
      </x:c>
      <x:c r="D2807" s="153" t="n">
        <x:v>2.3</x:v>
      </x:c>
      <x:c r="E2807" s="153" t="n">
        <x:v>121.8671</x:v>
      </x:c>
      <x:c r="F2807" s="153" t="n">
        <x:v>14.45</x:v>
      </x:c>
      <x:c r="G2807" s="153" t="n">
        <x:v>5.33</x:v>
      </x:c>
    </x:row>
    <x:row r="2808">
      <x:c r="A2808" s="155" t="n">
        <x:v>45176</x:v>
      </x:c>
      <x:c r="B2808" s="153" t="n">
        <x:v>4.27</x:v>
      </x:c>
      <x:c r="C2808" s="153" t="n">
        <x:v>1.95</x:v>
      </x:c>
      <x:c r="D2808" s="153" t="n">
        <x:v>2.32</x:v>
      </x:c>
      <x:c r="E2808" s="153" t="n">
        <x:v>121.9528</x:v>
      </x:c>
      <x:c r="F2808" s="153" t="n">
        <x:v>14.4</x:v>
      </x:c>
      <x:c r="G2808" s="153" t="n">
        <x:v>5.33</x:v>
      </x:c>
    </x:row>
    <x:row r="2809">
      <x:c r="A2809" s="155" t="n">
        <x:v>45177</x:v>
      </x:c>
      <x:c r="B2809" s="153" t="n">
        <x:v>4.26</x:v>
      </x:c>
      <x:c r="C2809" s="153" t="n">
        <x:v>1.93</x:v>
      </x:c>
      <x:c r="D2809" s="153" t="n">
        <x:v>2.33</x:v>
      </x:c>
      <x:c r="E2809" s="153" t="n">
        <x:v>121.9475</x:v>
      </x:c>
      <x:c r="F2809" s="153" t="n">
        <x:v>13.84</x:v>
      </x:c>
      <x:c r="G2809" s="153" t="n">
        <x:v>5.33</x:v>
      </x:c>
    </x:row>
    <x:row r="2810">
      <x:c r="A2810" s="155" t="n">
        <x:v>45178</x:v>
      </x:c>
      <x:c r="B2810" s="153"/>
      <x:c r="C2810" s="153"/>
      <x:c r="D2810" s="153"/>
      <x:c r="E2810" s="153"/>
      <x:c r="F2810" s="153"/>
      <x:c r="G2810" s="153" t="n">
        <x:v>5.33</x:v>
      </x:c>
    </x:row>
    <x:row r="2811">
      <x:c r="A2811" s="155" t="n">
        <x:v>45179</x:v>
      </x:c>
      <x:c r="B2811" s="153"/>
      <x:c r="C2811" s="153"/>
      <x:c r="D2811" s="153"/>
      <x:c r="E2811" s="153"/>
      <x:c r="F2811" s="153"/>
      <x:c r="G2811" s="153" t="n">
        <x:v>5.33</x:v>
      </x:c>
    </x:row>
    <x:row r="2812">
      <x:c r="A2812" s="155" t="n">
        <x:v>45180</x:v>
      </x:c>
      <x:c r="B2812" s="153" t="n">
        <x:v>4.29</x:v>
      </x:c>
      <x:c r="C2812" s="153" t="n">
        <x:v>1.94</x:v>
      </x:c>
      <x:c r="D2812" s="153" t="n">
        <x:v>2.35</x:v>
      </x:c>
      <x:c r="E2812" s="153" t="n">
        <x:v>121.3386</x:v>
      </x:c>
      <x:c r="F2812" s="153" t="n">
        <x:v>13.8</x:v>
      </x:c>
      <x:c r="G2812" s="153" t="n">
        <x:v>5.33</x:v>
      </x:c>
    </x:row>
    <x:row r="2813">
      <x:c r="A2813" s="155" t="n">
        <x:v>45181</x:v>
      </x:c>
      <x:c r="B2813" s="153" t="n">
        <x:v>4.27</x:v>
      </x:c>
      <x:c r="C2813" s="153" t="n">
        <x:v>1.93</x:v>
      </x:c>
      <x:c r="D2813" s="153" t="n">
        <x:v>2.34</x:v>
      </x:c>
      <x:c r="E2813" s="153" t="n">
        <x:v>121.2913</x:v>
      </x:c>
      <x:c r="F2813" s="153" t="n">
        <x:v>14.23</x:v>
      </x:c>
      <x:c r="G2813" s="153" t="n">
        <x:v>5.33</x:v>
      </x:c>
    </x:row>
    <x:row r="2814">
      <x:c r="A2814" s="155" t="n">
        <x:v>45182</x:v>
      </x:c>
      <x:c r="B2814" s="153" t="n">
        <x:v>4.25</x:v>
      </x:c>
      <x:c r="C2814" s="153" t="n">
        <x:v>1.9</x:v>
      </x:c>
      <x:c r="D2814" s="153" t="n">
        <x:v>2.35</x:v>
      </x:c>
      <x:c r="E2814" s="153" t="n">
        <x:v>121.0549</x:v>
      </x:c>
      <x:c r="F2814" s="153" t="n">
        <x:v>13.48</x:v>
      </x:c>
      <x:c r="G2814" s="153" t="n">
        <x:v>5.33</x:v>
      </x:c>
    </x:row>
    <x:row r="2815">
      <x:c r="A2815" s="155" t="n">
        <x:v>45183</x:v>
      </x:c>
      <x:c r="B2815" s="153" t="n">
        <x:v>4.29</x:v>
      </x:c>
      <x:c r="C2815" s="153" t="n">
        <x:v>1.95</x:v>
      </x:c>
      <x:c r="D2815" s="153" t="n">
        <x:v>2.34</x:v>
      </x:c>
      <x:c r="E2815" s="153" t="n">
        <x:v>121.2395</x:v>
      </x:c>
      <x:c r="F2815" s="153" t="n">
        <x:v>12.82</x:v>
      </x:c>
      <x:c r="G2815" s="153" t="n">
        <x:v>5.33</x:v>
      </x:c>
    </x:row>
    <x:row r="2816">
      <x:c r="A2816" s="155" t="n">
        <x:v>45184</x:v>
      </x:c>
      <x:c r="B2816" s="153" t="n">
        <x:v>4.33</x:v>
      </x:c>
      <x:c r="C2816" s="153" t="n">
        <x:v>1.98</x:v>
      </x:c>
      <x:c r="D2816" s="153" t="n">
        <x:v>2.35</x:v>
      </x:c>
      <x:c r="E2816" s="153" t="n">
        <x:v>121.199</x:v>
      </x:c>
      <x:c r="F2816" s="153" t="n">
        <x:v>13.79</x:v>
      </x:c>
      <x:c r="G2816" s="153" t="n">
        <x:v>5.33</x:v>
      </x:c>
    </x:row>
    <x:row r="2817">
      <x:c r="A2817" s="155" t="n">
        <x:v>45185</x:v>
      </x:c>
      <x:c r="B2817" s="153"/>
      <x:c r="C2817" s="153"/>
      <x:c r="D2817" s="153"/>
      <x:c r="E2817" s="153"/>
      <x:c r="F2817" s="153"/>
      <x:c r="G2817" s="153" t="n">
        <x:v>5.33</x:v>
      </x:c>
    </x:row>
    <x:row r="2818">
      <x:c r="A2818" s="155" t="n">
        <x:v>45186</x:v>
      </x:c>
      <x:c r="B2818" s="153"/>
      <x:c r="C2818" s="153"/>
      <x:c r="D2818" s="153"/>
      <x:c r="E2818" s="153"/>
      <x:c r="F2818" s="153"/>
      <x:c r="G2818" s="153" t="n">
        <x:v>5.33</x:v>
      </x:c>
    </x:row>
    <x:row r="2819">
      <x:c r="A2819" s="155" t="n">
        <x:v>45187</x:v>
      </x:c>
      <x:c r="B2819" s="153" t="n">
        <x:v>4.32</x:v>
      </x:c>
      <x:c r="C2819" s="153" t="n">
        <x:v>1.96</x:v>
      </x:c>
      <x:c r="D2819" s="153" t="n">
        <x:v>2.36</x:v>
      </x:c>
      <x:c r="E2819" s="153" t="n">
        <x:v>121.1938</x:v>
      </x:c>
      <x:c r="F2819" s="153" t="n">
        <x:v>14</x:v>
      </x:c>
      <x:c r="G2819" s="153" t="n">
        <x:v>5.33</x:v>
      </x:c>
    </x:row>
    <x:row r="2820">
      <x:c r="A2820" s="155" t="n">
        <x:v>45188</x:v>
      </x:c>
      <x:c r="B2820" s="153" t="n">
        <x:v>4.37</x:v>
      </x:c>
      <x:c r="C2820" s="153" t="n">
        <x:v>2</x:v>
      </x:c>
      <x:c r="D2820" s="153" t="n">
        <x:v>2.37</x:v>
      </x:c>
      <x:c r="E2820" s="153" t="n">
        <x:v>121.1645</x:v>
      </x:c>
      <x:c r="F2820" s="153" t="n">
        <x:v>14.11</x:v>
      </x:c>
      <x:c r="G2820" s="153" t="n">
        <x:v>5.33</x:v>
      </x:c>
    </x:row>
    <x:row r="2821">
      <x:c r="A2821" s="155" t="n">
        <x:v>45189</x:v>
      </x:c>
      <x:c r="B2821" s="153" t="n">
        <x:v>4.35</x:v>
      </x:c>
      <x:c r="C2821" s="153" t="n">
        <x:v>2</x:v>
      </x:c>
      <x:c r="D2821" s="153" t="n">
        <x:v>2.35</x:v>
      </x:c>
      <x:c r="E2821" s="153" t="n">
        <x:v>120.9648</x:v>
      </x:c>
      <x:c r="F2821" s="153" t="n">
        <x:v>15.14</x:v>
      </x:c>
      <x:c r="G2821" s="153" t="n">
        <x:v>5.33</x:v>
      </x:c>
    </x:row>
    <x:row r="2822">
      <x:c r="A2822" s="155" t="n">
        <x:v>45190</x:v>
      </x:c>
      <x:c r="B2822" s="153" t="n">
        <x:v>4.49</x:v>
      </x:c>
      <x:c r="C2822" s="153" t="n">
        <x:v>2.11</x:v>
      </x:c>
      <x:c r="D2822" s="153" t="n">
        <x:v>2.38</x:v>
      </x:c>
      <x:c r="E2822" s="153" t="n">
        <x:v>121.5528</x:v>
      </x:c>
      <x:c r="F2822" s="153" t="n">
        <x:v>17.54</x:v>
      </x:c>
      <x:c r="G2822" s="153" t="n">
        <x:v>5.33</x:v>
      </x:c>
    </x:row>
    <x:row r="2823">
      <x:c r="A2823" s="155" t="n">
        <x:v>45191</x:v>
      </x:c>
      <x:c r="B2823" s="153" t="n">
        <x:v>4.44</x:v>
      </x:c>
      <x:c r="C2823" s="153" t="n">
        <x:v>2.07</x:v>
      </x:c>
      <x:c r="D2823" s="153" t="n">
        <x:v>2.37</x:v>
      </x:c>
      <x:c r="E2823" s="153" t="n">
        <x:v>121.5306</x:v>
      </x:c>
      <x:c r="F2823" s="153" t="n">
        <x:v>17.2</x:v>
      </x:c>
      <x:c r="G2823" s="153" t="n">
        <x:v>5.33</x:v>
      </x:c>
    </x:row>
    <x:row r="2824">
      <x:c r="A2824" s="155" t="n">
        <x:v>45192</x:v>
      </x:c>
      <x:c r="B2824" s="153"/>
      <x:c r="C2824" s="153"/>
      <x:c r="D2824" s="153"/>
      <x:c r="E2824" s="153"/>
      <x:c r="F2824" s="153"/>
      <x:c r="G2824" s="153" t="n">
        <x:v>5.33</x:v>
      </x:c>
    </x:row>
    <x:row r="2825">
      <x:c r="A2825" s="155" t="n">
        <x:v>45193</x:v>
      </x:c>
      <x:c r="B2825" s="153"/>
      <x:c r="C2825" s="153"/>
      <x:c r="D2825" s="153"/>
      <x:c r="E2825" s="153"/>
      <x:c r="F2825" s="153"/>
      <x:c r="G2825" s="153" t="n">
        <x:v>5.33</x:v>
      </x:c>
    </x:row>
    <x:row r="2826">
      <x:c r="A2826" s="155" t="n">
        <x:v>45194</x:v>
      </x:c>
      <x:c r="B2826" s="153" t="n">
        <x:v>4.55</x:v>
      </x:c>
      <x:c r="C2826" s="153" t="n">
        <x:v>2.18</x:v>
      </x:c>
      <x:c r="D2826" s="153" t="n">
        <x:v>2.37</x:v>
      </x:c>
      <x:c r="E2826" s="153" t="n">
        <x:v>122.1143</x:v>
      </x:c>
      <x:c r="F2826" s="153" t="n">
        <x:v>16.9</x:v>
      </x:c>
      <x:c r="G2826" s="153" t="n">
        <x:v>5.33</x:v>
      </x:c>
    </x:row>
    <x:row r="2827">
      <x:c r="A2827" s="155" t="n">
        <x:v>45195</x:v>
      </x:c>
      <x:c r="B2827" s="153" t="n">
        <x:v>4.56</x:v>
      </x:c>
      <x:c r="C2827" s="153" t="n">
        <x:v>2.23</x:v>
      </x:c>
      <x:c r="D2827" s="153" t="n">
        <x:v>2.33</x:v>
      </x:c>
      <x:c r="E2827" s="153" t="n">
        <x:v>122.4742</x:v>
      </x:c>
      <x:c r="F2827" s="153" t="n">
        <x:v>18.94</x:v>
      </x:c>
      <x:c r="G2827" s="153" t="n">
        <x:v>5.33</x:v>
      </x:c>
    </x:row>
    <x:row r="2828">
      <x:c r="A2828" s="155" t="n">
        <x:v>45196</x:v>
      </x:c>
      <x:c r="B2828" s="153" t="n">
        <x:v>4.61</x:v>
      </x:c>
      <x:c r="C2828" s="153" t="n">
        <x:v>2.27</x:v>
      </x:c>
      <x:c r="D2828" s="153" t="n">
        <x:v>2.34</x:v>
      </x:c>
      <x:c r="E2828" s="153" t="n">
        <x:v>122.9895</x:v>
      </x:c>
      <x:c r="F2828" s="153" t="n">
        <x:v>18.22</x:v>
      </x:c>
      <x:c r="G2828" s="153" t="n">
        <x:v>5.33</x:v>
      </x:c>
    </x:row>
    <x:row r="2829">
      <x:c r="A2829" s="155" t="n">
        <x:v>45197</x:v>
      </x:c>
      <x:c r="B2829" s="153" t="n">
        <x:v>4.59</x:v>
      </x:c>
      <x:c r="C2829" s="153" t="n">
        <x:v>2.2</x:v>
      </x:c>
      <x:c r="D2829" s="153" t="n">
        <x:v>2.39</x:v>
      </x:c>
      <x:c r="E2829" s="153" t="n">
        <x:v>122.5342</x:v>
      </x:c>
      <x:c r="F2829" s="153" t="n">
        <x:v>17.34</x:v>
      </x:c>
      <x:c r="G2829" s="153" t="n">
        <x:v>5.33</x:v>
      </x:c>
    </x:row>
    <x:row r="2830">
      <x:c r="A2830" s="155" t="n">
        <x:v>45198</x:v>
      </x:c>
      <x:c r="B2830" s="153" t="n">
        <x:v>4.59</x:v>
      </x:c>
      <x:c r="C2830" s="153" t="n">
        <x:v>2.24</x:v>
      </x:c>
      <x:c r="D2830" s="153" t="n">
        <x:v>2.35</x:v>
      </x:c>
      <x:c r="E2830" s="153" t="n">
        <x:v>122.3077</x:v>
      </x:c>
      <x:c r="F2830" s="153" t="n">
        <x:v>17.52</x:v>
      </x:c>
      <x:c r="G2830" s="153" t="n">
        <x:v>5.33</x:v>
      </x:c>
    </x:row>
    <x:row r="2831">
      <x:c r="A2831" s="155" t="n">
        <x:v>45199</x:v>
      </x:c>
      <x:c r="B2831" s="153"/>
      <x:c r="C2831" s="153"/>
      <x:c r="D2831" s="153"/>
      <x:c r="E2831" s="153"/>
      <x:c r="F2831" s="153"/>
      <x:c r="G2831" s="153" t="n">
        <x:v>5.33</x:v>
      </x:c>
    </x:row>
    <x:row r="2832">
      <x:c r="A2832" s="155" t="n">
        <x:v>45200</x:v>
      </x:c>
      <x:c r="B2832" s="153"/>
      <x:c r="C2832" s="153"/>
      <x:c r="D2832" s="153"/>
      <x:c r="E2832" s="153"/>
      <x:c r="F2832" s="153"/>
      <x:c r="G2832" s="153" t="n">
        <x:v>5.33</x:v>
      </x:c>
    </x:row>
    <x:row r="2833">
      <x:c r="A2833" s="155" t="n">
        <x:v>45201</x:v>
      </x:c>
      <x:c r="B2833" s="153" t="n">
        <x:v>4.69</x:v>
      </x:c>
      <x:c r="C2833" s="153" t="n">
        <x:v>2.34</x:v>
      </x:c>
      <x:c r="D2833" s="153" t="n">
        <x:v>2.35</x:v>
      </x:c>
      <x:c r="E2833" s="153" t="n">
        <x:v>123.0545</x:v>
      </x:c>
      <x:c r="F2833" s="153" t="n">
        <x:v>17.61</x:v>
      </x:c>
      <x:c r="G2833" s="153" t="n">
        <x:v>5.33</x:v>
      </x:c>
    </x:row>
    <x:row r="2834">
      <x:c r="A2834" s="155" t="n">
        <x:v>45202</x:v>
      </x:c>
      <x:c r="B2834" s="153" t="n">
        <x:v>4.81</x:v>
      </x:c>
      <x:c r="C2834" s="153" t="n">
        <x:v>2.45</x:v>
      </x:c>
      <x:c r="D2834" s="153" t="n">
        <x:v>2.36</x:v>
      </x:c>
      <x:c r="E2834" s="153" t="n">
        <x:v>123.7848</x:v>
      </x:c>
      <x:c r="F2834" s="153" t="n">
        <x:v>19.78</x:v>
      </x:c>
      <x:c r="G2834" s="153" t="n">
        <x:v>5.33</x:v>
      </x:c>
    </x:row>
    <x:row r="2835">
      <x:c r="A2835" s="155" t="n">
        <x:v>45203</x:v>
      </x:c>
      <x:c r="B2835" s="153" t="n">
        <x:v>4.73</x:v>
      </x:c>
      <x:c r="C2835" s="153" t="n">
        <x:v>2.4</x:v>
      </x:c>
      <x:c r="D2835" s="153" t="n">
        <x:v>2.33</x:v>
      </x:c>
      <x:c r="E2835" s="153" t="n">
        <x:v>123.5946</x:v>
      </x:c>
      <x:c r="F2835" s="153" t="n">
        <x:v>18.58</x:v>
      </x:c>
      <x:c r="G2835" s="153" t="n">
        <x:v>5.33</x:v>
      </x:c>
    </x:row>
    <x:row r="2836">
      <x:c r="A2836" s="155" t="n">
        <x:v>45204</x:v>
      </x:c>
      <x:c r="B2836" s="153" t="n">
        <x:v>4.72</x:v>
      </x:c>
      <x:c r="C2836" s="153" t="n">
        <x:v>2.41</x:v>
      </x:c>
      <x:c r="D2836" s="153" t="n">
        <x:v>2.31</x:v>
      </x:c>
      <x:c r="E2836" s="153" t="n">
        <x:v>123.8993</x:v>
      </x:c>
      <x:c r="F2836" s="153" t="n">
        <x:v>18.49</x:v>
      </x:c>
      <x:c r="G2836" s="153" t="n">
        <x:v>5.33</x:v>
      </x:c>
    </x:row>
    <x:row r="2837">
      <x:c r="A2837" s="155" t="n">
        <x:v>45205</x:v>
      </x:c>
      <x:c r="B2837" s="153" t="n">
        <x:v>4.78</x:v>
      </x:c>
      <x:c r="C2837" s="153" t="n">
        <x:v>2.47</x:v>
      </x:c>
      <x:c r="D2837" s="153" t="n">
        <x:v>2.31</x:v>
      </x:c>
      <x:c r="E2837" s="153" t="n">
        <x:v>123.3563</x:v>
      </x:c>
      <x:c r="F2837" s="153" t="n">
        <x:v>17.45</x:v>
      </x:c>
      <x:c r="G2837" s="153" t="n">
        <x:v>5.33</x:v>
      </x:c>
    </x:row>
    <x:row r="2838">
      <x:c r="A2838" s="155" t="n">
        <x:v>45206</x:v>
      </x:c>
      <x:c r="B2838" s="153"/>
      <x:c r="C2838" s="153"/>
      <x:c r="D2838" s="153"/>
      <x:c r="E2838" s="153"/>
      <x:c r="F2838" s="153"/>
      <x:c r="G2838" s="153" t="n">
        <x:v>5.33</x:v>
      </x:c>
    </x:row>
    <x:row r="2839">
      <x:c r="A2839" s="155" t="n">
        <x:v>45207</x:v>
      </x:c>
      <x:c r="B2839" s="153"/>
      <x:c r="C2839" s="153"/>
      <x:c r="D2839" s="153"/>
      <x:c r="E2839" s="153"/>
      <x:c r="F2839" s="153"/>
      <x:c r="G2839" s="153" t="n">
        <x:v>5.33</x:v>
      </x:c>
    </x:row>
    <x:row r="2840">
      <x:c r="A2840" s="155" t="n">
        <x:v>45208</x:v>
      </x:c>
      <x:c r="B2840" s="153"/>
      <x:c r="C2840" s="153"/>
      <x:c r="D2840" s="153"/>
      <x:c r="E2840" s="153"/>
      <x:c r="F2840" s="153" t="n">
        <x:v>17.7</x:v>
      </x:c>
      <x:c r="G2840" s="153" t="n">
        <x:v>5.33</x:v>
      </x:c>
    </x:row>
    <x:row r="2841">
      <x:c r="A2841" s="155" t="n">
        <x:v>45209</x:v>
      </x:c>
      <x:c r="B2841" s="153" t="n">
        <x:v>4.66</x:v>
      </x:c>
      <x:c r="C2841" s="153" t="n">
        <x:v>2.34</x:v>
      </x:c>
      <x:c r="D2841" s="153" t="n">
        <x:v>2.32</x:v>
      </x:c>
      <x:c r="E2841" s="153" t="n">
        <x:v>122.9282</x:v>
      </x:c>
      <x:c r="F2841" s="153" t="n">
        <x:v>17.03</x:v>
      </x:c>
      <x:c r="G2841" s="153" t="n">
        <x:v>5.33</x:v>
      </x:c>
    </x:row>
    <x:row r="2842">
      <x:c r="A2842" s="155" t="n">
        <x:v>45210</x:v>
      </x:c>
      <x:c r="B2842" s="153" t="n">
        <x:v>4.58</x:v>
      </x:c>
      <x:c r="C2842" s="153" t="n">
        <x:v>2.26</x:v>
      </x:c>
      <x:c r="D2842" s="153" t="n">
        <x:v>2.32</x:v>
      </x:c>
      <x:c r="E2842" s="153" t="n">
        <x:v>122.7697</x:v>
      </x:c>
      <x:c r="F2842" s="153" t="n">
        <x:v>16.09</x:v>
      </x:c>
      <x:c r="G2842" s="153" t="n">
        <x:v>5.33</x:v>
      </x:c>
    </x:row>
    <x:row r="2843">
      <x:c r="A2843" s="155" t="n">
        <x:v>45211</x:v>
      </x:c>
      <x:c r="B2843" s="153" t="n">
        <x:v>4.7</x:v>
      </x:c>
      <x:c r="C2843" s="153" t="n">
        <x:v>2.36</x:v>
      </x:c>
      <x:c r="D2843" s="153" t="n">
        <x:v>2.34</x:v>
      </x:c>
      <x:c r="E2843" s="153" t="n">
        <x:v>123.2101</x:v>
      </x:c>
      <x:c r="F2843" s="153" t="n">
        <x:v>16.69</x:v>
      </x:c>
      <x:c r="G2843" s="153" t="n">
        <x:v>5.33</x:v>
      </x:c>
    </x:row>
    <x:row r="2844">
      <x:c r="A2844" s="155" t="n">
        <x:v>45212</x:v>
      </x:c>
      <x:c r="B2844" s="153" t="n">
        <x:v>4.63</x:v>
      </x:c>
      <x:c r="C2844" s="153" t="n">
        <x:v>2.29</x:v>
      </x:c>
      <x:c r="D2844" s="153" t="n">
        <x:v>2.34</x:v>
      </x:c>
      <x:c r="E2844" s="153" t="n">
        <x:v>123.5954</x:v>
      </x:c>
      <x:c r="F2844" s="153" t="n">
        <x:v>19.32</x:v>
      </x:c>
      <x:c r="G2844" s="153" t="n">
        <x:v>5.33</x:v>
      </x:c>
    </x:row>
    <x:row r="2845">
      <x:c r="A2845" s="155" t="n">
        <x:v>45213</x:v>
      </x:c>
      <x:c r="B2845" s="153"/>
      <x:c r="C2845" s="153"/>
      <x:c r="D2845" s="153"/>
      <x:c r="E2845" s="153"/>
      <x:c r="F2845" s="153"/>
      <x:c r="G2845" s="153" t="n">
        <x:v>5.33</x:v>
      </x:c>
    </x:row>
    <x:row r="2846">
      <x:c r="A2846" s="155" t="n">
        <x:v>45214</x:v>
      </x:c>
      <x:c r="B2846" s="153"/>
      <x:c r="C2846" s="153"/>
      <x:c r="D2846" s="153"/>
      <x:c r="E2846" s="153"/>
      <x:c r="F2846" s="153"/>
      <x:c r="G2846" s="153" t="n">
        <x:v>5.33</x:v>
      </x:c>
    </x:row>
    <x:row r="2847">
      <x:c r="A2847" s="155" t="n">
        <x:v>45215</x:v>
      </x:c>
      <x:c r="B2847" s="153" t="n">
        <x:v>4.71</x:v>
      </x:c>
      <x:c r="C2847" s="153" t="n">
        <x:v>2.33</x:v>
      </x:c>
      <x:c r="D2847" s="153" t="n">
        <x:v>2.38</x:v>
      </x:c>
      <x:c r="E2847" s="153" t="n">
        <x:v>123.3185</x:v>
      </x:c>
      <x:c r="F2847" s="153" t="n">
        <x:v>17.21</x:v>
      </x:c>
      <x:c r="G2847" s="153" t="n">
        <x:v>5.33</x:v>
      </x:c>
    </x:row>
    <x:row r="2848">
      <x:c r="A2848" s="155" t="n">
        <x:v>45216</x:v>
      </x:c>
      <x:c r="B2848" s="153" t="n">
        <x:v>4.83</x:v>
      </x:c>
      <x:c r="C2848" s="153" t="n">
        <x:v>2.42</x:v>
      </x:c>
      <x:c r="D2848" s="153" t="n">
        <x:v>2.41</x:v>
      </x:c>
      <x:c r="E2848" s="153" t="n">
        <x:v>123.1202</x:v>
      </x:c>
      <x:c r="F2848" s="153" t="n">
        <x:v>17.88</x:v>
      </x:c>
      <x:c r="G2848" s="153" t="n">
        <x:v>5.33</x:v>
      </x:c>
    </x:row>
    <x:row r="2849">
      <x:c r="A2849" s="155" t="n">
        <x:v>45217</x:v>
      </x:c>
      <x:c r="B2849" s="153" t="n">
        <x:v>4.91</x:v>
      </x:c>
      <x:c r="C2849" s="153" t="n">
        <x:v>2.47</x:v>
      </x:c>
      <x:c r="D2849" s="153" t="n">
        <x:v>2.44</x:v>
      </x:c>
      <x:c r="E2849" s="153" t="n">
        <x:v>123.8148</x:v>
      </x:c>
      <x:c r="F2849" s="153" t="n">
        <x:v>19.22</x:v>
      </x:c>
      <x:c r="G2849" s="153" t="n">
        <x:v>5.33</x:v>
      </x:c>
    </x:row>
    <x:row r="2850">
      <x:c r="A2850" s="155" t="n">
        <x:v>45218</x:v>
      </x:c>
      <x:c r="B2850" s="153" t="n">
        <x:v>4.98</x:v>
      </x:c>
      <x:c r="C2850" s="153" t="n">
        <x:v>2.49</x:v>
      </x:c>
      <x:c r="D2850" s="153" t="n">
        <x:v>2.49</x:v>
      </x:c>
      <x:c r="E2850" s="153" t="n">
        <x:v>123.798</x:v>
      </x:c>
      <x:c r="F2850" s="153" t="n">
        <x:v>21.4</x:v>
      </x:c>
      <x:c r="G2850" s="153" t="n">
        <x:v>5.33</x:v>
      </x:c>
    </x:row>
    <x:row r="2851">
      <x:c r="A2851" s="155" t="n">
        <x:v>45219</x:v>
      </x:c>
      <x:c r="B2851" s="153" t="n">
        <x:v>4.93</x:v>
      </x:c>
      <x:c r="C2851" s="153" t="n">
        <x:v>2.46</x:v>
      </x:c>
      <x:c r="D2851" s="153" t="n">
        <x:v>2.47</x:v>
      </x:c>
      <x:c r="E2851" s="153" t="n">
        <x:v>123.612</x:v>
      </x:c>
      <x:c r="F2851" s="153" t="n">
        <x:v>21.71</x:v>
      </x:c>
      <x:c r="G2851" s="153" t="n">
        <x:v>5.33</x:v>
      </x:c>
    </x:row>
    <x:row r="2852">
      <x:c r="A2852" s="155" t="n">
        <x:v>45220</x:v>
      </x:c>
      <x:c r="B2852" s="153"/>
      <x:c r="C2852" s="153"/>
      <x:c r="D2852" s="153"/>
      <x:c r="E2852" s="153"/>
      <x:c r="F2852" s="153"/>
      <x:c r="G2852" s="153" t="n">
        <x:v>5.33</x:v>
      </x:c>
    </x:row>
    <x:row r="2853">
      <x:c r="A2853" s="155" t="n">
        <x:v>45221</x:v>
      </x:c>
      <x:c r="B2853" s="153"/>
      <x:c r="C2853" s="153"/>
      <x:c r="D2853" s="153"/>
      <x:c r="E2853" s="153"/>
      <x:c r="F2853" s="153"/>
      <x:c r="G2853" s="153" t="n">
        <x:v>5.33</x:v>
      </x:c>
    </x:row>
    <x:row r="2854">
      <x:c r="A2854" s="155" t="n">
        <x:v>45222</x:v>
      </x:c>
      <x:c r="B2854" s="153" t="n">
        <x:v>4.86</x:v>
      </x:c>
      <x:c r="C2854" s="153" t="n">
        <x:v>2.45</x:v>
      </x:c>
      <x:c r="D2854" s="153" t="n">
        <x:v>2.41</x:v>
      </x:c>
      <x:c r="E2854" s="153" t="n">
        <x:v>123.2846</x:v>
      </x:c>
      <x:c r="F2854" s="153" t="n">
        <x:v>20.37</x:v>
      </x:c>
      <x:c r="G2854" s="153" t="n">
        <x:v>5.33</x:v>
      </x:c>
    </x:row>
    <x:row r="2855">
      <x:c r="A2855" s="155" t="n">
        <x:v>45223</x:v>
      </x:c>
      <x:c r="B2855" s="153" t="n">
        <x:v>4.83</x:v>
      </x:c>
      <x:c r="C2855" s="153" t="n">
        <x:v>2.43</x:v>
      </x:c>
      <x:c r="D2855" s="153" t="n">
        <x:v>2.4</x:v>
      </x:c>
      <x:c r="E2855" s="153" t="n">
        <x:v>123.6416</x:v>
      </x:c>
      <x:c r="F2855" s="153" t="n">
        <x:v>18.97</x:v>
      </x:c>
      <x:c r="G2855" s="153" t="n">
        <x:v>5.33</x:v>
      </x:c>
    </x:row>
    <x:row r="2856">
      <x:c r="A2856" s="155" t="n">
        <x:v>45224</x:v>
      </x:c>
      <x:c r="B2856" s="153" t="n">
        <x:v>4.95</x:v>
      </x:c>
      <x:c r="C2856" s="153" t="n">
        <x:v>2.52</x:v>
      </x:c>
      <x:c r="D2856" s="153" t="n">
        <x:v>2.43</x:v>
      </x:c>
      <x:c r="E2856" s="153" t="n">
        <x:v>123.7871</x:v>
      </x:c>
      <x:c r="F2856" s="153" t="n">
        <x:v>20.19</x:v>
      </x:c>
      <x:c r="G2856" s="153" t="n">
        <x:v>5.33</x:v>
      </x:c>
    </x:row>
    <x:row r="2857">
      <x:c r="A2857" s="155" t="n">
        <x:v>45225</x:v>
      </x:c>
      <x:c r="B2857" s="153" t="n">
        <x:v>4.86</x:v>
      </x:c>
      <x:c r="C2857" s="153" t="n">
        <x:v>2.44</x:v>
      </x:c>
      <x:c r="D2857" s="153" t="n">
        <x:v>2.42</x:v>
      </x:c>
      <x:c r="E2857" s="153" t="n">
        <x:v>124.0064</x:v>
      </x:c>
      <x:c r="F2857" s="153" t="n">
        <x:v>20.68</x:v>
      </x:c>
      <x:c r="G2857" s="153" t="n">
        <x:v>5.33</x:v>
      </x:c>
    </x:row>
    <x:row r="2858">
      <x:c r="A2858" s="155" t="n">
        <x:v>45226</x:v>
      </x:c>
      <x:c r="B2858" s="153" t="n">
        <x:v>4.84</x:v>
      </x:c>
      <x:c r="C2858" s="153" t="n">
        <x:v>2.42</x:v>
      </x:c>
      <x:c r="D2858" s="153" t="n">
        <x:v>2.42</x:v>
      </x:c>
      <x:c r="E2858" s="153" t="n">
        <x:v>123.62</x:v>
      </x:c>
      <x:c r="F2858" s="153" t="n">
        <x:v>21.27</x:v>
      </x:c>
      <x:c r="G2858" s="153" t="n">
        <x:v>5.33</x:v>
      </x:c>
    </x:row>
    <x:row r="2859">
      <x:c r="A2859" s="155" t="n">
        <x:v>45227</x:v>
      </x:c>
      <x:c r="B2859" s="153"/>
      <x:c r="C2859" s="153"/>
      <x:c r="D2859" s="153"/>
      <x:c r="E2859" s="153"/>
      <x:c r="F2859" s="153"/>
      <x:c r="G2859" s="153" t="n">
        <x:v>5.33</x:v>
      </x:c>
    </x:row>
    <x:row r="2860">
      <x:c r="A2860" s="155" t="n">
        <x:v>45228</x:v>
      </x:c>
      <x:c r="B2860" s="153"/>
      <x:c r="C2860" s="153"/>
      <x:c r="D2860" s="153"/>
      <x:c r="E2860" s="153"/>
      <x:c r="F2860" s="153"/>
      <x:c r="G2860" s="153" t="n">
        <x:v>5.33</x:v>
      </x:c>
    </x:row>
    <x:row r="2861">
      <x:c r="A2861" s="155" t="n">
        <x:v>45229</x:v>
      </x:c>
      <x:c r="B2861" s="153" t="n">
        <x:v>4.88</x:v>
      </x:c>
      <x:c r="C2861" s="153" t="n">
        <x:v>2.44</x:v>
      </x:c>
      <x:c r="D2861" s="153" t="n">
        <x:v>2.44</x:v>
      </x:c>
      <x:c r="E2861" s="153" t="n">
        <x:v>123.4076</x:v>
      </x:c>
      <x:c r="F2861" s="153" t="n">
        <x:v>19.75</x:v>
      </x:c>
      <x:c r="G2861" s="153" t="n">
        <x:v>5.33</x:v>
      </x:c>
    </x:row>
    <x:row r="2862">
      <x:c r="A2862" s="155" t="n">
        <x:v>45230</x:v>
      </x:c>
      <x:c r="B2862" s="153" t="n">
        <x:v>4.88</x:v>
      </x:c>
      <x:c r="C2862" s="153" t="n">
        <x:v>2.46</x:v>
      </x:c>
      <x:c r="D2862" s="153" t="n">
        <x:v>2.42</x:v>
      </x:c>
      <x:c r="E2862" s="153" t="n">
        <x:v>123.8364</x:v>
      </x:c>
      <x:c r="F2862" s="153" t="n">
        <x:v>18.14</x:v>
      </x:c>
      <x:c r="G2862" s="153" t="n">
        <x:v>5.33</x:v>
      </x:c>
    </x:row>
    <x:row r="2863">
      <x:c r="A2863" s="155" t="n">
        <x:v>45231</x:v>
      </x:c>
      <x:c r="B2863" s="153" t="n">
        <x:v>4.77</x:v>
      </x:c>
      <x:c r="C2863" s="153" t="n">
        <x:v>2.36</x:v>
      </x:c>
      <x:c r="D2863" s="153" t="n">
        <x:v>2.41</x:v>
      </x:c>
      <x:c r="E2863" s="153" t="n">
        <x:v>123.7922</x:v>
      </x:c>
      <x:c r="F2863" s="153" t="n">
        <x:v>16.87</x:v>
      </x:c>
      <x:c r="G2863" s="153" t="n">
        <x:v>5.33</x:v>
      </x:c>
    </x:row>
    <x:row r="2864">
      <x:c r="A2864" s="155" t="n">
        <x:v>45232</x:v>
      </x:c>
      <x:c r="B2864" s="153" t="n">
        <x:v>4.67</x:v>
      </x:c>
      <x:c r="C2864" s="153" t="n">
        <x:v>2.27</x:v>
      </x:c>
      <x:c r="D2864" s="153" t="n">
        <x:v>2.4</x:v>
      </x:c>
      <x:c r="E2864" s="153" t="n">
        <x:v>122.8818</x:v>
      </x:c>
      <x:c r="F2864" s="153" t="n">
        <x:v>15.66</x:v>
      </x:c>
      <x:c r="G2864" s="153" t="n">
        <x:v>5.33</x:v>
      </x:c>
    </x:row>
    <x:row r="2865">
      <x:c r="A2865" s="155" t="n">
        <x:v>45233</x:v>
      </x:c>
      <x:c r="B2865" s="153" t="n">
        <x:v>4.57</x:v>
      </x:c>
      <x:c r="C2865" s="153" t="n">
        <x:v>2.18</x:v>
      </x:c>
      <x:c r="D2865" s="153" t="n">
        <x:v>2.39</x:v>
      </x:c>
      <x:c r="E2865" s="153" t="n">
        <x:v>121.7564</x:v>
      </x:c>
      <x:c r="F2865" s="153" t="n">
        <x:v>14.91</x:v>
      </x:c>
      <x:c r="G2865" s="153" t="n">
        <x:v>5.33</x:v>
      </x:c>
    </x:row>
    <x:row r="2866">
      <x:c r="A2866" s="155" t="n">
        <x:v>45234</x:v>
      </x:c>
      <x:c r="B2866" s="153"/>
      <x:c r="C2866" s="153"/>
      <x:c r="D2866" s="153"/>
      <x:c r="E2866" s="153"/>
      <x:c r="F2866" s="153"/>
      <x:c r="G2866" s="153" t="n">
        <x:v>5.33</x:v>
      </x:c>
    </x:row>
    <x:row r="2867">
      <x:c r="A2867" s="155" t="n">
        <x:v>45235</x:v>
      </x:c>
      <x:c r="B2867" s="153"/>
      <x:c r="C2867" s="153"/>
      <x:c r="D2867" s="153"/>
      <x:c r="E2867" s="153"/>
      <x:c r="F2867" s="153"/>
      <x:c r="G2867" s="153" t="n">
        <x:v>5.33</x:v>
      </x:c>
    </x:row>
    <x:row r="2868">
      <x:c r="A2868" s="155" t="n">
        <x:v>45236</x:v>
      </x:c>
      <x:c r="B2868" s="153" t="n">
        <x:v>4.67</x:v>
      </x:c>
      <x:c r="C2868" s="153" t="n">
        <x:v>2.25</x:v>
      </x:c>
      <x:c r="D2868" s="153" t="n">
        <x:v>2.42</x:v>
      </x:c>
      <x:c r="E2868" s="153" t="n">
        <x:v>121.6484</x:v>
      </x:c>
      <x:c r="F2868" s="153" t="n">
        <x:v>14.89</x:v>
      </x:c>
      <x:c r="G2868" s="153" t="n">
        <x:v>5.33</x:v>
      </x:c>
    </x:row>
    <x:row r="2869">
      <x:c r="A2869" s="155" t="n">
        <x:v>45237</x:v>
      </x:c>
      <x:c r="B2869" s="153" t="n">
        <x:v>4.58</x:v>
      </x:c>
      <x:c r="C2869" s="153" t="n">
        <x:v>2.19</x:v>
      </x:c>
      <x:c r="D2869" s="153" t="n">
        <x:v>2.39</x:v>
      </x:c>
      <x:c r="E2869" s="153" t="n">
        <x:v>122.0777</x:v>
      </x:c>
      <x:c r="F2869" s="153" t="n">
        <x:v>14.81</x:v>
      </x:c>
      <x:c r="G2869" s="153" t="n">
        <x:v>5.33</x:v>
      </x:c>
    </x:row>
    <x:row r="2870">
      <x:c r="A2870" s="155" t="n">
        <x:v>45238</x:v>
      </x:c>
      <x:c r="B2870" s="153" t="n">
        <x:v>4.49</x:v>
      </x:c>
      <x:c r="C2870" s="153" t="n">
        <x:v>2.15</x:v>
      </x:c>
      <x:c r="D2870" s="153" t="n">
        <x:v>2.34</x:v>
      </x:c>
      <x:c r="E2870" s="153" t="n">
        <x:v>122.0926</x:v>
      </x:c>
      <x:c r="F2870" s="153" t="n">
        <x:v>14.45</x:v>
      </x:c>
      <x:c r="G2870" s="153" t="n">
        <x:v>5.33</x:v>
      </x:c>
    </x:row>
    <x:row r="2871">
      <x:c r="A2871" s="155" t="n">
        <x:v>45239</x:v>
      </x:c>
      <x:c r="B2871" s="153" t="n">
        <x:v>4.62</x:v>
      </x:c>
      <x:c r="C2871" s="153" t="n">
        <x:v>2.29</x:v>
      </x:c>
      <x:c r="D2871" s="153" t="n">
        <x:v>2.33</x:v>
      </x:c>
      <x:c r="E2871" s="153" t="n">
        <x:v>122.1281</x:v>
      </x:c>
      <x:c r="F2871" s="153" t="n">
        <x:v>15.29</x:v>
      </x:c>
      <x:c r="G2871" s="153" t="n">
        <x:v>5.33</x:v>
      </x:c>
    </x:row>
    <x:row r="2872">
      <x:c r="A2872" s="155" t="n">
        <x:v>45240</x:v>
      </x:c>
      <x:c r="B2872" s="153" t="n">
        <x:v>4.61</x:v>
      </x:c>
      <x:c r="C2872" s="153" t="n">
        <x:v>2.29</x:v>
      </x:c>
      <x:c r="D2872" s="153" t="n">
        <x:v>2.32</x:v>
      </x:c>
      <x:c r="E2872" s="153"/>
      <x:c r="F2872" s="153" t="n">
        <x:v>14.17</x:v>
      </x:c>
      <x:c r="G2872" s="153" t="n">
        <x:v>5.33</x:v>
      </x:c>
    </x:row>
    <x:row r="2873">
      <x:c r="A2873" s="155" t="n">
        <x:v>45241</x:v>
      </x:c>
      <x:c r="B2873" s="153"/>
      <x:c r="C2873" s="153"/>
      <x:c r="D2873" s="153"/>
      <x:c r="E2873" s="153"/>
      <x:c r="F2873" s="153"/>
      <x:c r="G2873" s="153" t="n">
        <x:v>5.33</x:v>
      </x:c>
    </x:row>
    <x:row r="2874">
      <x:c r="A2874" s="155" t="n">
        <x:v>45242</x:v>
      </x:c>
      <x:c r="B2874" s="153"/>
      <x:c r="C2874" s="153"/>
      <x:c r="D2874" s="153"/>
      <x:c r="E2874" s="153"/>
      <x:c r="F2874" s="153"/>
      <x:c r="G2874" s="153" t="n">
        <x:v>5.33</x:v>
      </x:c>
    </x:row>
    <x:row r="2875">
      <x:c r="A2875" s="155" t="n">
        <x:v>45243</x:v>
      </x:c>
      <x:c r="B2875" s="153" t="n">
        <x:v>4.63</x:v>
      </x:c>
      <x:c r="C2875" s="153" t="n">
        <x:v>2.32</x:v>
      </x:c>
      <x:c r="D2875" s="153" t="n">
        <x:v>2.31</x:v>
      </x:c>
      <x:c r="E2875" s="153" t="n">
        <x:v>122.4264</x:v>
      </x:c>
      <x:c r="F2875" s="153" t="n">
        <x:v>14.76</x:v>
      </x:c>
      <x:c r="G2875" s="153" t="n">
        <x:v>5.33</x:v>
      </x:c>
    </x:row>
    <x:row r="2876">
      <x:c r="A2876" s="155" t="n">
        <x:v>45244</x:v>
      </x:c>
      <x:c r="B2876" s="153" t="n">
        <x:v>4.44</x:v>
      </x:c>
      <x:c r="C2876" s="153" t="n">
        <x:v>2.16</x:v>
      </x:c>
      <x:c r="D2876" s="153" t="n">
        <x:v>2.28</x:v>
      </x:c>
      <x:c r="E2876" s="153" t="n">
        <x:v>121.35</x:v>
      </x:c>
      <x:c r="F2876" s="153" t="n">
        <x:v>14.16</x:v>
      </x:c>
      <x:c r="G2876" s="153" t="n">
        <x:v>5.33</x:v>
      </x:c>
    </x:row>
    <x:row r="2877">
      <x:c r="A2877" s="155" t="n">
        <x:v>45245</x:v>
      </x:c>
      <x:c r="B2877" s="153" t="n">
        <x:v>4.53</x:v>
      </x:c>
      <x:c r="C2877" s="153" t="n">
        <x:v>2.22</x:v>
      </x:c>
      <x:c r="D2877" s="153" t="n">
        <x:v>2.31</x:v>
      </x:c>
      <x:c r="E2877" s="153" t="n">
        <x:v>121.0749</x:v>
      </x:c>
      <x:c r="F2877" s="153" t="n">
        <x:v>14.18</x:v>
      </x:c>
      <x:c r="G2877" s="153" t="n">
        <x:v>5.33</x:v>
      </x:c>
    </x:row>
    <x:row r="2878">
      <x:c r="A2878" s="155" t="n">
        <x:v>45246</x:v>
      </x:c>
      <x:c r="B2878" s="153" t="n">
        <x:v>4.45</x:v>
      </x:c>
      <x:c r="C2878" s="153" t="n">
        <x:v>2.18</x:v>
      </x:c>
      <x:c r="D2878" s="153" t="n">
        <x:v>2.27</x:v>
      </x:c>
      <x:c r="E2878" s="153" t="n">
        <x:v>121.1754</x:v>
      </x:c>
      <x:c r="F2878" s="153" t="n">
        <x:v>14.32</x:v>
      </x:c>
      <x:c r="G2878" s="153" t="n">
        <x:v>5.33</x:v>
      </x:c>
    </x:row>
    <x:row r="2879">
      <x:c r="A2879" s="155" t="n">
        <x:v>45247</x:v>
      </x:c>
      <x:c r="B2879" s="153" t="n">
        <x:v>4.44</x:v>
      </x:c>
      <x:c r="C2879" s="153" t="n">
        <x:v>2.16</x:v>
      </x:c>
      <x:c r="D2879" s="153" t="n">
        <x:v>2.28</x:v>
      </x:c>
      <x:c r="E2879" s="153" t="n">
        <x:v>120.8477</x:v>
      </x:c>
      <x:c r="F2879" s="153" t="n">
        <x:v>13.8</x:v>
      </x:c>
      <x:c r="G2879" s="153" t="n">
        <x:v>5.33</x:v>
      </x:c>
    </x:row>
    <x:row r="2880">
      <x:c r="A2880" s="155" t="n">
        <x:v>45248</x:v>
      </x:c>
      <x:c r="B2880" s="153"/>
      <x:c r="C2880" s="153"/>
      <x:c r="D2880" s="153"/>
      <x:c r="E2880" s="153"/>
      <x:c r="F2880" s="153"/>
      <x:c r="G2880" s="153" t="n">
        <x:v>5.33</x:v>
      </x:c>
    </x:row>
    <x:row r="2881">
      <x:c r="A2881" s="155" t="n">
        <x:v>45249</x:v>
      </x:c>
      <x:c r="B2881" s="153"/>
      <x:c r="C2881" s="153"/>
      <x:c r="D2881" s="153"/>
      <x:c r="E2881" s="153"/>
      <x:c r="F2881" s="153"/>
      <x:c r="G2881" s="153" t="n">
        <x:v>5.33</x:v>
      </x:c>
    </x:row>
    <x:row r="2882">
      <x:c r="A2882" s="155" t="n">
        <x:v>45250</x:v>
      </x:c>
      <x:c r="B2882" s="153" t="n">
        <x:v>4.42</x:v>
      </x:c>
      <x:c r="C2882" s="153" t="n">
        <x:v>2.12</x:v>
      </x:c>
      <x:c r="D2882" s="153" t="n">
        <x:v>2.3</x:v>
      </x:c>
      <x:c r="E2882" s="153" t="n">
        <x:v>120.2533</x:v>
      </x:c>
      <x:c r="F2882" s="153" t="n">
        <x:v>13.41</x:v>
      </x:c>
      <x:c r="G2882" s="153" t="n">
        <x:v>5.33</x:v>
      </x:c>
    </x:row>
    <x:row r="2883">
      <x:c r="A2883" s="155" t="n">
        <x:v>45251</x:v>
      </x:c>
      <x:c r="B2883" s="153" t="n">
        <x:v>4.41</x:v>
      </x:c>
      <x:c r="C2883" s="153" t="n">
        <x:v>2.16</x:v>
      </x:c>
      <x:c r="D2883" s="153" t="n">
        <x:v>2.25</x:v>
      </x:c>
      <x:c r="E2883" s="153" t="n">
        <x:v>120.2241</x:v>
      </x:c>
      <x:c r="F2883" s="153" t="n">
        <x:v>13.35</x:v>
      </x:c>
      <x:c r="G2883" s="153" t="n">
        <x:v>5.33</x:v>
      </x:c>
    </x:row>
    <x:row r="2884">
      <x:c r="A2884" s="155" t="n">
        <x:v>45252</x:v>
      </x:c>
      <x:c r="B2884" s="153" t="n">
        <x:v>4.42</x:v>
      </x:c>
      <x:c r="C2884" s="153" t="n">
        <x:v>2.16</x:v>
      </x:c>
      <x:c r="D2884" s="153" t="n">
        <x:v>2.26</x:v>
      </x:c>
      <x:c r="E2884" s="153" t="n">
        <x:v>120.6802</x:v>
      </x:c>
      <x:c r="F2884" s="153" t="n">
        <x:v>12.85</x:v>
      </x:c>
      <x:c r="G2884" s="153" t="n">
        <x:v>5.33</x:v>
      </x:c>
    </x:row>
    <x:row r="2885">
      <x:c r="A2885" s="155" t="n">
        <x:v>45253</x:v>
      </x:c>
      <x:c r="B2885" s="153"/>
      <x:c r="C2885" s="153"/>
      <x:c r="D2885" s="153"/>
      <x:c r="E2885" s="153"/>
      <x:c r="F2885" s="153" t="n">
        <x:v>12.8</x:v>
      </x:c>
      <x:c r="G2885" s="153" t="n">
        <x:v>5.33</x:v>
      </x:c>
    </x:row>
    <x:row r="2886">
      <x:c r="A2886" s="155" t="n">
        <x:v>45254</x:v>
      </x:c>
      <x:c r="B2886" s="153" t="n">
        <x:v>4.47</x:v>
      </x:c>
      <x:c r="C2886" s="153" t="n">
        <x:v>2.21</x:v>
      </x:c>
      <x:c r="D2886" s="153" t="n">
        <x:v>2.26</x:v>
      </x:c>
      <x:c r="E2886" s="153" t="n">
        <x:v>120.2105</x:v>
      </x:c>
      <x:c r="F2886" s="153" t="n">
        <x:v>12.46</x:v>
      </x:c>
      <x:c r="G2886" s="153" t="n">
        <x:v>5.33</x:v>
      </x:c>
    </x:row>
    <x:row r="2887">
      <x:c r="A2887" s="155" t="n">
        <x:v>45255</x:v>
      </x:c>
      <x:c r="B2887" s="153"/>
      <x:c r="C2887" s="153"/>
      <x:c r="D2887" s="153"/>
      <x:c r="E2887" s="153"/>
      <x:c r="F2887" s="153"/>
      <x:c r="G2887" s="153" t="n">
        <x:v>5.33</x:v>
      </x:c>
    </x:row>
    <x:row r="2888">
      <x:c r="A2888" s="155" t="n">
        <x:v>45256</x:v>
      </x:c>
      <x:c r="B2888" s="153"/>
      <x:c r="C2888" s="153"/>
      <x:c r="D2888" s="153"/>
      <x:c r="E2888" s="153"/>
      <x:c r="F2888" s="153"/>
      <x:c r="G2888" s="153" t="n">
        <x:v>5.33</x:v>
      </x:c>
    </x:row>
    <x:row r="2889">
      <x:c r="A2889" s="155" t="n">
        <x:v>45257</x:v>
      </x:c>
      <x:c r="B2889" s="153" t="n">
        <x:v>4.39</x:v>
      </x:c>
      <x:c r="C2889" s="153" t="n">
        <x:v>2.18</x:v>
      </x:c>
      <x:c r="D2889" s="153" t="n">
        <x:v>2.21</x:v>
      </x:c>
      <x:c r="E2889" s="153" t="n">
        <x:v>120.173</x:v>
      </x:c>
      <x:c r="F2889" s="153" t="n">
        <x:v>12.69</x:v>
      </x:c>
      <x:c r="G2889" s="153" t="n">
        <x:v>5.33</x:v>
      </x:c>
    </x:row>
    <x:row r="2890">
      <x:c r="A2890" s="155" t="n">
        <x:v>45258</x:v>
      </x:c>
      <x:c r="B2890" s="153" t="n">
        <x:v>4.34</x:v>
      </x:c>
      <x:c r="C2890" s="153" t="n">
        <x:v>2.12</x:v>
      </x:c>
      <x:c r="D2890" s="153" t="n">
        <x:v>2.22</x:v>
      </x:c>
      <x:c r="E2890" s="153" t="n">
        <x:v>119.5904</x:v>
      </x:c>
      <x:c r="F2890" s="153" t="n">
        <x:v>12.69</x:v>
      </x:c>
      <x:c r="G2890" s="153" t="n">
        <x:v>5.33</x:v>
      </x:c>
    </x:row>
    <x:row r="2891">
      <x:c r="A2891" s="155" t="n">
        <x:v>45259</x:v>
      </x:c>
      <x:c r="B2891" s="153" t="n">
        <x:v>4.27</x:v>
      </x:c>
      <x:c r="C2891" s="153" t="n">
        <x:v>2.06</x:v>
      </x:c>
      <x:c r="D2891" s="153" t="n">
        <x:v>2.21</x:v>
      </x:c>
      <x:c r="E2891" s="153" t="n">
        <x:v>119.8159</x:v>
      </x:c>
      <x:c r="F2891" s="153" t="n">
        <x:v>12.98</x:v>
      </x:c>
      <x:c r="G2891" s="153" t="n">
        <x:v>5.33</x:v>
      </x:c>
    </x:row>
    <x:row r="2892">
      <x:c r="A2892" s="155" t="n">
        <x:v>45260</x:v>
      </x:c>
      <x:c r="B2892" s="153" t="n">
        <x:v>4.37</x:v>
      </x:c>
      <x:c r="C2892" s="153" t="n">
        <x:v>2.14</x:v>
      </x:c>
      <x:c r="D2892" s="153" t="n">
        <x:v>2.23</x:v>
      </x:c>
      <x:c r="E2892" s="153" t="n">
        <x:v>120.2434</x:v>
      </x:c>
      <x:c r="F2892" s="153" t="n">
        <x:v>12.92</x:v>
      </x:c>
      <x:c r="G2892" s="153" t="n">
        <x:v>5.33</x:v>
      </x:c>
    </x:row>
    <x:row r="2893">
      <x:c r="A2893" s="155" t="n">
        <x:v>45261</x:v>
      </x:c>
      <x:c r="B2893" s="153" t="n">
        <x:v>4.22</x:v>
      </x:c>
      <x:c r="C2893" s="153" t="n">
        <x:v>2</x:v>
      </x:c>
      <x:c r="D2893" s="153" t="n">
        <x:v>2.22</x:v>
      </x:c>
      <x:c r="E2893" s="153" t="n">
        <x:v>119.9424</x:v>
      </x:c>
      <x:c r="F2893" s="153" t="n">
        <x:v>12.63</x:v>
      </x:c>
      <x:c r="G2893" s="153" t="n">
        <x:v>5.33</x:v>
      </x:c>
    </x:row>
    <x:row r="2894">
      <x:c r="A2894" s="155" t="n">
        <x:v>45262</x:v>
      </x:c>
      <x:c r="B2894" s="153"/>
      <x:c r="C2894" s="153"/>
      <x:c r="D2894" s="153"/>
      <x:c r="E2894" s="153"/>
      <x:c r="F2894" s="153"/>
      <x:c r="G2894" s="153" t="n">
        <x:v>5.33</x:v>
      </x:c>
    </x:row>
    <x:row r="2895">
      <x:c r="A2895" s="155" t="n">
        <x:v>45263</x:v>
      </x:c>
      <x:c r="B2895" s="153"/>
      <x:c r="C2895" s="153"/>
      <x:c r="D2895" s="153"/>
      <x:c r="E2895" s="153"/>
      <x:c r="F2895" s="153"/>
      <x:c r="G2895" s="153" t="n">
        <x:v>5.33</x:v>
      </x:c>
    </x:row>
    <x:row r="2896">
      <x:c r="A2896" s="155" t="n">
        <x:v>45264</x:v>
      </x:c>
      <x:c r="B2896" s="153" t="n">
        <x:v>4.28</x:v>
      </x:c>
      <x:c r="C2896" s="153" t="n">
        <x:v>2.07</x:v>
      </x:c>
      <x:c r="D2896" s="153" t="n">
        <x:v>2.21</x:v>
      </x:c>
      <x:c r="E2896" s="153" t="n">
        <x:v>120.4727</x:v>
      </x:c>
      <x:c r="F2896" s="153" t="n">
        <x:v>13.08</x:v>
      </x:c>
      <x:c r="G2896" s="153" t="n">
        <x:v>5.33</x:v>
      </x:c>
    </x:row>
    <x:row r="2897">
      <x:c r="A2897" s="155" t="n">
        <x:v>45265</x:v>
      </x:c>
      <x:c r="B2897" s="153" t="n">
        <x:v>4.18</x:v>
      </x:c>
      <x:c r="C2897" s="153" t="n">
        <x:v>2.01</x:v>
      </x:c>
      <x:c r="D2897" s="153" t="n">
        <x:v>2.17</x:v>
      </x:c>
      <x:c r="E2897" s="153" t="n">
        <x:v>120.7913</x:v>
      </x:c>
      <x:c r="F2897" s="153" t="n">
        <x:v>12.85</x:v>
      </x:c>
      <x:c r="G2897" s="153" t="n">
        <x:v>5.33</x:v>
      </x:c>
    </x:row>
    <x:row r="2898">
      <x:c r="A2898" s="155" t="n">
        <x:v>45266</x:v>
      </x:c>
      <x:c r="B2898" s="153" t="n">
        <x:v>4.12</x:v>
      </x:c>
      <x:c r="C2898" s="153" t="n">
        <x:v>1.98</x:v>
      </x:c>
      <x:c r="D2898" s="153" t="n">
        <x:v>2.14</x:v>
      </x:c>
      <x:c r="E2898" s="153" t="n">
        <x:v>120.5334</x:v>
      </x:c>
      <x:c r="F2898" s="153" t="n">
        <x:v>12.97</x:v>
      </x:c>
      <x:c r="G2898" s="153" t="n">
        <x:v>5.33</x:v>
      </x:c>
    </x:row>
    <x:row r="2899">
      <x:c r="A2899" s="155" t="n">
        <x:v>45267</x:v>
      </x:c>
      <x:c r="B2899" s="153" t="n">
        <x:v>4.14</x:v>
      </x:c>
      <x:c r="C2899" s="153" t="n">
        <x:v>1.97</x:v>
      </x:c>
      <x:c r="D2899" s="153" t="n">
        <x:v>2.17</x:v>
      </x:c>
      <x:c r="E2899" s="153" t="n">
        <x:v>120.6013</x:v>
      </x:c>
      <x:c r="F2899" s="153" t="n">
        <x:v>13.06</x:v>
      </x:c>
      <x:c r="G2899" s="153" t="n">
        <x:v>5.33</x:v>
      </x:c>
    </x:row>
    <x:row r="2900">
      <x:c r="A2900" s="155" t="n">
        <x:v>45268</x:v>
      </x:c>
      <x:c r="B2900" s="153" t="n">
        <x:v>4.23</x:v>
      </x:c>
      <x:c r="C2900" s="153" t="n">
        <x:v>2.02</x:v>
      </x:c>
      <x:c r="D2900" s="153" t="n">
        <x:v>2.21</x:v>
      </x:c>
      <x:c r="E2900" s="153" t="n">
        <x:v>120.7607</x:v>
      </x:c>
      <x:c r="F2900" s="153" t="n">
        <x:v>12.35</x:v>
      </x:c>
      <x:c r="G2900" s="153" t="n">
        <x:v>5.33</x:v>
      </x:c>
    </x:row>
    <x:row r="2901">
      <x:c r="A2901" s="155" t="n">
        <x:v>45269</x:v>
      </x:c>
      <x:c r="B2901" s="153"/>
      <x:c r="C2901" s="153"/>
      <x:c r="D2901" s="153"/>
      <x:c r="E2901" s="153"/>
      <x:c r="F2901" s="153"/>
      <x:c r="G2901" s="153" t="n">
        <x:v>5.33</x:v>
      </x:c>
    </x:row>
    <x:row r="2902">
      <x:c r="A2902" s="155" t="n">
        <x:v>45270</x:v>
      </x:c>
      <x:c r="B2902" s="153"/>
      <x:c r="C2902" s="153"/>
      <x:c r="D2902" s="153"/>
      <x:c r="E2902" s="153"/>
      <x:c r="F2902" s="153"/>
      <x:c r="G2902" s="153" t="n">
        <x:v>5.33</x:v>
      </x:c>
    </x:row>
    <x:row r="2903">
      <x:c r="A2903" s="155" t="n">
        <x:v>45271</x:v>
      </x:c>
      <x:c r="B2903" s="153" t="n">
        <x:v>4.23</x:v>
      </x:c>
      <x:c r="C2903" s="153" t="n">
        <x:v>2.04</x:v>
      </x:c>
      <x:c r="D2903" s="153" t="n">
        <x:v>2.19</x:v>
      </x:c>
      <x:c r="E2903" s="153" t="n">
        <x:v>120.9279</x:v>
      </x:c>
      <x:c r="F2903" s="153" t="n">
        <x:v>12.63</x:v>
      </x:c>
      <x:c r="G2903" s="153" t="n">
        <x:v>5.33</x:v>
      </x:c>
    </x:row>
    <x:row r="2904">
      <x:c r="A2904" s="155" t="n">
        <x:v>45272</x:v>
      </x:c>
      <x:c r="B2904" s="153" t="n">
        <x:v>4.2</x:v>
      </x:c>
      <x:c r="C2904" s="153" t="n">
        <x:v>2.04</x:v>
      </x:c>
      <x:c r="D2904" s="153" t="n">
        <x:v>2.16</x:v>
      </x:c>
      <x:c r="E2904" s="153" t="n">
        <x:v>120.6817</x:v>
      </x:c>
      <x:c r="F2904" s="153" t="n">
        <x:v>12.07</x:v>
      </x:c>
      <x:c r="G2904" s="153" t="n">
        <x:v>5.33</x:v>
      </x:c>
    </x:row>
    <x:row r="2905">
      <x:c r="A2905" s="155" t="n">
        <x:v>45273</x:v>
      </x:c>
      <x:c r="B2905" s="153" t="n">
        <x:v>4.04</x:v>
      </x:c>
      <x:c r="C2905" s="153" t="n">
        <x:v>1.88</x:v>
      </x:c>
      <x:c r="D2905" s="153" t="n">
        <x:v>2.16</x:v>
      </x:c>
      <x:c r="E2905" s="153" t="n">
        <x:v>121.1571</x:v>
      </x:c>
      <x:c r="F2905" s="153" t="n">
        <x:v>12.19</x:v>
      </x:c>
      <x:c r="G2905" s="153" t="n">
        <x:v>5.33</x:v>
      </x:c>
    </x:row>
    <x:row r="2906">
      <x:c r="A2906" s="155" t="n">
        <x:v>45274</x:v>
      </x:c>
      <x:c r="B2906" s="153" t="n">
        <x:v>3.92</x:v>
      </x:c>
      <x:c r="C2906" s="153" t="n">
        <x:v>1.7</x:v>
      </x:c>
      <x:c r="D2906" s="153" t="n">
        <x:v>2.22</x:v>
      </x:c>
      <x:c r="E2906" s="153" t="n">
        <x:v>119.5683</x:v>
      </x:c>
      <x:c r="F2906" s="153" t="n">
        <x:v>12.48</x:v>
      </x:c>
      <x:c r="G2906" s="153" t="n">
        <x:v>5.33</x:v>
      </x:c>
    </x:row>
    <x:row r="2907">
      <x:c r="A2907" s="155" t="n">
        <x:v>45275</x:v>
      </x:c>
      <x:c r="B2907" s="153" t="n">
        <x:v>3.91</x:v>
      </x:c>
      <x:c r="C2907" s="153" t="n">
        <x:v>1.69</x:v>
      </x:c>
      <x:c r="D2907" s="153" t="n">
        <x:v>2.22</x:v>
      </x:c>
      <x:c r="E2907" s="153" t="n">
        <x:v>119.7382</x:v>
      </x:c>
      <x:c r="F2907" s="153" t="n">
        <x:v>12.28</x:v>
      </x:c>
      <x:c r="G2907" s="153" t="n">
        <x:v>5.33</x:v>
      </x:c>
    </x:row>
    <x:row r="2908">
      <x:c r="A2908" s="155" t="n">
        <x:v>45276</x:v>
      </x:c>
      <x:c r="B2908" s="153"/>
      <x:c r="C2908" s="153"/>
      <x:c r="D2908" s="153"/>
      <x:c r="E2908" s="153"/>
      <x:c r="F2908" s="153"/>
      <x:c r="G2908" s="153" t="n">
        <x:v>5.33</x:v>
      </x:c>
    </x:row>
    <x:row r="2909">
      <x:c r="A2909" s="155" t="n">
        <x:v>45277</x:v>
      </x:c>
      <x:c r="B2909" s="153"/>
      <x:c r="C2909" s="153"/>
      <x:c r="D2909" s="153"/>
      <x:c r="E2909" s="153"/>
      <x:c r="F2909" s="153"/>
      <x:c r="G2909" s="153" t="n">
        <x:v>5.33</x:v>
      </x:c>
    </x:row>
    <x:row r="2910">
      <x:c r="A2910" s="155" t="n">
        <x:v>45278</x:v>
      </x:c>
      <x:c r="B2910" s="153" t="n">
        <x:v>3.95</x:v>
      </x:c>
      <x:c r="C2910" s="153" t="n">
        <x:v>1.74</x:v>
      </x:c>
      <x:c r="D2910" s="153" t="n">
        <x:v>2.21</x:v>
      </x:c>
      <x:c r="E2910" s="153" t="n">
        <x:v>119.9102</x:v>
      </x:c>
      <x:c r="F2910" s="153" t="n">
        <x:v>12.56</x:v>
      </x:c>
      <x:c r="G2910" s="153" t="n">
        <x:v>5.33</x:v>
      </x:c>
    </x:row>
    <x:row r="2911">
      <x:c r="A2911" s="155" t="n">
        <x:v>45279</x:v>
      </x:c>
      <x:c r="B2911" s="153" t="n">
        <x:v>3.93</x:v>
      </x:c>
      <x:c r="C2911" s="153" t="n">
        <x:v>1.74</x:v>
      </x:c>
      <x:c r="D2911" s="153" t="n">
        <x:v>2.19</x:v>
      </x:c>
      <x:c r="E2911" s="153" t="n">
        <x:v>119.4632</x:v>
      </x:c>
      <x:c r="F2911" s="153" t="n">
        <x:v>12.53</x:v>
      </x:c>
      <x:c r="G2911" s="153" t="n">
        <x:v>5.33</x:v>
      </x:c>
    </x:row>
    <x:row r="2912">
      <x:c r="A2912" s="155" t="n">
        <x:v>45280</x:v>
      </x:c>
      <x:c r="B2912" s="153" t="n">
        <x:v>3.86</x:v>
      </x:c>
      <x:c r="C2912" s="153" t="n">
        <x:v>1.67</x:v>
      </x:c>
      <x:c r="D2912" s="153" t="n">
        <x:v>2.19</x:v>
      </x:c>
      <x:c r="E2912" s="153" t="n">
        <x:v>119.5435</x:v>
      </x:c>
      <x:c r="F2912" s="153" t="n">
        <x:v>13.67</x:v>
      </x:c>
      <x:c r="G2912" s="153" t="n">
        <x:v>5.33</x:v>
      </x:c>
    </x:row>
    <x:row r="2913">
      <x:c r="A2913" s="155" t="n">
        <x:v>45281</x:v>
      </x:c>
      <x:c r="B2913" s="153" t="n">
        <x:v>3.89</x:v>
      </x:c>
      <x:c r="C2913" s="153" t="n">
        <x:v>1.7</x:v>
      </x:c>
      <x:c r="D2913" s="153" t="n">
        <x:v>2.19</x:v>
      </x:c>
      <x:c r="E2913" s="153" t="n">
        <x:v>119.3168</x:v>
      </x:c>
      <x:c r="F2913" s="153" t="n">
        <x:v>13.65</x:v>
      </x:c>
      <x:c r="G2913" s="153" t="n">
        <x:v>5.33</x:v>
      </x:c>
    </x:row>
    <x:row r="2914">
      <x:c r="A2914" s="155" t="n">
        <x:v>45282</x:v>
      </x:c>
      <x:c r="B2914" s="153" t="n">
        <x:v>3.9</x:v>
      </x:c>
      <x:c r="C2914" s="153" t="n">
        <x:v>1.71</x:v>
      </x:c>
      <x:c r="D2914" s="153" t="n">
        <x:v>2.19</x:v>
      </x:c>
      <x:c r="E2914" s="153" t="n">
        <x:v>119.0625</x:v>
      </x:c>
      <x:c r="F2914" s="153" t="n">
        <x:v>13.03</x:v>
      </x:c>
      <x:c r="G2914" s="153" t="n">
        <x:v>5.33</x:v>
      </x:c>
    </x:row>
    <x:row r="2915">
      <x:c r="A2915" s="155" t="n">
        <x:v>45283</x:v>
      </x:c>
      <x:c r="B2915" s="153"/>
      <x:c r="C2915" s="153"/>
      <x:c r="D2915" s="153"/>
      <x:c r="E2915" s="153"/>
      <x:c r="F2915" s="153"/>
      <x:c r="G2915" s="153" t="n">
        <x:v>5.33</x:v>
      </x:c>
    </x:row>
    <x:row r="2916">
      <x:c r="A2916" s="155" t="n">
        <x:v>45284</x:v>
      </x:c>
      <x:c r="B2916" s="153"/>
      <x:c r="C2916" s="153"/>
      <x:c r="D2916" s="153"/>
      <x:c r="E2916" s="153"/>
      <x:c r="F2916" s="153"/>
      <x:c r="G2916" s="153" t="n">
        <x:v>5.33</x:v>
      </x:c>
    </x:row>
    <x:row r="2917">
      <x:c r="A2917" s="155" t="n">
        <x:v>45285</x:v>
      </x:c>
      <x:c r="B2917" s="153"/>
      <x:c r="C2917" s="153"/>
      <x:c r="D2917" s="153"/>
      <x:c r="E2917" s="153"/>
      <x:c r="F2917" s="153"/>
      <x:c r="G2917" s="153" t="n">
        <x:v>5.33</x:v>
      </x:c>
    </x:row>
    <x:row r="2918">
      <x:c r="A2918" s="155" t="n">
        <x:v>45286</x:v>
      </x:c>
      <x:c r="B2918" s="153" t="n">
        <x:v>3.89</x:v>
      </x:c>
      <x:c r="C2918" s="153" t="n">
        <x:v>1.71</x:v>
      </x:c>
      <x:c r="D2918" s="153" t="n">
        <x:v>2.18</x:v>
      </x:c>
      <x:c r="E2918" s="153" t="n">
        <x:v>118.8875</x:v>
      </x:c>
      <x:c r="F2918" s="153" t="n">
        <x:v>12.99</x:v>
      </x:c>
      <x:c r="G2918" s="153" t="n">
        <x:v>5.33</x:v>
      </x:c>
    </x:row>
    <x:row r="2919">
      <x:c r="A2919" s="155" t="n">
        <x:v>45287</x:v>
      </x:c>
      <x:c r="B2919" s="153" t="n">
        <x:v>3.79</x:v>
      </x:c>
      <x:c r="C2919" s="153" t="n">
        <x:v>1.64</x:v>
      </x:c>
      <x:c r="D2919" s="153" t="n">
        <x:v>2.15</x:v>
      </x:c>
      <x:c r="E2919" s="153" t="n">
        <x:v>118.4729</x:v>
      </x:c>
      <x:c r="F2919" s="153" t="n">
        <x:v>12.43</x:v>
      </x:c>
      <x:c r="G2919" s="153" t="n">
        <x:v>5.33</x:v>
      </x:c>
    </x:row>
    <x:row r="2920">
      <x:c r="A2920" s="155" t="n">
        <x:v>45288</x:v>
      </x:c>
      <x:c r="B2920" s="153" t="n">
        <x:v>3.84</x:v>
      </x:c>
      <x:c r="C2920" s="153" t="n">
        <x:v>1.68</x:v>
      </x:c>
      <x:c r="D2920" s="153" t="n">
        <x:v>2.16</x:v>
      </x:c>
      <x:c r="E2920" s="153" t="n">
        <x:v>118.4104</x:v>
      </x:c>
      <x:c r="F2920" s="153" t="n">
        <x:v>12.47</x:v>
      </x:c>
      <x:c r="G2920" s="153" t="n">
        <x:v>5.33</x:v>
      </x:c>
    </x:row>
    <x:row r="2921">
      <x:c r="A2921" s="155" t="n">
        <x:v>45289</x:v>
      </x:c>
      <x:c r="B2921" s="153" t="n">
        <x:v>3.88</x:v>
      </x:c>
      <x:c r="C2921" s="153" t="n">
        <x:v>1.72</x:v>
      </x:c>
      <x:c r="D2921" s="153" t="n">
        <x:v>2.16</x:v>
      </x:c>
      <x:c r="E2921" s="153" t="n">
        <x:v>118.4208</x:v>
      </x:c>
      <x:c r="F2921" s="153" t="n">
        <x:v>12.45</x:v>
      </x:c>
      <x:c r="G2921" s="153" t="n">
        <x:v>5.33</x:v>
      </x:c>
    </x:row>
    <x:row r="2922">
      <x:c r="A2922" s="155" t="n">
        <x:v>45290</x:v>
      </x:c>
      <x:c r="B2922" s="153"/>
      <x:c r="C2922" s="153"/>
      <x:c r="D2922" s="153"/>
      <x:c r="E2922" s="153"/>
      <x:c r="F2922" s="153"/>
      <x:c r="G2922" s="153" t="n">
        <x:v>5.33</x:v>
      </x:c>
    </x:row>
    <x:row r="2923">
      <x:c r="A2923" s="155" t="n">
        <x:v>45291</x:v>
      </x:c>
      <x:c r="B2923" s="153"/>
      <x:c r="C2923" s="153"/>
      <x:c r="D2923" s="153"/>
      <x:c r="E2923" s="153"/>
      <x:c r="F2923" s="153"/>
      <x:c r="G2923" s="153" t="n">
        <x:v>5.33</x:v>
      </x:c>
    </x:row>
    <x:row r="2924">
      <x:c r="A2924" s="155" t="n">
        <x:v>45292</x:v>
      </x:c>
      <x:c r="B2924" s="153"/>
      <x:c r="C2924" s="153"/>
      <x:c r="D2924" s="153"/>
      <x:c r="E2924" s="153"/>
      <x:c r="F2924" s="153"/>
      <x:c r="G2924" s="153" t="n">
        <x:v>5.33</x:v>
      </x:c>
    </x:row>
    <x:row r="2925">
      <x:c r="A2925" s="155" t="n">
        <x:v>45293</x:v>
      </x:c>
      <x:c r="B2925" s="153" t="n">
        <x:v>3.95</x:v>
      </x:c>
      <x:c r="C2925" s="153" t="n">
        <x:v>1.74</x:v>
      </x:c>
      <x:c r="D2925" s="153" t="n">
        <x:v>2.21</x:v>
      </x:c>
      <x:c r="E2925" s="153" t="n">
        <x:v>119.2686</x:v>
      </x:c>
      <x:c r="F2925" s="153" t="n">
        <x:v>13.2</x:v>
      </x:c>
      <x:c r="G2925" s="153" t="n">
        <x:v>5.33</x:v>
      </x:c>
    </x:row>
    <x:row r="2926">
      <x:c r="A2926" s="155" t="n">
        <x:v>45294</x:v>
      </x:c>
      <x:c r="B2926" s="153" t="n">
        <x:v>3.91</x:v>
      </x:c>
      <x:c r="C2926" s="153" t="n">
        <x:v>1.71</x:v>
      </x:c>
      <x:c r="D2926" s="153" t="n">
        <x:v>2.2</x:v>
      </x:c>
      <x:c r="E2926" s="153" t="n">
        <x:v>119.6958</x:v>
      </x:c>
      <x:c r="F2926" s="153" t="n">
        <x:v>14.04</x:v>
      </x:c>
      <x:c r="G2926" s="153" t="n">
        <x:v>5.33</x:v>
      </x:c>
    </x:row>
    <x:row r="2927">
      <x:c r="A2927" s="155" t="n">
        <x:v>45295</x:v>
      </x:c>
      <x:c r="B2927" s="153" t="n">
        <x:v>3.99</x:v>
      </x:c>
      <x:c r="C2927" s="153" t="n">
        <x:v>1.77</x:v>
      </x:c>
      <x:c r="D2927" s="153" t="n">
        <x:v>2.22</x:v>
      </x:c>
      <x:c r="E2927" s="153" t="n">
        <x:v>119.6208</x:v>
      </x:c>
      <x:c r="F2927" s="153" t="n">
        <x:v>14.13</x:v>
      </x:c>
      <x:c r="G2927" s="153" t="n">
        <x:v>5.33</x:v>
      </x:c>
    </x:row>
    <x:row r="2928">
      <x:c r="A2928" s="155" t="n">
        <x:v>45296</x:v>
      </x:c>
      <x:c r="B2928" s="153" t="n">
        <x:v>4.05</x:v>
      </x:c>
      <x:c r="C2928" s="153" t="n">
        <x:v>1.83</x:v>
      </x:c>
      <x:c r="D2928" s="153" t="n">
        <x:v>2.22</x:v>
      </x:c>
      <x:c r="E2928" s="153" t="n">
        <x:v>119.388</x:v>
      </x:c>
      <x:c r="F2928" s="153" t="n">
        <x:v>13.35</x:v>
      </x:c>
      <x:c r="G2928" s="153" t="n">
        <x:v>5.33</x:v>
      </x:c>
    </x:row>
    <x:row r="2929">
      <x:c r="A2929" s="155" t="n">
        <x:v>45297</x:v>
      </x:c>
      <x:c r="B2929" s="153"/>
      <x:c r="C2929" s="153"/>
      <x:c r="D2929" s="153"/>
      <x:c r="E2929" s="153"/>
      <x:c r="F2929" s="153"/>
      <x:c r="G2929" s="153" t="n">
        <x:v>5.33</x:v>
      </x:c>
    </x:row>
    <x:row r="2930">
      <x:c r="A2930" s="155" t="n">
        <x:v>45298</x:v>
      </x:c>
      <x:c r="B2930" s="153"/>
      <x:c r="C2930" s="153"/>
      <x:c r="D2930" s="153"/>
      <x:c r="E2930" s="153"/>
      <x:c r="F2930" s="153"/>
      <x:c r="G2930" s="153" t="n">
        <x:v>5.33</x:v>
      </x:c>
    </x:row>
    <x:row r="2931">
      <x:c r="A2931" s="155" t="n">
        <x:v>45299</x:v>
      </x:c>
      <x:c r="B2931" s="153" t="n">
        <x:v>4.01</x:v>
      </x:c>
      <x:c r="C2931" s="153" t="n">
        <x:v>1.79</x:v>
      </x:c>
      <x:c r="D2931" s="153" t="n">
        <x:v>2.22</x:v>
      </x:c>
      <x:c r="E2931" s="153" t="n">
        <x:v>119.2506</x:v>
      </x:c>
      <x:c r="F2931" s="153" t="n">
        <x:v>13.08</x:v>
      </x:c>
      <x:c r="G2931" s="153" t="n">
        <x:v>5.33</x:v>
      </x:c>
    </x:row>
    <x:row r="2932">
      <x:c r="A2932" s="155" t="n">
        <x:v>45300</x:v>
      </x:c>
      <x:c r="B2932" s="153" t="n">
        <x:v>4.02</x:v>
      </x:c>
      <x:c r="C2932" s="153" t="n">
        <x:v>1.8</x:v>
      </x:c>
      <x:c r="D2932" s="153" t="n">
        <x:v>2.22</x:v>
      </x:c>
      <x:c r="E2932" s="153" t="n">
        <x:v>119.6666</x:v>
      </x:c>
      <x:c r="F2932" s="153" t="n">
        <x:v>12.76</x:v>
      </x:c>
      <x:c r="G2932" s="153" t="n">
        <x:v>5.33</x:v>
      </x:c>
    </x:row>
    <x:row r="2933">
      <x:c r="A2933" s="155" t="n">
        <x:v>45301</x:v>
      </x:c>
      <x:c r="B2933" s="153" t="n">
        <x:v>4.04</x:v>
      </x:c>
      <x:c r="C2933" s="153" t="n">
        <x:v>1.82</x:v>
      </x:c>
      <x:c r="D2933" s="153" t="n">
        <x:v>2.22</x:v>
      </x:c>
      <x:c r="E2933" s="153" t="n">
        <x:v>119.7614</x:v>
      </x:c>
      <x:c r="F2933" s="153" t="n">
        <x:v>12.69</x:v>
      </x:c>
      <x:c r="G2933" s="153" t="n">
        <x:v>5.33</x:v>
      </x:c>
    </x:row>
    <x:row r="2934">
      <x:c r="A2934" s="155" t="n">
        <x:v>45302</x:v>
      </x:c>
      <x:c r="B2934" s="153" t="n">
        <x:v>3.98</x:v>
      </x:c>
      <x:c r="C2934" s="153" t="n">
        <x:v>1.76</x:v>
      </x:c>
      <x:c r="D2934" s="153" t="n">
        <x:v>2.22</x:v>
      </x:c>
      <x:c r="E2934" s="153" t="n">
        <x:v>119.8916</x:v>
      </x:c>
      <x:c r="F2934" s="153" t="n">
        <x:v>12.44</x:v>
      </x:c>
      <x:c r="G2934" s="153" t="n">
        <x:v>5.33</x:v>
      </x:c>
    </x:row>
    <x:row r="2935">
      <x:c r="A2935" s="155" t="n">
        <x:v>45303</x:v>
      </x:c>
      <x:c r="B2935" s="153" t="n">
        <x:v>3.96</x:v>
      </x:c>
      <x:c r="C2935" s="153" t="n">
        <x:v>1.69</x:v>
      </x:c>
      <x:c r="D2935" s="153" t="n">
        <x:v>2.27</x:v>
      </x:c>
      <x:c r="E2935" s="153" t="n">
        <x:v>119.534</x:v>
      </x:c>
      <x:c r="F2935" s="153" t="n">
        <x:v>12.7</x:v>
      </x:c>
      <x:c r="G2935" s="153" t="n">
        <x:v>5.33</x:v>
      </x:c>
    </x:row>
    <x:row r="2936">
      <x:c r="A2936" s="155" t="n">
        <x:v>45304</x:v>
      </x:c>
      <x:c r="B2936" s="153"/>
      <x:c r="C2936" s="153"/>
      <x:c r="D2936" s="153"/>
      <x:c r="E2936" s="153"/>
      <x:c r="F2936" s="153"/>
      <x:c r="G2936" s="153" t="n">
        <x:v>5.33</x:v>
      </x:c>
    </x:row>
    <x:row r="2937">
      <x:c r="A2937" s="155" t="n">
        <x:v>45305</x:v>
      </x:c>
      <x:c r="B2937" s="153"/>
      <x:c r="C2937" s="153"/>
      <x:c r="D2937" s="153"/>
      <x:c r="E2937" s="153"/>
      <x:c r="F2937" s="153"/>
      <x:c r="G2937" s="153" t="n">
        <x:v>5.33</x:v>
      </x:c>
    </x:row>
    <x:row r="2938">
      <x:c r="A2938" s="155" t="n">
        <x:v>45306</x:v>
      </x:c>
      <x:c r="B2938" s="153"/>
      <x:c r="C2938" s="153"/>
      <x:c r="D2938" s="153"/>
      <x:c r="E2938" s="153"/>
      <x:c r="F2938" s="153" t="n">
        <x:v>13.25</x:v>
      </x:c>
      <x:c r="G2938" s="153" t="n">
        <x:v>5.33</x:v>
      </x:c>
    </x:row>
    <x:row r="2939">
      <x:c r="A2939" s="155" t="n">
        <x:v>45307</x:v>
      </x:c>
      <x:c r="B2939" s="153" t="n">
        <x:v>4.07</x:v>
      </x:c>
      <x:c r="C2939" s="153" t="n">
        <x:v>1.77</x:v>
      </x:c>
      <x:c r="D2939" s="153" t="n">
        <x:v>2.3</x:v>
      </x:c>
      <x:c r="E2939" s="153" t="n">
        <x:v>120.5759</x:v>
      </x:c>
      <x:c r="F2939" s="153" t="n">
        <x:v>13.84</x:v>
      </x:c>
      <x:c r="G2939" s="153" t="n">
        <x:v>5.33</x:v>
      </x:c>
    </x:row>
    <x:row r="2940">
      <x:c r="A2940" s="155" t="n">
        <x:v>45308</x:v>
      </x:c>
      <x:c r="B2940" s="153" t="n">
        <x:v>4.1</x:v>
      </x:c>
      <x:c r="C2940" s="153" t="n">
        <x:v>1.8</x:v>
      </x:c>
      <x:c r="D2940" s="153" t="n">
        <x:v>2.3</x:v>
      </x:c>
      <x:c r="E2940" s="153" t="n">
        <x:v>121.0402</x:v>
      </x:c>
      <x:c r="F2940" s="153" t="n">
        <x:v>14.79</x:v>
      </x:c>
      <x:c r="G2940" s="153" t="n">
        <x:v>5.33</x:v>
      </x:c>
    </x:row>
    <x:row r="2941">
      <x:c r="A2941" s="155" t="n">
        <x:v>45309</x:v>
      </x:c>
      <x:c r="B2941" s="153" t="n">
        <x:v>4.14</x:v>
      </x:c>
      <x:c r="C2941" s="153" t="n">
        <x:v>1.8</x:v>
      </x:c>
      <x:c r="D2941" s="153" t="n">
        <x:v>2.34</x:v>
      </x:c>
      <x:c r="E2941" s="153" t="n">
        <x:v>120.8895</x:v>
      </x:c>
      <x:c r="F2941" s="153" t="n">
        <x:v>14.13</x:v>
      </x:c>
      <x:c r="G2941" s="153" t="n">
        <x:v>5.33</x:v>
      </x:c>
    </x:row>
    <x:row r="2942">
      <x:c r="A2942" s="155" t="n">
        <x:v>45310</x:v>
      </x:c>
      <x:c r="B2942" s="153" t="n">
        <x:v>4.15</x:v>
      </x:c>
      <x:c r="C2942" s="153" t="n">
        <x:v>1.81</x:v>
      </x:c>
      <x:c r="D2942" s="153" t="n">
        <x:v>2.34</x:v>
      </x:c>
      <x:c r="E2942" s="153" t="n">
        <x:v>120.6442</x:v>
      </x:c>
      <x:c r="F2942" s="153" t="n">
        <x:v>13.3</x:v>
      </x:c>
      <x:c r="G2942" s="153" t="n">
        <x:v>5.33</x:v>
      </x:c>
    </x:row>
    <x:row r="2943">
      <x:c r="A2943" s="155" t="n">
        <x:v>45311</x:v>
      </x:c>
      <x:c r="B2943" s="153"/>
      <x:c r="C2943" s="153"/>
      <x:c r="D2943" s="153"/>
      <x:c r="E2943" s="153"/>
      <x:c r="F2943" s="153"/>
      <x:c r="G2943" s="153" t="n">
        <x:v>5.33</x:v>
      </x:c>
    </x:row>
    <x:row r="2944">
      <x:c r="A2944" s="155" t="n">
        <x:v>45312</x:v>
      </x:c>
      <x:c r="B2944" s="153"/>
      <x:c r="C2944" s="153"/>
      <x:c r="D2944" s="153"/>
      <x:c r="E2944" s="153"/>
      <x:c r="F2944" s="153"/>
      <x:c r="G2944" s="153" t="n">
        <x:v>5.33</x:v>
      </x:c>
    </x:row>
    <x:row r="2945">
      <x:c r="A2945" s="155" t="n">
        <x:v>45313</x:v>
      </x:c>
      <x:c r="B2945" s="153" t="n">
        <x:v>4.11</x:v>
      </x:c>
      <x:c r="C2945" s="153" t="n">
        <x:v>1.8</x:v>
      </x:c>
      <x:c r="D2945" s="153" t="n">
        <x:v>2.31</x:v>
      </x:c>
      <x:c r="E2945" s="153" t="n">
        <x:v>120.6178</x:v>
      </x:c>
      <x:c r="F2945" s="153" t="n">
        <x:v>13.19</x:v>
      </x:c>
      <x:c r="G2945" s="153" t="n">
        <x:v>5.33</x:v>
      </x:c>
    </x:row>
    <x:row r="2946">
      <x:c r="A2946" s="155" t="n">
        <x:v>45314</x:v>
      </x:c>
      <x:c r="B2946" s="153" t="n">
        <x:v>4.14</x:v>
      </x:c>
      <x:c r="C2946" s="153" t="n">
        <x:v>1.85</x:v>
      </x:c>
      <x:c r="D2946" s="153" t="n">
        <x:v>2.29</x:v>
      </x:c>
      <x:c r="E2946" s="153" t="n">
        <x:v>121.1001</x:v>
      </x:c>
      <x:c r="F2946" s="153" t="n">
        <x:v>12.55</x:v>
      </x:c>
      <x:c r="G2946" s="153" t="n">
        <x:v>5.33</x:v>
      </x:c>
    </x:row>
    <x:row r="2947">
      <x:c r="A2947" s="155" t="n">
        <x:v>45315</x:v>
      </x:c>
      <x:c r="B2947" s="153" t="n">
        <x:v>4.18</x:v>
      </x:c>
      <x:c r="C2947" s="153" t="n">
        <x:v>1.88</x:v>
      </x:c>
      <x:c r="D2947" s="153" t="n">
        <x:v>2.3</x:v>
      </x:c>
      <x:c r="E2947" s="153" t="n">
        <x:v>120.4916</x:v>
      </x:c>
      <x:c r="F2947" s="153" t="n">
        <x:v>13.14</x:v>
      </x:c>
      <x:c r="G2947" s="153" t="n">
        <x:v>5.33</x:v>
      </x:c>
    </x:row>
    <x:row r="2948">
      <x:c r="A2948" s="155" t="n">
        <x:v>45316</x:v>
      </x:c>
      <x:c r="B2948" s="153" t="n">
        <x:v>4.14</x:v>
      </x:c>
      <x:c r="C2948" s="153" t="n">
        <x:v>1.85</x:v>
      </x:c>
      <x:c r="D2948" s="153" t="n">
        <x:v>2.29</x:v>
      </x:c>
      <x:c r="E2948" s="153" t="n">
        <x:v>120.8311</x:v>
      </x:c>
      <x:c r="F2948" s="153" t="n">
        <x:v>13.45</x:v>
      </x:c>
      <x:c r="G2948" s="153" t="n">
        <x:v>5.33</x:v>
      </x:c>
    </x:row>
    <x:row r="2949">
      <x:c r="A2949" s="155" t="n">
        <x:v>45317</x:v>
      </x:c>
      <x:c r="B2949" s="153" t="n">
        <x:v>4.15</x:v>
      </x:c>
      <x:c r="C2949" s="153" t="n">
        <x:v>1.85</x:v>
      </x:c>
      <x:c r="D2949" s="153" t="n">
        <x:v>2.3</x:v>
      </x:c>
      <x:c r="E2949" s="153" t="n">
        <x:v>120.6173</x:v>
      </x:c>
      <x:c r="F2949" s="153" t="n">
        <x:v>13.26</x:v>
      </x:c>
      <x:c r="G2949" s="153" t="n">
        <x:v>5.33</x:v>
      </x:c>
    </x:row>
    <x:row r="2950">
      <x:c r="A2950" s="155" t="n">
        <x:v>45318</x:v>
      </x:c>
      <x:c r="B2950" s="153"/>
      <x:c r="C2950" s="153"/>
      <x:c r="D2950" s="153"/>
      <x:c r="E2950" s="153"/>
      <x:c r="F2950" s="153"/>
      <x:c r="G2950" s="153" t="n">
        <x:v>5.33</x:v>
      </x:c>
    </x:row>
    <x:row r="2951">
      <x:c r="A2951" s="155" t="n">
        <x:v>45319</x:v>
      </x:c>
      <x:c r="B2951" s="153"/>
      <x:c r="C2951" s="153"/>
      <x:c r="D2951" s="153"/>
      <x:c r="E2951" s="153"/>
      <x:c r="F2951" s="153"/>
      <x:c r="G2951" s="153" t="n">
        <x:v>5.33</x:v>
      </x:c>
    </x:row>
    <x:row r="2952">
      <x:c r="A2952" s="155" t="n">
        <x:v>45320</x:v>
      </x:c>
      <x:c r="B2952" s="153" t="n">
        <x:v>4.08</x:v>
      </x:c>
      <x:c r="C2952" s="153" t="n">
        <x:v>1.78</x:v>
      </x:c>
      <x:c r="D2952" s="153" t="n">
        <x:v>2.3</x:v>
      </x:c>
      <x:c r="E2952" s="153" t="n">
        <x:v>120.8538</x:v>
      </x:c>
      <x:c r="F2952" s="153" t="n">
        <x:v>13.6</x:v>
      </x:c>
      <x:c r="G2952" s="153" t="n">
        <x:v>5.33</x:v>
      </x:c>
    </x:row>
    <x:row r="2953">
      <x:c r="A2953" s="155" t="n">
        <x:v>45321</x:v>
      </x:c>
      <x:c r="B2953" s="153" t="n">
        <x:v>4.06</x:v>
      </x:c>
      <x:c r="C2953" s="153" t="n">
        <x:v>1.8</x:v>
      </x:c>
      <x:c r="D2953" s="153" t="n">
        <x:v>2.26</x:v>
      </x:c>
      <x:c r="E2953" s="153" t="n">
        <x:v>120.6025</x:v>
      </x:c>
      <x:c r="F2953" s="153" t="n">
        <x:v>13.31</x:v>
      </x:c>
      <x:c r="G2953" s="153" t="n">
        <x:v>5.33</x:v>
      </x:c>
    </x:row>
    <x:row r="2954">
      <x:c r="A2954" s="155" t="n">
        <x:v>45322</x:v>
      </x:c>
      <x:c r="B2954" s="153" t="n">
        <x:v>3.99</x:v>
      </x:c>
      <x:c r="C2954" s="153" t="n">
        <x:v>1.73</x:v>
      </x:c>
      <x:c r="D2954" s="153" t="n">
        <x:v>2.26</x:v>
      </x:c>
      <x:c r="E2954" s="153" t="n">
        <x:v>120.4331</x:v>
      </x:c>
      <x:c r="F2954" s="153" t="n">
        <x:v>14.35</x:v>
      </x:c>
      <x:c r="G2954" s="153" t="n">
        <x:v>5.33</x:v>
      </x:c>
    </x:row>
    <x:row r="2955">
      <x:c r="A2955" s="155" t="n">
        <x:v>45323</x:v>
      </x:c>
      <x:c r="B2955" s="153" t="n">
        <x:v>3.87</x:v>
      </x:c>
      <x:c r="C2955" s="153" t="n">
        <x:v>1.68</x:v>
      </x:c>
      <x:c r="D2955" s="153" t="n">
        <x:v>2.19</x:v>
      </x:c>
      <x:c r="E2955" s="153" t="n">
        <x:v>120.3335</x:v>
      </x:c>
      <x:c r="F2955" s="153" t="n">
        <x:v>13.88</x:v>
      </x:c>
      <x:c r="G2955" s="153" t="n">
        <x:v>5.33</x:v>
      </x:c>
    </x:row>
    <x:row r="2956">
      <x:c r="A2956" s="155" t="n">
        <x:v>45324</x:v>
      </x:c>
      <x:c r="B2956" s="153" t="n">
        <x:v>4.03</x:v>
      </x:c>
      <x:c r="C2956" s="153" t="n">
        <x:v>1.82</x:v>
      </x:c>
      <x:c r="D2956" s="153" t="n">
        <x:v>2.21</x:v>
      </x:c>
      <x:c r="E2956" s="153" t="n">
        <x:v>120.902</x:v>
      </x:c>
      <x:c r="F2956" s="153" t="n">
        <x:v>13.85</x:v>
      </x:c>
      <x:c r="G2956" s="153" t="n">
        <x:v>5.33</x:v>
      </x:c>
    </x:row>
    <x:row r="2957">
      <x:c r="A2957" s="155" t="n">
        <x:v>45325</x:v>
      </x:c>
      <x:c r="B2957" s="153"/>
      <x:c r="C2957" s="153"/>
      <x:c r="D2957" s="153"/>
      <x:c r="E2957" s="153"/>
      <x:c r="F2957" s="153"/>
      <x:c r="G2957" s="153" t="n">
        <x:v>5.33</x:v>
      </x:c>
    </x:row>
    <x:row r="2958">
      <x:c r="A2958" s="155" t="n">
        <x:v>45326</x:v>
      </x:c>
      <x:c r="B2958" s="153"/>
      <x:c r="C2958" s="153"/>
      <x:c r="D2958" s="153"/>
      <x:c r="E2958" s="153"/>
      <x:c r="F2958" s="153"/>
      <x:c r="G2958" s="153" t="n">
        <x:v>5.33</x:v>
      </x:c>
    </x:row>
    <x:row r="2959">
      <x:c r="A2959" s="155" t="n">
        <x:v>45327</x:v>
      </x:c>
      <x:c r="B2959" s="153" t="n">
        <x:v>4.17</x:v>
      </x:c>
      <x:c r="C2959" s="153" t="n">
        <x:v>1.9</x:v>
      </x:c>
      <x:c r="D2959" s="153" t="n">
        <x:v>2.27</x:v>
      </x:c>
      <x:c r="E2959" s="153" t="n">
        <x:v>121.349</x:v>
      </x:c>
      <x:c r="F2959" s="153" t="n">
        <x:v>13.67</x:v>
      </x:c>
      <x:c r="G2959" s="153" t="n">
        <x:v>5.33</x:v>
      </x:c>
    </x:row>
    <x:row r="2960">
      <x:c r="A2960" s="155" t="n">
        <x:v>45328</x:v>
      </x:c>
      <x:c r="B2960" s="153" t="n">
        <x:v>4.09</x:v>
      </x:c>
      <x:c r="C2960" s="153" t="n">
        <x:v>1.85</x:v>
      </x:c>
      <x:c r="D2960" s="153" t="n">
        <x:v>2.24</x:v>
      </x:c>
      <x:c r="E2960" s="153" t="n">
        <x:v>120.9588</x:v>
      </x:c>
      <x:c r="F2960" s="153" t="n">
        <x:v>13.06</x:v>
      </x:c>
      <x:c r="G2960" s="153" t="n">
        <x:v>5.33</x:v>
      </x:c>
    </x:row>
    <x:row r="2961">
      <x:c r="A2961" s="155" t="n">
        <x:v>45329</x:v>
      </x:c>
      <x:c r="B2961" s="153" t="n">
        <x:v>4.09</x:v>
      </x:c>
      <x:c r="C2961" s="153" t="n">
        <x:v>1.86</x:v>
      </x:c>
      <x:c r="D2961" s="153" t="n">
        <x:v>2.23</x:v>
      </x:c>
      <x:c r="E2961" s="153" t="n">
        <x:v>120.9049</x:v>
      </x:c>
      <x:c r="F2961" s="153" t="n">
        <x:v>12.83</x:v>
      </x:c>
      <x:c r="G2961" s="153" t="n">
        <x:v>5.33</x:v>
      </x:c>
    </x:row>
    <x:row r="2962">
      <x:c r="A2962" s="155" t="n">
        <x:v>45330</x:v>
      </x:c>
      <x:c r="B2962" s="153" t="n">
        <x:v>4.15</x:v>
      </x:c>
      <x:c r="C2962" s="153" t="n">
        <x:v>1.91</x:v>
      </x:c>
      <x:c r="D2962" s="153" t="n">
        <x:v>2.24</x:v>
      </x:c>
      <x:c r="E2962" s="153" t="n">
        <x:v>121.0798</x:v>
      </x:c>
      <x:c r="F2962" s="153" t="n">
        <x:v>12.79</x:v>
      </x:c>
      <x:c r="G2962" s="153" t="n">
        <x:v>5.33</x:v>
      </x:c>
    </x:row>
    <x:row r="2963">
      <x:c r="A2963" s="155" t="n">
        <x:v>45331</x:v>
      </x:c>
      <x:c r="B2963" s="153" t="n">
        <x:v>4.17</x:v>
      </x:c>
      <x:c r="C2963" s="153" t="n">
        <x:v>1.92</x:v>
      </x:c>
      <x:c r="D2963" s="153" t="n">
        <x:v>2.25</x:v>
      </x:c>
      <x:c r="E2963" s="153" t="n">
        <x:v>121.039</x:v>
      </x:c>
      <x:c r="F2963" s="153" t="n">
        <x:v>12.93</x:v>
      </x:c>
      <x:c r="G2963" s="153" t="n">
        <x:v>5.33</x:v>
      </x:c>
    </x:row>
    <x:row r="2964">
      <x:c r="A2964" s="155" t="n">
        <x:v>45332</x:v>
      </x:c>
      <x:c r="B2964" s="153"/>
      <x:c r="C2964" s="153"/>
      <x:c r="D2964" s="153"/>
      <x:c r="E2964" s="153"/>
      <x:c r="F2964" s="153"/>
      <x:c r="G2964" s="153" t="n">
        <x:v>5.33</x:v>
      </x:c>
    </x:row>
    <x:row r="2965">
      <x:c r="A2965" s="155" t="n">
        <x:v>45333</x:v>
      </x:c>
      <x:c r="B2965" s="153"/>
      <x:c r="C2965" s="153"/>
      <x:c r="D2965" s="153"/>
      <x:c r="E2965" s="153"/>
      <x:c r="F2965" s="153"/>
      <x:c r="G2965" s="153" t="n">
        <x:v>5.33</x:v>
      </x:c>
    </x:row>
    <x:row r="2966">
      <x:c r="A2966" s="155" t="n">
        <x:v>45334</x:v>
      </x:c>
      <x:c r="B2966" s="153" t="n">
        <x:v>4.17</x:v>
      </x:c>
      <x:c r="C2966" s="153" t="n">
        <x:v>1.93</x:v>
      </x:c>
      <x:c r="D2966" s="153" t="n">
        <x:v>2.24</x:v>
      </x:c>
      <x:c r="E2966" s="153" t="n">
        <x:v>120.9378</x:v>
      </x:c>
      <x:c r="F2966" s="153" t="n">
        <x:v>13.93</x:v>
      </x:c>
      <x:c r="G2966" s="153" t="n">
        <x:v>5.33</x:v>
      </x:c>
    </x:row>
    <x:row r="2967">
      <x:c r="A2967" s="155" t="n">
        <x:v>45335</x:v>
      </x:c>
      <x:c r="B2967" s="153" t="n">
        <x:v>4.31</x:v>
      </x:c>
      <x:c r="C2967" s="153" t="n">
        <x:v>2.02</x:v>
      </x:c>
      <x:c r="D2967" s="153" t="n">
        <x:v>2.29</x:v>
      </x:c>
      <x:c r="E2967" s="153" t="n">
        <x:v>121.5202</x:v>
      </x:c>
      <x:c r="F2967" s="153" t="n">
        <x:v>15.85</x:v>
      </x:c>
      <x:c r="G2967" s="153" t="n">
        <x:v>5.33</x:v>
      </x:c>
    </x:row>
    <x:row r="2968">
      <x:c r="A2968" s="155" t="n">
        <x:v>45336</x:v>
      </x:c>
      <x:c r="B2968" s="153" t="n">
        <x:v>4.27</x:v>
      </x:c>
      <x:c r="C2968" s="153" t="n">
        <x:v>1.97</x:v>
      </x:c>
      <x:c r="D2968" s="153" t="n">
        <x:v>2.3</x:v>
      </x:c>
      <x:c r="E2968" s="153" t="n">
        <x:v>121.4002</x:v>
      </x:c>
      <x:c r="F2968" s="153" t="n">
        <x:v>14.38</x:v>
      </x:c>
      <x:c r="G2968" s="153" t="n">
        <x:v>5.33</x:v>
      </x:c>
    </x:row>
    <x:row r="2969">
      <x:c r="A2969" s="155" t="n">
        <x:v>45337</x:v>
      </x:c>
      <x:c r="B2969" s="153" t="n">
        <x:v>4.24</x:v>
      </x:c>
      <x:c r="C2969" s="153" t="n">
        <x:v>1.94</x:v>
      </x:c>
      <x:c r="D2969" s="153" t="n">
        <x:v>2.3</x:v>
      </x:c>
      <x:c r="E2969" s="153" t="n">
        <x:v>121.2121</x:v>
      </x:c>
      <x:c r="F2969" s="153" t="n">
        <x:v>14.01</x:v>
      </x:c>
      <x:c r="G2969" s="153" t="n">
        <x:v>5.33</x:v>
      </x:c>
    </x:row>
    <x:row r="2970">
      <x:c r="A2970" s="155" t="n">
        <x:v>45338</x:v>
      </x:c>
      <x:c r="B2970" s="153" t="n">
        <x:v>4.3</x:v>
      </x:c>
      <x:c r="C2970" s="153" t="n">
        <x:v>1.97</x:v>
      </x:c>
      <x:c r="D2970" s="153" t="n">
        <x:v>2.33</x:v>
      </x:c>
      <x:c r="E2970" s="153" t="n">
        <x:v>121.1505</x:v>
      </x:c>
      <x:c r="F2970" s="153" t="n">
        <x:v>14.24</x:v>
      </x:c>
      <x:c r="G2970" s="153" t="n">
        <x:v>5.33</x:v>
      </x:c>
    </x:row>
    <x:row r="2971">
      <x:c r="A2971" s="155" t="n">
        <x:v>45339</x:v>
      </x:c>
      <x:c r="B2971" s="153"/>
      <x:c r="C2971" s="153"/>
      <x:c r="D2971" s="153"/>
      <x:c r="E2971" s="153"/>
      <x:c r="F2971" s="153"/>
      <x:c r="G2971" s="153" t="n">
        <x:v>5.33</x:v>
      </x:c>
    </x:row>
    <x:row r="2972">
      <x:c r="A2972" s="155" t="n">
        <x:v>45340</x:v>
      </x:c>
      <x:c r="B2972" s="153"/>
      <x:c r="C2972" s="153"/>
      <x:c r="D2972" s="153"/>
      <x:c r="E2972" s="153"/>
      <x:c r="F2972" s="153"/>
      <x:c r="G2972" s="153" t="n">
        <x:v>5.33</x:v>
      </x:c>
    </x:row>
    <x:row r="2973">
      <x:c r="A2973" s="155" t="n">
        <x:v>45341</x:v>
      </x:c>
      <x:c r="B2973" s="153"/>
      <x:c r="C2973" s="153"/>
      <x:c r="D2973" s="153"/>
      <x:c r="E2973" s="153"/>
      <x:c r="F2973" s="153" t="n">
        <x:v>14.71</x:v>
      </x:c>
      <x:c r="G2973" s="153" t="n">
        <x:v>5.33</x:v>
      </x:c>
    </x:row>
    <x:row r="2974">
      <x:c r="A2974" s="155" t="n">
        <x:v>45342</x:v>
      </x:c>
      <x:c r="B2974" s="153" t="n">
        <x:v>4.27</x:v>
      </x:c>
      <x:c r="C2974" s="153" t="n">
        <x:v>1.95</x:v>
      </x:c>
      <x:c r="D2974" s="153" t="n">
        <x:v>2.32</x:v>
      </x:c>
      <x:c r="E2974" s="153" t="n">
        <x:v>121.0199</x:v>
      </x:c>
      <x:c r="F2974" s="153" t="n">
        <x:v>15.42</x:v>
      </x:c>
      <x:c r="G2974" s="153" t="n">
        <x:v>5.33</x:v>
      </x:c>
    </x:row>
    <x:row r="2975">
      <x:c r="A2975" s="155" t="n">
        <x:v>45343</x:v>
      </x:c>
      <x:c r="B2975" s="153" t="n">
        <x:v>4.32</x:v>
      </x:c>
      <x:c r="C2975" s="153" t="n">
        <x:v>1.98</x:v>
      </x:c>
      <x:c r="D2975" s="153" t="n">
        <x:v>2.34</x:v>
      </x:c>
      <x:c r="E2975" s="153" t="n">
        <x:v>121.0379</x:v>
      </x:c>
      <x:c r="F2975" s="153" t="n">
        <x:v>15.34</x:v>
      </x:c>
      <x:c r="G2975" s="153" t="n">
        <x:v>5.33</x:v>
      </x:c>
    </x:row>
    <x:row r="2976">
      <x:c r="A2976" s="155" t="n">
        <x:v>45344</x:v>
      </x:c>
      <x:c r="B2976" s="153" t="n">
        <x:v>4.33</x:v>
      </x:c>
      <x:c r="C2976" s="153" t="n">
        <x:v>2.02</x:v>
      </x:c>
      <x:c r="D2976" s="153" t="n">
        <x:v>2.31</x:v>
      </x:c>
      <x:c r="E2976" s="153" t="n">
        <x:v>121.102</x:v>
      </x:c>
      <x:c r="F2976" s="153" t="n">
        <x:v>14.54</x:v>
      </x:c>
      <x:c r="G2976" s="153" t="n">
        <x:v>5.33</x:v>
      </x:c>
    </x:row>
    <x:row r="2977">
      <x:c r="A2977" s="155" t="n">
        <x:v>45345</x:v>
      </x:c>
      <x:c r="B2977" s="153" t="n">
        <x:v>4.26</x:v>
      </x:c>
      <x:c r="C2977" s="153" t="n">
        <x:v>1.96</x:v>
      </x:c>
      <x:c r="D2977" s="153" t="n">
        <x:v>2.3</x:v>
      </x:c>
      <x:c r="E2977" s="153" t="n">
        <x:v>121.0369</x:v>
      </x:c>
      <x:c r="F2977" s="153" t="n">
        <x:v>13.75</x:v>
      </x:c>
      <x:c r="G2977" s="153" t="n">
        <x:v>5.33</x:v>
      </x:c>
    </x:row>
    <x:row r="2978">
      <x:c r="A2978" s="155" t="n">
        <x:v>45346</x:v>
      </x:c>
      <x:c r="B2978" s="153"/>
      <x:c r="C2978" s="153"/>
      <x:c r="D2978" s="153"/>
      <x:c r="E2978" s="153"/>
      <x:c r="F2978" s="153"/>
      <x:c r="G2978" s="153" t="n">
        <x:v>5.33</x:v>
      </x:c>
    </x:row>
    <x:row r="2979">
      <x:c r="A2979" s="155" t="n">
        <x:v>45347</x:v>
      </x:c>
      <x:c r="B2979" s="153"/>
      <x:c r="C2979" s="153"/>
      <x:c r="D2979" s="153"/>
      <x:c r="E2979" s="153"/>
      <x:c r="F2979" s="153"/>
      <x:c r="G2979" s="153" t="n">
        <x:v>5.33</x:v>
      </x:c>
    </x:row>
    <x:row r="2980">
      <x:c r="A2980" s="155" t="n">
        <x:v>45348</x:v>
      </x:c>
      <x:c r="B2980" s="153" t="n">
        <x:v>4.28</x:v>
      </x:c>
      <x:c r="C2980" s="153" t="n">
        <x:v>1.97</x:v>
      </x:c>
      <x:c r="D2980" s="153" t="n">
        <x:v>2.31</x:v>
      </x:c>
      <x:c r="E2980" s="153" t="n">
        <x:v>121.0592</x:v>
      </x:c>
      <x:c r="F2980" s="153" t="n">
        <x:v>13.74</x:v>
      </x:c>
      <x:c r="G2980" s="153" t="n">
        <x:v>5.33</x:v>
      </x:c>
    </x:row>
    <x:row r="2981">
      <x:c r="A2981" s="155" t="n">
        <x:v>45349</x:v>
      </x:c>
      <x:c r="B2981" s="153" t="n">
        <x:v>4.31</x:v>
      </x:c>
      <x:c r="C2981" s="153" t="n">
        <x:v>1.99</x:v>
      </x:c>
      <x:c r="D2981" s="153" t="n">
        <x:v>2.32</x:v>
      </x:c>
      <x:c r="E2981" s="153" t="n">
        <x:v>120.9647</x:v>
      </x:c>
      <x:c r="F2981" s="153" t="n">
        <x:v>13.43</x:v>
      </x:c>
      <x:c r="G2981" s="153" t="n">
        <x:v>5.33</x:v>
      </x:c>
    </x:row>
    <x:row r="2982">
      <x:c r="A2982" s="155" t="n">
        <x:v>45350</x:v>
      </x:c>
      <x:c r="B2982" s="153" t="n">
        <x:v>4.27</x:v>
      </x:c>
      <x:c r="C2982" s="153" t="n">
        <x:v>1.94</x:v>
      </x:c>
      <x:c r="D2982" s="153" t="n">
        <x:v>2.33</x:v>
      </x:c>
      <x:c r="E2982" s="153" t="n">
        <x:v>121.128</x:v>
      </x:c>
      <x:c r="F2982" s="153" t="n">
        <x:v>13.84</x:v>
      </x:c>
      <x:c r="G2982" s="153" t="n">
        <x:v>5.33</x:v>
      </x:c>
    </x:row>
    <x:row r="2983">
      <x:c r="A2983" s="155" t="n">
        <x:v>45351</x:v>
      </x:c>
      <x:c r="B2983" s="153" t="n">
        <x:v>4.25</x:v>
      </x:c>
      <x:c r="C2983" s="153" t="n">
        <x:v>1.92</x:v>
      </x:c>
      <x:c r="D2983" s="153" t="n">
        <x:v>2.33</x:v>
      </x:c>
      <x:c r="E2983" s="153" t="n">
        <x:v>121.1824</x:v>
      </x:c>
      <x:c r="F2983" s="153" t="n">
        <x:v>13.4</x:v>
      </x:c>
      <x:c r="G2983" s="153" t="n">
        <x:v>5.33</x:v>
      </x:c>
    </x:row>
    <x:row r="2984">
      <x:c r="A2984" s="155" t="n">
        <x:v>45352</x:v>
      </x:c>
      <x:c r="B2984" s="153" t="n">
        <x:v>4.19</x:v>
      </x:c>
      <x:c r="C2984" s="153" t="n">
        <x:v>1.87</x:v>
      </x:c>
      <x:c r="D2984" s="153" t="n">
        <x:v>2.32</x:v>
      </x:c>
      <x:c r="E2984" s="153" t="n">
        <x:v>121.0111</x:v>
      </x:c>
      <x:c r="F2984" s="153" t="n">
        <x:v>13.11</x:v>
      </x:c>
      <x:c r="G2984" s="153" t="n">
        <x:v>5.33</x:v>
      </x:c>
    </x:row>
    <x:row r="2985">
      <x:c r="A2985" s="155" t="n">
        <x:v>45353</x:v>
      </x:c>
      <x:c r="B2985" s="153"/>
      <x:c r="C2985" s="153"/>
      <x:c r="D2985" s="153"/>
      <x:c r="E2985" s="153"/>
      <x:c r="F2985" s="153"/>
      <x:c r="G2985" s="153" t="n">
        <x:v>5.33</x:v>
      </x:c>
    </x:row>
    <x:row r="2986">
      <x:c r="A2986" s="155" t="n">
        <x:v>45354</x:v>
      </x:c>
      <x:c r="B2986" s="153"/>
      <x:c r="C2986" s="153"/>
      <x:c r="D2986" s="153"/>
      <x:c r="E2986" s="153"/>
      <x:c r="F2986" s="153"/>
      <x:c r="G2986" s="153" t="n">
        <x:v>5.33</x:v>
      </x:c>
    </x:row>
    <x:row r="2987">
      <x:c r="A2987" s="155" t="n">
        <x:v>45355</x:v>
      </x:c>
      <x:c r="B2987" s="153" t="n">
        <x:v>4.22</x:v>
      </x:c>
      <x:c r="C2987" s="153" t="n">
        <x:v>1.88</x:v>
      </x:c>
      <x:c r="D2987" s="153" t="n">
        <x:v>2.34</x:v>
      </x:c>
      <x:c r="E2987" s="153" t="n">
        <x:v>120.872</x:v>
      </x:c>
      <x:c r="F2987" s="153" t="n">
        <x:v>13.49</x:v>
      </x:c>
      <x:c r="G2987" s="153" t="n">
        <x:v>5.33</x:v>
      </x:c>
    </x:row>
    <x:row r="2988">
      <x:c r="A2988" s="155" t="n">
        <x:v>45356</x:v>
      </x:c>
      <x:c r="B2988" s="153" t="n">
        <x:v>4.13</x:v>
      </x:c>
      <x:c r="C2988" s="153" t="n">
        <x:v>1.81</x:v>
      </x:c>
      <x:c r="D2988" s="153" t="n">
        <x:v>2.32</x:v>
      </x:c>
      <x:c r="E2988" s="153" t="n">
        <x:v>120.8846</x:v>
      </x:c>
      <x:c r="F2988" s="153" t="n">
        <x:v>14.46</x:v>
      </x:c>
      <x:c r="G2988" s="153" t="n">
        <x:v>5.33</x:v>
      </x:c>
    </x:row>
    <x:row r="2989">
      <x:c r="A2989" s="155" t="n">
        <x:v>45357</x:v>
      </x:c>
      <x:c r="B2989" s="153" t="n">
        <x:v>4.11</x:v>
      </x:c>
      <x:c r="C2989" s="153" t="n">
        <x:v>1.81</x:v>
      </x:c>
      <x:c r="D2989" s="153" t="n">
        <x:v>2.3</x:v>
      </x:c>
      <x:c r="E2989" s="153" t="n">
        <x:v>120.4649</x:v>
      </x:c>
      <x:c r="F2989" s="153" t="n">
        <x:v>14.5</x:v>
      </x:c>
      <x:c r="G2989" s="153" t="n">
        <x:v>5.33</x:v>
      </x:c>
    </x:row>
    <x:row r="2990">
      <x:c r="A2990" s="155" t="n">
        <x:v>45358</x:v>
      </x:c>
      <x:c r="B2990" s="153" t="n">
        <x:v>4.09</x:v>
      </x:c>
      <x:c r="C2990" s="153" t="n">
        <x:v>1.81</x:v>
      </x:c>
      <x:c r="D2990" s="153" t="n">
        <x:v>2.28</x:v>
      </x:c>
      <x:c r="E2990" s="153" t="n">
        <x:v>120.1909</x:v>
      </x:c>
      <x:c r="F2990" s="153" t="n">
        <x:v>14.44</x:v>
      </x:c>
      <x:c r="G2990" s="153" t="n">
        <x:v>5.33</x:v>
      </x:c>
    </x:row>
    <x:row r="2991">
      <x:c r="A2991" s="155" t="n">
        <x:v>45359</x:v>
      </x:c>
      <x:c r="B2991" s="153" t="n">
        <x:v>4.09</x:v>
      </x:c>
      <x:c r="C2991" s="153" t="n">
        <x:v>1.81</x:v>
      </x:c>
      <x:c r="D2991" s="153" t="n">
        <x:v>2.28</x:v>
      </x:c>
      <x:c r="E2991" s="153" t="n">
        <x:v>119.975</x:v>
      </x:c>
      <x:c r="F2991" s="153" t="n">
        <x:v>14.74</x:v>
      </x:c>
      <x:c r="G2991" s="153" t="n">
        <x:v>5.33</x:v>
      </x:c>
    </x:row>
    <x:row r="2992">
      <x:c r="A2992" s="155" t="n">
        <x:v>45360</x:v>
      </x:c>
      <x:c r="B2992" s="153"/>
      <x:c r="C2992" s="153"/>
      <x:c r="D2992" s="153"/>
      <x:c r="E2992" s="153"/>
      <x:c r="F2992" s="153"/>
      <x:c r="G2992" s="153" t="n">
        <x:v>5.33</x:v>
      </x:c>
    </x:row>
    <x:row r="2993">
      <x:c r="A2993" s="155" t="n">
        <x:v>45361</x:v>
      </x:c>
      <x:c r="B2993" s="153"/>
      <x:c r="C2993" s="153"/>
      <x:c r="D2993" s="153"/>
      <x:c r="E2993" s="153"/>
      <x:c r="F2993" s="153"/>
      <x:c r="G2993" s="153" t="n">
        <x:v>5.33</x:v>
      </x:c>
    </x:row>
    <x:row r="2994">
      <x:c r="A2994" s="155" t="n">
        <x:v>45362</x:v>
      </x:c>
      <x:c r="B2994" s="153" t="n">
        <x:v>4.1</x:v>
      </x:c>
      <x:c r="C2994" s="153" t="n">
        <x:v>1.83</x:v>
      </x:c>
      <x:c r="D2994" s="153" t="n">
        <x:v>2.27</x:v>
      </x:c>
      <x:c r="E2994" s="153" t="n">
        <x:v>120.0394</x:v>
      </x:c>
      <x:c r="F2994" s="153" t="n">
        <x:v>15.22</x:v>
      </x:c>
      <x:c r="G2994" s="153" t="n">
        <x:v>5.33</x:v>
      </x:c>
    </x:row>
    <x:row r="2995">
      <x:c r="A2995" s="155" t="n">
        <x:v>45363</x:v>
      </x:c>
      <x:c r="B2995" s="153" t="n">
        <x:v>4.16</x:v>
      </x:c>
      <x:c r="C2995" s="153" t="n">
        <x:v>1.86</x:v>
      </x:c>
      <x:c r="D2995" s="153" t="n">
        <x:v>2.3</x:v>
      </x:c>
      <x:c r="E2995" s="153" t="n">
        <x:v>120.1668</x:v>
      </x:c>
      <x:c r="F2995" s="153" t="n">
        <x:v>13.84</x:v>
      </x:c>
      <x:c r="G2995" s="153" t="n">
        <x:v>5.33</x:v>
      </x:c>
    </x:row>
    <x:row r="2996">
      <x:c r="A2996" s="155" t="n">
        <x:v>45364</x:v>
      </x:c>
      <x:c r="B2996" s="153" t="n">
        <x:v>4.19</x:v>
      </x:c>
      <x:c r="C2996" s="153" t="n">
        <x:v>1.89</x:v>
      </x:c>
      <x:c r="D2996" s="153" t="n">
        <x:v>2.3</x:v>
      </x:c>
      <x:c r="E2996" s="153" t="n">
        <x:v>119.9642</x:v>
      </x:c>
      <x:c r="F2996" s="153" t="n">
        <x:v>13.75</x:v>
      </x:c>
      <x:c r="G2996" s="153" t="n">
        <x:v>5.33</x:v>
      </x:c>
    </x:row>
    <x:row r="2997">
      <x:c r="A2997" s="155" t="n">
        <x:v>45365</x:v>
      </x:c>
      <x:c r="B2997" s="153" t="n">
        <x:v>4.29</x:v>
      </x:c>
      <x:c r="C2997" s="153" t="n">
        <x:v>1.99</x:v>
      </x:c>
      <x:c r="D2997" s="153" t="n">
        <x:v>2.3</x:v>
      </x:c>
      <x:c r="E2997" s="153" t="n">
        <x:v>120.241</x:v>
      </x:c>
      <x:c r="F2997" s="153" t="n">
        <x:v>14.4</x:v>
      </x:c>
      <x:c r="G2997" s="153" t="n">
        <x:v>5.33</x:v>
      </x:c>
    </x:row>
    <x:row r="2998">
      <x:c r="A2998" s="155" t="n">
        <x:v>45366</x:v>
      </x:c>
      <x:c r="B2998" s="153" t="n">
        <x:v>4.31</x:v>
      </x:c>
      <x:c r="C2998" s="153" t="n">
        <x:v>1.99</x:v>
      </x:c>
      <x:c r="D2998" s="153" t="n">
        <x:v>2.32</x:v>
      </x:c>
      <x:c r="E2998" s="153" t="n">
        <x:v>120.4003</x:v>
      </x:c>
      <x:c r="F2998" s="153" t="n">
        <x:v>14.41</x:v>
      </x:c>
      <x:c r="G2998" s="153" t="n">
        <x:v>5.33</x:v>
      </x:c>
    </x:row>
    <x:row r="2999">
      <x:c r="A2999" s="155" t="n">
        <x:v>45367</x:v>
      </x:c>
      <x:c r="B2999" s="153"/>
      <x:c r="C2999" s="153"/>
      <x:c r="D2999" s="153"/>
      <x:c r="E2999" s="153"/>
      <x:c r="F2999" s="153"/>
      <x:c r="G2999" s="153" t="n">
        <x:v>5.33</x:v>
      </x:c>
    </x:row>
    <x:row r="3000">
      <x:c r="A3000" s="155" t="n">
        <x:v>45368</x:v>
      </x:c>
      <x:c r="B3000" s="153"/>
      <x:c r="C3000" s="153"/>
      <x:c r="D3000" s="153"/>
      <x:c r="E3000" s="153"/>
      <x:c r="F3000" s="153"/>
      <x:c r="G3000" s="153" t="n">
        <x:v>5.33</x:v>
      </x:c>
    </x:row>
    <x:row r="3001">
      <x:c r="A3001" s="155" t="n">
        <x:v>45369</x:v>
      </x:c>
      <x:c r="B3001" s="153" t="n">
        <x:v>4.34</x:v>
      </x:c>
      <x:c r="C3001" s="153" t="n">
        <x:v>2.03</x:v>
      </x:c>
      <x:c r="D3001" s="153" t="n">
        <x:v>2.31</x:v>
      </x:c>
      <x:c r="E3001" s="153" t="n">
        <x:v>120.5752</x:v>
      </x:c>
      <x:c r="F3001" s="153" t="n">
        <x:v>14.33</x:v>
      </x:c>
      <x:c r="G3001" s="153" t="n">
        <x:v>5.33</x:v>
      </x:c>
    </x:row>
    <x:row r="3002">
      <x:c r="A3002" s="155" t="n">
        <x:v>45370</x:v>
      </x:c>
      <x:c r="B3002" s="153" t="n">
        <x:v>4.3</x:v>
      </x:c>
      <x:c r="C3002" s="153" t="n">
        <x:v>2</x:v>
      </x:c>
      <x:c r="D3002" s="153" t="n">
        <x:v>2.3</x:v>
      </x:c>
      <x:c r="E3002" s="153" t="n">
        <x:v>120.9332</x:v>
      </x:c>
      <x:c r="F3002" s="153" t="n">
        <x:v>13.82</x:v>
      </x:c>
      <x:c r="G3002" s="153" t="n">
        <x:v>5.33</x:v>
      </x:c>
    </x:row>
    <x:row r="3003">
      <x:c r="A3003" s="155" t="n">
        <x:v>45371</x:v>
      </x:c>
      <x:c r="B3003" s="153" t="n">
        <x:v>4.27</x:v>
      </x:c>
      <x:c r="C3003" s="153" t="n">
        <x:v>1.96</x:v>
      </x:c>
      <x:c r="D3003" s="153" t="n">
        <x:v>2.31</x:v>
      </x:c>
      <x:c r="E3003" s="153" t="n">
        <x:v>120.9289</x:v>
      </x:c>
      <x:c r="F3003" s="153" t="n">
        <x:v>13.04</x:v>
      </x:c>
      <x:c r="G3003" s="153" t="n">
        <x:v>5.33</x:v>
      </x:c>
    </x:row>
    <x:row r="3004">
      <x:c r="A3004" s="155" t="n">
        <x:v>45372</x:v>
      </x:c>
      <x:c r="B3004" s="153" t="n">
        <x:v>4.27</x:v>
      </x:c>
      <x:c r="C3004" s="153" t="n">
        <x:v>1.93</x:v>
      </x:c>
      <x:c r="D3004" s="153" t="n">
        <x:v>2.34</x:v>
      </x:c>
      <x:c r="E3004" s="153" t="n">
        <x:v>120.8086</x:v>
      </x:c>
      <x:c r="F3004" s="153" t="n">
        <x:v>12.92</x:v>
      </x:c>
      <x:c r="G3004" s="153" t="n">
        <x:v>5.33</x:v>
      </x:c>
    </x:row>
    <x:row r="3005">
      <x:c r="A3005" s="155" t="n">
        <x:v>45373</x:v>
      </x:c>
      <x:c r="B3005" s="153" t="n">
        <x:v>4.22</x:v>
      </x:c>
      <x:c r="C3005" s="153" t="n">
        <x:v>1.87</x:v>
      </x:c>
      <x:c r="D3005" s="153" t="n">
        <x:v>2.35</x:v>
      </x:c>
      <x:c r="E3005" s="153" t="n">
        <x:v>121.1842</x:v>
      </x:c>
      <x:c r="F3005" s="153" t="n">
        <x:v>13.06</x:v>
      </x:c>
      <x:c r="G3005" s="153" t="n">
        <x:v>5.33</x:v>
      </x:c>
    </x:row>
    <x:row r="3006">
      <x:c r="A3006" s="155" t="n">
        <x:v>45374</x:v>
      </x:c>
      <x:c r="B3006" s="153"/>
      <x:c r="C3006" s="153"/>
      <x:c r="D3006" s="153"/>
      <x:c r="E3006" s="153"/>
      <x:c r="F3006" s="153"/>
      <x:c r="G3006" s="153" t="n">
        <x:v>5.33</x:v>
      </x:c>
    </x:row>
    <x:row r="3007">
      <x:c r="A3007" s="155" t="n">
        <x:v>45375</x:v>
      </x:c>
      <x:c r="B3007" s="153"/>
      <x:c r="C3007" s="153"/>
      <x:c r="D3007" s="153"/>
      <x:c r="E3007" s="153"/>
      <x:c r="F3007" s="153"/>
      <x:c r="G3007" s="153" t="n">
        <x:v>5.33</x:v>
      </x:c>
    </x:row>
    <x:row r="3008">
      <x:c r="A3008" s="155" t="n">
        <x:v>45376</x:v>
      </x:c>
      <x:c r="B3008" s="153" t="n">
        <x:v>4.25</x:v>
      </x:c>
      <x:c r="C3008" s="153" t="n">
        <x:v>1.92</x:v>
      </x:c>
      <x:c r="D3008" s="153" t="n">
        <x:v>2.33</x:v>
      </x:c>
      <x:c r="E3008" s="153" t="n">
        <x:v>121.0295</x:v>
      </x:c>
      <x:c r="F3008" s="153" t="n">
        <x:v>13.19</x:v>
      </x:c>
      <x:c r="G3008" s="153" t="n">
        <x:v>5.33</x:v>
      </x:c>
    </x:row>
    <x:row r="3009">
      <x:c r="A3009" s="155" t="n">
        <x:v>45377</x:v>
      </x:c>
      <x:c r="B3009" s="153" t="n">
        <x:v>4.24</x:v>
      </x:c>
      <x:c r="C3009" s="153" t="n">
        <x:v>1.92</x:v>
      </x:c>
      <x:c r="D3009" s="153" t="n">
        <x:v>2.32</x:v>
      </x:c>
      <x:c r="E3009" s="153" t="n">
        <x:v>121.0742</x:v>
      </x:c>
      <x:c r="F3009" s="153" t="n">
        <x:v>13.24</x:v>
      </x:c>
      <x:c r="G3009" s="153" t="n">
        <x:v>5.33</x:v>
      </x:c>
    </x:row>
    <x:row r="3010">
      <x:c r="A3010" s="155" t="n">
        <x:v>45378</x:v>
      </x:c>
      <x:c r="B3010" s="153" t="n">
        <x:v>4.2</x:v>
      </x:c>
      <x:c r="C3010" s="153" t="n">
        <x:v>1.88</x:v>
      </x:c>
      <x:c r="D3010" s="153" t="n">
        <x:v>2.32</x:v>
      </x:c>
      <x:c r="E3010" s="153" t="n">
        <x:v>121.0089</x:v>
      </x:c>
      <x:c r="F3010" s="153" t="n">
        <x:v>12.78</x:v>
      </x:c>
      <x:c r="G3010" s="153" t="n">
        <x:v>5.33</x:v>
      </x:c>
    </x:row>
    <x:row r="3011">
      <x:c r="A3011" s="155" t="n">
        <x:v>45379</x:v>
      </x:c>
      <x:c r="B3011" s="153" t="n">
        <x:v>4.2</x:v>
      </x:c>
      <x:c r="C3011" s="153" t="n">
        <x:v>1.88</x:v>
      </x:c>
      <x:c r="D3011" s="153" t="n">
        <x:v>2.32</x:v>
      </x:c>
      <x:c r="E3011" s="153" t="n">
        <x:v>121.0635</x:v>
      </x:c>
      <x:c r="F3011" s="153" t="n">
        <x:v>13.01</x:v>
      </x:c>
      <x:c r="G3011" s="153" t="n">
        <x:v>5.33</x:v>
      </x:c>
    </x:row>
    <x:row r="3012">
      <x:c r="A3012" s="155" t="n">
        <x:v>45380</x:v>
      </x:c>
      <x:c r="B3012" s="153"/>
      <x:c r="C3012" s="153"/>
      <x:c r="D3012" s="153"/>
      <x:c r="E3012" s="153" t="n">
        <x:v>121.0191</x:v>
      </x:c>
      <x:c r="F3012" s="153"/>
      <x:c r="G3012" s="153" t="n">
        <x:v>5.33</x:v>
      </x:c>
    </x:row>
    <x:row r="3013">
      <x:c r="A3013" s="155" t="n">
        <x:v>45381</x:v>
      </x:c>
      <x:c r="B3013" s="153"/>
      <x:c r="C3013" s="153"/>
      <x:c r="D3013" s="153"/>
      <x:c r="E3013" s="153"/>
      <x:c r="F3013" s="153"/>
      <x:c r="G3013" s="153" t="n">
        <x:v>5.33</x:v>
      </x:c>
    </x:row>
    <x:row r="3014">
      <x:c r="A3014" s="155" t="n">
        <x:v>45382</x:v>
      </x:c>
      <x:c r="B3014" s="153"/>
      <x:c r="C3014" s="153"/>
      <x:c r="D3014" s="153"/>
      <x:c r="E3014" s="153"/>
      <x:c r="F3014" s="153"/>
      <x:c r="G3014" s="153" t="n">
        <x:v>5.33</x:v>
      </x:c>
    </x:row>
    <x:row r="3015">
      <x:c r="A3015" s="155" t="n">
        <x:v>45383</x:v>
      </x:c>
      <x:c r="B3015" s="153" t="n">
        <x:v>4.33</x:v>
      </x:c>
      <x:c r="C3015" s="153" t="n">
        <x:v>1.98</x:v>
      </x:c>
      <x:c r="D3015" s="153" t="n">
        <x:v>2.35</x:v>
      </x:c>
      <x:c r="E3015" s="153" t="n">
        <x:v>121.5151</x:v>
      </x:c>
      <x:c r="F3015" s="153" t="n">
        <x:v>13.65</x:v>
      </x:c>
      <x:c r="G3015" s="153" t="n">
        <x:v>5.33</x:v>
      </x:c>
    </x:row>
    <x:row r="3016">
      <x:c r="A3016" s="155" t="n">
        <x:v>45384</x:v>
      </x:c>
      <x:c r="B3016" s="153" t="n">
        <x:v>4.36</x:v>
      </x:c>
      <x:c r="C3016" s="153" t="n">
        <x:v>2</x:v>
      </x:c>
      <x:c r="D3016" s="153" t="n">
        <x:v>2.36</x:v>
      </x:c>
      <x:c r="E3016" s="153" t="n">
        <x:v>121.3035</x:v>
      </x:c>
      <x:c r="F3016" s="153" t="n">
        <x:v>14.61</x:v>
      </x:c>
      <x:c r="G3016" s="153" t="n">
        <x:v>5.33</x:v>
      </x:c>
    </x:row>
    <x:row r="3017">
      <x:c r="A3017" s="155" t="n">
        <x:v>45385</x:v>
      </x:c>
      <x:c r="B3017" s="153" t="n">
        <x:v>4.36</x:v>
      </x:c>
      <x:c r="C3017" s="153" t="n">
        <x:v>2</x:v>
      </x:c>
      <x:c r="D3017" s="153" t="n">
        <x:v>2.36</x:v>
      </x:c>
      <x:c r="E3017" s="153" t="n">
        <x:v>121.0198</x:v>
      </x:c>
      <x:c r="F3017" s="153" t="n">
        <x:v>14.33</x:v>
      </x:c>
      <x:c r="G3017" s="153" t="n">
        <x:v>5.33</x:v>
      </x:c>
    </x:row>
    <x:row r="3018">
      <x:c r="A3018" s="155" t="n">
        <x:v>45386</x:v>
      </x:c>
      <x:c r="B3018" s="153" t="n">
        <x:v>4.31</x:v>
      </x:c>
      <x:c r="C3018" s="153" t="n">
        <x:v>1.97</x:v>
      </x:c>
      <x:c r="D3018" s="153" t="n">
        <x:v>2.34</x:v>
      </x:c>
      <x:c r="E3018" s="153" t="n">
        <x:v>120.7613</x:v>
      </x:c>
      <x:c r="F3018" s="153" t="n">
        <x:v>16.35</x:v>
      </x:c>
      <x:c r="G3018" s="153" t="n">
        <x:v>5.33</x:v>
      </x:c>
    </x:row>
    <x:row r="3019">
      <x:c r="A3019" s="155" t="n">
        <x:v>45387</x:v>
      </x:c>
      <x:c r="B3019" s="153" t="n">
        <x:v>4.39</x:v>
      </x:c>
      <x:c r="C3019" s="153" t="n">
        <x:v>2.02</x:v>
      </x:c>
      <x:c r="D3019" s="153" t="n">
        <x:v>2.37</x:v>
      </x:c>
      <x:c r="E3019" s="153" t="n">
        <x:v>120.9646</x:v>
      </x:c>
      <x:c r="F3019" s="153" t="n">
        <x:v>16.03</x:v>
      </x:c>
      <x:c r="G3019" s="153" t="n">
        <x:v>5.33</x:v>
      </x:c>
    </x:row>
    <x:row r="3020">
      <x:c r="A3020" s="155" t="n">
        <x:v>45388</x:v>
      </x:c>
      <x:c r="B3020" s="153"/>
      <x:c r="C3020" s="153"/>
      <x:c r="D3020" s="153"/>
      <x:c r="E3020" s="153"/>
      <x:c r="F3020" s="153"/>
      <x:c r="G3020" s="153" t="n">
        <x:v>5.33</x:v>
      </x:c>
    </x:row>
    <x:row r="3021">
      <x:c r="A3021" s="155" t="n">
        <x:v>45389</x:v>
      </x:c>
      <x:c r="B3021" s="153"/>
      <x:c r="C3021" s="153"/>
      <x:c r="D3021" s="153"/>
      <x:c r="E3021" s="153"/>
      <x:c r="F3021" s="153"/>
      <x:c r="G3021" s="153" t="n">
        <x:v>5.33</x:v>
      </x:c>
    </x:row>
    <x:row r="3022">
      <x:c r="A3022" s="155" t="n">
        <x:v>45390</x:v>
      </x:c>
      <x:c r="B3022" s="153" t="n">
        <x:v>4.42</x:v>
      </x:c>
      <x:c r="C3022" s="153" t="n">
        <x:v>2.04</x:v>
      </x:c>
      <x:c r="D3022" s="153" t="n">
        <x:v>2.38</x:v>
      </x:c>
      <x:c r="E3022" s="153" t="n">
        <x:v>120.7359</x:v>
      </x:c>
      <x:c r="F3022" s="153" t="n">
        <x:v>15.19</x:v>
      </x:c>
      <x:c r="G3022" s="153" t="n">
        <x:v>5.33</x:v>
      </x:c>
    </x:row>
    <x:row r="3023">
      <x:c r="A3023" s="155" t="n">
        <x:v>45391</x:v>
      </x:c>
      <x:c r="B3023" s="153" t="n">
        <x:v>4.36</x:v>
      </x:c>
      <x:c r="C3023" s="153" t="n">
        <x:v>2</x:v>
      </x:c>
      <x:c r="D3023" s="153" t="n">
        <x:v>2.36</x:v>
      </x:c>
      <x:c r="E3023" s="153" t="n">
        <x:v>120.7048</x:v>
      </x:c>
      <x:c r="F3023" s="153" t="n">
        <x:v>14.98</x:v>
      </x:c>
      <x:c r="G3023" s="153" t="n">
        <x:v>5.33</x:v>
      </x:c>
    </x:row>
    <x:row r="3024">
      <x:c r="A3024" s="155" t="n">
        <x:v>45392</x:v>
      </x:c>
      <x:c r="B3024" s="153" t="n">
        <x:v>4.55</x:v>
      </x:c>
      <x:c r="C3024" s="153" t="n">
        <x:v>2.15</x:v>
      </x:c>
      <x:c r="D3024" s="153" t="n">
        <x:v>2.4</x:v>
      </x:c>
      <x:c r="E3024" s="153" t="n">
        <x:v>121.5727</x:v>
      </x:c>
      <x:c r="F3024" s="153" t="n">
        <x:v>15.8</x:v>
      </x:c>
      <x:c r="G3024" s="153" t="n">
        <x:v>5.33</x:v>
      </x:c>
    </x:row>
    <x:row r="3025">
      <x:c r="A3025" s="155" t="n">
        <x:v>45393</x:v>
      </x:c>
      <x:c r="B3025" s="153" t="n">
        <x:v>4.56</x:v>
      </x:c>
      <x:c r="C3025" s="153" t="n">
        <x:v>2.16</x:v>
      </x:c>
      <x:c r="D3025" s="153" t="n">
        <x:v>2.4</x:v>
      </x:c>
      <x:c r="E3025" s="153" t="n">
        <x:v>121.6081</x:v>
      </x:c>
      <x:c r="F3025" s="153" t="n">
        <x:v>14.91</x:v>
      </x:c>
      <x:c r="G3025" s="153" t="n">
        <x:v>5.33</x:v>
      </x:c>
    </x:row>
    <x:row r="3026">
      <x:c r="A3026" s="155" t="n">
        <x:v>45394</x:v>
      </x:c>
      <x:c r="B3026" s="153" t="n">
        <x:v>4.5</x:v>
      </x:c>
      <x:c r="C3026" s="153" t="n">
        <x:v>2.11</x:v>
      </x:c>
      <x:c r="D3026" s="153" t="n">
        <x:v>2.39</x:v>
      </x:c>
      <x:c r="E3026" s="153" t="n">
        <x:v>122.2885</x:v>
      </x:c>
      <x:c r="F3026" s="153" t="n">
        <x:v>17.31</x:v>
      </x:c>
      <x:c r="G3026" s="153" t="n">
        <x:v>5.33</x:v>
      </x:c>
    </x:row>
    <x:row r="3027">
      <x:c r="A3027" s="155" t="n">
        <x:v>45395</x:v>
      </x:c>
      <x:c r="B3027" s="153"/>
      <x:c r="C3027" s="153"/>
      <x:c r="D3027" s="153"/>
      <x:c r="E3027" s="153"/>
      <x:c r="F3027" s="153"/>
      <x:c r="G3027" s="153" t="n">
        <x:v>5.33</x:v>
      </x:c>
    </x:row>
    <x:row r="3028">
      <x:c r="A3028" s="155" t="n">
        <x:v>45396</x:v>
      </x:c>
      <x:c r="B3028" s="153"/>
      <x:c r="C3028" s="153"/>
      <x:c r="D3028" s="153"/>
      <x:c r="E3028" s="153"/>
      <x:c r="F3028" s="153"/>
      <x:c r="G3028" s="153" t="n">
        <x:v>5.33</x:v>
      </x:c>
    </x:row>
    <x:row r="3029">
      <x:c r="A3029" s="155" t="n">
        <x:v>45397</x:v>
      </x:c>
      <x:c r="B3029" s="153" t="n">
        <x:v>4.63</x:v>
      </x:c>
      <x:c r="C3029" s="153" t="n">
        <x:v>2.2</x:v>
      </x:c>
      <x:c r="D3029" s="153" t="n">
        <x:v>2.43</x:v>
      </x:c>
      <x:c r="E3029" s="153" t="n">
        <x:v>122.425</x:v>
      </x:c>
      <x:c r="F3029" s="153" t="n">
        <x:v>19.23</x:v>
      </x:c>
      <x:c r="G3029" s="153" t="n">
        <x:v>5.33</x:v>
      </x:c>
    </x:row>
    <x:row r="3030">
      <x:c r="A3030" s="155" t="n">
        <x:v>45398</x:v>
      </x:c>
      <x:c r="B3030" s="153" t="n">
        <x:v>4.67</x:v>
      </x:c>
      <x:c r="C3030" s="153" t="n">
        <x:v>2.24</x:v>
      </x:c>
      <x:c r="D3030" s="153" t="n">
        <x:v>2.43</x:v>
      </x:c>
      <x:c r="E3030" s="153" t="n">
        <x:v>123.1234</x:v>
      </x:c>
      <x:c r="F3030" s="153" t="n">
        <x:v>18.4</x:v>
      </x:c>
      <x:c r="G3030" s="153" t="n">
        <x:v>5.33</x:v>
      </x:c>
    </x:row>
    <x:row r="3031">
      <x:c r="A3031" s="155" t="n">
        <x:v>45399</x:v>
      </x:c>
      <x:c r="B3031" s="153" t="n">
        <x:v>4.59</x:v>
      </x:c>
      <x:c r="C3031" s="153" t="n">
        <x:v>2.2</x:v>
      </x:c>
      <x:c r="D3031" s="153" t="n">
        <x:v>2.39</x:v>
      </x:c>
      <x:c r="E3031" s="153" t="n">
        <x:v>123.0207</x:v>
      </x:c>
      <x:c r="F3031" s="153" t="n">
        <x:v>18.21</x:v>
      </x:c>
      <x:c r="G3031" s="153" t="n">
        <x:v>5.33</x:v>
      </x:c>
    </x:row>
    <x:row r="3032">
      <x:c r="A3032" s="155" t="n">
        <x:v>45400</x:v>
      </x:c>
      <x:c r="B3032" s="153" t="n">
        <x:v>4.64</x:v>
      </x:c>
      <x:c r="C3032" s="153" t="n">
        <x:v>2.24</x:v>
      </x:c>
      <x:c r="D3032" s="153" t="n">
        <x:v>2.4</x:v>
      </x:c>
      <x:c r="E3032" s="153" t="n">
        <x:v>123.0017</x:v>
      </x:c>
      <x:c r="F3032" s="153" t="n">
        <x:v>18</x:v>
      </x:c>
      <x:c r="G3032" s="153" t="n">
        <x:v>5.33</x:v>
      </x:c>
    </x:row>
    <x:row r="3033">
      <x:c r="A3033" s="155" t="n">
        <x:v>45401</x:v>
      </x:c>
      <x:c r="B3033" s="153" t="n">
        <x:v>4.62</x:v>
      </x:c>
      <x:c r="C3033" s="153" t="n">
        <x:v>2.21</x:v>
      </x:c>
      <x:c r="D3033" s="153" t="n">
        <x:v>2.41</x:v>
      </x:c>
      <x:c r="E3033" s="153" t="n">
        <x:v>123.1075</x:v>
      </x:c>
      <x:c r="F3033" s="153" t="n">
        <x:v>18.71</x:v>
      </x:c>
      <x:c r="G3033" s="153" t="n">
        <x:v>5.33</x:v>
      </x:c>
    </x:row>
    <x:row r="3034">
      <x:c r="A3034" s="155" t="n">
        <x:v>45402</x:v>
      </x:c>
      <x:c r="B3034" s="153"/>
      <x:c r="C3034" s="153"/>
      <x:c r="D3034" s="153"/>
      <x:c r="E3034" s="153"/>
      <x:c r="F3034" s="153"/>
      <x:c r="G3034" s="153" t="n">
        <x:v>5.33</x:v>
      </x:c>
    </x:row>
    <x:row r="3035">
      <x:c r="A3035" s="155" t="n">
        <x:v>45403</x:v>
      </x:c>
      <x:c r="B3035" s="153"/>
      <x:c r="C3035" s="153"/>
      <x:c r="D3035" s="153"/>
      <x:c r="E3035" s="153"/>
      <x:c r="F3035" s="153"/>
      <x:c r="G3035" s="153" t="n">
        <x:v>5.33</x:v>
      </x:c>
    </x:row>
    <x:row r="3036">
      <x:c r="A3036" s="155" t="n">
        <x:v>45404</x:v>
      </x:c>
      <x:c r="B3036" s="153" t="n">
        <x:v>4.62</x:v>
      </x:c>
      <x:c r="C3036" s="153" t="n">
        <x:v>2.21</x:v>
      </x:c>
      <x:c r="D3036" s="153" t="n">
        <x:v>2.41</x:v>
      </x:c>
      <x:c r="E3036" s="153" t="n">
        <x:v>123.0609</x:v>
      </x:c>
      <x:c r="F3036" s="153" t="n">
        <x:v>16.94</x:v>
      </x:c>
      <x:c r="G3036" s="153" t="n">
        <x:v>5.33</x:v>
      </x:c>
    </x:row>
    <x:row r="3037">
      <x:c r="A3037" s="155" t="n">
        <x:v>45405</x:v>
      </x:c>
      <x:c r="B3037" s="153" t="n">
        <x:v>4.61</x:v>
      </x:c>
      <x:c r="C3037" s="153" t="n">
        <x:v>2.2</x:v>
      </x:c>
      <x:c r="D3037" s="153" t="n">
        <x:v>2.41</x:v>
      </x:c>
      <x:c r="E3037" s="153" t="n">
        <x:v>122.7227</x:v>
      </x:c>
      <x:c r="F3037" s="153" t="n">
        <x:v>15.69</x:v>
      </x:c>
      <x:c r="G3037" s="153" t="n">
        <x:v>5.33</x:v>
      </x:c>
    </x:row>
    <x:row r="3038">
      <x:c r="A3038" s="155" t="n">
        <x:v>45406</x:v>
      </x:c>
      <x:c r="B3038" s="153" t="n">
        <x:v>4.65</x:v>
      </x:c>
      <x:c r="C3038" s="153" t="n">
        <x:v>2.24</x:v>
      </x:c>
      <x:c r="D3038" s="153" t="n">
        <x:v>2.41</x:v>
      </x:c>
      <x:c r="E3038" s="153" t="n">
        <x:v>122.89</x:v>
      </x:c>
      <x:c r="F3038" s="153" t="n">
        <x:v>15.97</x:v>
      </x:c>
      <x:c r="G3038" s="153" t="n">
        <x:v>5.33</x:v>
      </x:c>
    </x:row>
    <x:row r="3039">
      <x:c r="A3039" s="155" t="n">
        <x:v>45407</x:v>
      </x:c>
      <x:c r="B3039" s="153" t="n">
        <x:v>4.7</x:v>
      </x:c>
      <x:c r="C3039" s="153" t="n">
        <x:v>2.28</x:v>
      </x:c>
      <x:c r="D3039" s="153" t="n">
        <x:v>2.42</x:v>
      </x:c>
      <x:c r="E3039" s="153" t="n">
        <x:v>122.8384</x:v>
      </x:c>
      <x:c r="F3039" s="153" t="n">
        <x:v>15.37</x:v>
      </x:c>
      <x:c r="G3039" s="153" t="n">
        <x:v>5.33</x:v>
      </x:c>
    </x:row>
    <x:row r="3040">
      <x:c r="A3040" s="155" t="n">
        <x:v>45408</x:v>
      </x:c>
      <x:c r="B3040" s="153" t="n">
        <x:v>4.67</x:v>
      </x:c>
      <x:c r="C3040" s="153" t="n">
        <x:v>2.24</x:v>
      </x:c>
      <x:c r="D3040" s="153" t="n">
        <x:v>2.43</x:v>
      </x:c>
      <x:c r="E3040" s="153" t="n">
        <x:v>122.9471</x:v>
      </x:c>
      <x:c r="F3040" s="153" t="n">
        <x:v>15.03</x:v>
      </x:c>
      <x:c r="G3040" s="153" t="n">
        <x:v>5.33</x:v>
      </x:c>
    </x:row>
    <x:row r="3041">
      <x:c r="A3041" s="155" t="n">
        <x:v>45409</x:v>
      </x:c>
      <x:c r="B3041" s="153"/>
      <x:c r="C3041" s="153"/>
      <x:c r="D3041" s="153"/>
      <x:c r="E3041" s="153"/>
      <x:c r="F3041" s="153"/>
      <x:c r="G3041" s="153" t="n">
        <x:v>5.33</x:v>
      </x:c>
    </x:row>
    <x:row r="3042">
      <x:c r="A3042" s="155" t="n">
        <x:v>45410</x:v>
      </x:c>
      <x:c r="B3042" s="153"/>
      <x:c r="C3042" s="153"/>
      <x:c r="D3042" s="153"/>
      <x:c r="E3042" s="153"/>
      <x:c r="F3042" s="153"/>
      <x:c r="G3042" s="153" t="n">
        <x:v>5.33</x:v>
      </x:c>
    </x:row>
    <x:row r="3043">
      <x:c r="A3043" s="155" t="n">
        <x:v>45411</x:v>
      </x:c>
      <x:c r="B3043" s="153" t="n">
        <x:v>4.63</x:v>
      </x:c>
      <x:c r="C3043" s="153" t="n">
        <x:v>2.22</x:v>
      </x:c>
      <x:c r="D3043" s="153" t="n">
        <x:v>2.41</x:v>
      </x:c>
      <x:c r="E3043" s="153" t="n">
        <x:v>122.5449</x:v>
      </x:c>
      <x:c r="F3043" s="153" t="n">
        <x:v>14.67</x:v>
      </x:c>
      <x:c r="G3043" s="153" t="n">
        <x:v>5.33</x:v>
      </x:c>
    </x:row>
    <x:row r="3044">
      <x:c r="A3044" s="155" t="n">
        <x:v>45412</x:v>
      </x:c>
      <x:c r="B3044" s="153" t="n">
        <x:v>4.69</x:v>
      </x:c>
      <x:c r="C3044" s="153" t="n">
        <x:v>2.28</x:v>
      </x:c>
      <x:c r="D3044" s="153" t="n">
        <x:v>2.41</x:v>
      </x:c>
      <x:c r="E3044" s="153" t="n">
        <x:v>122.9853</x:v>
      </x:c>
      <x:c r="F3044" s="153" t="n">
        <x:v>15.65</x:v>
      </x:c>
      <x:c r="G3044" s="153" t="n">
        <x:v>5.33</x:v>
      </x:c>
    </x:row>
    <x:row r="3045">
      <x:c r="A3045" s="155" t="n">
        <x:v>45413</x:v>
      </x:c>
      <x:c r="B3045" s="153" t="n">
        <x:v>4.63</x:v>
      </x:c>
      <x:c r="C3045" s="153" t="n">
        <x:v>2.25</x:v>
      </x:c>
      <x:c r="D3045" s="153" t="n">
        <x:v>2.38</x:v>
      </x:c>
      <x:c r="E3045" s="153" t="n">
        <x:v>123.0168</x:v>
      </x:c>
      <x:c r="F3045" s="153" t="n">
        <x:v>15.39</x:v>
      </x:c>
      <x:c r="G3045" s="153" t="n">
        <x:v>5.33</x:v>
      </x:c>
    </x:row>
    <x:row r="3046">
      <x:c r="A3046" s="155" t="n">
        <x:v>45414</x:v>
      </x:c>
      <x:c r="B3046" s="153" t="n">
        <x:v>4.58</x:v>
      </x:c>
      <x:c r="C3046" s="153" t="n">
        <x:v>2.21</x:v>
      </x:c>
      <x:c r="D3046" s="153" t="n">
        <x:v>2.37</x:v>
      </x:c>
      <x:c r="E3046" s="153" t="n">
        <x:v>122.4384</x:v>
      </x:c>
      <x:c r="F3046" s="153" t="n">
        <x:v>14.68</x:v>
      </x:c>
      <x:c r="G3046" s="153" t="n">
        <x:v>5.33</x:v>
      </x:c>
    </x:row>
    <x:row r="3047">
      <x:c r="A3047" s="155" t="n">
        <x:v>45415</x:v>
      </x:c>
      <x:c r="B3047" s="153" t="n">
        <x:v>4.5</x:v>
      </x:c>
      <x:c r="C3047" s="153" t="n">
        <x:v>2.15</x:v>
      </x:c>
      <x:c r="D3047" s="153" t="n">
        <x:v>2.35</x:v>
      </x:c>
      <x:c r="E3047" s="153" t="n">
        <x:v>122.1375</x:v>
      </x:c>
      <x:c r="F3047" s="153" t="n">
        <x:v>13.49</x:v>
      </x:c>
      <x:c r="G3047" s="153" t="n">
        <x:v>5.33</x:v>
      </x:c>
    </x:row>
    <x:row r="3048">
      <x:c r="A3048" s="155" t="n">
        <x:v>45416</x:v>
      </x:c>
      <x:c r="B3048" s="153"/>
      <x:c r="C3048" s="153"/>
      <x:c r="D3048" s="153"/>
      <x:c r="E3048" s="153"/>
      <x:c r="F3048" s="153"/>
      <x:c r="G3048" s="153" t="n">
        <x:v>5.33</x:v>
      </x:c>
    </x:row>
    <x:row r="3049">
      <x:c r="A3049" s="155" t="n">
        <x:v>45417</x:v>
      </x:c>
      <x:c r="B3049" s="153"/>
      <x:c r="C3049" s="153"/>
      <x:c r="D3049" s="153"/>
      <x:c r="E3049" s="153"/>
      <x:c r="F3049" s="153"/>
      <x:c r="G3049" s="153" t="n">
        <x:v>5.33</x:v>
      </x:c>
    </x:row>
    <x:row r="3050">
      <x:c r="A3050" s="155" t="n">
        <x:v>45418</x:v>
      </x:c>
      <x:c r="B3050" s="153" t="n">
        <x:v>4.49</x:v>
      </x:c>
      <x:c r="C3050" s="153" t="n">
        <x:v>2.14</x:v>
      </x:c>
      <x:c r="D3050" s="153" t="n">
        <x:v>2.35</x:v>
      </x:c>
      <x:c r="E3050" s="153" t="n">
        <x:v>121.8913</x:v>
      </x:c>
      <x:c r="F3050" s="153" t="n">
        <x:v>13.49</x:v>
      </x:c>
      <x:c r="G3050" s="153" t="n">
        <x:v>5.33</x:v>
      </x:c>
    </x:row>
    <x:row r="3051">
      <x:c r="A3051" s="155" t="n">
        <x:v>45419</x:v>
      </x:c>
      <x:c r="B3051" s="153" t="n">
        <x:v>4.47</x:v>
      </x:c>
      <x:c r="C3051" s="153" t="n">
        <x:v>2.15</x:v>
      </x:c>
      <x:c r="D3051" s="153" t="n">
        <x:v>2.32</x:v>
      </x:c>
      <x:c r="E3051" s="153" t="n">
        <x:v>122.093</x:v>
      </x:c>
      <x:c r="F3051" s="153" t="n">
        <x:v>13.23</x:v>
      </x:c>
      <x:c r="G3051" s="153" t="n">
        <x:v>5.33</x:v>
      </x:c>
    </x:row>
    <x:row r="3052">
      <x:c r="A3052" s="155" t="n">
        <x:v>45420</x:v>
      </x:c>
      <x:c r="B3052" s="153" t="n">
        <x:v>4.48</x:v>
      </x:c>
      <x:c r="C3052" s="153" t="n">
        <x:v>2.17</x:v>
      </x:c>
      <x:c r="D3052" s="153" t="n">
        <x:v>2.31</x:v>
      </x:c>
      <x:c r="E3052" s="153" t="n">
        <x:v>122.1926</x:v>
      </x:c>
      <x:c r="F3052" s="153" t="n">
        <x:v>13</x:v>
      </x:c>
      <x:c r="G3052" s="153" t="n">
        <x:v>5.33</x:v>
      </x:c>
    </x:row>
    <x:row r="3053">
      <x:c r="A3053" s="155" t="n">
        <x:v>45421</x:v>
      </x:c>
      <x:c r="B3053" s="153" t="n">
        <x:v>4.45</x:v>
      </x:c>
      <x:c r="C3053" s="153" t="n">
        <x:v>2.13</x:v>
      </x:c>
      <x:c r="D3053" s="153" t="n">
        <x:v>2.32</x:v>
      </x:c>
      <x:c r="E3053" s="153" t="n">
        <x:v>122.1634</x:v>
      </x:c>
      <x:c r="F3053" s="153" t="n">
        <x:v>12.69</x:v>
      </x:c>
      <x:c r="G3053" s="153" t="n">
        <x:v>5.33</x:v>
      </x:c>
    </x:row>
    <x:row r="3054">
      <x:c r="A3054" s="155" t="n">
        <x:v>45422</x:v>
      </x:c>
      <x:c r="B3054" s="153" t="n">
        <x:v>4.5</x:v>
      </x:c>
      <x:c r="C3054" s="153" t="n">
        <x:v>2.16</x:v>
      </x:c>
      <x:c r="D3054" s="153" t="n">
        <x:v>2.34</x:v>
      </x:c>
      <x:c r="E3054" s="153" t="n">
        <x:v>122.014</x:v>
      </x:c>
      <x:c r="F3054" s="153" t="n">
        <x:v>12.55</x:v>
      </x:c>
      <x:c r="G3054" s="153" t="n">
        <x:v>5.33</x:v>
      </x:c>
    </x:row>
    <x:row r="3055">
      <x:c r="A3055" s="155" t="n">
        <x:v>45423</x:v>
      </x:c>
      <x:c r="B3055" s="153"/>
      <x:c r="C3055" s="153"/>
      <x:c r="D3055" s="153"/>
      <x:c r="E3055" s="153"/>
      <x:c r="F3055" s="153"/>
      <x:c r="G3055" s="153" t="n">
        <x:v>5.33</x:v>
      </x:c>
    </x:row>
    <x:row r="3056">
      <x:c r="A3056" s="155" t="n">
        <x:v>45424</x:v>
      </x:c>
      <x:c r="B3056" s="153"/>
      <x:c r="C3056" s="153"/>
      <x:c r="D3056" s="153"/>
      <x:c r="E3056" s="153"/>
      <x:c r="F3056" s="153"/>
      <x:c r="G3056" s="153" t="n">
        <x:v>5.33</x:v>
      </x:c>
    </x:row>
    <x:row r="3057">
      <x:c r="A3057" s="155" t="n">
        <x:v>45425</x:v>
      </x:c>
      <x:c r="B3057" s="153" t="n">
        <x:v>4.48</x:v>
      </x:c>
      <x:c r="C3057" s="153" t="n">
        <x:v>2.15</x:v>
      </x:c>
      <x:c r="D3057" s="153" t="n">
        <x:v>2.33</x:v>
      </x:c>
      <x:c r="E3057" s="153" t="n">
        <x:v>122.0261</x:v>
      </x:c>
      <x:c r="F3057" s="153" t="n">
        <x:v>13.6</x:v>
      </x:c>
      <x:c r="G3057" s="153" t="n">
        <x:v>5.33</x:v>
      </x:c>
    </x:row>
    <x:row r="3058">
      <x:c r="A3058" s="155" t="n">
        <x:v>45426</x:v>
      </x:c>
      <x:c r="B3058" s="153" t="n">
        <x:v>4.45</x:v>
      </x:c>
      <x:c r="C3058" s="153" t="n">
        <x:v>2.12</x:v>
      </x:c>
      <x:c r="D3058" s="153" t="n">
        <x:v>2.33</x:v>
      </x:c>
      <x:c r="E3058" s="153" t="n">
        <x:v>121.9256</x:v>
      </x:c>
      <x:c r="F3058" s="153" t="n">
        <x:v>13.42</x:v>
      </x:c>
      <x:c r="G3058" s="153" t="n">
        <x:v>5.33</x:v>
      </x:c>
    </x:row>
    <x:row r="3059">
      <x:c r="A3059" s="155" t="n">
        <x:v>45427</x:v>
      </x:c>
      <x:c r="B3059" s="153" t="n">
        <x:v>4.36</x:v>
      </x:c>
      <x:c r="C3059" s="153" t="n">
        <x:v>2.05</x:v>
      </x:c>
      <x:c r="D3059" s="153" t="n">
        <x:v>2.31</x:v>
      </x:c>
      <x:c r="E3059" s="153" t="n">
        <x:v>121.3543</x:v>
      </x:c>
      <x:c r="F3059" s="153" t="n">
        <x:v>12.45</x:v>
      </x:c>
      <x:c r="G3059" s="153" t="n">
        <x:v>5.33</x:v>
      </x:c>
    </x:row>
    <x:row r="3060">
      <x:c r="A3060" s="155" t="n">
        <x:v>45428</x:v>
      </x:c>
      <x:c r="B3060" s="153" t="n">
        <x:v>4.38</x:v>
      </x:c>
      <x:c r="C3060" s="153" t="n">
        <x:v>2.07</x:v>
      </x:c>
      <x:c r="D3060" s="153" t="n">
        <x:v>2.31</x:v>
      </x:c>
      <x:c r="E3060" s="153" t="n">
        <x:v>121.2236</x:v>
      </x:c>
      <x:c r="F3060" s="153" t="n">
        <x:v>12.42</x:v>
      </x:c>
      <x:c r="G3060" s="153" t="n">
        <x:v>5.33</x:v>
      </x:c>
    </x:row>
    <x:row r="3061">
      <x:c r="A3061" s="155" t="n">
        <x:v>45429</x:v>
      </x:c>
      <x:c r="B3061" s="153" t="n">
        <x:v>4.42</x:v>
      </x:c>
      <x:c r="C3061" s="153" t="n">
        <x:v>2.1</x:v>
      </x:c>
      <x:c r="D3061" s="153" t="n">
        <x:v>2.32</x:v>
      </x:c>
      <x:c r="E3061" s="153" t="n">
        <x:v>121.2354</x:v>
      </x:c>
      <x:c r="F3061" s="153" t="n">
        <x:v>11.99</x:v>
      </x:c>
      <x:c r="G3061" s="153" t="n">
        <x:v>5.33</x:v>
      </x:c>
    </x:row>
    <x:row r="3062">
      <x:c r="A3062" s="155" t="n">
        <x:v>45430</x:v>
      </x:c>
      <x:c r="B3062" s="153"/>
      <x:c r="C3062" s="153"/>
      <x:c r="D3062" s="153"/>
      <x:c r="E3062" s="153"/>
      <x:c r="F3062" s="153"/>
      <x:c r="G3062" s="153" t="n">
        <x:v>5.33</x:v>
      </x:c>
    </x:row>
    <x:row r="3063">
      <x:c r="A3063" s="155" t="n">
        <x:v>45431</x:v>
      </x:c>
      <x:c r="B3063" s="153"/>
      <x:c r="C3063" s="153"/>
      <x:c r="D3063" s="153"/>
      <x:c r="E3063" s="153"/>
      <x:c r="F3063" s="153"/>
      <x:c r="G3063" s="153" t="n">
        <x:v>5.33</x:v>
      </x:c>
    </x:row>
    <x:row r="3064">
      <x:c r="A3064" s="155" t="n">
        <x:v>45432</x:v>
      </x:c>
      <x:c r="B3064" s="153" t="n">
        <x:v>4.44</x:v>
      </x:c>
      <x:c r="C3064" s="153" t="n">
        <x:v>2.11</x:v>
      </x:c>
      <x:c r="D3064" s="153" t="n">
        <x:v>2.33</x:v>
      </x:c>
      <x:c r="E3064" s="153" t="n">
        <x:v>121.2289</x:v>
      </x:c>
      <x:c r="F3064" s="153" t="n">
        <x:v>12.15</x:v>
      </x:c>
      <x:c r="G3064" s="153" t="n">
        <x:v>5.33</x:v>
      </x:c>
    </x:row>
    <x:row r="3065">
      <x:c r="A3065" s="155" t="n">
        <x:v>45433</x:v>
      </x:c>
      <x:c r="B3065" s="153" t="n">
        <x:v>4.41</x:v>
      </x:c>
      <x:c r="C3065" s="153" t="n">
        <x:v>2.09</x:v>
      </x:c>
      <x:c r="D3065" s="153" t="n">
        <x:v>2.32</x:v>
      </x:c>
      <x:c r="E3065" s="153" t="n">
        <x:v>121.3793</x:v>
      </x:c>
      <x:c r="F3065" s="153" t="n">
        <x:v>11.86</x:v>
      </x:c>
      <x:c r="G3065" s="153" t="n">
        <x:v>5.33</x:v>
      </x:c>
    </x:row>
    <x:row r="3066">
      <x:c r="A3066" s="155" t="n">
        <x:v>45434</x:v>
      </x:c>
      <x:c r="B3066" s="153" t="n">
        <x:v>4.43</x:v>
      </x:c>
      <x:c r="C3066" s="153" t="n">
        <x:v>2.1</x:v>
      </x:c>
      <x:c r="D3066" s="153" t="n">
        <x:v>2.33</x:v>
      </x:c>
      <x:c r="E3066" s="153" t="n">
        <x:v>121.5462</x:v>
      </x:c>
      <x:c r="F3066" s="153" t="n">
        <x:v>12.29</x:v>
      </x:c>
      <x:c r="G3066" s="153" t="n">
        <x:v>5.33</x:v>
      </x:c>
    </x:row>
    <x:row r="3067">
      <x:c r="A3067" s="155" t="n">
        <x:v>45435</x:v>
      </x:c>
      <x:c r="B3067" s="153" t="n">
        <x:v>4.47</x:v>
      </x:c>
      <x:c r="C3067" s="153" t="n">
        <x:v>2.17</x:v>
      </x:c>
      <x:c r="D3067" s="153" t="n">
        <x:v>2.3</x:v>
      </x:c>
      <x:c r="E3067" s="153" t="n">
        <x:v>121.7477</x:v>
      </x:c>
      <x:c r="F3067" s="153" t="n">
        <x:v>12.77</x:v>
      </x:c>
      <x:c r="G3067" s="153" t="n">
        <x:v>5.33</x:v>
      </x:c>
    </x:row>
    <x:row r="3068">
      <x:c r="A3068" s="155" t="n">
        <x:v>45436</x:v>
      </x:c>
      <x:c r="B3068" s="153" t="n">
        <x:v>4.46</x:v>
      </x:c>
      <x:c r="C3068" s="153" t="n">
        <x:v>2.14</x:v>
      </x:c>
      <x:c r="D3068" s="153" t="n">
        <x:v>2.32</x:v>
      </x:c>
      <x:c r="E3068" s="153" t="n">
        <x:v>121.6172</x:v>
      </x:c>
      <x:c r="F3068" s="153" t="n">
        <x:v>11.93</x:v>
      </x:c>
      <x:c r="G3068" s="153" t="n">
        <x:v>5.33</x:v>
      </x:c>
    </x:row>
    <x:row r="3069">
      <x:c r="A3069" s="155" t="n">
        <x:v>45437</x:v>
      </x:c>
      <x:c r="B3069" s="153"/>
      <x:c r="C3069" s="153"/>
      <x:c r="D3069" s="153"/>
      <x:c r="E3069" s="153"/>
      <x:c r="F3069" s="153"/>
      <x:c r="G3069" s="153" t="n">
        <x:v>5.33</x:v>
      </x:c>
    </x:row>
    <x:row r="3070">
      <x:c r="A3070" s="155" t="n">
        <x:v>45438</x:v>
      </x:c>
      <x:c r="B3070" s="153"/>
      <x:c r="C3070" s="153"/>
      <x:c r="D3070" s="153"/>
      <x:c r="E3070" s="153"/>
      <x:c r="F3070" s="153"/>
      <x:c r="G3070" s="153" t="n">
        <x:v>5.33</x:v>
      </x:c>
    </x:row>
    <x:row r="3071">
      <x:c r="A3071" s="155" t="n">
        <x:v>45439</x:v>
      </x:c>
      <x:c r="B3071" s="153"/>
      <x:c r="C3071" s="153"/>
      <x:c r="D3071" s="153"/>
      <x:c r="E3071" s="153"/>
      <x:c r="F3071" s="153" t="n">
        <x:v>12.36</x:v>
      </x:c>
      <x:c r="G3071" s="153" t="n">
        <x:v>5.33</x:v>
      </x:c>
    </x:row>
    <x:row r="3072">
      <x:c r="A3072" s="155" t="n">
        <x:v>45440</x:v>
      </x:c>
      <x:c r="B3072" s="153" t="n">
        <x:v>4.54</x:v>
      </x:c>
      <x:c r="C3072" s="153" t="n">
        <x:v>2.2</x:v>
      </x:c>
      <x:c r="D3072" s="153" t="n">
        <x:v>2.34</x:v>
      </x:c>
      <x:c r="E3072" s="153" t="n">
        <x:v>121.43</x:v>
      </x:c>
      <x:c r="F3072" s="153" t="n">
        <x:v>12.92</x:v>
      </x:c>
      <x:c r="G3072" s="153" t="n">
        <x:v>5.33</x:v>
      </x:c>
    </x:row>
    <x:row r="3073">
      <x:c r="A3073" s="155" t="n">
        <x:v>45441</x:v>
      </x:c>
      <x:c r="B3073" s="153" t="n">
        <x:v>4.61</x:v>
      </x:c>
      <x:c r="C3073" s="153" t="n">
        <x:v>2.25</x:v>
      </x:c>
      <x:c r="D3073" s="153" t="n">
        <x:v>2.36</x:v>
      </x:c>
      <x:c r="E3073" s="153" t="n">
        <x:v>122.1641</x:v>
      </x:c>
      <x:c r="F3073" s="153" t="n">
        <x:v>14.28</x:v>
      </x:c>
      <x:c r="G3073" s="153" t="n">
        <x:v>5.33</x:v>
      </x:c>
    </x:row>
    <x:row r="3074">
      <x:c r="A3074" s="155" t="n">
        <x:v>45442</x:v>
      </x:c>
      <x:c r="B3074" s="153" t="n">
        <x:v>4.55</x:v>
      </x:c>
      <x:c r="C3074" s="153" t="n">
        <x:v>2.19</x:v>
      </x:c>
      <x:c r="D3074" s="153" t="n">
        <x:v>2.36</x:v>
      </x:c>
      <x:c r="E3074" s="153" t="n">
        <x:v>121.9601</x:v>
      </x:c>
      <x:c r="F3074" s="153" t="n">
        <x:v>14.47</x:v>
      </x:c>
      <x:c r="G3074" s="153" t="n">
        <x:v>5.33</x:v>
      </x:c>
    </x:row>
    <x:row r="3075">
      <x:c r="A3075" s="155" t="n">
        <x:v>45443</x:v>
      </x:c>
      <x:c r="B3075" s="153" t="n">
        <x:v>4.51</x:v>
      </x:c>
      <x:c r="C3075" s="153" t="n">
        <x:v>2.16</x:v>
      </x:c>
      <x:c r="D3075" s="153" t="n">
        <x:v>2.35</x:v>
      </x:c>
      <x:c r="E3075" s="153" t="n">
        <x:v>122.098</x:v>
      </x:c>
      <x:c r="F3075" s="153" t="n">
        <x:v>12.92</x:v>
      </x:c>
      <x:c r="G3075" s="153" t="n">
        <x:v>5.33</x:v>
      </x:c>
    </x:row>
    <x:row r="3076">
      <x:c r="A3076" s="155" t="n">
        <x:v>45444</x:v>
      </x:c>
      <x:c r="B3076" s="153"/>
      <x:c r="C3076" s="153"/>
      <x:c r="D3076" s="153"/>
      <x:c r="E3076" s="153"/>
      <x:c r="F3076" s="153"/>
      <x:c r="G3076" s="153" t="n">
        <x:v>5.33</x:v>
      </x:c>
    </x:row>
    <x:row r="3077">
      <x:c r="A3077" s="155" t="n">
        <x:v>45445</x:v>
      </x:c>
      <x:c r="B3077" s="153"/>
      <x:c r="C3077" s="153"/>
      <x:c r="D3077" s="153"/>
      <x:c r="E3077" s="153"/>
      <x:c r="F3077" s="153"/>
      <x:c r="G3077" s="153" t="n">
        <x:v>5.33</x:v>
      </x:c>
    </x:row>
    <x:row r="3078">
      <x:c r="A3078" s="155" t="n">
        <x:v>45446</x:v>
      </x:c>
      <x:c r="B3078" s="153" t="n">
        <x:v>4.41</x:v>
      </x:c>
      <x:c r="C3078" s="153" t="n">
        <x:v>2.08</x:v>
      </x:c>
      <x:c r="D3078" s="153" t="n">
        <x:v>2.33</x:v>
      </x:c>
      <x:c r="E3078" s="153" t="n">
        <x:v>122.3509</x:v>
      </x:c>
      <x:c r="F3078" s="153" t="n">
        <x:v>13.11</x:v>
      </x:c>
      <x:c r="G3078" s="153" t="n">
        <x:v>5.33</x:v>
      </x:c>
    </x:row>
    <x:row r="3079">
      <x:c r="A3079" s="155" t="n">
        <x:v>45447</x:v>
      </x:c>
      <x:c r="B3079" s="153" t="n">
        <x:v>4.33</x:v>
      </x:c>
      <x:c r="C3079" s="153" t="n">
        <x:v>2.02</x:v>
      </x:c>
      <x:c r="D3079" s="153" t="n">
        <x:v>2.31</x:v>
      </x:c>
      <x:c r="E3079" s="153" t="n">
        <x:v>122.7256</x:v>
      </x:c>
      <x:c r="F3079" s="153" t="n">
        <x:v>13.16</x:v>
      </x:c>
      <x:c r="G3079" s="153" t="n">
        <x:v>5.33</x:v>
      </x:c>
    </x:row>
    <x:row r="3080">
      <x:c r="A3080" s="155" t="n">
        <x:v>45448</x:v>
      </x:c>
      <x:c r="B3080" s="153" t="n">
        <x:v>4.29</x:v>
      </x:c>
      <x:c r="C3080" s="153" t="n">
        <x:v>1.99</x:v>
      </x:c>
      <x:c r="D3080" s="153" t="n">
        <x:v>2.3</x:v>
      </x:c>
      <x:c r="E3080" s="153" t="n">
        <x:v>122.5339</x:v>
      </x:c>
      <x:c r="F3080" s="153" t="n">
        <x:v>12.63</x:v>
      </x:c>
      <x:c r="G3080" s="153" t="n">
        <x:v>5.33</x:v>
      </x:c>
    </x:row>
    <x:row r="3081">
      <x:c r="A3081" s="155" t="n">
        <x:v>45449</x:v>
      </x:c>
      <x:c r="B3081" s="153" t="n">
        <x:v>4.28</x:v>
      </x:c>
      <x:c r="C3081" s="153" t="n">
        <x:v>2</x:v>
      </x:c>
      <x:c r="D3081" s="153" t="n">
        <x:v>2.28</x:v>
      </x:c>
      <x:c r="E3081" s="153" t="n">
        <x:v>122.3713</x:v>
      </x:c>
      <x:c r="F3081" s="153" t="n">
        <x:v>12.58</x:v>
      </x:c>
      <x:c r="G3081" s="153" t="n">
        <x:v>5.33</x:v>
      </x:c>
    </x:row>
    <x:row r="3082">
      <x:c r="A3082" s="155" t="n">
        <x:v>45450</x:v>
      </x:c>
      <x:c r="B3082" s="153" t="n">
        <x:v>4.43</x:v>
      </x:c>
      <x:c r="C3082" s="153" t="n">
        <x:v>2.13</x:v>
      </x:c>
      <x:c r="D3082" s="153" t="n">
        <x:v>2.3</x:v>
      </x:c>
      <x:c r="E3082" s="153" t="n">
        <x:v>123.549</x:v>
      </x:c>
      <x:c r="F3082" s="153" t="n">
        <x:v>12.22</x:v>
      </x:c>
      <x:c r="G3082" s="153" t="n">
        <x:v>5.33</x:v>
      </x:c>
    </x:row>
    <x:row r="3083">
      <x:c r="A3083" s="155" t="n">
        <x:v>45451</x:v>
      </x:c>
      <x:c r="B3083" s="153"/>
      <x:c r="C3083" s="153"/>
      <x:c r="D3083" s="153"/>
      <x:c r="E3083" s="153"/>
      <x:c r="F3083" s="153"/>
      <x:c r="G3083" s="153" t="n">
        <x:v>5.33</x:v>
      </x:c>
    </x:row>
    <x:row r="3084">
      <x:c r="A3084" s="155" t="n">
        <x:v>45452</x:v>
      </x:c>
      <x:c r="B3084" s="153"/>
      <x:c r="C3084" s="153"/>
      <x:c r="D3084" s="153"/>
      <x:c r="E3084" s="153"/>
      <x:c r="F3084" s="153"/>
      <x:c r="G3084" s="153" t="n">
        <x:v>5.33</x:v>
      </x:c>
    </x:row>
    <x:row r="3085">
      <x:c r="A3085" s="155" t="n">
        <x:v>45453</x:v>
      </x:c>
      <x:c r="B3085" s="153" t="n">
        <x:v>4.47</x:v>
      </x:c>
      <x:c r="C3085" s="153" t="n">
        <x:v>2.16</x:v>
      </x:c>
      <x:c r="D3085" s="153" t="n">
        <x:v>2.31</x:v>
      </x:c>
      <x:c r="E3085" s="153" t="n">
        <x:v>123.9125</x:v>
      </x:c>
      <x:c r="F3085" s="153" t="n">
        <x:v>12.74</x:v>
      </x:c>
      <x:c r="G3085" s="153" t="n">
        <x:v>5.33</x:v>
      </x:c>
    </x:row>
    <x:row r="3086">
      <x:c r="A3086" s="155" t="n">
        <x:v>45454</x:v>
      </x:c>
      <x:c r="B3086" s="153" t="n">
        <x:v>4.39</x:v>
      </x:c>
      <x:c r="C3086" s="153" t="n">
        <x:v>2.12</x:v>
      </x:c>
      <x:c r="D3086" s="153" t="n">
        <x:v>2.27</x:v>
      </x:c>
      <x:c r="E3086" s="153" t="n">
        <x:v>124.0349</x:v>
      </x:c>
      <x:c r="F3086" s="153" t="n">
        <x:v>12.85</x:v>
      </x:c>
      <x:c r="G3086" s="153" t="n">
        <x:v>5.33</x:v>
      </x:c>
    </x:row>
    <x:row r="3087">
      <x:c r="A3087" s="155" t="n">
        <x:v>45455</x:v>
      </x:c>
      <x:c r="B3087" s="153" t="n">
        <x:v>4.31</x:v>
      </x:c>
      <x:c r="C3087" s="153" t="n">
        <x:v>2.09</x:v>
      </x:c>
      <x:c r="D3087" s="153" t="n">
        <x:v>2.22</x:v>
      </x:c>
      <x:c r="E3087" s="153" t="n">
        <x:v>123.8295</x:v>
      </x:c>
      <x:c r="F3087" s="153" t="n">
        <x:v>12.04</x:v>
      </x:c>
      <x:c r="G3087" s="153" t="n">
        <x:v>5.33</x:v>
      </x:c>
    </x:row>
    <x:row r="3088">
      <x:c r="A3088" s="155" t="n">
        <x:v>45456</x:v>
      </x:c>
      <x:c r="B3088" s="153" t="n">
        <x:v>4.24</x:v>
      </x:c>
      <x:c r="C3088" s="153" t="n">
        <x:v>2.03</x:v>
      </x:c>
      <x:c r="D3088" s="153" t="n">
        <x:v>2.21</x:v>
      </x:c>
      <x:c r="E3088" s="153" t="n">
        <x:v>124.0235</x:v>
      </x:c>
      <x:c r="F3088" s="153" t="n">
        <x:v>11.94</x:v>
      </x:c>
      <x:c r="G3088" s="153" t="n">
        <x:v>5.33</x:v>
      </x:c>
    </x:row>
    <x:row r="3089">
      <x:c r="A3089" s="155" t="n">
        <x:v>45457</x:v>
      </x:c>
      <x:c r="B3089" s="153" t="n">
        <x:v>4.2</x:v>
      </x:c>
      <x:c r="C3089" s="153" t="n">
        <x:v>2.03</x:v>
      </x:c>
      <x:c r="D3089" s="153" t="n">
        <x:v>2.17</x:v>
      </x:c>
      <x:c r="E3089" s="153" t="n">
        <x:v>124.1694</x:v>
      </x:c>
      <x:c r="F3089" s="153" t="n">
        <x:v>12.66</x:v>
      </x:c>
      <x:c r="G3089" s="153" t="n">
        <x:v>5.33</x:v>
      </x:c>
    </x:row>
    <x:row r="3090">
      <x:c r="A3090" s="155" t="n">
        <x:v>45458</x:v>
      </x:c>
      <x:c r="B3090" s="153"/>
      <x:c r="C3090" s="153"/>
      <x:c r="D3090" s="153"/>
      <x:c r="E3090" s="153"/>
      <x:c r="F3090" s="153"/>
      <x:c r="G3090" s="153" t="n">
        <x:v>5.33</x:v>
      </x:c>
    </x:row>
    <x:row r="3091">
      <x:c r="A3091" s="155" t="n">
        <x:v>45459</x:v>
      </x:c>
      <x:c r="B3091" s="153"/>
      <x:c r="C3091" s="153"/>
      <x:c r="D3091" s="153"/>
      <x:c r="E3091" s="153"/>
      <x:c r="F3091" s="153"/>
      <x:c r="G3091" s="153" t="n">
        <x:v>5.33</x:v>
      </x:c>
    </x:row>
    <x:row r="3092">
      <x:c r="A3092" s="155" t="n">
        <x:v>45460</x:v>
      </x:c>
      <x:c r="B3092" s="153" t="n">
        <x:v>4.28</x:v>
      </x:c>
      <x:c r="C3092" s="153" t="n">
        <x:v>2.06</x:v>
      </x:c>
      <x:c r="D3092" s="153" t="n">
        <x:v>2.22</x:v>
      </x:c>
      <x:c r="E3092" s="153" t="n">
        <x:v>124.239</x:v>
      </x:c>
      <x:c r="F3092" s="153" t="n">
        <x:v>12.75</x:v>
      </x:c>
      <x:c r="G3092" s="153" t="n">
        <x:v>5.33</x:v>
      </x:c>
    </x:row>
    <x:row r="3093">
      <x:c r="A3093" s="155" t="n">
        <x:v>45461</x:v>
      </x:c>
      <x:c r="B3093" s="153" t="n">
        <x:v>4.22</x:v>
      </x:c>
      <x:c r="C3093" s="153" t="n">
        <x:v>2.01</x:v>
      </x:c>
      <x:c r="D3093" s="153" t="n">
        <x:v>2.21</x:v>
      </x:c>
      <x:c r="E3093" s="153" t="n">
        <x:v>123.9776</x:v>
      </x:c>
      <x:c r="F3093" s="153" t="n">
        <x:v>12.3</x:v>
      </x:c>
      <x:c r="G3093" s="153" t="n">
        <x:v>5.33</x:v>
      </x:c>
    </x:row>
    <x:row r="3094">
      <x:c r="A3094" s="155" t="n">
        <x:v>45462</x:v>
      </x:c>
      <x:c r="B3094" s="153"/>
      <x:c r="C3094" s="153"/>
      <x:c r="D3094" s="153"/>
      <x:c r="E3094" s="153"/>
      <x:c r="F3094" s="153" t="n">
        <x:v>12.48</x:v>
      </x:c>
      <x:c r="G3094" s="153" t="n">
        <x:v>5.33</x:v>
      </x:c>
    </x:row>
    <x:row r="3095">
      <x:c r="A3095" s="155" t="n">
        <x:v>45463</x:v>
      </x:c>
      <x:c r="B3095" s="153" t="n">
        <x:v>4.25</x:v>
      </x:c>
      <x:c r="C3095" s="153" t="n">
        <x:v>2</x:v>
      </x:c>
      <x:c r="D3095" s="153" t="n">
        <x:v>2.25</x:v>
      </x:c>
      <x:c r="E3095" s="153" t="n">
        <x:v>124.192</x:v>
      </x:c>
      <x:c r="F3095" s="153" t="n">
        <x:v>13.28</x:v>
      </x:c>
      <x:c r="G3095" s="153" t="n">
        <x:v>5.33</x:v>
      </x:c>
    </x:row>
    <x:row r="3096">
      <x:c r="A3096" s="155" t="n">
        <x:v>45464</x:v>
      </x:c>
      <x:c r="B3096" s="153" t="n">
        <x:v>4.25</x:v>
      </x:c>
      <x:c r="C3096" s="153" t="n">
        <x:v>2.02</x:v>
      </x:c>
      <x:c r="D3096" s="153" t="n">
        <x:v>2.23</x:v>
      </x:c>
      <x:c r="E3096" s="153" t="n">
        <x:v>124.1086</x:v>
      </x:c>
      <x:c r="F3096" s="153" t="n">
        <x:v>13.2</x:v>
      </x:c>
      <x:c r="G3096" s="153" t="n">
        <x:v>5.33</x:v>
      </x:c>
    </x:row>
    <x:row r="3097">
      <x:c r="A3097" s="155" t="n">
        <x:v>45465</x:v>
      </x:c>
      <x:c r="B3097" s="153"/>
      <x:c r="C3097" s="153"/>
      <x:c r="D3097" s="153"/>
      <x:c r="E3097" s="153"/>
      <x:c r="F3097" s="153"/>
      <x:c r="G3097" s="153" t="n">
        <x:v>5.33</x:v>
      </x:c>
    </x:row>
    <x:row r="3098">
      <x:c r="A3098" s="155" t="n">
        <x:v>45466</x:v>
      </x:c>
      <x:c r="B3098" s="153"/>
      <x:c r="C3098" s="153"/>
      <x:c r="D3098" s="153"/>
      <x:c r="E3098" s="153"/>
      <x:c r="F3098" s="153"/>
      <x:c r="G3098" s="153" t="n">
        <x:v>5.33</x:v>
      </x:c>
    </x:row>
    <x:row r="3099">
      <x:c r="A3099" s="155" t="n">
        <x:v>45467</x:v>
      </x:c>
      <x:c r="B3099" s="153" t="n">
        <x:v>4.25</x:v>
      </x:c>
      <x:c r="C3099" s="153" t="n">
        <x:v>2.03</x:v>
      </x:c>
      <x:c r="D3099" s="153" t="n">
        <x:v>2.22</x:v>
      </x:c>
      <x:c r="E3099" s="153" t="n">
        <x:v>123.7125</x:v>
      </x:c>
      <x:c r="F3099" s="153" t="n">
        <x:v>13.33</x:v>
      </x:c>
      <x:c r="G3099" s="153" t="n">
        <x:v>5.33</x:v>
      </x:c>
    </x:row>
    <x:row r="3100">
      <x:c r="A3100" s="155" t="n">
        <x:v>45468</x:v>
      </x:c>
      <x:c r="B3100" s="153" t="n">
        <x:v>4.23</x:v>
      </x:c>
      <x:c r="C3100" s="153" t="n">
        <x:v>2.01</x:v>
      </x:c>
      <x:c r="D3100" s="153" t="n">
        <x:v>2.22</x:v>
      </x:c>
      <x:c r="E3100" s="153" t="n">
        <x:v>123.9417</x:v>
      </x:c>
      <x:c r="F3100" s="153" t="n">
        <x:v>12.84</x:v>
      </x:c>
      <x:c r="G3100" s="153" t="n">
        <x:v>5.33</x:v>
      </x:c>
    </x:row>
    <x:row r="3101">
      <x:c r="A3101" s="155" t="n">
        <x:v>45469</x:v>
      </x:c>
      <x:c r="B3101" s="153" t="n">
        <x:v>4.32</x:v>
      </x:c>
      <x:c r="C3101" s="153" t="n">
        <x:v>2.06</x:v>
      </x:c>
      <x:c r="D3101" s="153" t="n">
        <x:v>2.26</x:v>
      </x:c>
      <x:c r="E3101" s="153" t="n">
        <x:v>124.26</x:v>
      </x:c>
      <x:c r="F3101" s="153" t="n">
        <x:v>12.55</x:v>
      </x:c>
      <x:c r="G3101" s="153" t="n">
        <x:v>5.33</x:v>
      </x:c>
    </x:row>
    <x:row r="3102">
      <x:c r="A3102" s="155" t="n">
        <x:v>45470</x:v>
      </x:c>
      <x:c r="B3102" s="153" t="n">
        <x:v>4.29</x:v>
      </x:c>
      <x:c r="C3102" s="153" t="n">
        <x:v>2.03</x:v>
      </x:c>
      <x:c r="D3102" s="153" t="n">
        <x:v>2.26</x:v>
      </x:c>
      <x:c r="E3102" s="153" t="n">
        <x:v>124.3379</x:v>
      </x:c>
      <x:c r="F3102" s="153" t="n">
        <x:v>12.24</x:v>
      </x:c>
      <x:c r="G3102" s="153" t="n">
        <x:v>5.33</x:v>
      </x:c>
    </x:row>
    <x:row r="3103">
      <x:c r="A3103" s="155" t="n">
        <x:v>45471</x:v>
      </x:c>
      <x:c r="B3103" s="153" t="n">
        <x:v>4.36</x:v>
      </x:c>
      <x:c r="C3103" s="153" t="n">
        <x:v>2.08</x:v>
      </x:c>
      <x:c r="D3103" s="153" t="n">
        <x:v>2.28</x:v>
      </x:c>
      <x:c r="E3103" s="153" t="n">
        <x:v>124.2103</x:v>
      </x:c>
      <x:c r="F3103" s="153" t="n">
        <x:v>12.44</x:v>
      </x:c>
      <x:c r="G3103" s="153" t="n">
        <x:v>5.33</x:v>
      </x:c>
    </x:row>
    <x:row r="3104">
      <x:c r="A3104" s="155" t="n">
        <x:v>45472</x:v>
      </x:c>
      <x:c r="B3104" s="153"/>
      <x:c r="C3104" s="153"/>
      <x:c r="D3104" s="153"/>
      <x:c r="E3104" s="153"/>
      <x:c r="F3104" s="153"/>
      <x:c r="G3104" s="153" t="n">
        <x:v>5.33</x:v>
      </x:c>
    </x:row>
    <x:row r="3105">
      <x:c r="A3105" s="155" t="n">
        <x:v>45473</x:v>
      </x:c>
      <x:c r="B3105" s="153"/>
      <x:c r="C3105" s="153"/>
      <x:c r="D3105" s="153"/>
      <x:c r="E3105" s="153"/>
      <x:c r="F3105" s="153"/>
      <x:c r="G3105" s="153" t="n">
        <x:v>5.33</x:v>
      </x:c>
    </x:row>
    <x:row r="3106">
      <x:c r="A3106" s="155" t="n">
        <x:v>45474</x:v>
      </x:c>
      <x:c r="B3106" s="153" t="n">
        <x:v>4.48</x:v>
      </x:c>
      <x:c r="C3106" s="153" t="n">
        <x:v>2.16</x:v>
      </x:c>
      <x:c r="D3106" s="153" t="n">
        <x:v>2.32</x:v>
      </x:c>
      <x:c r="E3106" s="153" t="n">
        <x:v>124.4667</x:v>
      </x:c>
      <x:c r="F3106" s="153" t="n">
        <x:v>12.22</x:v>
      </x:c>
      <x:c r="G3106" s="153" t="n">
        <x:v>5.33</x:v>
      </x:c>
    </x:row>
    <x:row r="3107">
      <x:c r="A3107" s="155" t="n">
        <x:v>45475</x:v>
      </x:c>
      <x:c r="B3107" s="153" t="n">
        <x:v>4.43</x:v>
      </x:c>
      <x:c r="C3107" s="153" t="n">
        <x:v>2.13</x:v>
      </x:c>
      <x:c r="D3107" s="153" t="n">
        <x:v>2.3</x:v>
      </x:c>
      <x:c r="E3107" s="153" t="n">
        <x:v>124.2917</x:v>
      </x:c>
      <x:c r="F3107" s="153" t="n">
        <x:v>12.03</x:v>
      </x:c>
      <x:c r="G3107" s="153" t="n">
        <x:v>5.33</x:v>
      </x:c>
    </x:row>
    <x:row r="3108">
      <x:c r="A3108" s="155" t="n">
        <x:v>45476</x:v>
      </x:c>
      <x:c r="B3108" s="153" t="n">
        <x:v>4.36</x:v>
      </x:c>
      <x:c r="C3108" s="153" t="n">
        <x:v>2.09</x:v>
      </x:c>
      <x:c r="D3108" s="153" t="n">
        <x:v>2.27</x:v>
      </x:c>
      <x:c r="E3108" s="153" t="n">
        <x:v>123.7768</x:v>
      </x:c>
      <x:c r="F3108" s="153" t="n">
        <x:v>12.09</x:v>
      </x:c>
      <x:c r="G3108" s="153" t="n">
        <x:v>5.33</x:v>
      </x:c>
    </x:row>
    <x:row r="3109">
      <x:c r="A3109" s="155" t="n">
        <x:v>45477</x:v>
      </x:c>
      <x:c r="B3109" s="153"/>
      <x:c r="C3109" s="153"/>
      <x:c r="D3109" s="153"/>
      <x:c r="E3109" s="153"/>
      <x:c r="F3109" s="153" t="n">
        <x:v>12.26</x:v>
      </x:c>
      <x:c r="G3109" s="153" t="n">
        <x:v>5.33</x:v>
      </x:c>
    </x:row>
    <x:row r="3110">
      <x:c r="A3110" s="155" t="n">
        <x:v>45478</x:v>
      </x:c>
      <x:c r="B3110" s="153" t="n">
        <x:v>4.28</x:v>
      </x:c>
      <x:c r="C3110" s="153" t="n">
        <x:v>2</x:v>
      </x:c>
      <x:c r="D3110" s="153" t="n">
        <x:v>2.28</x:v>
      </x:c>
      <x:c r="E3110" s="153" t="n">
        <x:v>123.4762</x:v>
      </x:c>
      <x:c r="F3110" s="153" t="n">
        <x:v>12.48</x:v>
      </x:c>
      <x:c r="G3110" s="153" t="n">
        <x:v>5.33</x:v>
      </x:c>
    </x:row>
    <x:row r="3111">
      <x:c r="A3111" s="155" t="n">
        <x:v>45479</x:v>
      </x:c>
      <x:c r="B3111" s="153"/>
      <x:c r="C3111" s="153"/>
      <x:c r="D3111" s="153"/>
      <x:c r="E3111" s="153"/>
      <x:c r="F3111" s="153"/>
      <x:c r="G3111" s="153" t="n">
        <x:v>5.33</x:v>
      </x:c>
    </x:row>
    <x:row r="3112">
      <x:c r="A3112" s="155" t="n">
        <x:v>45480</x:v>
      </x:c>
      <x:c r="B3112" s="153"/>
      <x:c r="C3112" s="153"/>
      <x:c r="D3112" s="153"/>
      <x:c r="E3112" s="153"/>
      <x:c r="F3112" s="153"/>
      <x:c r="G3112" s="153" t="n">
        <x:v>5.33</x:v>
      </x:c>
    </x:row>
    <x:row r="3113">
      <x:c r="A3113" s="155" t="n">
        <x:v>45481</x:v>
      </x:c>
      <x:c r="B3113" s="153" t="n">
        <x:v>4.28</x:v>
      </x:c>
      <x:c r="C3113" s="153" t="n">
        <x:v>2.01</x:v>
      </x:c>
      <x:c r="D3113" s="153" t="n">
        <x:v>2.27</x:v>
      </x:c>
      <x:c r="E3113" s="153" t="n">
        <x:v>123.3576</x:v>
      </x:c>
      <x:c r="F3113" s="153" t="n">
        <x:v>12.37</x:v>
      </x:c>
      <x:c r="G3113" s="153" t="n">
        <x:v>5.33</x:v>
      </x:c>
    </x:row>
    <x:row r="3114">
      <x:c r="A3114" s="155" t="n">
        <x:v>45482</x:v>
      </x:c>
      <x:c r="B3114" s="153" t="n">
        <x:v>4.3</x:v>
      </x:c>
      <x:c r="C3114" s="153" t="n">
        <x:v>2.04</x:v>
      </x:c>
      <x:c r="D3114" s="153" t="n">
        <x:v>2.26</x:v>
      </x:c>
      <x:c r="E3114" s="153" t="n">
        <x:v>123.4071</x:v>
      </x:c>
      <x:c r="F3114" s="153" t="n">
        <x:v>12.51</x:v>
      </x:c>
      <x:c r="G3114" s="153" t="n">
        <x:v>5.33</x:v>
      </x:c>
    </x:row>
    <x:row r="3115">
      <x:c r="A3115" s="155" t="n">
        <x:v>45483</x:v>
      </x:c>
      <x:c r="B3115" s="153" t="n">
        <x:v>4.28</x:v>
      </x:c>
      <x:c r="C3115" s="153" t="n">
        <x:v>2.01</x:v>
      </x:c>
      <x:c r="D3115" s="153" t="n">
        <x:v>2.27</x:v>
      </x:c>
      <x:c r="E3115" s="153" t="n">
        <x:v>123.1895</x:v>
      </x:c>
      <x:c r="F3115" s="153" t="n">
        <x:v>12.85</x:v>
      </x:c>
      <x:c r="G3115" s="153" t="n">
        <x:v>5.33</x:v>
      </x:c>
    </x:row>
    <x:row r="3116">
      <x:c r="A3116" s="155" t="n">
        <x:v>45484</x:v>
      </x:c>
      <x:c r="B3116" s="153" t="n">
        <x:v>4.2</x:v>
      </x:c>
      <x:c r="C3116" s="153" t="n">
        <x:v>1.95</x:v>
      </x:c>
      <x:c r="D3116" s="153" t="n">
        <x:v>2.25</x:v>
      </x:c>
      <x:c r="E3116" s="153" t="n">
        <x:v>122.769</x:v>
      </x:c>
      <x:c r="F3116" s="153" t="n">
        <x:v>12.92</x:v>
      </x:c>
      <x:c r="G3116" s="153" t="n">
        <x:v>5.33</x:v>
      </x:c>
    </x:row>
    <x:row r="3117">
      <x:c r="A3117" s="155" t="n">
        <x:v>45485</x:v>
      </x:c>
      <x:c r="B3117" s="153" t="n">
        <x:v>4.18</x:v>
      </x:c>
      <x:c r="C3117" s="153" t="n">
        <x:v>1.94</x:v>
      </x:c>
      <x:c r="D3117" s="153" t="n">
        <x:v>2.24</x:v>
      </x:c>
      <x:c r="E3117" s="153" t="n">
        <x:v>122.4404</x:v>
      </x:c>
      <x:c r="F3117" s="153" t="n">
        <x:v>12.46</x:v>
      </x:c>
      <x:c r="G3117" s="153" t="n">
        <x:v>5.33</x:v>
      </x:c>
    </x:row>
    <x:row r="3118">
      <x:c r="A3118" s="155" t="n">
        <x:v>45486</x:v>
      </x:c>
      <x:c r="B3118" s="153"/>
      <x:c r="C3118" s="153"/>
      <x:c r="D3118" s="153"/>
      <x:c r="E3118" s="153"/>
      <x:c r="F3118" s="153"/>
      <x:c r="G3118" s="153" t="n">
        <x:v>5.33</x:v>
      </x:c>
    </x:row>
    <x:row r="3119">
      <x:c r="A3119" s="155" t="n">
        <x:v>45487</x:v>
      </x:c>
      <x:c r="B3119" s="153"/>
      <x:c r="C3119" s="153"/>
      <x:c r="D3119" s="153"/>
      <x:c r="E3119" s="153"/>
      <x:c r="F3119" s="153"/>
      <x:c r="G3119" s="153" t="n">
        <x:v>5.33</x:v>
      </x:c>
    </x:row>
    <x:row r="3120">
      <x:c r="A3120" s="155" t="n">
        <x:v>45488</x:v>
      </x:c>
      <x:c r="B3120" s="153" t="n">
        <x:v>4.23</x:v>
      </x:c>
      <x:c r="C3120" s="153" t="n">
        <x:v>1.96</x:v>
      </x:c>
      <x:c r="D3120" s="153" t="n">
        <x:v>2.27</x:v>
      </x:c>
      <x:c r="E3120" s="153" t="n">
        <x:v>122.6347</x:v>
      </x:c>
      <x:c r="F3120" s="153" t="n">
        <x:v>13.12</x:v>
      </x:c>
      <x:c r="G3120" s="153" t="n">
        <x:v>5.33</x:v>
      </x:c>
    </x:row>
    <x:row r="3121">
      <x:c r="A3121" s="155" t="n">
        <x:v>45489</x:v>
      </x:c>
      <x:c r="B3121" s="153" t="n">
        <x:v>4.17</x:v>
      </x:c>
      <x:c r="C3121" s="153" t="n">
        <x:v>1.91</x:v>
      </x:c>
      <x:c r="D3121" s="153" t="n">
        <x:v>2.26</x:v>
      </x:c>
      <x:c r="E3121" s="153" t="n">
        <x:v>122.7264</x:v>
      </x:c>
      <x:c r="F3121" s="153" t="n">
        <x:v>13.19</x:v>
      </x:c>
      <x:c r="G3121" s="153" t="n">
        <x:v>5.33</x:v>
      </x:c>
    </x:row>
    <x:row r="3122">
      <x:c r="A3122" s="155" t="n">
        <x:v>45490</x:v>
      </x:c>
      <x:c r="B3122" s="153" t="n">
        <x:v>4.16</x:v>
      </x:c>
      <x:c r="C3122" s="153" t="n">
        <x:v>1.9</x:v>
      </x:c>
      <x:c r="D3122" s="153" t="n">
        <x:v>2.26</x:v>
      </x:c>
      <x:c r="E3122" s="153" t="n">
        <x:v>122.518</x:v>
      </x:c>
      <x:c r="F3122" s="153" t="n">
        <x:v>14.48</x:v>
      </x:c>
      <x:c r="G3122" s="153" t="n">
        <x:v>5.33</x:v>
      </x:c>
    </x:row>
    <x:row r="3123">
      <x:c r="A3123" s="155" t="n">
        <x:v>45491</x:v>
      </x:c>
      <x:c r="B3123" s="153" t="n">
        <x:v>4.2</x:v>
      </x:c>
      <x:c r="C3123" s="153" t="n">
        <x:v>1.89</x:v>
      </x:c>
      <x:c r="D3123" s="153" t="n">
        <x:v>2.31</x:v>
      </x:c>
      <x:c r="E3123" s="153" t="n">
        <x:v>122.7909</x:v>
      </x:c>
      <x:c r="F3123" s="153" t="n">
        <x:v>15.93</x:v>
      </x:c>
      <x:c r="G3123" s="153" t="n">
        <x:v>5.33</x:v>
      </x:c>
    </x:row>
    <x:row r="3124">
      <x:c r="A3124" s="155" t="n">
        <x:v>45492</x:v>
      </x:c>
      <x:c r="B3124" s="153" t="n">
        <x:v>4.25</x:v>
      </x:c>
      <x:c r="C3124" s="153" t="n">
        <x:v>1.93</x:v>
      </x:c>
      <x:c r="D3124" s="153" t="n">
        <x:v>2.32</x:v>
      </x:c>
      <x:c r="E3124" s="153" t="n">
        <x:v>123.147</x:v>
      </x:c>
      <x:c r="F3124" s="153" t="n">
        <x:v>16.52</x:v>
      </x:c>
      <x:c r="G3124" s="153" t="n">
        <x:v>5.33</x:v>
      </x:c>
    </x:row>
    <x:row r="3125">
      <x:c r="A3125" s="155" t="n">
        <x:v>45493</x:v>
      </x:c>
      <x:c r="B3125" s="153"/>
      <x:c r="C3125" s="153"/>
      <x:c r="D3125" s="153"/>
      <x:c r="E3125" s="153"/>
      <x:c r="F3125" s="153"/>
      <x:c r="G3125" s="153" t="n">
        <x:v>5.33</x:v>
      </x:c>
    </x:row>
    <x:row r="3126">
      <x:c r="A3126" s="155" t="n">
        <x:v>45494</x:v>
      </x:c>
      <x:c r="B3126" s="153"/>
      <x:c r="C3126" s="153"/>
      <x:c r="D3126" s="153"/>
      <x:c r="E3126" s="153"/>
      <x:c r="F3126" s="153"/>
      <x:c r="G3126" s="153" t="n">
        <x:v>5.33</x:v>
      </x:c>
    </x:row>
    <x:row r="3127">
      <x:c r="A3127" s="155" t="n">
        <x:v>45495</x:v>
      </x:c>
      <x:c r="B3127" s="153" t="n">
        <x:v>4.26</x:v>
      </x:c>
      <x:c r="C3127" s="153" t="n">
        <x:v>1.96</x:v>
      </x:c>
      <x:c r="D3127" s="153" t="n">
        <x:v>2.3</x:v>
      </x:c>
      <x:c r="E3127" s="153" t="n">
        <x:v>123.2172</x:v>
      </x:c>
      <x:c r="F3127" s="153" t="n">
        <x:v>14.91</x:v>
      </x:c>
      <x:c r="G3127" s="153" t="n">
        <x:v>5.33</x:v>
      </x:c>
    </x:row>
    <x:row r="3128">
      <x:c r="A3128" s="155" t="n">
        <x:v>45496</x:v>
      </x:c>
      <x:c r="B3128" s="153" t="n">
        <x:v>4.25</x:v>
      </x:c>
      <x:c r="C3128" s="153" t="n">
        <x:v>1.96</x:v>
      </x:c>
      <x:c r="D3128" s="153" t="n">
        <x:v>2.29</x:v>
      </x:c>
      <x:c r="E3128" s="153" t="n">
        <x:v>123.3843</x:v>
      </x:c>
      <x:c r="F3128" s="153" t="n">
        <x:v>14.72</x:v>
      </x:c>
      <x:c r="G3128" s="153" t="n">
        <x:v>5.33</x:v>
      </x:c>
    </x:row>
    <x:row r="3129">
      <x:c r="A3129" s="155" t="n">
        <x:v>45497</x:v>
      </x:c>
      <x:c r="B3129" s="153" t="n">
        <x:v>4.28</x:v>
      </x:c>
      <x:c r="C3129" s="153" t="n">
        <x:v>2</x:v>
      </x:c>
      <x:c r="D3129" s="153" t="n">
        <x:v>2.28</x:v>
      </x:c>
      <x:c r="E3129" s="153" t="n">
        <x:v>123.5575</x:v>
      </x:c>
      <x:c r="F3129" s="153" t="n">
        <x:v>18.04</x:v>
      </x:c>
      <x:c r="G3129" s="153" t="n">
        <x:v>5.33</x:v>
      </x:c>
    </x:row>
    <x:row r="3130">
      <x:c r="A3130" s="155" t="n">
        <x:v>45498</x:v>
      </x:c>
      <x:c r="B3130" s="153" t="n">
        <x:v>4.27</x:v>
      </x:c>
      <x:c r="C3130" s="153" t="n">
        <x:v>1.99</x:v>
      </x:c>
      <x:c r="D3130" s="153" t="n">
        <x:v>2.28</x:v>
      </x:c>
      <x:c r="E3130" s="153" t="n">
        <x:v>123.5286</x:v>
      </x:c>
      <x:c r="F3130" s="153" t="n">
        <x:v>18.46</x:v>
      </x:c>
      <x:c r="G3130" s="153" t="n">
        <x:v>5.33</x:v>
      </x:c>
    </x:row>
    <x:row r="3131">
      <x:c r="A3131" s="155" t="n">
        <x:v>45499</x:v>
      </x:c>
      <x:c r="B3131" s="153" t="n">
        <x:v>4.2</x:v>
      </x:c>
      <x:c r="C3131" s="153" t="n">
        <x:v>1.93</x:v>
      </x:c>
      <x:c r="D3131" s="153" t="n">
        <x:v>2.27</x:v>
      </x:c>
      <x:c r="E3131" s="153" t="n">
        <x:v>123.672</x:v>
      </x:c>
      <x:c r="F3131" s="153" t="n">
        <x:v>16.39</x:v>
      </x:c>
      <x:c r="G3131" s="153" t="n">
        <x:v>5.33</x:v>
      </x:c>
    </x:row>
    <x:row r="3132">
      <x:c r="A3132" s="155" t="n">
        <x:v>45500</x:v>
      </x:c>
      <x:c r="B3132" s="153"/>
      <x:c r="C3132" s="153"/>
      <x:c r="D3132" s="153"/>
      <x:c r="E3132" s="153"/>
      <x:c r="F3132" s="153"/>
      <x:c r="G3132" s="153" t="n">
        <x:v>5.33</x:v>
      </x:c>
    </x:row>
    <x:row r="3133">
      <x:c r="A3133" s="155" t="n">
        <x:v>45501</x:v>
      </x:c>
      <x:c r="B3133" s="153"/>
      <x:c r="C3133" s="153"/>
      <x:c r="D3133" s="153"/>
      <x:c r="E3133" s="153"/>
      <x:c r="F3133" s="153"/>
      <x:c r="G3133" s="153" t="n">
        <x:v>5.33</x:v>
      </x:c>
    </x:row>
    <x:row r="3134">
      <x:c r="A3134" s="155" t="n">
        <x:v>45502</x:v>
      </x:c>
      <x:c r="B3134" s="153" t="n">
        <x:v>4.17</x:v>
      </x:c>
      <x:c r="C3134" s="153" t="n">
        <x:v>1.92</x:v>
      </x:c>
      <x:c r="D3134" s="153" t="n">
        <x:v>2.25</x:v>
      </x:c>
      <x:c r="E3134" s="153" t="n">
        <x:v>124.1392</x:v>
      </x:c>
      <x:c r="F3134" s="153" t="n">
        <x:v>16.6</x:v>
      </x:c>
      <x:c r="G3134" s="153" t="n">
        <x:v>5.33</x:v>
      </x:c>
    </x:row>
    <x:row r="3135">
      <x:c r="A3135" s="155" t="n">
        <x:v>45503</x:v>
      </x:c>
      <x:c r="B3135" s="153" t="n">
        <x:v>4.15</x:v>
      </x:c>
      <x:c r="C3135" s="153" t="n">
        <x:v>1.9</x:v>
      </x:c>
      <x:c r="D3135" s="153" t="n">
        <x:v>2.25</x:v>
      </x:c>
      <x:c r="E3135" s="153" t="n">
        <x:v>124.2855</x:v>
      </x:c>
      <x:c r="F3135" s="153" t="n">
        <x:v>17.69</x:v>
      </x:c>
      <x:c r="G3135" s="153" t="n">
        <x:v>5.33</x:v>
      </x:c>
    </x:row>
    <x:row r="3136">
      <x:c r="A3136" s="155" t="n">
        <x:v>45504</x:v>
      </x:c>
      <x:c r="B3136" s="153" t="n">
        <x:v>4.09</x:v>
      </x:c>
      <x:c r="C3136" s="153" t="n">
        <x:v>1.85</x:v>
      </x:c>
      <x:c r="D3136" s="153" t="n">
        <x:v>2.24</x:v>
      </x:c>
      <x:c r="E3136" s="153" t="n">
        <x:v>123.6373</x:v>
      </x:c>
      <x:c r="F3136" s="153" t="n">
        <x:v>16.36</x:v>
      </x:c>
      <x:c r="G3136" s="153" t="n">
        <x:v>5.33</x:v>
      </x:c>
    </x:row>
    <x:row r="3137">
      <x:c r="A3137" s="155" t="n">
        <x:v>45505</x:v>
      </x:c>
      <x:c r="B3137" s="153" t="n">
        <x:v>3.99</x:v>
      </x:c>
      <x:c r="C3137" s="153" t="n">
        <x:v>1.79</x:v>
      </x:c>
      <x:c r="D3137" s="153" t="n">
        <x:v>2.2</x:v>
      </x:c>
      <x:c r="E3137" s="153" t="n">
        <x:v>123.8693</x:v>
      </x:c>
      <x:c r="F3137" s="153" t="n">
        <x:v>18.59</x:v>
      </x:c>
      <x:c r="G3137" s="153" t="n">
        <x:v>5.33</x:v>
      </x:c>
    </x:row>
    <x:row r="3138">
      <x:c r="A3138" s="155" t="n">
        <x:v>45506</x:v>
      </x:c>
      <x:c r="B3138" s="153" t="n">
        <x:v>3.8</x:v>
      </x:c>
      <x:c r="C3138" s="153" t="n">
        <x:v>1.76</x:v>
      </x:c>
      <x:c r="D3138" s="153" t="n">
        <x:v>2.04</x:v>
      </x:c>
      <x:c r="E3138" s="153" t="n">
        <x:v>123.4681</x:v>
      </x:c>
      <x:c r="F3138" s="153" t="n">
        <x:v>23.39</x:v>
      </x:c>
      <x:c r="G3138" s="153" t="n">
        <x:v>5.33</x:v>
      </x:c>
    </x:row>
    <x:row r="3139">
      <x:c r="A3139" s="155" t="n">
        <x:v>45507</x:v>
      </x:c>
      <x:c r="B3139" s="153"/>
      <x:c r="C3139" s="153"/>
      <x:c r="D3139" s="153"/>
      <x:c r="E3139" s="153"/>
      <x:c r="F3139" s="153"/>
      <x:c r="G3139" s="153" t="n">
        <x:v>5.33</x:v>
      </x:c>
    </x:row>
    <x:row r="3140">
      <x:c r="A3140" s="155" t="n">
        <x:v>45508</x:v>
      </x:c>
      <x:c r="B3140" s="153"/>
      <x:c r="C3140" s="153"/>
      <x:c r="D3140" s="153"/>
      <x:c r="E3140" s="153"/>
      <x:c r="F3140" s="153"/>
      <x:c r="G3140" s="153" t="n">
        <x:v>5.33</x:v>
      </x:c>
    </x:row>
    <x:row r="3141">
      <x:c r="A3141" s="155" t="n">
        <x:v>45509</x:v>
      </x:c>
      <x:c r="B3141" s="153" t="n">
        <x:v>3.78</x:v>
      </x:c>
      <x:c r="C3141" s="153" t="n">
        <x:v>1.71</x:v>
      </x:c>
      <x:c r="D3141" s="153" t="n">
        <x:v>2.07</x:v>
      </x:c>
      <x:c r="E3141" s="153" t="n">
        <x:v>123.5787</x:v>
      </x:c>
      <x:c r="F3141" s="153" t="n">
        <x:v>38.57</x:v>
      </x:c>
      <x:c r="G3141" s="153" t="n">
        <x:v>5.33</x:v>
      </x:c>
    </x:row>
    <x:row r="3142">
      <x:c r="A3142" s="155" t="n">
        <x:v>45510</x:v>
      </x:c>
      <x:c r="B3142" s="153" t="n">
        <x:v>3.9</x:v>
      </x:c>
      <x:c r="C3142" s="153" t="n">
        <x:v>1.78</x:v>
      </x:c>
      <x:c r="D3142" s="153" t="n">
        <x:v>2.12</x:v>
      </x:c>
      <x:c r="E3142" s="153" t="n">
        <x:v>123.6532</x:v>
      </x:c>
      <x:c r="F3142" s="153" t="n">
        <x:v>27.71</x:v>
      </x:c>
      <x:c r="G3142" s="153" t="n">
        <x:v>5.33</x:v>
      </x:c>
    </x:row>
    <x:row r="3143">
      <x:c r="A3143" s="155" t="n">
        <x:v>45511</x:v>
      </x:c>
      <x:c r="B3143" s="153" t="n">
        <x:v>3.96</x:v>
      </x:c>
      <x:c r="C3143" s="153" t="n">
        <x:v>1.85</x:v>
      </x:c>
      <x:c r="D3143" s="153" t="n">
        <x:v>2.11</x:v>
      </x:c>
      <x:c r="E3143" s="153" t="n">
        <x:v>123.5698</x:v>
      </x:c>
      <x:c r="F3143" s="153" t="n">
        <x:v>27.85</x:v>
      </x:c>
      <x:c r="G3143" s="153" t="n">
        <x:v>5.33</x:v>
      </x:c>
    </x:row>
    <x:row r="3144">
      <x:c r="A3144" s="155" t="n">
        <x:v>45512</x:v>
      </x:c>
      <x:c r="B3144" s="153" t="n">
        <x:v>3.99</x:v>
      </x:c>
      <x:c r="C3144" s="153" t="n">
        <x:v>1.87</x:v>
      </x:c>
      <x:c r="D3144" s="153" t="n">
        <x:v>2.12</x:v>
      </x:c>
      <x:c r="E3144" s="153" t="n">
        <x:v>123.4466</x:v>
      </x:c>
      <x:c r="F3144" s="153" t="n">
        <x:v>23.79</x:v>
      </x:c>
      <x:c r="G3144" s="153" t="n">
        <x:v>5.33</x:v>
      </x:c>
    </x:row>
    <x:row r="3145">
      <x:c r="A3145" s="155" t="n">
        <x:v>45513</x:v>
      </x:c>
      <x:c r="B3145" s="153" t="n">
        <x:v>3.94</x:v>
      </x:c>
      <x:c r="C3145" s="153" t="n">
        <x:v>1.84</x:v>
      </x:c>
      <x:c r="D3145" s="153" t="n">
        <x:v>2.1</x:v>
      </x:c>
      <x:c r="E3145" s="153" t="n">
        <x:v>122.9276</x:v>
      </x:c>
      <x:c r="F3145" s="153" t="n">
        <x:v>20.37</x:v>
      </x:c>
      <x:c r="G3145" s="153" t="n">
        <x:v>5.33</x:v>
      </x:c>
    </x:row>
    <x:row r="3146">
      <x:c r="A3146" s="155" t="n">
        <x:v>45514</x:v>
      </x:c>
      <x:c r="B3146" s="153"/>
      <x:c r="C3146" s="153"/>
      <x:c r="D3146" s="153"/>
      <x:c r="E3146" s="153"/>
      <x:c r="F3146" s="153"/>
      <x:c r="G3146" s="153" t="n">
        <x:v>5.33</x:v>
      </x:c>
    </x:row>
    <x:row r="3147">
      <x:c r="A3147" s="155" t="n">
        <x:v>45515</x:v>
      </x:c>
      <x:c r="B3147" s="153"/>
      <x:c r="C3147" s="153"/>
      <x:c r="D3147" s="153"/>
      <x:c r="E3147" s="153"/>
      <x:c r="F3147" s="153"/>
      <x:c r="G3147" s="153" t="n">
        <x:v>5.33</x:v>
      </x:c>
    </x:row>
    <x:row r="3148">
      <x:c r="A3148" s="155" t="n">
        <x:v>45516</x:v>
      </x:c>
      <x:c r="B3148" s="153" t="n">
        <x:v>3.9</x:v>
      </x:c>
      <x:c r="C3148" s="153" t="n">
        <x:v>1.79</x:v>
      </x:c>
      <x:c r="D3148" s="153" t="n">
        <x:v>2.11</x:v>
      </x:c>
      <x:c r="E3148" s="153" t="n">
        <x:v>123.2204</x:v>
      </x:c>
      <x:c r="F3148" s="153" t="n">
        <x:v>20.71</x:v>
      </x:c>
      <x:c r="G3148" s="153" t="n">
        <x:v>5.33</x:v>
      </x:c>
    </x:row>
    <x:row r="3149">
      <x:c r="A3149" s="155" t="n">
        <x:v>45517</x:v>
      </x:c>
      <x:c r="B3149" s="153" t="n">
        <x:v>3.85</x:v>
      </x:c>
      <x:c r="C3149" s="153" t="n">
        <x:v>1.76</x:v>
      </x:c>
      <x:c r="D3149" s="153" t="n">
        <x:v>2.09</x:v>
      </x:c>
      <x:c r="E3149" s="153" t="n">
        <x:v>123.0146</x:v>
      </x:c>
      <x:c r="F3149" s="153" t="n">
        <x:v>18.12</x:v>
      </x:c>
      <x:c r="G3149" s="153" t="n">
        <x:v>5.33</x:v>
      </x:c>
    </x:row>
    <x:row r="3150">
      <x:c r="A3150" s="155" t="n">
        <x:v>45518</x:v>
      </x:c>
      <x:c r="B3150" s="153" t="n">
        <x:v>3.83</x:v>
      </x:c>
      <x:c r="C3150" s="153" t="n">
        <x:v>1.77</x:v>
      </x:c>
      <x:c r="D3150" s="153" t="n">
        <x:v>2.06</x:v>
      </x:c>
      <x:c r="E3150" s="153" t="n">
        <x:v>122.4297</x:v>
      </x:c>
      <x:c r="F3150" s="153" t="n">
        <x:v>16.19</x:v>
      </x:c>
      <x:c r="G3150" s="153" t="n">
        <x:v>5.33</x:v>
      </x:c>
    </x:row>
    <x:row r="3151">
      <x:c r="A3151" s="155" t="n">
        <x:v>45519</x:v>
      </x:c>
      <x:c r="B3151" s="153" t="n">
        <x:v>3.92</x:v>
      </x:c>
      <x:c r="C3151" s="153" t="n">
        <x:v>1.8</x:v>
      </x:c>
      <x:c r="D3151" s="153" t="n">
        <x:v>2.12</x:v>
      </x:c>
      <x:c r="E3151" s="153" t="n">
        <x:v>122.5844</x:v>
      </x:c>
      <x:c r="F3151" s="153" t="n">
        <x:v>15.23</x:v>
      </x:c>
      <x:c r="G3151" s="153" t="n">
        <x:v>5.33</x:v>
      </x:c>
    </x:row>
    <x:row r="3152">
      <x:c r="A3152" s="155" t="n">
        <x:v>45520</x:v>
      </x:c>
      <x:c r="B3152" s="153" t="n">
        <x:v>3.89</x:v>
      </x:c>
      <x:c r="C3152" s="153" t="n">
        <x:v>1.81</x:v>
      </x:c>
      <x:c r="D3152" s="153" t="n">
        <x:v>2.08</x:v>
      </x:c>
      <x:c r="E3152" s="153" t="n">
        <x:v>122.3972</x:v>
      </x:c>
      <x:c r="F3152" s="153" t="n">
        <x:v>14.8</x:v>
      </x:c>
      <x:c r="G3152" s="153" t="n">
        <x:v>5.33</x:v>
      </x:c>
    </x:row>
    <x:row r="3153">
      <x:c r="A3153" s="155" t="n">
        <x:v>45521</x:v>
      </x:c>
      <x:c r="B3153" s="153"/>
      <x:c r="C3153" s="153"/>
      <x:c r="D3153" s="153"/>
      <x:c r="E3153" s="153"/>
      <x:c r="F3153" s="153"/>
      <x:c r="G3153" s="153" t="n">
        <x:v>5.33</x:v>
      </x:c>
    </x:row>
    <x:row r="3154">
      <x:c r="A3154" s="155" t="n">
        <x:v>45522</x:v>
      </x:c>
      <x:c r="B3154" s="153"/>
      <x:c r="C3154" s="153"/>
      <x:c r="D3154" s="153"/>
      <x:c r="E3154" s="153"/>
      <x:c r="F3154" s="153"/>
      <x:c r="G3154" s="153" t="n">
        <x:v>5.33</x:v>
      </x:c>
    </x:row>
    <x:row r="3155">
      <x:c r="A3155" s="155" t="n">
        <x:v>45523</x:v>
      </x:c>
      <x:c r="B3155" s="153" t="n">
        <x:v>3.86</x:v>
      </x:c>
      <x:c r="C3155" s="153" t="n">
        <x:v>1.79</x:v>
      </x:c>
      <x:c r="D3155" s="153" t="n">
        <x:v>2.07</x:v>
      </x:c>
      <x:c r="E3155" s="153" t="n">
        <x:v>121.8788</x:v>
      </x:c>
      <x:c r="F3155" s="153" t="n">
        <x:v>14.65</x:v>
      </x:c>
      <x:c r="G3155" s="153" t="n">
        <x:v>5.33</x:v>
      </x:c>
    </x:row>
    <x:row r="3156">
      <x:c r="A3156" s="155" t="n">
        <x:v>45524</x:v>
      </x:c>
      <x:c r="B3156" s="153" t="n">
        <x:v>3.82</x:v>
      </x:c>
      <x:c r="C3156" s="153" t="n">
        <x:v>1.75</x:v>
      </x:c>
      <x:c r="D3156" s="153" t="n">
        <x:v>2.07</x:v>
      </x:c>
      <x:c r="E3156" s="153" t="n">
        <x:v>121.7728</x:v>
      </x:c>
      <x:c r="F3156" s="153" t="n">
        <x:v>15.88</x:v>
      </x:c>
      <x:c r="G3156" s="153" t="n">
        <x:v>5.33</x:v>
      </x:c>
    </x:row>
    <x:row r="3157">
      <x:c r="A3157" s="155" t="n">
        <x:v>45525</x:v>
      </x:c>
      <x:c r="B3157" s="153" t="n">
        <x:v>3.79</x:v>
      </x:c>
      <x:c r="C3157" s="153" t="n">
        <x:v>1.72</x:v>
      </x:c>
      <x:c r="D3157" s="153" t="n">
        <x:v>2.07</x:v>
      </x:c>
      <x:c r="E3157" s="153" t="n">
        <x:v>121.8535</x:v>
      </x:c>
      <x:c r="F3157" s="153" t="n">
        <x:v>16.27</x:v>
      </x:c>
      <x:c r="G3157" s="153" t="n">
        <x:v>5.33</x:v>
      </x:c>
    </x:row>
    <x:row r="3158">
      <x:c r="A3158" s="155" t="n">
        <x:v>45526</x:v>
      </x:c>
      <x:c r="B3158" s="153" t="n">
        <x:v>3.86</x:v>
      </x:c>
      <x:c r="C3158" s="153" t="n">
        <x:v>1.76</x:v>
      </x:c>
      <x:c r="D3158" s="153" t="n">
        <x:v>2.1</x:v>
      </x:c>
      <x:c r="E3158" s="153" t="n">
        <x:v>122.3626</x:v>
      </x:c>
      <x:c r="F3158" s="153" t="n">
        <x:v>17.55</x:v>
      </x:c>
      <x:c r="G3158" s="153" t="n">
        <x:v>5.33</x:v>
      </x:c>
    </x:row>
    <x:row r="3159">
      <x:c r="A3159" s="155" t="n">
        <x:v>45527</x:v>
      </x:c>
      <x:c r="B3159" s="153" t="n">
        <x:v>3.81</x:v>
      </x:c>
      <x:c r="C3159" s="153" t="n">
        <x:v>1.68</x:v>
      </x:c>
      <x:c r="D3159" s="153" t="n">
        <x:v>2.13</x:v>
      </x:c>
      <x:c r="E3159" s="153" t="n">
        <x:v>121.4597</x:v>
      </x:c>
      <x:c r="F3159" s="153" t="n">
        <x:v>15.86</x:v>
      </x:c>
      <x:c r="G3159" s="153" t="n">
        <x:v>5.33</x:v>
      </x:c>
    </x:row>
    <x:row r="3160">
      <x:c r="A3160" s="155" t="n">
        <x:v>45528</x:v>
      </x:c>
      <x:c r="B3160" s="153"/>
      <x:c r="C3160" s="153"/>
      <x:c r="D3160" s="153"/>
      <x:c r="E3160" s="153"/>
      <x:c r="F3160" s="153"/>
      <x:c r="G3160" s="153" t="n">
        <x:v>5.33</x:v>
      </x:c>
    </x:row>
    <x:row r="3161">
      <x:c r="A3161" s="155" t="n">
        <x:v>45529</x:v>
      </x:c>
      <x:c r="B3161" s="153"/>
      <x:c r="C3161" s="153"/>
      <x:c r="D3161" s="153"/>
      <x:c r="E3161" s="153"/>
      <x:c r="F3161" s="153"/>
      <x:c r="G3161" s="153" t="n">
        <x:v>5.33</x:v>
      </x:c>
    </x:row>
    <x:row r="3162">
      <x:c r="A3162" s="155" t="n">
        <x:v>45530</x:v>
      </x:c>
      <x:c r="B3162" s="153" t="n">
        <x:v>3.82</x:v>
      </x:c>
      <x:c r="C3162" s="153" t="n">
        <x:v>1.67</x:v>
      </x:c>
      <x:c r="D3162" s="153" t="n">
        <x:v>2.15</x:v>
      </x:c>
      <x:c r="E3162" s="153" t="n">
        <x:v>121.6943</x:v>
      </x:c>
      <x:c r="F3162" s="153" t="n">
        <x:v>16.15</x:v>
      </x:c>
      <x:c r="G3162" s="153" t="n">
        <x:v>5.33</x:v>
      </x:c>
    </x:row>
    <x:row r="3163">
      <x:c r="A3163" s="155" t="n">
        <x:v>45531</x:v>
      </x:c>
      <x:c r="B3163" s="153" t="n">
        <x:v>3.83</x:v>
      </x:c>
      <x:c r="C3163" s="153" t="n">
        <x:v>1.68</x:v>
      </x:c>
      <x:c r="D3163" s="153" t="n">
        <x:v>2.15</x:v>
      </x:c>
      <x:c r="E3163" s="153" t="n">
        <x:v>121.8672</x:v>
      </x:c>
      <x:c r="F3163" s="153" t="n">
        <x:v>15.43</x:v>
      </x:c>
      <x:c r="G3163" s="153" t="n">
        <x:v>5.33</x:v>
      </x:c>
    </x:row>
    <x:row r="3164">
      <x:c r="A3164" s="155" t="n">
        <x:v>45532</x:v>
      </x:c>
      <x:c r="B3164" s="153" t="n">
        <x:v>3.84</x:v>
      </x:c>
      <x:c r="C3164" s="153" t="n">
        <x:v>1.69</x:v>
      </x:c>
      <x:c r="D3164" s="153" t="n">
        <x:v>2.15</x:v>
      </x:c>
      <x:c r="E3164" s="153" t="n">
        <x:v>121.8943</x:v>
      </x:c>
      <x:c r="F3164" s="153" t="n">
        <x:v>17.11</x:v>
      </x:c>
      <x:c r="G3164" s="153" t="n">
        <x:v>5.33</x:v>
      </x:c>
    </x:row>
    <x:row r="3165">
      <x:c r="A3165" s="155" t="n">
        <x:v>45533</x:v>
      </x:c>
      <x:c r="B3165" s="153" t="n">
        <x:v>3.87</x:v>
      </x:c>
      <x:c r="C3165" s="153" t="n">
        <x:v>1.71</x:v>
      </x:c>
      <x:c r="D3165" s="153" t="n">
        <x:v>2.16</x:v>
      </x:c>
      <x:c r="E3165" s="153" t="n">
        <x:v>122.2333</x:v>
      </x:c>
      <x:c r="F3165" s="153" t="n">
        <x:v>15.65</x:v>
      </x:c>
      <x:c r="G3165" s="153" t="n">
        <x:v>5.33</x:v>
      </x:c>
    </x:row>
    <x:row r="3166">
      <x:c r="A3166" s="155" t="n">
        <x:v>45534</x:v>
      </x:c>
      <x:c r="B3166" s="153" t="n">
        <x:v>3.91</x:v>
      </x:c>
      <x:c r="C3166" s="153" t="n">
        <x:v>1.76</x:v>
      </x:c>
      <x:c r="D3166" s="153" t="n">
        <x:v>2.15</x:v>
      </x:c>
      <x:c r="E3166" s="153" t="n">
        <x:v>122.3262</x:v>
      </x:c>
      <x:c r="F3166" s="153" t="n">
        <x:v>15</x:v>
      </x:c>
      <x:c r="G3166" s="153" t="n">
        <x:v>5.33</x:v>
      </x:c>
    </x:row>
    <x:row r="3167">
      <x:c r="A3167" s="155" t="n">
        <x:v>45535</x:v>
      </x:c>
      <x:c r="B3167" s="153"/>
      <x:c r="C3167" s="153"/>
      <x:c r="D3167" s="153"/>
      <x:c r="E3167" s="153"/>
      <x:c r="F3167" s="153"/>
      <x:c r="G3167" s="153" t="n">
        <x:v>5.33</x:v>
      </x:c>
    </x:row>
    <x:row r="3168">
      <x:c r="A3168" s="155" t="n">
        <x:v>45536</x:v>
      </x:c>
      <x:c r="B3168" s="153"/>
      <x:c r="C3168" s="153"/>
      <x:c r="D3168" s="153"/>
      <x:c r="E3168" s="153"/>
      <x:c r="F3168" s="153"/>
      <x:c r="G3168" s="153" t="n">
        <x:v>5.33</x:v>
      </x:c>
    </x:row>
    <x:row r="3169">
      <x:c r="A3169" s="155" t="n">
        <x:v>45537</x:v>
      </x:c>
      <x:c r="B3169" s="153"/>
      <x:c r="C3169" s="153"/>
      <x:c r="D3169" s="153"/>
      <x:c r="E3169" s="153"/>
      <x:c r="F3169" s="153" t="n">
        <x:v>15.55</x:v>
      </x:c>
      <x:c r="G3169" s="153" t="n">
        <x:v>5.33</x:v>
      </x:c>
    </x:row>
    <x:row r="3170">
      <x:c r="A3170" s="155" t="n">
        <x:v>45538</x:v>
      </x:c>
      <x:c r="B3170" s="153" t="n">
        <x:v>3.84</x:v>
      </x:c>
      <x:c r="C3170" s="153" t="n">
        <x:v>1.73</x:v>
      </x:c>
      <x:c r="D3170" s="153" t="n">
        <x:v>2.11</x:v>
      </x:c>
      <x:c r="E3170" s="153" t="n">
        <x:v>122.7811</x:v>
      </x:c>
      <x:c r="F3170" s="153" t="n">
        <x:v>20.72</x:v>
      </x:c>
      <x:c r="G3170" s="153" t="n">
        <x:v>5.33</x:v>
      </x:c>
    </x:row>
    <x:row r="3171">
      <x:c r="A3171" s="155" t="n">
        <x:v>45539</x:v>
      </x:c>
      <x:c r="B3171" s="153" t="n">
        <x:v>3.77</x:v>
      </x:c>
      <x:c r="C3171" s="153" t="n">
        <x:v>1.7</x:v>
      </x:c>
      <x:c r="D3171" s="153" t="n">
        <x:v>2.07</x:v>
      </x:c>
      <x:c r="E3171" s="153" t="n">
        <x:v>122.5144</x:v>
      </x:c>
      <x:c r="F3171" s="153" t="n">
        <x:v>21.32</x:v>
      </x:c>
      <x:c r="G3171" s="153" t="n">
        <x:v>5.33</x:v>
      </x:c>
    </x:row>
    <x:row r="3172">
      <x:c r="A3172" s="155" t="n">
        <x:v>45540</x:v>
      </x:c>
      <x:c r="B3172" s="153" t="n">
        <x:v>3.73</x:v>
      </x:c>
      <x:c r="C3172" s="153" t="n">
        <x:v>1.7</x:v>
      </x:c>
      <x:c r="D3172" s="153" t="n">
        <x:v>2.03</x:v>
      </x:c>
      <x:c r="E3172" s="153" t="n">
        <x:v>122.4533</x:v>
      </x:c>
      <x:c r="F3172" s="153" t="n">
        <x:v>19.9</x:v>
      </x:c>
      <x:c r="G3172" s="153" t="n">
        <x:v>5.33</x:v>
      </x:c>
    </x:row>
    <x:row r="3173">
      <x:c r="A3173" s="155" t="n">
        <x:v>45541</x:v>
      </x:c>
      <x:c r="B3173" s="153" t="n">
        <x:v>3.72</x:v>
      </x:c>
      <x:c r="C3173" s="153" t="n">
        <x:v>1.69</x:v>
      </x:c>
      <x:c r="D3173" s="153" t="n">
        <x:v>2.03</x:v>
      </x:c>
      <x:c r="E3173" s="153" t="n">
        <x:v>122.4991</x:v>
      </x:c>
      <x:c r="F3173" s="153" t="n">
        <x:v>22.38</x:v>
      </x:c>
      <x:c r="G3173" s="153" t="n">
        <x:v>5.33</x:v>
      </x:c>
    </x:row>
    <x:row r="3174">
      <x:c r="A3174" s="155" t="n">
        <x:v>45542</x:v>
      </x:c>
      <x:c r="B3174" s="153"/>
      <x:c r="C3174" s="153"/>
      <x:c r="D3174" s="153"/>
      <x:c r="E3174" s="153"/>
      <x:c r="F3174" s="153"/>
      <x:c r="G3174" s="153" t="n">
        <x:v>5.33</x:v>
      </x:c>
    </x:row>
    <x:row r="3175">
      <x:c r="A3175" s="155" t="n">
        <x:v>45543</x:v>
      </x:c>
      <x:c r="B3175" s="153"/>
      <x:c r="C3175" s="153"/>
      <x:c r="D3175" s="153"/>
      <x:c r="E3175" s="153"/>
      <x:c r="F3175" s="153"/>
      <x:c r="G3175" s="153" t="n">
        <x:v>5.33</x:v>
      </x:c>
    </x:row>
    <x:row r="3176">
      <x:c r="A3176" s="155" t="n">
        <x:v>45544</x:v>
      </x:c>
      <x:c r="B3176" s="153" t="n">
        <x:v>3.7</x:v>
      </x:c>
      <x:c r="C3176" s="153" t="n">
        <x:v>1.66</x:v>
      </x:c>
      <x:c r="D3176" s="153" t="n">
        <x:v>2.04</x:v>
      </x:c>
      <x:c r="E3176" s="153" t="n">
        <x:v>122.7156</x:v>
      </x:c>
      <x:c r="F3176" s="153" t="n">
        <x:v>19.45</x:v>
      </x:c>
      <x:c r="G3176" s="153" t="n">
        <x:v>5.33</x:v>
      </x:c>
    </x:row>
    <x:row r="3177">
      <x:c r="A3177" s="155" t="n">
        <x:v>45545</x:v>
      </x:c>
      <x:c r="B3177" s="153" t="n">
        <x:v>3.65</x:v>
      </x:c>
      <x:c r="C3177" s="153" t="n">
        <x:v>1.63</x:v>
      </x:c>
      <x:c r="D3177" s="153" t="n">
        <x:v>2.02</x:v>
      </x:c>
      <x:c r="E3177" s="153" t="n">
        <x:v>123.0071</x:v>
      </x:c>
      <x:c r="F3177" s="153" t="n">
        <x:v>19.08</x:v>
      </x:c>
      <x:c r="G3177" s="153" t="n">
        <x:v>5.33</x:v>
      </x:c>
    </x:row>
    <x:row r="3178">
      <x:c r="A3178" s="155" t="n">
        <x:v>45546</x:v>
      </x:c>
      <x:c r="B3178" s="153" t="n">
        <x:v>3.65</x:v>
      </x:c>
      <x:c r="C3178" s="153" t="n">
        <x:v>1.61</x:v>
      </x:c>
      <x:c r="D3178" s="153" t="n">
        <x:v>2.04</x:v>
      </x:c>
      <x:c r="E3178" s="153" t="n">
        <x:v>122.7754</x:v>
      </x:c>
      <x:c r="F3178" s="153" t="n">
        <x:v>17.69</x:v>
      </x:c>
      <x:c r="G3178" s="153" t="n">
        <x:v>5.33</x:v>
      </x:c>
    </x:row>
    <x:row r="3179">
      <x:c r="A3179" s="155" t="n">
        <x:v>45547</x:v>
      </x:c>
      <x:c r="B3179" s="153" t="n">
        <x:v>3.68</x:v>
      </x:c>
      <x:c r="C3179" s="153" t="n">
        <x:v>1.63</x:v>
      </x:c>
      <x:c r="D3179" s="153" t="n">
        <x:v>2.05</x:v>
      </x:c>
      <x:c r="E3179" s="153" t="n">
        <x:v>122.4423</x:v>
      </x:c>
      <x:c r="F3179" s="153" t="n">
        <x:v>17.07</x:v>
      </x:c>
      <x:c r="G3179" s="153" t="n">
        <x:v>5.33</x:v>
      </x:c>
    </x:row>
    <x:row r="3180">
      <x:c r="A3180" s="155" t="n">
        <x:v>45548</x:v>
      </x:c>
      <x:c r="B3180" s="153" t="n">
        <x:v>3.66</x:v>
      </x:c>
      <x:c r="C3180" s="153" t="n">
        <x:v>1.58</x:v>
      </x:c>
      <x:c r="D3180" s="153" t="n">
        <x:v>2.08</x:v>
      </x:c>
      <x:c r="E3180" s="153" t="n">
        <x:v>121.6551</x:v>
      </x:c>
      <x:c r="F3180" s="153" t="n">
        <x:v>16.56</x:v>
      </x:c>
      <x:c r="G3180" s="153" t="n">
        <x:v>5.33</x:v>
      </x:c>
    </x:row>
    <x:row r="3181">
      <x:c r="A3181" s="155" t="n">
        <x:v>45549</x:v>
      </x:c>
      <x:c r="B3181" s="153"/>
      <x:c r="C3181" s="153"/>
      <x:c r="D3181" s="153"/>
      <x:c r="E3181" s="153"/>
      <x:c r="F3181" s="153"/>
      <x:c r="G3181" s="153" t="n">
        <x:v>5.33</x:v>
      </x:c>
    </x:row>
    <x:row r="3182">
      <x:c r="A3182" s="155" t="n">
        <x:v>45550</x:v>
      </x:c>
      <x:c r="B3182" s="153"/>
      <x:c r="C3182" s="153"/>
      <x:c r="D3182" s="153"/>
      <x:c r="E3182" s="153"/>
      <x:c r="F3182" s="153"/>
      <x:c r="G3182" s="153" t="n">
        <x:v>5.33</x:v>
      </x:c>
    </x:row>
    <x:row r="3183">
      <x:c r="A3183" s="155" t="n">
        <x:v>45551</x:v>
      </x:c>
      <x:c r="B3183" s="153" t="n">
        <x:v>3.63</x:v>
      </x:c>
      <x:c r="C3183" s="153" t="n">
        <x:v>1.54</x:v>
      </x:c>
      <x:c r="D3183" s="153" t="n">
        <x:v>2.09</x:v>
      </x:c>
      <x:c r="E3183" s="153" t="n">
        <x:v>121.4976</x:v>
      </x:c>
      <x:c r="F3183" s="153" t="n">
        <x:v>17.14</x:v>
      </x:c>
      <x:c r="G3183" s="153" t="n">
        <x:v>5.33</x:v>
      </x:c>
    </x:row>
    <x:row r="3184">
      <x:c r="A3184" s="155" t="n">
        <x:v>45552</x:v>
      </x:c>
      <x:c r="B3184" s="153" t="n">
        <x:v>3.65</x:v>
      </x:c>
      <x:c r="C3184" s="153" t="n">
        <x:v>1.53</x:v>
      </x:c>
      <x:c r="D3184" s="153" t="n">
        <x:v>2.12</x:v>
      </x:c>
      <x:c r="E3184" s="153" t="n">
        <x:v>121.6031</x:v>
      </x:c>
      <x:c r="F3184" s="153" t="n">
        <x:v>17.61</x:v>
      </x:c>
      <x:c r="G3184" s="153" t="n">
        <x:v>5.33</x:v>
      </x:c>
    </x:row>
    <x:row r="3185">
      <x:c r="A3185" s="155" t="n">
        <x:v>45553</x:v>
      </x:c>
      <x:c r="B3185" s="153" t="n">
        <x:v>3.7</x:v>
      </x:c>
      <x:c r="C3185" s="153" t="n">
        <x:v>1.58</x:v>
      </x:c>
      <x:c r="D3185" s="153" t="n">
        <x:v>2.12</x:v>
      </x:c>
      <x:c r="E3185" s="153" t="n">
        <x:v>121.5618</x:v>
      </x:c>
      <x:c r="F3185" s="153" t="n">
        <x:v>18.23</x:v>
      </x:c>
      <x:c r="G3185" s="153" t="n">
        <x:v>5.33</x:v>
      </x:c>
    </x:row>
    <x:row r="3186">
      <x:c r="A3186" s="155" t="n">
        <x:v>45554</x:v>
      </x:c>
      <x:c r="B3186" s="153" t="n">
        <x:v>3.73</x:v>
      </x:c>
      <x:c r="C3186" s="153" t="n">
        <x:v>1.56</x:v>
      </x:c>
      <x:c r="D3186" s="153" t="n">
        <x:v>2.17</x:v>
      </x:c>
      <x:c r="E3186" s="153" t="n">
        <x:v>121.3059</x:v>
      </x:c>
      <x:c r="F3186" s="153" t="n">
        <x:v>16.33</x:v>
      </x:c>
      <x:c r="G3186" s="153" t="n">
        <x:v>4.83</x:v>
      </x:c>
    </x:row>
    <x:row r="3187">
      <x:c r="A3187" s="155" t="n">
        <x:v>45555</x:v>
      </x:c>
      <x:c r="B3187" s="153" t="n">
        <x:v>3.73</x:v>
      </x:c>
      <x:c r="C3187" s="153" t="n">
        <x:v>1.58</x:v>
      </x:c>
      <x:c r="D3187" s="153" t="n">
        <x:v>2.15</x:v>
      </x:c>
      <x:c r="E3187" s="153" t="n">
        <x:v>121.4052</x:v>
      </x:c>
      <x:c r="F3187" s="153" t="n">
        <x:v>16.15</x:v>
      </x:c>
      <x:c r="G3187" s="153" t="n">
        <x:v>4.83</x:v>
      </x:c>
    </x:row>
    <x:row r="3188">
      <x:c r="A3188" s="155" t="n">
        <x:v>45556</x:v>
      </x:c>
      <x:c r="B3188" s="153"/>
      <x:c r="C3188" s="153"/>
      <x:c r="D3188" s="153"/>
      <x:c r="E3188" s="153"/>
      <x:c r="F3188" s="153"/>
      <x:c r="G3188" s="153" t="n">
        <x:v>4.83</x:v>
      </x:c>
    </x:row>
    <x:row r="3189">
      <x:c r="A3189" s="155" t="n">
        <x:v>45557</x:v>
      </x:c>
      <x:c r="B3189" s="153"/>
      <x:c r="C3189" s="153"/>
      <x:c r="D3189" s="153"/>
      <x:c r="E3189" s="153"/>
      <x:c r="F3189" s="153"/>
      <x:c r="G3189" s="153" t="n">
        <x:v>4.83</x:v>
      </x:c>
    </x:row>
    <x:row r="3190">
      <x:c r="A3190" s="155" t="n">
        <x:v>45558</x:v>
      </x:c>
      <x:c r="B3190" s="153" t="n">
        <x:v>3.75</x:v>
      </x:c>
      <x:c r="C3190" s="153" t="n">
        <x:v>1.58</x:v>
      </x:c>
      <x:c r="D3190" s="153" t="n">
        <x:v>2.17</x:v>
      </x:c>
      <x:c r="E3190" s="153" t="n">
        <x:v>121.4303</x:v>
      </x:c>
      <x:c r="F3190" s="153" t="n">
        <x:v>15.89</x:v>
      </x:c>
      <x:c r="G3190" s="153" t="n">
        <x:v>4.83</x:v>
      </x:c>
    </x:row>
    <x:row r="3191">
      <x:c r="A3191" s="155" t="n">
        <x:v>45559</x:v>
      </x:c>
      <x:c r="B3191" s="153" t="n">
        <x:v>3.74</x:v>
      </x:c>
      <x:c r="C3191" s="153" t="n">
        <x:v>1.55</x:v>
      </x:c>
      <x:c r="D3191" s="153" t="n">
        <x:v>2.19</x:v>
      </x:c>
      <x:c r="E3191" s="153" t="n">
        <x:v>121.1291</x:v>
      </x:c>
      <x:c r="F3191" s="153" t="n">
        <x:v>15.39</x:v>
      </x:c>
      <x:c r="G3191" s="153" t="n">
        <x:v>4.83</x:v>
      </x:c>
    </x:row>
    <x:row r="3192">
      <x:c r="A3192" s="155" t="n">
        <x:v>45560</x:v>
      </x:c>
      <x:c r="B3192" s="153" t="n">
        <x:v>3.79</x:v>
      </x:c>
      <x:c r="C3192" s="153" t="n">
        <x:v>1.61</x:v>
      </x:c>
      <x:c r="D3192" s="153" t="n">
        <x:v>2.18</x:v>
      </x:c>
      <x:c r="E3192" s="153" t="n">
        <x:v>121.4447</x:v>
      </x:c>
      <x:c r="F3192" s="153" t="n">
        <x:v>15.41</x:v>
      </x:c>
      <x:c r="G3192" s="153" t="n">
        <x:v>4.83</x:v>
      </x:c>
    </x:row>
    <x:row r="3193">
      <x:c r="A3193" s="155" t="n">
        <x:v>45561</x:v>
      </x:c>
      <x:c r="B3193" s="153" t="n">
        <x:v>3.79</x:v>
      </x:c>
      <x:c r="C3193" s="153" t="n">
        <x:v>1.63</x:v>
      </x:c>
      <x:c r="D3193" s="153" t="n">
        <x:v>2.16</x:v>
      </x:c>
      <x:c r="E3193" s="153" t="n">
        <x:v>121.0785</x:v>
      </x:c>
      <x:c r="F3193" s="153" t="n">
        <x:v>15.37</x:v>
      </x:c>
      <x:c r="G3193" s="153" t="n">
        <x:v>4.83</x:v>
      </x:c>
    </x:row>
    <x:row r="3194">
      <x:c r="A3194" s="155" t="n">
        <x:v>45562</x:v>
      </x:c>
      <x:c r="B3194" s="153" t="n">
        <x:v>3.75</x:v>
      </x:c>
      <x:c r="C3194" s="153" t="n">
        <x:v>1.6</x:v>
      </x:c>
      <x:c r="D3194" s="153" t="n">
        <x:v>2.15</x:v>
      </x:c>
      <x:c r="E3194" s="153" t="n">
        <x:v>121.1111</x:v>
      </x:c>
      <x:c r="F3194" s="153" t="n">
        <x:v>16.96</x:v>
      </x:c>
      <x:c r="G3194" s="153" t="n">
        <x:v>4.83</x:v>
      </x:c>
    </x:row>
    <x:row r="3195">
      <x:c r="A3195" s="155" t="n">
        <x:v>45563</x:v>
      </x:c>
      <x:c r="B3195" s="153"/>
      <x:c r="C3195" s="153"/>
      <x:c r="D3195" s="153"/>
      <x:c r="E3195" s="153"/>
      <x:c r="F3195" s="153"/>
      <x:c r="G3195" s="153" t="n">
        <x:v>4.83</x:v>
      </x:c>
    </x:row>
    <x:row r="3196">
      <x:c r="A3196" s="155" t="n">
        <x:v>45564</x:v>
      </x:c>
      <x:c r="B3196" s="153"/>
      <x:c r="C3196" s="153"/>
      <x:c r="D3196" s="153"/>
      <x:c r="E3196" s="153"/>
      <x:c r="F3196" s="153"/>
      <x:c r="G3196" s="153" t="n">
        <x:v>4.83</x:v>
      </x:c>
    </x:row>
    <x:row r="3197">
      <x:c r="A3197" s="155" t="n">
        <x:v>45565</x:v>
      </x:c>
      <x:c r="B3197" s="153" t="n">
        <x:v>3.81</x:v>
      </x:c>
      <x:c r="C3197" s="153" t="n">
        <x:v>1.63</x:v>
      </x:c>
      <x:c r="D3197" s="153" t="n">
        <x:v>2.18</x:v>
      </x:c>
      <x:c r="E3197" s="153" t="n">
        <x:v>121.2864</x:v>
      </x:c>
      <x:c r="F3197" s="153" t="n">
        <x:v>16.73</x:v>
      </x:c>
      <x:c r="G3197" s="153" t="n">
        <x:v>4.83</x:v>
      </x:c>
    </x:row>
    <x:row r="3198">
      <x:c r="A3198" s="155" t="n">
        <x:v>45566</x:v>
      </x:c>
      <x:c r="B3198" s="153" t="n">
        <x:v>3.74</x:v>
      </x:c>
      <x:c r="C3198" s="153" t="n">
        <x:v>1.55</x:v>
      </x:c>
      <x:c r="D3198" s="153" t="n">
        <x:v>2.19</x:v>
      </x:c>
      <x:c r="E3198" s="153" t="n">
        <x:v>121.6881</x:v>
      </x:c>
      <x:c r="F3198" s="153" t="n">
        <x:v>19.26</x:v>
      </x:c>
      <x:c r="G3198" s="153" t="n">
        <x:v>4.83</x:v>
      </x:c>
    </x:row>
    <x:row r="3199">
      <x:c r="A3199" s="155" t="n">
        <x:v>45567</x:v>
      </x:c>
      <x:c r="B3199" s="153" t="n">
        <x:v>3.79</x:v>
      </x:c>
      <x:c r="C3199" s="153" t="n">
        <x:v>1.58</x:v>
      </x:c>
      <x:c r="D3199" s="153" t="n">
        <x:v>2.21</x:v>
      </x:c>
      <x:c r="E3199" s="153" t="n">
        <x:v>121.5724</x:v>
      </x:c>
      <x:c r="F3199" s="153" t="n">
        <x:v>18.9</x:v>
      </x:c>
      <x:c r="G3199" s="153" t="n">
        <x:v>4.83</x:v>
      </x:c>
    </x:row>
    <x:row r="3200">
      <x:c r="A3200" s="155" t="n">
        <x:v>45568</x:v>
      </x:c>
      <x:c r="B3200" s="153" t="n">
        <x:v>3.85</x:v>
      </x:c>
      <x:c r="C3200" s="153" t="n">
        <x:v>1.64</x:v>
      </x:c>
      <x:c r="D3200" s="153" t="n">
        <x:v>2.21</x:v>
      </x:c>
      <x:c r="E3200" s="153" t="n">
        <x:v>122.1197</x:v>
      </x:c>
      <x:c r="F3200" s="153" t="n">
        <x:v>20.49</x:v>
      </x:c>
      <x:c r="G3200" s="153" t="n">
        <x:v>4.83</x:v>
      </x:c>
    </x:row>
    <x:row r="3201">
      <x:c r="A3201" s="155" t="n">
        <x:v>45569</x:v>
      </x:c>
      <x:c r="B3201" s="153" t="n">
        <x:v>3.98</x:v>
      </x:c>
      <x:c r="C3201" s="153" t="n">
        <x:v>1.75</x:v>
      </x:c>
      <x:c r="D3201" s="153" t="n">
        <x:v>2.23</x:v>
      </x:c>
      <x:c r="E3201" s="153" t="n">
        <x:v>122.2197</x:v>
      </x:c>
      <x:c r="F3201" s="153" t="n">
        <x:v>19.21</x:v>
      </x:c>
      <x:c r="G3201" s="153" t="n">
        <x:v>4.83</x:v>
      </x:c>
    </x:row>
    <x:row r="3202">
      <x:c r="A3202" s="155" t="n">
        <x:v>45570</x:v>
      </x:c>
      <x:c r="B3202" s="153"/>
      <x:c r="C3202" s="153"/>
      <x:c r="D3202" s="153"/>
      <x:c r="E3202" s="153"/>
      <x:c r="F3202" s="153"/>
      <x:c r="G3202" s="153" t="n">
        <x:v>4.83</x:v>
      </x:c>
    </x:row>
    <x:row r="3203">
      <x:c r="A3203" s="155" t="n">
        <x:v>45571</x:v>
      </x:c>
      <x:c r="B3203" s="153"/>
      <x:c r="C3203" s="153"/>
      <x:c r="D3203" s="153"/>
      <x:c r="E3203" s="153"/>
      <x:c r="F3203" s="153"/>
      <x:c r="G3203" s="153" t="n">
        <x:v>4.83</x:v>
      </x:c>
    </x:row>
    <x:row r="3204">
      <x:c r="A3204" s="155" t="n">
        <x:v>45572</x:v>
      </x:c>
      <x:c r="B3204" s="153" t="n">
        <x:v>4.03</x:v>
      </x:c>
      <x:c r="C3204" s="153" t="n">
        <x:v>1.76</x:v>
      </x:c>
      <x:c r="D3204" s="153" t="n">
        <x:v>2.27</x:v>
      </x:c>
      <x:c r="E3204" s="153" t="n">
        <x:v>122.4241</x:v>
      </x:c>
      <x:c r="F3204" s="153" t="n">
        <x:v>22.64</x:v>
      </x:c>
      <x:c r="G3204" s="153" t="n">
        <x:v>4.83</x:v>
      </x:c>
    </x:row>
    <x:row r="3205">
      <x:c r="A3205" s="155" t="n">
        <x:v>45573</x:v>
      </x:c>
      <x:c r="B3205" s="153" t="n">
        <x:v>4.04</x:v>
      </x:c>
      <x:c r="C3205" s="153" t="n">
        <x:v>1.77</x:v>
      </x:c>
      <x:c r="D3205" s="153" t="n">
        <x:v>2.27</x:v>
      </x:c>
      <x:c r="E3205" s="153" t="n">
        <x:v>122.6625</x:v>
      </x:c>
      <x:c r="F3205" s="153" t="n">
        <x:v>21.42</x:v>
      </x:c>
      <x:c r="G3205" s="153" t="n">
        <x:v>4.83</x:v>
      </x:c>
    </x:row>
    <x:row r="3206">
      <x:c r="A3206" s="155" t="n">
        <x:v>45574</x:v>
      </x:c>
      <x:c r="B3206" s="153" t="n">
        <x:v>4.06</x:v>
      </x:c>
      <x:c r="C3206" s="153" t="n">
        <x:v>1.77</x:v>
      </x:c>
      <x:c r="D3206" s="153" t="n">
        <x:v>2.29</x:v>
      </x:c>
      <x:c r="E3206" s="153" t="n">
        <x:v>122.8821</x:v>
      </x:c>
      <x:c r="F3206" s="153" t="n">
        <x:v>20.86</x:v>
      </x:c>
      <x:c r="G3206" s="153" t="n">
        <x:v>4.83</x:v>
      </x:c>
    </x:row>
    <x:row r="3207">
      <x:c r="A3207" s="155" t="n">
        <x:v>45575</x:v>
      </x:c>
      <x:c r="B3207" s="153" t="n">
        <x:v>4.09</x:v>
      </x:c>
      <x:c r="C3207" s="153" t="n">
        <x:v>1.76</x:v>
      </x:c>
      <x:c r="D3207" s="153" t="n">
        <x:v>2.33</x:v>
      </x:c>
      <x:c r="E3207" s="153" t="n">
        <x:v>123.0951</x:v>
      </x:c>
      <x:c r="F3207" s="153" t="n">
        <x:v>20.93</x:v>
      </x:c>
      <x:c r="G3207" s="153" t="n">
        <x:v>4.83</x:v>
      </x:c>
    </x:row>
    <x:row r="3208">
      <x:c r="A3208" s="155" t="n">
        <x:v>45576</x:v>
      </x:c>
      <x:c r="B3208" s="153" t="n">
        <x:v>4.08</x:v>
      </x:c>
      <x:c r="C3208" s="153" t="n">
        <x:v>1.75</x:v>
      </x:c>
      <x:c r="D3208" s="153" t="n">
        <x:v>2.33</x:v>
      </x:c>
      <x:c r="E3208" s="153" t="n">
        <x:v>122.9805</x:v>
      </x:c>
      <x:c r="F3208" s="153" t="n">
        <x:v>20.46</x:v>
      </x:c>
      <x:c r="G3208" s="153" t="n">
        <x:v>4.83</x:v>
      </x:c>
    </x:row>
    <x:row r="3209">
      <x:c r="A3209" s="155" t="n">
        <x:v>45577</x:v>
      </x:c>
      <x:c r="B3209" s="153"/>
      <x:c r="C3209" s="153"/>
      <x:c r="D3209" s="153"/>
      <x:c r="E3209" s="153"/>
      <x:c r="F3209" s="153"/>
      <x:c r="G3209" s="153" t="n">
        <x:v>4.83</x:v>
      </x:c>
    </x:row>
    <x:row r="3210">
      <x:c r="A3210" s="155" t="n">
        <x:v>45578</x:v>
      </x:c>
      <x:c r="B3210" s="153"/>
      <x:c r="C3210" s="153"/>
      <x:c r="D3210" s="153"/>
      <x:c r="E3210" s="153"/>
      <x:c r="F3210" s="153"/>
      <x:c r="G3210" s="153" t="n">
        <x:v>4.83</x:v>
      </x:c>
    </x:row>
    <x:row r="3211">
      <x:c r="A3211" s="155" t="n">
        <x:v>45579</x:v>
      </x:c>
      <x:c r="B3211" s="153"/>
      <x:c r="C3211" s="153"/>
      <x:c r="D3211" s="153"/>
      <x:c r="E3211" s="153"/>
      <x:c r="F3211" s="153" t="n">
        <x:v>19.7</x:v>
      </x:c>
      <x:c r="G3211" s="153" t="n">
        <x:v>4.83</x:v>
      </x:c>
    </x:row>
    <x:row r="3212">
      <x:c r="A3212" s="155" t="n">
        <x:v>45580</x:v>
      </x:c>
      <x:c r="B3212" s="153" t="n">
        <x:v>4.03</x:v>
      </x:c>
      <x:c r="C3212" s="153" t="n">
        <x:v>1.75</x:v>
      </x:c>
      <x:c r="D3212" s="153" t="n">
        <x:v>2.28</x:v>
      </x:c>
      <x:c r="E3212" s="153" t="n">
        <x:v>123.5124</x:v>
      </x:c>
      <x:c r="F3212" s="153" t="n">
        <x:v>20.64</x:v>
      </x:c>
      <x:c r="G3212" s="153" t="n">
        <x:v>4.83</x:v>
      </x:c>
    </x:row>
    <x:row r="3213">
      <x:c r="A3213" s="155" t="n">
        <x:v>45581</x:v>
      </x:c>
      <x:c r="B3213" s="153" t="n">
        <x:v>4.02</x:v>
      </x:c>
      <x:c r="C3213" s="153" t="n">
        <x:v>1.75</x:v>
      </x:c>
      <x:c r="D3213" s="153" t="n">
        <x:v>2.27</x:v>
      </x:c>
      <x:c r="E3213" s="153" t="n">
        <x:v>123.9235</x:v>
      </x:c>
      <x:c r="F3213" s="153" t="n">
        <x:v>19.58</x:v>
      </x:c>
      <x:c r="G3213" s="153" t="n">
        <x:v>4.83</x:v>
      </x:c>
    </x:row>
    <x:row r="3214">
      <x:c r="A3214" s="155" t="n">
        <x:v>45582</x:v>
      </x:c>
      <x:c r="B3214" s="153" t="n">
        <x:v>4.09</x:v>
      </x:c>
      <x:c r="C3214" s="153" t="n">
        <x:v>1.79</x:v>
      </x:c>
      <x:c r="D3214" s="153" t="n">
        <x:v>2.3</x:v>
      </x:c>
      <x:c r="E3214" s="153" t="n">
        <x:v>124.1122</x:v>
      </x:c>
      <x:c r="F3214" s="153" t="n">
        <x:v>19.11</x:v>
      </x:c>
      <x:c r="G3214" s="153" t="n">
        <x:v>4.83</x:v>
      </x:c>
    </x:row>
    <x:row r="3215">
      <x:c r="A3215" s="155" t="n">
        <x:v>45583</x:v>
      </x:c>
      <x:c r="B3215" s="153" t="n">
        <x:v>4.08</x:v>
      </x:c>
      <x:c r="C3215" s="153" t="n">
        <x:v>1.77</x:v>
      </x:c>
      <x:c r="D3215" s="153" t="n">
        <x:v>2.31</x:v>
      </x:c>
      <x:c r="E3215" s="153" t="n">
        <x:v>123.9185</x:v>
      </x:c>
      <x:c r="F3215" s="153" t="n">
        <x:v>18.03</x:v>
      </x:c>
      <x:c r="G3215" s="153" t="n">
        <x:v>4.83</x:v>
      </x:c>
    </x:row>
    <x:row r="3216">
      <x:c r="A3216" s="155" t="n">
        <x:v>45584</x:v>
      </x:c>
      <x:c r="B3216" s="153"/>
      <x:c r="C3216" s="153"/>
      <x:c r="D3216" s="153"/>
      <x:c r="E3216" s="153"/>
      <x:c r="F3216" s="153"/>
      <x:c r="G3216" s="153" t="n">
        <x:v>4.83</x:v>
      </x:c>
    </x:row>
    <x:row r="3217">
      <x:c r="A3217" s="155" t="n">
        <x:v>45585</x:v>
      </x:c>
      <x:c r="B3217" s="153"/>
      <x:c r="C3217" s="153"/>
      <x:c r="D3217" s="153"/>
      <x:c r="E3217" s="153"/>
      <x:c r="F3217" s="153"/>
      <x:c r="G3217" s="153" t="n">
        <x:v>4.83</x:v>
      </x:c>
    </x:row>
    <x:row r="3218">
      <x:c r="A3218" s="155" t="n">
        <x:v>45586</x:v>
      </x:c>
      <x:c r="B3218" s="153" t="n">
        <x:v>4.19</x:v>
      </x:c>
      <x:c r="C3218" s="153" t="n">
        <x:v>1.88</x:v>
      </x:c>
      <x:c r="D3218" s="153" t="n">
        <x:v>2.31</x:v>
      </x:c>
      <x:c r="E3218" s="153" t="n">
        <x:v>124.4757</x:v>
      </x:c>
      <x:c r="F3218" s="153" t="n">
        <x:v>18.37</x:v>
      </x:c>
      <x:c r="G3218" s="153" t="n">
        <x:v>4.83</x:v>
      </x:c>
    </x:row>
    <x:row r="3219">
      <x:c r="A3219" s="155" t="n">
        <x:v>45587</x:v>
      </x:c>
      <x:c r="B3219" s="153" t="n">
        <x:v>4.2</x:v>
      </x:c>
      <x:c r="C3219" s="153" t="n">
        <x:v>1.87</x:v>
      </x:c>
      <x:c r="D3219" s="153" t="n">
        <x:v>2.33</x:v>
      </x:c>
      <x:c r="E3219" s="153" t="n">
        <x:v>124.4107</x:v>
      </x:c>
      <x:c r="F3219" s="153" t="n">
        <x:v>18.2</x:v>
      </x:c>
      <x:c r="G3219" s="153" t="n">
        <x:v>4.83</x:v>
      </x:c>
    </x:row>
    <x:row r="3220">
      <x:c r="A3220" s="155" t="n">
        <x:v>45588</x:v>
      </x:c>
      <x:c r="B3220" s="153" t="n">
        <x:v>4.24</x:v>
      </x:c>
      <x:c r="C3220" s="153" t="n">
        <x:v>1.93</x:v>
      </x:c>
      <x:c r="D3220" s="153" t="n">
        <x:v>2.31</x:v>
      </x:c>
      <x:c r="E3220" s="153" t="n">
        <x:v>124.6931</x:v>
      </x:c>
      <x:c r="F3220" s="153" t="n">
        <x:v>19.24</x:v>
      </x:c>
      <x:c r="G3220" s="153" t="n">
        <x:v>4.83</x:v>
      </x:c>
    </x:row>
    <x:row r="3221">
      <x:c r="A3221" s="155" t="n">
        <x:v>45589</x:v>
      </x:c>
      <x:c r="B3221" s="153" t="n">
        <x:v>4.21</x:v>
      </x:c>
      <x:c r="C3221" s="153" t="n">
        <x:v>1.91</x:v>
      </x:c>
      <x:c r="D3221" s="153" t="n">
        <x:v>2.3</x:v>
      </x:c>
      <x:c r="E3221" s="153" t="n">
        <x:v>124.5127</x:v>
      </x:c>
      <x:c r="F3221" s="153" t="n">
        <x:v>19.08</x:v>
      </x:c>
      <x:c r="G3221" s="153" t="n">
        <x:v>4.83</x:v>
      </x:c>
    </x:row>
    <x:row r="3222">
      <x:c r="A3222" s="155" t="n">
        <x:v>45590</x:v>
      </x:c>
      <x:c r="B3222" s="153" t="n">
        <x:v>4.25</x:v>
      </x:c>
      <x:c r="C3222" s="153" t="n">
        <x:v>1.96</x:v>
      </x:c>
      <x:c r="D3222" s="153" t="n">
        <x:v>2.29</x:v>
      </x:c>
      <x:c r="E3222" s="153" t="n">
        <x:v>124.6105</x:v>
      </x:c>
      <x:c r="F3222" s="153" t="n">
        <x:v>20.33</x:v>
      </x:c>
      <x:c r="G3222" s="153" t="n">
        <x:v>4.83</x:v>
      </x:c>
    </x:row>
    <x:row r="3223">
      <x:c r="A3223" s="155" t="n">
        <x:v>45591</x:v>
      </x:c>
      <x:c r="B3223" s="153"/>
      <x:c r="C3223" s="153"/>
      <x:c r="D3223" s="153"/>
      <x:c r="E3223" s="153"/>
      <x:c r="F3223" s="153"/>
      <x:c r="G3223" s="153" t="n">
        <x:v>4.83</x:v>
      </x:c>
    </x:row>
    <x:row r="3224">
      <x:c r="A3224" s="155" t="n">
        <x:v>45592</x:v>
      </x:c>
      <x:c r="B3224" s="153"/>
      <x:c r="C3224" s="153"/>
      <x:c r="D3224" s="153"/>
      <x:c r="E3224" s="153"/>
      <x:c r="F3224" s="153"/>
      <x:c r="G3224" s="153" t="n">
        <x:v>4.83</x:v>
      </x:c>
    </x:row>
    <x:row r="3225">
      <x:c r="A3225" s="155" t="n">
        <x:v>45593</x:v>
      </x:c>
      <x:c r="B3225" s="153" t="n">
        <x:v>4.28</x:v>
      </x:c>
      <x:c r="C3225" s="153" t="n">
        <x:v>1.99</x:v>
      </x:c>
      <x:c r="D3225" s="153" t="n">
        <x:v>2.29</x:v>
      </x:c>
      <x:c r="E3225" s="153" t="n">
        <x:v>124.8076</x:v>
      </x:c>
      <x:c r="F3225" s="153" t="n">
        <x:v>19.8</x:v>
      </x:c>
      <x:c r="G3225" s="153" t="n">
        <x:v>4.83</x:v>
      </x:c>
    </x:row>
    <x:row r="3226">
      <x:c r="A3226" s="155" t="n">
        <x:v>45594</x:v>
      </x:c>
      <x:c r="B3226" s="153" t="n">
        <x:v>4.28</x:v>
      </x:c>
      <x:c r="C3226" s="153" t="n">
        <x:v>1.98</x:v>
      </x:c>
      <x:c r="D3226" s="153" t="n">
        <x:v>2.3</x:v>
      </x:c>
      <x:c r="E3226" s="153" t="n">
        <x:v>124.8612</x:v>
      </x:c>
      <x:c r="F3226" s="153" t="n">
        <x:v>19.34</x:v>
      </x:c>
      <x:c r="G3226" s="153" t="n">
        <x:v>4.83</x:v>
      </x:c>
    </x:row>
    <x:row r="3227">
      <x:c r="A3227" s="155" t="n">
        <x:v>45595</x:v>
      </x:c>
      <x:c r="B3227" s="153" t="n">
        <x:v>4.29</x:v>
      </x:c>
      <x:c r="C3227" s="153" t="n">
        <x:v>1.95</x:v>
      </x:c>
      <x:c r="D3227" s="153" t="n">
        <x:v>2.34</x:v>
      </x:c>
      <x:c r="E3227" s="153" t="n">
        <x:v>124.8153</x:v>
      </x:c>
      <x:c r="F3227" s="153" t="n">
        <x:v>20.35</x:v>
      </x:c>
      <x:c r="G3227" s="153" t="n">
        <x:v>4.83</x:v>
      </x:c>
    </x:row>
    <x:row r="3228">
      <x:c r="A3228" s="155" t="n">
        <x:v>45596</x:v>
      </x:c>
      <x:c r="B3228" s="153" t="n">
        <x:v>4.28</x:v>
      </x:c>
      <x:c r="C3228" s="153" t="n">
        <x:v>1.95</x:v>
      </x:c>
      <x:c r="D3228" s="153" t="n">
        <x:v>2.33</x:v>
      </x:c>
      <x:c r="E3228" s="153" t="n">
        <x:v>124.7988</x:v>
      </x:c>
      <x:c r="F3228" s="153" t="n">
        <x:v>23.16</x:v>
      </x:c>
      <x:c r="G3228" s="153" t="n">
        <x:v>4.83</x:v>
      </x:c>
    </x:row>
    <x:row r="3229">
      <x:c r="A3229" s="155" t="n">
        <x:v>45597</x:v>
      </x:c>
      <x:c r="B3229" s="153" t="n">
        <x:v>4.37</x:v>
      </x:c>
      <x:c r="C3229" s="153" t="n">
        <x:v>2.04</x:v>
      </x:c>
      <x:c r="D3229" s="153" t="n">
        <x:v>2.33</x:v>
      </x:c>
      <x:c r="E3229" s="153" t="n">
        <x:v>124.8076</x:v>
      </x:c>
      <x:c r="F3229" s="153" t="n">
        <x:v>21.88</x:v>
      </x:c>
      <x:c r="G3229" s="153" t="n">
        <x:v>4.83</x:v>
      </x:c>
    </x:row>
    <x:row r="3230">
      <x:c r="A3230" s="155" t="n">
        <x:v>45598</x:v>
      </x:c>
      <x:c r="B3230" s="153"/>
      <x:c r="C3230" s="153"/>
      <x:c r="D3230" s="153"/>
      <x:c r="E3230" s="153"/>
      <x:c r="F3230" s="153"/>
      <x:c r="G3230" s="153" t="n">
        <x:v>4.83</x:v>
      </x:c>
    </x:row>
    <x:row r="3231">
      <x:c r="A3231" s="155" t="n">
        <x:v>45599</x:v>
      </x:c>
      <x:c r="B3231" s="153"/>
      <x:c r="C3231" s="153"/>
      <x:c r="D3231" s="153"/>
      <x:c r="E3231" s="153"/>
      <x:c r="F3231" s="153"/>
      <x:c r="G3231" s="153" t="n">
        <x:v>4.83</x:v>
      </x:c>
    </x:row>
    <x:row r="3232">
      <x:c r="A3232" s="155" t="n">
        <x:v>45600</x:v>
      </x:c>
      <x:c r="B3232" s="153" t="n">
        <x:v>4.31</x:v>
      </x:c>
      <x:c r="C3232" s="153" t="n">
        <x:v>2.03</x:v>
      </x:c>
      <x:c r="D3232" s="153" t="n">
        <x:v>2.28</x:v>
      </x:c>
      <x:c r="E3232" s="153" t="n">
        <x:v>124.5903</x:v>
      </x:c>
      <x:c r="F3232" s="153" t="n">
        <x:v>21.98</x:v>
      </x:c>
      <x:c r="G3232" s="153" t="n">
        <x:v>4.83</x:v>
      </x:c>
    </x:row>
    <x:row r="3233">
      <x:c r="A3233" s="155" t="n">
        <x:v>45601</x:v>
      </x:c>
      <x:c r="B3233" s="153" t="n">
        <x:v>4.26</x:v>
      </x:c>
      <x:c r="C3233" s="153" t="n">
        <x:v>1.99</x:v>
      </x:c>
      <x:c r="D3233" s="153" t="n">
        <x:v>2.27</x:v>
      </x:c>
      <x:c r="E3233" s="153" t="n">
        <x:v>124.5532</x:v>
      </x:c>
      <x:c r="F3233" s="153" t="n">
        <x:v>20.49</x:v>
      </x:c>
      <x:c r="G3233" s="153" t="n">
        <x:v>4.83</x:v>
      </x:c>
    </x:row>
    <x:row r="3234">
      <x:c r="A3234" s="155" t="n">
        <x:v>45602</x:v>
      </x:c>
      <x:c r="B3234" s="153" t="n">
        <x:v>4.42</x:v>
      </x:c>
      <x:c r="C3234" s="153" t="n">
        <x:v>2.04</x:v>
      </x:c>
      <x:c r="D3234" s="153" t="n">
        <x:v>2.38</x:v>
      </x:c>
      <x:c r="E3234" s="153" t="n">
        <x:v>125.7035</x:v>
      </x:c>
      <x:c r="F3234" s="153" t="n">
        <x:v>16.27</x:v>
      </x:c>
      <x:c r="G3234" s="153" t="n">
        <x:v>4.83</x:v>
      </x:c>
    </x:row>
    <x:row r="3235">
      <x:c r="A3235" s="155" t="n">
        <x:v>45603</x:v>
      </x:c>
      <x:c r="B3235" s="153" t="n">
        <x:v>4.31</x:v>
      </x:c>
      <x:c r="C3235" s="153" t="n">
        <x:v>1.98</x:v>
      </x:c>
      <x:c r="D3235" s="153" t="n">
        <x:v>2.33</x:v>
      </x:c>
      <x:c r="E3235" s="153" t="n">
        <x:v>124.775</x:v>
      </x:c>
      <x:c r="F3235" s="153" t="n">
        <x:v>15.2</x:v>
      </x:c>
      <x:c r="G3235" s="153" t="n">
        <x:v>4.83</x:v>
      </x:c>
    </x:row>
    <x:row r="3236">
      <x:c r="A3236" s="155" t="n">
        <x:v>45604</x:v>
      </x:c>
      <x:c r="B3236" s="153" t="n">
        <x:v>4.3</x:v>
      </x:c>
      <x:c r="C3236" s="153" t="n">
        <x:v>1.95</x:v>
      </x:c>
      <x:c r="D3236" s="153" t="n">
        <x:v>2.35</x:v>
      </x:c>
      <x:c r="E3236" s="153" t="n">
        <x:v>125.5811</x:v>
      </x:c>
      <x:c r="F3236" s="153" t="n">
        <x:v>14.94</x:v>
      </x:c>
      <x:c r="G3236" s="153" t="n">
        <x:v>4.58</x:v>
      </x:c>
    </x:row>
    <x:row r="3237">
      <x:c r="A3237" s="155" t="n">
        <x:v>45605</x:v>
      </x:c>
      <x:c r="B3237" s="153"/>
      <x:c r="C3237" s="153"/>
      <x:c r="D3237" s="153"/>
      <x:c r="E3237" s="153"/>
      <x:c r="F3237" s="153"/>
      <x:c r="G3237" s="153" t="n">
        <x:v>4.58</x:v>
      </x:c>
    </x:row>
    <x:row r="3238">
      <x:c r="A3238" s="155" t="n">
        <x:v>45606</x:v>
      </x:c>
      <x:c r="B3238" s="153"/>
      <x:c r="C3238" s="153"/>
      <x:c r="D3238" s="153"/>
      <x:c r="E3238" s="153"/>
      <x:c r="F3238" s="153"/>
      <x:c r="G3238" s="153" t="n">
        <x:v>4.58</x:v>
      </x:c>
    </x:row>
    <x:row r="3239">
      <x:c r="A3239" s="155" t="n">
        <x:v>45607</x:v>
      </x:c>
      <x:c r="B3239" s="153"/>
      <x:c r="C3239" s="153"/>
      <x:c r="D3239" s="153"/>
      <x:c r="E3239" s="153"/>
      <x:c r="F3239" s="153" t="n">
        <x:v>14.97</x:v>
      </x:c>
      <x:c r="G3239" s="153" t="n">
        <x:v>4.58</x:v>
      </x:c>
    </x:row>
    <x:row r="3240">
      <x:c r="A3240" s="155" t="n">
        <x:v>45608</x:v>
      </x:c>
      <x:c r="B3240" s="153" t="n">
        <x:v>4.43</x:v>
      </x:c>
      <x:c r="C3240" s="153" t="n">
        <x:v>2.08</x:v>
      </x:c>
      <x:c r="D3240" s="153" t="n">
        <x:v>2.35</x:v>
      </x:c>
      <x:c r="E3240" s="153" t="n">
        <x:v>126.7762</x:v>
      </x:c>
      <x:c r="F3240" s="153" t="n">
        <x:v>14.71</x:v>
      </x:c>
      <x:c r="G3240" s="153" t="n">
        <x:v>4.58</x:v>
      </x:c>
    </x:row>
    <x:row r="3241">
      <x:c r="A3241" s="155" t="n">
        <x:v>45609</x:v>
      </x:c>
      <x:c r="B3241" s="153" t="n">
        <x:v>4.44</x:v>
      </x:c>
      <x:c r="C3241" s="153" t="n">
        <x:v>2.09</x:v>
      </x:c>
      <x:c r="D3241" s="153" t="n">
        <x:v>2.35</x:v>
      </x:c>
      <x:c r="E3241" s="153" t="n">
        <x:v>126.9572</x:v>
      </x:c>
      <x:c r="F3241" s="153" t="n">
        <x:v>14.02</x:v>
      </x:c>
      <x:c r="G3241" s="153" t="n">
        <x:v>4.58</x:v>
      </x:c>
    </x:row>
    <x:row r="3242">
      <x:c r="A3242" s="155" t="n">
        <x:v>45610</x:v>
      </x:c>
      <x:c r="B3242" s="153" t="n">
        <x:v>4.43</x:v>
      </x:c>
      <x:c r="C3242" s="153" t="n">
        <x:v>2.1</x:v>
      </x:c>
      <x:c r="D3242" s="153" t="n">
        <x:v>2.33</x:v>
      </x:c>
      <x:c r="E3242" s="153" t="n">
        <x:v>127.0015</x:v>
      </x:c>
      <x:c r="F3242" s="153" t="n">
        <x:v>14.31</x:v>
      </x:c>
      <x:c r="G3242" s="153" t="n">
        <x:v>4.58</x:v>
      </x:c>
    </x:row>
    <x:row r="3243">
      <x:c r="A3243" s="155" t="n">
        <x:v>45611</x:v>
      </x:c>
      <x:c r="B3243" s="153" t="n">
        <x:v>4.43</x:v>
      </x:c>
      <x:c r="C3243" s="153" t="n">
        <x:v>2.1</x:v>
      </x:c>
      <x:c r="D3243" s="153" t="n">
        <x:v>2.33</x:v>
      </x:c>
      <x:c r="E3243" s="153" t="n">
        <x:v>126.8848</x:v>
      </x:c>
      <x:c r="F3243" s="153" t="n">
        <x:v>16.14</x:v>
      </x:c>
      <x:c r="G3243" s="153" t="n">
        <x:v>4.58</x:v>
      </x:c>
    </x:row>
    <x:row r="3244">
      <x:c r="A3244" s="155" t="n">
        <x:v>45612</x:v>
      </x:c>
      <x:c r="B3244" s="153"/>
      <x:c r="C3244" s="153"/>
      <x:c r="D3244" s="153"/>
      <x:c r="E3244" s="153"/>
      <x:c r="F3244" s="153"/>
      <x:c r="G3244" s="153" t="n">
        <x:v>4.58</x:v>
      </x:c>
    </x:row>
    <x:row r="3245">
      <x:c r="A3245" s="155" t="n">
        <x:v>45613</x:v>
      </x:c>
      <x:c r="B3245" s="153"/>
      <x:c r="C3245" s="153"/>
      <x:c r="D3245" s="153"/>
      <x:c r="E3245" s="153"/>
      <x:c r="F3245" s="153"/>
      <x:c r="G3245" s="153" t="n">
        <x:v>4.58</x:v>
      </x:c>
    </x:row>
    <x:row r="3246">
      <x:c r="A3246" s="155" t="n">
        <x:v>45614</x:v>
      </x:c>
      <x:c r="B3246" s="153" t="n">
        <x:v>4.42</x:v>
      </x:c>
      <x:c r="C3246" s="153" t="n">
        <x:v>2.08</x:v>
      </x:c>
      <x:c r="D3246" s="153" t="n">
        <x:v>2.34</x:v>
      </x:c>
      <x:c r="E3246" s="153" t="n">
        <x:v>126.6045</x:v>
      </x:c>
      <x:c r="F3246" s="153" t="n">
        <x:v>15.58</x:v>
      </x:c>
      <x:c r="G3246" s="153" t="n">
        <x:v>4.58</x:v>
      </x:c>
    </x:row>
    <x:row r="3247">
      <x:c r="A3247" s="155" t="n">
        <x:v>45615</x:v>
      </x:c>
      <x:c r="B3247" s="153" t="n">
        <x:v>4.39</x:v>
      </x:c>
      <x:c r="C3247" s="153" t="n">
        <x:v>2.05</x:v>
      </x:c>
      <x:c r="D3247" s="153" t="n">
        <x:v>2.34</x:v>
      </x:c>
      <x:c r="E3247" s="153" t="n">
        <x:v>126.3994</x:v>
      </x:c>
      <x:c r="F3247" s="153" t="n">
        <x:v>16.35</x:v>
      </x:c>
      <x:c r="G3247" s="153" t="n">
        <x:v>4.58</x:v>
      </x:c>
    </x:row>
    <x:row r="3248">
      <x:c r="A3248" s="155" t="n">
        <x:v>45616</x:v>
      </x:c>
      <x:c r="B3248" s="153" t="n">
        <x:v>4.41</x:v>
      </x:c>
      <x:c r="C3248" s="153" t="n">
        <x:v>2.06</x:v>
      </x:c>
      <x:c r="D3248" s="153" t="n">
        <x:v>2.35</x:v>
      </x:c>
      <x:c r="E3248" s="153" t="n">
        <x:v>126.88</x:v>
      </x:c>
      <x:c r="F3248" s="153" t="n">
        <x:v>17.16</x:v>
      </x:c>
      <x:c r="G3248" s="153" t="n">
        <x:v>4.58</x:v>
      </x:c>
    </x:row>
    <x:row r="3249">
      <x:c r="A3249" s="155" t="n">
        <x:v>45617</x:v>
      </x:c>
      <x:c r="B3249" s="153" t="n">
        <x:v>4.43</x:v>
      </x:c>
      <x:c r="C3249" s="153" t="n">
        <x:v>2.09</x:v>
      </x:c>
      <x:c r="D3249" s="153" t="n">
        <x:v>2.34</x:v>
      </x:c>
      <x:c r="E3249" s="153" t="n">
        <x:v>127.1047</x:v>
      </x:c>
      <x:c r="F3249" s="153" t="n">
        <x:v>16.87</x:v>
      </x:c>
      <x:c r="G3249" s="153" t="n">
        <x:v>4.58</x:v>
      </x:c>
    </x:row>
    <x:row r="3250">
      <x:c r="A3250" s="155" t="n">
        <x:v>45618</x:v>
      </x:c>
      <x:c r="B3250" s="153" t="n">
        <x:v>4.41</x:v>
      </x:c>
      <x:c r="C3250" s="153" t="n">
        <x:v>2.07</x:v>
      </x:c>
      <x:c r="D3250" s="153" t="n">
        <x:v>2.34</x:v>
      </x:c>
      <x:c r="E3250" s="153" t="n">
        <x:v>127.4712</x:v>
      </x:c>
      <x:c r="F3250" s="153" t="n">
        <x:v>15.24</x:v>
      </x:c>
      <x:c r="G3250" s="153" t="n">
        <x:v>4.58</x:v>
      </x:c>
    </x:row>
    <x:row r="3251">
      <x:c r="A3251" s="155" t="n">
        <x:v>45619</x:v>
      </x:c>
      <x:c r="B3251" s="153"/>
      <x:c r="C3251" s="153"/>
      <x:c r="D3251" s="153"/>
      <x:c r="E3251" s="153"/>
      <x:c r="F3251" s="153"/>
      <x:c r="G3251" s="153" t="n">
        <x:v>4.58</x:v>
      </x:c>
    </x:row>
    <x:row r="3252">
      <x:c r="A3252" s="155" t="n">
        <x:v>45620</x:v>
      </x:c>
      <x:c r="B3252" s="153"/>
      <x:c r="C3252" s="153"/>
      <x:c r="D3252" s="153"/>
      <x:c r="E3252" s="153"/>
      <x:c r="F3252" s="153"/>
      <x:c r="G3252" s="153" t="n">
        <x:v>4.58</x:v>
      </x:c>
    </x:row>
    <x:row r="3253">
      <x:c r="A3253" s="155" t="n">
        <x:v>45621</x:v>
      </x:c>
      <x:c r="B3253" s="153" t="n">
        <x:v>4.27</x:v>
      </x:c>
      <x:c r="C3253" s="153" t="n">
        <x:v>1.98</x:v>
      </x:c>
      <x:c r="D3253" s="153" t="n">
        <x:v>2.29</x:v>
      </x:c>
      <x:c r="E3253" s="153" t="n">
        <x:v>126.9948</x:v>
      </x:c>
      <x:c r="F3253" s="153" t="n">
        <x:v>14.6</x:v>
      </x:c>
      <x:c r="G3253" s="153" t="n">
        <x:v>4.58</x:v>
      </x:c>
    </x:row>
    <x:row r="3254">
      <x:c r="A3254" s="155" t="n">
        <x:v>45622</x:v>
      </x:c>
      <x:c r="B3254" s="153" t="n">
        <x:v>4.3</x:v>
      </x:c>
      <x:c r="C3254" s="153" t="n">
        <x:v>2.02</x:v>
      </x:c>
      <x:c r="D3254" s="153" t="n">
        <x:v>2.28</x:v>
      </x:c>
      <x:c r="E3254" s="153" t="n">
        <x:v>127.4301</x:v>
      </x:c>
      <x:c r="F3254" s="153" t="n">
        <x:v>14.1</x:v>
      </x:c>
      <x:c r="G3254" s="153" t="n">
        <x:v>4.58</x:v>
      </x:c>
    </x:row>
    <x:row r="3255">
      <x:c r="A3255" s="155" t="n">
        <x:v>45623</x:v>
      </x:c>
      <x:c r="B3255" s="153" t="n">
        <x:v>4.25</x:v>
      </x:c>
      <x:c r="C3255" s="153" t="n">
        <x:v>1.99</x:v>
      </x:c>
      <x:c r="D3255" s="153" t="n">
        <x:v>2.26</x:v>
      </x:c>
      <x:c r="E3255" s="153" t="n">
        <x:v>126.8205</x:v>
      </x:c>
      <x:c r="F3255" s="153" t="n">
        <x:v>14.1</x:v>
      </x:c>
      <x:c r="G3255" s="153" t="n">
        <x:v>4.58</x:v>
      </x:c>
    </x:row>
    <x:row r="3256">
      <x:c r="A3256" s="155" t="n">
        <x:v>45624</x:v>
      </x:c>
      <x:c r="B3256" s="153"/>
      <x:c r="C3256" s="153"/>
      <x:c r="D3256" s="153"/>
      <x:c r="E3256" s="153"/>
      <x:c r="F3256" s="153" t="n">
        <x:v>13.9</x:v>
      </x:c>
      <x:c r="G3256" s="153" t="n">
        <x:v>4.58</x:v>
      </x:c>
    </x:row>
    <x:row r="3257">
      <x:c r="A3257" s="155" t="n">
        <x:v>45625</x:v>
      </x:c>
      <x:c r="B3257" s="153" t="n">
        <x:v>4.18</x:v>
      </x:c>
      <x:c r="C3257" s="153" t="n">
        <x:v>1.92</x:v>
      </x:c>
      <x:c r="D3257" s="153" t="n">
        <x:v>2.26</x:v>
      </x:c>
      <x:c r="E3257" s="153" t="n">
        <x:v>126.5798</x:v>
      </x:c>
      <x:c r="F3257" s="153" t="n">
        <x:v>13.51</x:v>
      </x:c>
      <x:c r="G3257" s="153" t="n">
        <x:v>4.58</x:v>
      </x:c>
    </x:row>
    <x:row r="3258">
      <x:c r="A3258" s="155" t="n">
        <x:v>45626</x:v>
      </x:c>
      <x:c r="B3258" s="153"/>
      <x:c r="C3258" s="153"/>
      <x:c r="D3258" s="153"/>
      <x:c r="E3258" s="153"/>
      <x:c r="F3258" s="153"/>
      <x:c r="G3258" s="153" t="n">
        <x:v>4.58</x:v>
      </x:c>
    </x:row>
    <x:row r="3259">
      <x:c r="A3259" s="155" t="n">
        <x:v>45627</x:v>
      </x:c>
      <x:c r="B3259" s="153"/>
      <x:c r="C3259" s="153"/>
      <x:c r="D3259" s="153"/>
      <x:c r="E3259" s="153"/>
      <x:c r="F3259" s="153"/>
      <x:c r="G3259" s="153" t="n">
        <x:v>4.58</x:v>
      </x:c>
    </x:row>
    <x:row r="3260">
      <x:c r="A3260" s="155" t="n">
        <x:v>45628</x:v>
      </x:c>
      <x:c r="B3260" s="153" t="n">
        <x:v>4.19</x:v>
      </x:c>
      <x:c r="C3260" s="153" t="n">
        <x:v>1.93</x:v>
      </x:c>
      <x:c r="D3260" s="153" t="n">
        <x:v>2.26</x:v>
      </x:c>
      <x:c r="E3260" s="153" t="n">
        <x:v>127.1272</x:v>
      </x:c>
      <x:c r="F3260" s="153" t="n">
        <x:v>13.34</x:v>
      </x:c>
      <x:c r="G3260" s="153" t="n">
        <x:v>4.58</x:v>
      </x:c>
    </x:row>
    <x:row r="3261">
      <x:c r="A3261" s="155" t="n">
        <x:v>45629</x:v>
      </x:c>
      <x:c r="B3261" s="153" t="n">
        <x:v>4.23</x:v>
      </x:c>
      <x:c r="C3261" s="153" t="n">
        <x:v>1.95</x:v>
      </x:c>
      <x:c r="D3261" s="153" t="n">
        <x:v>2.28</x:v>
      </x:c>
      <x:c r="E3261" s="153" t="n">
        <x:v>126.9565</x:v>
      </x:c>
      <x:c r="F3261" s="153" t="n">
        <x:v>13.3</x:v>
      </x:c>
      <x:c r="G3261" s="153" t="n">
        <x:v>4.58</x:v>
      </x:c>
    </x:row>
    <x:row r="3262">
      <x:c r="A3262" s="155" t="n">
        <x:v>45630</x:v>
      </x:c>
      <x:c r="B3262" s="153" t="n">
        <x:v>4.19</x:v>
      </x:c>
      <x:c r="C3262" s="153" t="n">
        <x:v>1.9</x:v>
      </x:c>
      <x:c r="D3262" s="153" t="n">
        <x:v>2.29</x:v>
      </x:c>
      <x:c r="E3262" s="153" t="n">
        <x:v>126.7574</x:v>
      </x:c>
      <x:c r="F3262" s="153" t="n">
        <x:v>13.45</x:v>
      </x:c>
      <x:c r="G3262" s="153" t="n">
        <x:v>4.58</x:v>
      </x:c>
    </x:row>
    <x:row r="3263">
      <x:c r="A3263" s="155" t="n">
        <x:v>45631</x:v>
      </x:c>
      <x:c r="B3263" s="153" t="n">
        <x:v>4.17</x:v>
      </x:c>
      <x:c r="C3263" s="153" t="n">
        <x:v>1.92</x:v>
      </x:c>
      <x:c r="D3263" s="153" t="n">
        <x:v>2.25</x:v>
      </x:c>
      <x:c r="E3263" s="153" t="n">
        <x:v>126.4286</x:v>
      </x:c>
      <x:c r="F3263" s="153" t="n">
        <x:v>13.54</x:v>
      </x:c>
      <x:c r="G3263" s="153" t="n">
        <x:v>4.58</x:v>
      </x:c>
    </x:row>
    <x:row r="3264">
      <x:c r="A3264" s="155" t="n">
        <x:v>45632</x:v>
      </x:c>
      <x:c r="B3264" s="153" t="n">
        <x:v>4.15</x:v>
      </x:c>
      <x:c r="C3264" s="153" t="n">
        <x:v>1.91</x:v>
      </x:c>
      <x:c r="D3264" s="153" t="n">
        <x:v>2.24</x:v>
      </x:c>
      <x:c r="E3264" s="153" t="n">
        <x:v>126.688</x:v>
      </x:c>
      <x:c r="F3264" s="153" t="n">
        <x:v>12.77</x:v>
      </x:c>
      <x:c r="G3264" s="153" t="n">
        <x:v>4.58</x:v>
      </x:c>
    </x:row>
    <x:row r="3265">
      <x:c r="A3265" s="155" t="n">
        <x:v>45633</x:v>
      </x:c>
      <x:c r="B3265" s="153"/>
      <x:c r="C3265" s="153"/>
      <x:c r="D3265" s="153"/>
      <x:c r="E3265" s="153"/>
      <x:c r="F3265" s="153"/>
      <x:c r="G3265" s="153" t="n">
        <x:v>4.58</x:v>
      </x:c>
    </x:row>
    <x:row r="3266">
      <x:c r="A3266" s="155" t="n">
        <x:v>45634</x:v>
      </x:c>
      <x:c r="B3266" s="153"/>
      <x:c r="C3266" s="153"/>
      <x:c r="D3266" s="153"/>
      <x:c r="E3266" s="153"/>
      <x:c r="F3266" s="153"/>
      <x:c r="G3266" s="153" t="n">
        <x:v>4.58</x:v>
      </x:c>
    </x:row>
    <x:row r="3267">
      <x:c r="A3267" s="155" t="n">
        <x:v>45635</x:v>
      </x:c>
      <x:c r="B3267" s="153" t="n">
        <x:v>4.2</x:v>
      </x:c>
      <x:c r="C3267" s="153" t="n">
        <x:v>1.93</x:v>
      </x:c>
      <x:c r="D3267" s="153" t="n">
        <x:v>2.27</x:v>
      </x:c>
      <x:c r="E3267" s="153" t="n">
        <x:v>126.5981</x:v>
      </x:c>
      <x:c r="F3267" s="153" t="n">
        <x:v>14.19</x:v>
      </x:c>
      <x:c r="G3267" s="153" t="n">
        <x:v>4.58</x:v>
      </x:c>
    </x:row>
    <x:row r="3268">
      <x:c r="A3268" s="155" t="n">
        <x:v>45636</x:v>
      </x:c>
      <x:c r="B3268" s="153" t="n">
        <x:v>4.22</x:v>
      </x:c>
      <x:c r="C3268" s="153" t="n">
        <x:v>1.93</x:v>
      </x:c>
      <x:c r="D3268" s="153" t="n">
        <x:v>2.29</x:v>
      </x:c>
      <x:c r="E3268" s="153" t="n">
        <x:v>126.957</x:v>
      </x:c>
      <x:c r="F3268" s="153" t="n">
        <x:v>14.18</x:v>
      </x:c>
      <x:c r="G3268" s="153" t="n">
        <x:v>4.58</x:v>
      </x:c>
    </x:row>
    <x:row r="3269">
      <x:c r="A3269" s="155" t="n">
        <x:v>45637</x:v>
      </x:c>
      <x:c r="B3269" s="153" t="n">
        <x:v>4.26</x:v>
      </x:c>
      <x:c r="C3269" s="153" t="n">
        <x:v>1.96</x:v>
      </x:c>
      <x:c r="D3269" s="153" t="n">
        <x:v>2.3</x:v>
      </x:c>
      <x:c r="E3269" s="153" t="n">
        <x:v>126.8483</x:v>
      </x:c>
      <x:c r="F3269" s="153" t="n">
        <x:v>13.58</x:v>
      </x:c>
      <x:c r="G3269" s="153" t="n">
        <x:v>4.58</x:v>
      </x:c>
    </x:row>
    <x:row r="3270">
      <x:c r="A3270" s="155" t="n">
        <x:v>45638</x:v>
      </x:c>
      <x:c r="B3270" s="153" t="n">
        <x:v>4.32</x:v>
      </x:c>
      <x:c r="C3270" s="153" t="n">
        <x:v>2</x:v>
      </x:c>
      <x:c r="D3270" s="153" t="n">
        <x:v>2.32</x:v>
      </x:c>
      <x:c r="E3270" s="153" t="n">
        <x:v>126.9556</x:v>
      </x:c>
      <x:c r="F3270" s="153" t="n">
        <x:v>13.92</x:v>
      </x:c>
      <x:c r="G3270" s="153" t="n">
        <x:v>4.58</x:v>
      </x:c>
    </x:row>
    <x:row r="3271">
      <x:c r="A3271" s="155" t="n">
        <x:v>45639</x:v>
      </x:c>
      <x:c r="B3271" s="153" t="n">
        <x:v>4.4</x:v>
      </x:c>
      <x:c r="C3271" s="153" t="n">
        <x:v>2.07</x:v>
      </x:c>
      <x:c r="D3271" s="153" t="n">
        <x:v>2.33</x:v>
      </x:c>
      <x:c r="E3271" s="153" t="n">
        <x:v>127.3096</x:v>
      </x:c>
      <x:c r="F3271" s="153" t="n">
        <x:v>13.81</x:v>
      </x:c>
      <x:c r="G3271" s="153" t="n">
        <x:v>4.58</x:v>
      </x:c>
    </x:row>
    <x:row r="3272">
      <x:c r="A3272" s="155" t="n">
        <x:v>45640</x:v>
      </x:c>
      <x:c r="B3272" s="153"/>
      <x:c r="C3272" s="153"/>
      <x:c r="D3272" s="153"/>
      <x:c r="E3272" s="153"/>
      <x:c r="F3272" s="153"/>
      <x:c r="G3272" s="153" t="n">
        <x:v>4.58</x:v>
      </x:c>
    </x:row>
    <x:row r="3273">
      <x:c r="A3273" s="155" t="n">
        <x:v>45641</x:v>
      </x:c>
      <x:c r="B3273" s="153"/>
      <x:c r="C3273" s="153"/>
      <x:c r="D3273" s="153"/>
      <x:c r="E3273" s="153"/>
      <x:c r="F3273" s="153"/>
      <x:c r="G3273" s="153" t="n">
        <x:v>4.58</x:v>
      </x:c>
    </x:row>
    <x:row r="3274">
      <x:c r="A3274" s="155" t="n">
        <x:v>45642</x:v>
      </x:c>
      <x:c r="B3274" s="153" t="n">
        <x:v>4.39</x:v>
      </x:c>
      <x:c r="C3274" s="153" t="n">
        <x:v>2.07</x:v>
      </x:c>
      <x:c r="D3274" s="153" t="n">
        <x:v>2.32</x:v>
      </x:c>
      <x:c r="E3274" s="153" t="n">
        <x:v>127.2687</x:v>
      </x:c>
      <x:c r="F3274" s="153" t="n">
        <x:v>14.69</x:v>
      </x:c>
      <x:c r="G3274" s="153" t="n">
        <x:v>4.58</x:v>
      </x:c>
    </x:row>
    <x:row r="3275">
      <x:c r="A3275" s="155" t="n">
        <x:v>45643</x:v>
      </x:c>
      <x:c r="B3275" s="153" t="n">
        <x:v>4.4</x:v>
      </x:c>
      <x:c r="C3275" s="153" t="n">
        <x:v>2.09</x:v>
      </x:c>
      <x:c r="D3275" s="153" t="n">
        <x:v>2.31</x:v>
      </x:c>
      <x:c r="E3275" s="153" t="n">
        <x:v>127.5043</x:v>
      </x:c>
      <x:c r="F3275" s="153" t="n">
        <x:v>15.87</x:v>
      </x:c>
      <x:c r="G3275" s="153" t="n">
        <x:v>4.58</x:v>
      </x:c>
    </x:row>
    <x:row r="3276">
      <x:c r="A3276" s="155" t="n">
        <x:v>45644</x:v>
      </x:c>
      <x:c r="B3276" s="153" t="n">
        <x:v>4.5</x:v>
      </x:c>
      <x:c r="C3276" s="153" t="n">
        <x:v>2.18</x:v>
      </x:c>
      <x:c r="D3276" s="153" t="n">
        <x:v>2.32</x:v>
      </x:c>
      <x:c r="E3276" s="153" t="n">
        <x:v>127.6418</x:v>
      </x:c>
      <x:c r="F3276" s="153" t="n">
        <x:v>27.62</x:v>
      </x:c>
      <x:c r="G3276" s="153" t="n">
        <x:v>4.58</x:v>
      </x:c>
    </x:row>
    <x:row r="3277">
      <x:c r="A3277" s="155" t="n">
        <x:v>45645</x:v>
      </x:c>
      <x:c r="B3277" s="153" t="n">
        <x:v>4.57</x:v>
      </x:c>
      <x:c r="C3277" s="153" t="n">
        <x:v>2.28</x:v>
      </x:c>
      <x:c r="D3277" s="153" t="n">
        <x:v>2.29</x:v>
      </x:c>
      <x:c r="E3277" s="153" t="n">
        <x:v>128.6366</x:v>
      </x:c>
      <x:c r="F3277" s="153" t="n">
        <x:v>24.09</x:v>
      </x:c>
      <x:c r="G3277" s="153" t="n">
        <x:v>4.33</x:v>
      </x:c>
    </x:row>
    <x:row r="3278">
      <x:c r="A3278" s="155" t="n">
        <x:v>45646</x:v>
      </x:c>
      <x:c r="B3278" s="153" t="n">
        <x:v>4.52</x:v>
      </x:c>
      <x:c r="C3278" s="153" t="n">
        <x:v>2.23</x:v>
      </x:c>
      <x:c r="D3278" s="153" t="n">
        <x:v>2.29</x:v>
      </x:c>
      <x:c r="E3278" s="153" t="n">
        <x:v>127.893</x:v>
      </x:c>
      <x:c r="F3278" s="153" t="n">
        <x:v>18.36</x:v>
      </x:c>
      <x:c r="G3278" s="153" t="n">
        <x:v>4.33</x:v>
      </x:c>
    </x:row>
    <x:row r="3279">
      <x:c r="A3279" s="155" t="n">
        <x:v>45647</x:v>
      </x:c>
      <x:c r="B3279" s="153"/>
      <x:c r="C3279" s="153"/>
      <x:c r="D3279" s="153"/>
      <x:c r="E3279" s="153"/>
      <x:c r="F3279" s="153"/>
      <x:c r="G3279" s="153" t="n">
        <x:v>4.33</x:v>
      </x:c>
    </x:row>
    <x:row r="3280">
      <x:c r="A3280" s="155" t="n">
        <x:v>45648</x:v>
      </x:c>
      <x:c r="B3280" s="153"/>
      <x:c r="C3280" s="153"/>
      <x:c r="D3280" s="153"/>
      <x:c r="E3280" s="153"/>
      <x:c r="F3280" s="153"/>
      <x:c r="G3280" s="153" t="n">
        <x:v>4.33</x:v>
      </x:c>
    </x:row>
    <x:row r="3281">
      <x:c r="A3281" s="155" t="n">
        <x:v>45649</x:v>
      </x:c>
      <x:c r="B3281" s="153" t="n">
        <x:v>4.59</x:v>
      </x:c>
      <x:c r="C3281" s="153" t="n">
        <x:v>2.27</x:v>
      </x:c>
      <x:c r="D3281" s="153" t="n">
        <x:v>2.32</x:v>
      </x:c>
      <x:c r="E3281" s="153" t="n">
        <x:v>128.3021</x:v>
      </x:c>
      <x:c r="F3281" s="153" t="n">
        <x:v>16.78</x:v>
      </x:c>
      <x:c r="G3281" s="153" t="n">
        <x:v>4.33</x:v>
      </x:c>
    </x:row>
    <x:row r="3282">
      <x:c r="A3282" s="155" t="n">
        <x:v>45650</x:v>
      </x:c>
      <x:c r="B3282" s="153" t="n">
        <x:v>4.59</x:v>
      </x:c>
      <x:c r="C3282" s="153" t="n">
        <x:v>2.24</x:v>
      </x:c>
      <x:c r="D3282" s="153" t="n">
        <x:v>2.35</x:v>
      </x:c>
      <x:c r="E3282" s="153" t="n">
        <x:v>128.3377</x:v>
      </x:c>
      <x:c r="F3282" s="153" t="n">
        <x:v>14.27</x:v>
      </x:c>
      <x:c r="G3282" s="153" t="n">
        <x:v>4.33</x:v>
      </x:c>
    </x:row>
    <x:row r="3283">
      <x:c r="A3283" s="155" t="n">
        <x:v>45651</x:v>
      </x:c>
      <x:c r="B3283" s="153"/>
      <x:c r="C3283" s="153"/>
      <x:c r="D3283" s="153"/>
      <x:c r="E3283" s="153"/>
      <x:c r="F3283" s="153"/>
      <x:c r="G3283" s="153" t="n">
        <x:v>4.33</x:v>
      </x:c>
    </x:row>
    <x:row r="3284">
      <x:c r="A3284" s="155" t="n">
        <x:v>45652</x:v>
      </x:c>
      <x:c r="B3284" s="153" t="n">
        <x:v>4.58</x:v>
      </x:c>
      <x:c r="C3284" s="153" t="n">
        <x:v>2.23</x:v>
      </x:c>
      <x:c r="D3284" s="153" t="n">
        <x:v>2.35</x:v>
      </x:c>
      <x:c r="E3284" s="153" t="n">
        <x:v>128.3329</x:v>
      </x:c>
      <x:c r="F3284" s="153" t="n">
        <x:v>14.73</x:v>
      </x:c>
      <x:c r="G3284" s="153" t="n">
        <x:v>4.33</x:v>
      </x:c>
    </x:row>
    <x:row r="3285">
      <x:c r="A3285" s="155" t="n">
        <x:v>45653</x:v>
      </x:c>
      <x:c r="B3285" s="153" t="n">
        <x:v>4.62</x:v>
      </x:c>
      <x:c r="C3285" s="153" t="n">
        <x:v>2.28</x:v>
      </x:c>
      <x:c r="D3285" s="153" t="n">
        <x:v>2.34</x:v>
      </x:c>
      <x:c r="E3285" s="153" t="n">
        <x:v>128.45</x:v>
      </x:c>
      <x:c r="F3285" s="153" t="n">
        <x:v>15.95</x:v>
      </x:c>
      <x:c r="G3285" s="153" t="n">
        <x:v>4.33</x:v>
      </x:c>
    </x:row>
    <x:row r="3286">
      <x:c r="A3286" s="155" t="n">
        <x:v>45654</x:v>
      </x:c>
      <x:c r="B3286" s="153"/>
      <x:c r="C3286" s="153"/>
      <x:c r="D3286" s="153"/>
      <x:c r="E3286" s="153"/>
      <x:c r="F3286" s="153"/>
      <x:c r="G3286" s="153" t="n">
        <x:v>4.33</x:v>
      </x:c>
    </x:row>
    <x:row r="3287">
      <x:c r="A3287" s="155" t="n">
        <x:v>45655</x:v>
      </x:c>
      <x:c r="B3287" s="153"/>
      <x:c r="C3287" s="153"/>
      <x:c r="D3287" s="153"/>
      <x:c r="E3287" s="153"/>
      <x:c r="F3287" s="153"/>
      <x:c r="G3287" s="153" t="n">
        <x:v>4.33</x:v>
      </x:c>
    </x:row>
    <x:row r="3288">
      <x:c r="A3288" s="155" t="n">
        <x:v>45656</x:v>
      </x:c>
      <x:c r="B3288" s="153" t="n">
        <x:v>4.55</x:v>
      </x:c>
      <x:c r="C3288" s="153" t="n">
        <x:v>2.24</x:v>
      </x:c>
      <x:c r="D3288" s="153" t="n">
        <x:v>2.31</x:v>
      </x:c>
      <x:c r="E3288" s="153" t="n">
        <x:v>128.8205</x:v>
      </x:c>
      <x:c r="F3288" s="153" t="n">
        <x:v>17.4</x:v>
      </x:c>
      <x:c r="G3288" s="153" t="n">
        <x:v>4.33</x:v>
      </x:c>
    </x:row>
    <x:row r="3289">
      <x:c r="A3289" s="155" t="n">
        <x:v>45657</x:v>
      </x:c>
      <x:c r="B3289" s="153" t="n">
        <x:v>4.58</x:v>
      </x:c>
      <x:c r="C3289" s="153" t="n">
        <x:v>2.24</x:v>
      </x:c>
      <x:c r="D3289" s="153" t="n">
        <x:v>2.34</x:v>
      </x:c>
      <x:c r="E3289" s="153" t="n">
        <x:v>129.2775</x:v>
      </x:c>
      <x:c r="F3289" s="153" t="n">
        <x:v>17.35</x:v>
      </x:c>
      <x:c r="G3289" s="153" t="n">
        <x:v>4.33</x:v>
      </x:c>
    </x:row>
    <x:row r="3290">
      <x:c r="A3290" s="155" t="n">
        <x:v>45658</x:v>
      </x:c>
      <x:c r="B3290" s="153"/>
      <x:c r="C3290" s="153"/>
      <x:c r="D3290" s="153"/>
      <x:c r="E3290" s="153"/>
      <x:c r="F3290" s="153"/>
      <x:c r="G3290" s="153" t="n">
        <x:v>4.33</x:v>
      </x:c>
    </x:row>
    <x:row r="3291">
      <x:c r="A3291" s="155" t="n">
        <x:v>45659</x:v>
      </x:c>
      <x:c r="B3291" s="153" t="n">
        <x:v>4.57</x:v>
      </x:c>
      <x:c r="C3291" s="153" t="n">
        <x:v>2.23</x:v>
      </x:c>
      <x:c r="D3291" s="153" t="n">
        <x:v>2.34</x:v>
      </x:c>
      <x:c r="E3291" s="153" t="n">
        <x:v>129.4598</x:v>
      </x:c>
      <x:c r="F3291" s="153" t="n">
        <x:v>17.93</x:v>
      </x:c>
      <x:c r="G3291" s="153" t="n">
        <x:v>4.33</x:v>
      </x:c>
    </x:row>
    <x:row r="3292">
      <x:c r="A3292" s="155" t="n">
        <x:v>45660</x:v>
      </x:c>
      <x:c r="B3292" s="153" t="n">
        <x:v>4.6</x:v>
      </x:c>
      <x:c r="C3292" s="153" t="n">
        <x:v>2.26</x:v>
      </x:c>
      <x:c r="D3292" s="153" t="n">
        <x:v>2.34</x:v>
      </x:c>
      <x:c r="E3292" s="153" t="n">
        <x:v>129.4535</x:v>
      </x:c>
      <x:c r="F3292" s="153" t="n">
        <x:v>16.13</x:v>
      </x:c>
      <x:c r="G3292" s="153" t="n">
        <x:v>4.33</x:v>
      </x:c>
    </x:row>
    <x:row r="3293">
      <x:c r="A3293" s="155" t="n">
        <x:v>45661</x:v>
      </x:c>
      <x:c r="B3293" s="153"/>
      <x:c r="C3293" s="153"/>
      <x:c r="D3293" s="153"/>
      <x:c r="E3293" s="153"/>
      <x:c r="F3293" s="153"/>
      <x:c r="G3293" s="153" t="n">
        <x:v>4.33</x:v>
      </x:c>
    </x:row>
    <x:row r="3294">
      <x:c r="A3294" s="155" t="n">
        <x:v>45662</x:v>
      </x:c>
      <x:c r="B3294" s="153"/>
      <x:c r="C3294" s="153"/>
      <x:c r="D3294" s="153"/>
      <x:c r="E3294" s="153"/>
      <x:c r="F3294" s="153"/>
      <x:c r="G3294" s="153" t="n">
        <x:v>4.33</x:v>
      </x:c>
    </x:row>
    <x:row r="3295">
      <x:c r="A3295" s="155" t="n">
        <x:v>45663</x:v>
      </x:c>
      <x:c r="B3295" s="153" t="n">
        <x:v>4.62</x:v>
      </x:c>
      <x:c r="C3295" s="153" t="n">
        <x:v>2.28</x:v>
      </x:c>
      <x:c r="D3295" s="153" t="n">
        <x:v>2.34</x:v>
      </x:c>
      <x:c r="E3295" s="153" t="n">
        <x:v>128.538</x:v>
      </x:c>
      <x:c r="F3295" s="153" t="n">
        <x:v>16.04</x:v>
      </x:c>
      <x:c r="G3295" s="153" t="n">
        <x:v>4.33</x:v>
      </x:c>
    </x:row>
    <x:row r="3296">
      <x:c r="A3296" s="155" t="n">
        <x:v>45664</x:v>
      </x:c>
      <x:c r="B3296" s="153" t="n">
        <x:v>4.67</x:v>
      </x:c>
      <x:c r="C3296" s="153" t="n">
        <x:v>2.29</x:v>
      </x:c>
      <x:c r="D3296" s="153" t="n">
        <x:v>2.38</x:v>
      </x:c>
      <x:c r="E3296" s="153" t="n">
        <x:v>128.613</x:v>
      </x:c>
      <x:c r="F3296" s="153" t="n">
        <x:v>17.82</x:v>
      </x:c>
      <x:c r="G3296" s="153" t="n">
        <x:v>4.33</x:v>
      </x:c>
    </x:row>
    <x:row r="3297">
      <x:c r="A3297" s="155" t="n">
        <x:v>45665</x:v>
      </x:c>
      <x:c r="B3297" s="153" t="n">
        <x:v>4.67</x:v>
      </x:c>
      <x:c r="C3297" s="153" t="n">
        <x:v>2.27</x:v>
      </x:c>
      <x:c r="D3297" s="153" t="n">
        <x:v>2.4</x:v>
      </x:c>
      <x:c r="E3297" s="153" t="n">
        <x:v>129.0785</x:v>
      </x:c>
      <x:c r="F3297" s="153" t="n">
        <x:v>17.7</x:v>
      </x:c>
      <x:c r="G3297" s="153" t="n">
        <x:v>4.33</x:v>
      </x:c>
    </x:row>
    <x:row r="3298">
      <x:c r="A3298" s="155" t="n">
        <x:v>45666</x:v>
      </x:c>
      <x:c r="B3298" s="153" t="n">
        <x:v>4.68</x:v>
      </x:c>
      <x:c r="C3298" s="153" t="n">
        <x:v>2.29</x:v>
      </x:c>
      <x:c r="D3298" s="153" t="n">
        <x:v>2.39</x:v>
      </x:c>
      <x:c r="E3298" s="153" t="n">
        <x:v>129.2827</x:v>
      </x:c>
      <x:c r="F3298" s="153" t="n">
        <x:v>18.07</x:v>
      </x:c>
      <x:c r="G3298" s="153" t="n">
        <x:v>4.33</x:v>
      </x:c>
    </x:row>
    <x:row r="3299">
      <x:c r="A3299" s="155" t="n">
        <x:v>45667</x:v>
      </x:c>
      <x:c r="B3299" s="153" t="n">
        <x:v>4.77</x:v>
      </x:c>
      <x:c r="C3299" s="153" t="n">
        <x:v>2.34</x:v>
      </x:c>
      <x:c r="D3299" s="153" t="n">
        <x:v>2.43</x:v>
      </x:c>
      <x:c r="E3299" s="153" t="n">
        <x:v>129.8664</x:v>
      </x:c>
      <x:c r="F3299" s="153" t="n">
        <x:v>19.54</x:v>
      </x:c>
      <x:c r="G3299" s="153" t="n">
        <x:v>4.33</x:v>
      </x:c>
    </x:row>
    <x:row r="3300">
      <x:c r="A3300" s="155" t="n">
        <x:v>45668</x:v>
      </x:c>
      <x:c r="B3300" s="153"/>
      <x:c r="C3300" s="153"/>
      <x:c r="D3300" s="153"/>
      <x:c r="E3300" s="153"/>
      <x:c r="F3300" s="153"/>
      <x:c r="G3300" s="153" t="n">
        <x:v>4.33</x:v>
      </x:c>
    </x:row>
    <x:row r="3301">
      <x:c r="A3301" s="155" t="n">
        <x:v>45669</x:v>
      </x:c>
      <x:c r="B3301" s="153"/>
      <x:c r="C3301" s="153"/>
      <x:c r="D3301" s="153"/>
      <x:c r="E3301" s="153"/>
      <x:c r="F3301" s="153"/>
      <x:c r="G3301" s="153" t="n">
        <x:v>4.33</x:v>
      </x:c>
    </x:row>
    <x:row r="3302">
      <x:c r="A3302" s="155" t="n">
        <x:v>45670</x:v>
      </x:c>
      <x:c r="B3302" s="153" t="n">
        <x:v>4.79</x:v>
      </x:c>
      <x:c r="C3302" s="153" t="n">
        <x:v>2.34</x:v>
      </x:c>
      <x:c r="D3302" s="153" t="n">
        <x:v>2.45</x:v>
      </x:c>
      <x:c r="E3302" s="153" t="n">
        <x:v>130.0413</x:v>
      </x:c>
      <x:c r="F3302" s="153" t="n">
        <x:v>19.19</x:v>
      </x:c>
      <x:c r="G3302" s="153" t="n">
        <x:v>4.33</x:v>
      </x:c>
    </x:row>
    <x:row r="3303">
      <x:c r="A3303" s="155" t="n">
        <x:v>45671</x:v>
      </x:c>
      <x:c r="B3303" s="153" t="n">
        <x:v>4.78</x:v>
      </x:c>
      <x:c r="C3303" s="153" t="n">
        <x:v>2.34</x:v>
      </x:c>
      <x:c r="D3303" s="153" t="n">
        <x:v>2.44</x:v>
      </x:c>
      <x:c r="E3303" s="153" t="n">
        <x:v>129.3812</x:v>
      </x:c>
      <x:c r="F3303" s="153" t="n">
        <x:v>18.71</x:v>
      </x:c>
      <x:c r="G3303" s="153" t="n">
        <x:v>4.33</x:v>
      </x:c>
    </x:row>
    <x:row r="3304">
      <x:c r="A3304" s="155" t="n">
        <x:v>45672</x:v>
      </x:c>
      <x:c r="B3304" s="153" t="n">
        <x:v>4.66</x:v>
      </x:c>
      <x:c r="C3304" s="153" t="n">
        <x:v>2.24</x:v>
      </x:c>
      <x:c r="D3304" s="153" t="n">
        <x:v>2.42</x:v>
      </x:c>
      <x:c r="E3304" s="153" t="n">
        <x:v>129.2092</x:v>
      </x:c>
      <x:c r="F3304" s="153" t="n">
        <x:v>16.12</x:v>
      </x:c>
      <x:c r="G3304" s="153" t="n">
        <x:v>4.33</x:v>
      </x:c>
    </x:row>
    <x:row r="3305">
      <x:c r="A3305" s="155" t="n">
        <x:v>45673</x:v>
      </x:c>
      <x:c r="B3305" s="153" t="n">
        <x:v>4.61</x:v>
      </x:c>
      <x:c r="C3305" s="153" t="n">
        <x:v>2.19</x:v>
      </x:c>
      <x:c r="D3305" s="153" t="n">
        <x:v>2.42</x:v>
      </x:c>
      <x:c r="E3305" s="153" t="n">
        <x:v>129.436</x:v>
      </x:c>
      <x:c r="F3305" s="153" t="n">
        <x:v>16.6</x:v>
      </x:c>
      <x:c r="G3305" s="153" t="n">
        <x:v>4.33</x:v>
      </x:c>
    </x:row>
    <x:row r="3306">
      <x:c r="A3306" s="155" t="n">
        <x:v>45674</x:v>
      </x:c>
      <x:c r="B3306" s="153" t="n">
        <x:v>4.61</x:v>
      </x:c>
      <x:c r="C3306" s="153" t="n">
        <x:v>2.2</x:v>
      </x:c>
      <x:c r="D3306" s="153" t="n">
        <x:v>2.41</x:v>
      </x:c>
      <x:c r="E3306" s="153" t="n">
        <x:v>129.4859</x:v>
      </x:c>
      <x:c r="F3306" s="153" t="n">
        <x:v>15.97</x:v>
      </x:c>
      <x:c r="G3306" s="153" t="n">
        <x:v>4.33</x:v>
      </x:c>
    </x:row>
    <x:row r="3307">
      <x:c r="A3307" s="155" t="n">
        <x:v>45675</x:v>
      </x:c>
      <x:c r="B3307" s="153"/>
      <x:c r="C3307" s="153"/>
      <x:c r="D3307" s="153"/>
      <x:c r="E3307" s="153"/>
      <x:c r="F3307" s="153"/>
      <x:c r="G3307" s="153" t="n">
        <x:v>4.33</x:v>
      </x:c>
    </x:row>
    <x:row r="3308">
      <x:c r="A3308" s="155" t="n">
        <x:v>45676</x:v>
      </x:c>
      <x:c r="B3308" s="153"/>
      <x:c r="C3308" s="153"/>
      <x:c r="D3308" s="153"/>
      <x:c r="E3308" s="153"/>
      <x:c r="F3308" s="153"/>
      <x:c r="G3308" s="153" t="n">
        <x:v>4.33</x:v>
      </x:c>
    </x:row>
    <x:row r="3309">
      <x:c r="A3309" s="155" t="n">
        <x:v>45677</x:v>
      </x:c>
      <x:c r="B3309" s="153"/>
      <x:c r="C3309" s="153"/>
      <x:c r="D3309" s="153"/>
      <x:c r="E3309" s="153"/>
      <x:c r="F3309" s="153" t="n">
        <x:v>15.81</x:v>
      </x:c>
      <x:c r="G3309" s="153" t="n">
        <x:v>4.33</x:v>
      </x:c>
    </x:row>
    <x:row r="3310">
      <x:c r="A3310" s="155" t="n">
        <x:v>45678</x:v>
      </x:c>
      <x:c r="B3310" s="153" t="n">
        <x:v>4.57</x:v>
      </x:c>
      <x:c r="C3310" s="153" t="n">
        <x:v>2.19</x:v>
      </x:c>
      <x:c r="D3310" s="153" t="n">
        <x:v>2.38</x:v>
      </x:c>
      <x:c r="E3310" s="153" t="n">
        <x:v>128.4151</x:v>
      </x:c>
      <x:c r="F3310" s="153" t="n">
        <x:v>15.06</x:v>
      </x:c>
      <x:c r="G3310" s="153" t="n">
        <x:v>4.33</x:v>
      </x:c>
    </x:row>
    <x:row r="3311">
      <x:c r="A3311" s="155" t="n">
        <x:v>45679</x:v>
      </x:c>
      <x:c r="B3311" s="153" t="n">
        <x:v>4.6</x:v>
      </x:c>
      <x:c r="C3311" s="153" t="n">
        <x:v>2.2</x:v>
      </x:c>
      <x:c r="D3311" s="153" t="n">
        <x:v>2.4</x:v>
      </x:c>
      <x:c r="E3311" s="153" t="n">
        <x:v>128.3402</x:v>
      </x:c>
      <x:c r="F3311" s="153" t="n">
        <x:v>15.1</x:v>
      </x:c>
      <x:c r="G3311" s="153" t="n">
        <x:v>4.33</x:v>
      </x:c>
    </x:row>
    <x:row r="3312">
      <x:c r="A3312" s="155" t="n">
        <x:v>45680</x:v>
      </x:c>
      <x:c r="B3312" s="153" t="n">
        <x:v>4.65</x:v>
      </x:c>
      <x:c r="C3312" s="153" t="n">
        <x:v>2.23</x:v>
      </x:c>
      <x:c r="D3312" s="153" t="n">
        <x:v>2.42</x:v>
      </x:c>
      <x:c r="E3312" s="153" t="n">
        <x:v>128.2162</x:v>
      </x:c>
      <x:c r="F3312" s="153" t="n">
        <x:v>15.02</x:v>
      </x:c>
      <x:c r="G3312" s="153" t="n">
        <x:v>4.33</x:v>
      </x:c>
    </x:row>
    <x:row r="3313">
      <x:c r="A3313" s="155" t="n">
        <x:v>45681</x:v>
      </x:c>
      <x:c r="B3313" s="153" t="n">
        <x:v>4.63</x:v>
      </x:c>
      <x:c r="C3313" s="153" t="n">
        <x:v>2.2</x:v>
      </x:c>
      <x:c r="D3313" s="153" t="n">
        <x:v>2.43</x:v>
      </x:c>
      <x:c r="E3313" s="153" t="n">
        <x:v>127.4611</x:v>
      </x:c>
      <x:c r="F3313" s="153" t="n">
        <x:v>14.85</x:v>
      </x:c>
      <x:c r="G3313" s="153" t="n">
        <x:v>4.33</x:v>
      </x:c>
    </x:row>
    <x:row r="3314">
      <x:c r="A3314" s="155" t="n">
        <x:v>45682</x:v>
      </x:c>
      <x:c r="B3314" s="153"/>
      <x:c r="C3314" s="153"/>
      <x:c r="D3314" s="153"/>
      <x:c r="E3314" s="153"/>
      <x:c r="F3314" s="153"/>
      <x:c r="G3314" s="153" t="n">
        <x:v>4.33</x:v>
      </x:c>
    </x:row>
    <x:row r="3315">
      <x:c r="A3315" s="155" t="n">
        <x:v>45683</x:v>
      </x:c>
      <x:c r="B3315" s="153"/>
      <x:c r="C3315" s="153"/>
      <x:c r="D3315" s="153"/>
      <x:c r="E3315" s="153"/>
      <x:c r="F3315" s="153"/>
      <x:c r="G3315" s="153" t="n">
        <x:v>4.33</x:v>
      </x:c>
    </x:row>
    <x:row r="3316">
      <x:c r="A3316" s="155" t="n">
        <x:v>45684</x:v>
      </x:c>
      <x:c r="B3316" s="153" t="n">
        <x:v>4.53</x:v>
      </x:c>
      <x:c r="C3316" s="153" t="n">
        <x:v>2.13</x:v>
      </x:c>
      <x:c r="D3316" s="153" t="n">
        <x:v>2.4</x:v>
      </x:c>
      <x:c r="E3316" s="153" t="n">
        <x:v>128.0912</x:v>
      </x:c>
      <x:c r="F3316" s="153" t="n">
        <x:v>17.9</x:v>
      </x:c>
      <x:c r="G3316" s="153" t="n">
        <x:v>4.33</x:v>
      </x:c>
    </x:row>
    <x:row r="3317">
      <x:c r="A3317" s="155" t="n">
        <x:v>45685</x:v>
      </x:c>
      <x:c r="B3317" s="153" t="n">
        <x:v>4.55</x:v>
      </x:c>
      <x:c r="C3317" s="153" t="n">
        <x:v>2.13</x:v>
      </x:c>
      <x:c r="D3317" s="153" t="n">
        <x:v>2.42</x:v>
      </x:c>
      <x:c r="E3317" s="153" t="n">
        <x:v>128.2817</x:v>
      </x:c>
      <x:c r="F3317" s="153" t="n">
        <x:v>16.41</x:v>
      </x:c>
      <x:c r="G3317" s="153" t="n">
        <x:v>4.33</x:v>
      </x:c>
    </x:row>
    <x:row r="3318">
      <x:c r="A3318" s="155" t="n">
        <x:v>45686</x:v>
      </x:c>
      <x:c r="B3318" s="153" t="n">
        <x:v>4.55</x:v>
      </x:c>
      <x:c r="C3318" s="153" t="n">
        <x:v>2.15</x:v>
      </x:c>
      <x:c r="D3318" s="153" t="n">
        <x:v>2.4</x:v>
      </x:c>
      <x:c r="E3318" s="153" t="n">
        <x:v>128.3418</x:v>
      </x:c>
      <x:c r="F3318" s="153" t="n">
        <x:v>16.56</x:v>
      </x:c>
      <x:c r="G3318" s="153" t="n">
        <x:v>4.33</x:v>
      </x:c>
    </x:row>
    <x:row r="3319">
      <x:c r="A3319" s="155" t="n">
        <x:v>45687</x:v>
      </x:c>
      <x:c r="B3319" s="153" t="n">
        <x:v>4.52</x:v>
      </x:c>
      <x:c r="C3319" s="153" t="n">
        <x:v>2.14</x:v>
      </x:c>
      <x:c r="D3319" s="153" t="n">
        <x:v>2.38</x:v>
      </x:c>
      <x:c r="E3319" s="153" t="n">
        <x:v>128.1004</x:v>
      </x:c>
      <x:c r="F3319" s="153" t="n">
        <x:v>15.84</x:v>
      </x:c>
      <x:c r="G3319" s="153" t="n">
        <x:v>4.33</x:v>
      </x:c>
    </x:row>
    <x:row r="3320">
      <x:c r="A3320" s="155" t="n">
        <x:v>45688</x:v>
      </x:c>
      <x:c r="B3320" s="153" t="n">
        <x:v>4.58</x:v>
      </x:c>
      <x:c r="C3320" s="153" t="n">
        <x:v>2.16</x:v>
      </x:c>
      <x:c r="D3320" s="153" t="n">
        <x:v>2.42</x:v>
      </x:c>
      <x:c r="E3320" s="153" t="n">
        <x:v>128.4828</x:v>
      </x:c>
      <x:c r="F3320" s="153" t="n">
        <x:v>16.43</x:v>
      </x:c>
      <x:c r="G3320" s="153" t="n">
        <x:v>4.33</x:v>
      </x:c>
    </x:row>
    <x:row r="3321">
      <x:c r="A3321" s="155" t="n">
        <x:v>45689</x:v>
      </x:c>
      <x:c r="B3321" s="153"/>
      <x:c r="C3321" s="153"/>
      <x:c r="D3321" s="153"/>
      <x:c r="E3321" s="153"/>
      <x:c r="F3321" s="153"/>
      <x:c r="G3321" s="153" t="n">
        <x:v>4.33</x:v>
      </x:c>
    </x:row>
    <x:row r="3322">
      <x:c r="A3322" s="155" t="n">
        <x:v>45690</x:v>
      </x:c>
      <x:c r="B3322" s="153"/>
      <x:c r="C3322" s="153"/>
      <x:c r="D3322" s="153"/>
      <x:c r="E3322" s="153"/>
      <x:c r="F3322" s="153"/>
      <x:c r="G3322" s="153" t="n">
        <x:v>4.33</x:v>
      </x:c>
    </x:row>
    <x:row r="3323">
      <x:c r="A3323" s="155" t="n">
        <x:v>45691</x:v>
      </x:c>
      <x:c r="B3323" s="153" t="n">
        <x:v>4.54</x:v>
      </x:c>
      <x:c r="C3323" s="153" t="n">
        <x:v>2.09</x:v>
      </x:c>
      <x:c r="D3323" s="153" t="n">
        <x:v>2.45</x:v>
      </x:c>
      <x:c r="E3323" s="153" t="n">
        <x:v>129.109</x:v>
      </x:c>
      <x:c r="F3323" s="153" t="n">
        <x:v>18.62</x:v>
      </x:c>
      <x:c r="G3323" s="153" t="n">
        <x:v>4.33</x:v>
      </x:c>
    </x:row>
    <x:row r="3324">
      <x:c r="A3324" s="155" t="n">
        <x:v>45692</x:v>
      </x:c>
      <x:c r="B3324" s="153" t="n">
        <x:v>4.52</x:v>
      </x:c>
      <x:c r="C3324" s="153" t="n">
        <x:v>2.08</x:v>
      </x:c>
      <x:c r="D3324" s="153" t="n">
        <x:v>2.44</x:v>
      </x:c>
      <x:c r="E3324" s="153" t="n">
        <x:v>128.1083</x:v>
      </x:c>
      <x:c r="F3324" s="153" t="n">
        <x:v>17.21</x:v>
      </x:c>
      <x:c r="G3324" s="153" t="n">
        <x:v>4.33</x:v>
      </x:c>
    </x:row>
    <x:row r="3325">
      <x:c r="A3325" s="155" t="n">
        <x:v>45693</x:v>
      </x:c>
      <x:c r="B3325" s="153" t="n">
        <x:v>4.43</x:v>
      </x:c>
      <x:c r="C3325" s="153" t="n">
        <x:v>2.01</x:v>
      </x:c>
      <x:c r="D3325" s="153" t="n">
        <x:v>2.42</x:v>
      </x:c>
      <x:c r="E3325" s="153" t="n">
        <x:v>127.9751</x:v>
      </x:c>
      <x:c r="F3325" s="153" t="n">
        <x:v>15.77</x:v>
      </x:c>
      <x:c r="G3325" s="153" t="n">
        <x:v>4.33</x:v>
      </x:c>
    </x:row>
    <x:row r="3326">
      <x:c r="A3326" s="155" t="n">
        <x:v>45694</x:v>
      </x:c>
      <x:c r="B3326" s="153" t="n">
        <x:v>4.45</x:v>
      </x:c>
      <x:c r="C3326" s="153" t="n">
        <x:v>2.03</x:v>
      </x:c>
      <x:c r="D3326" s="153" t="n">
        <x:v>2.42</x:v>
      </x:c>
      <x:c r="E3326" s="153" t="n">
        <x:v>128.2017</x:v>
      </x:c>
      <x:c r="F3326" s="153" t="n">
        <x:v>15.5</x:v>
      </x:c>
      <x:c r="G3326" s="153" t="n">
        <x:v>4.33</x:v>
      </x:c>
    </x:row>
    <x:row r="3327">
      <x:c r="A3327" s="155" t="n">
        <x:v>45695</x:v>
      </x:c>
      <x:c r="B3327" s="153" t="n">
        <x:v>4.49</x:v>
      </x:c>
      <x:c r="C3327" s="153" t="n">
        <x:v>2.07</x:v>
      </x:c>
      <x:c r="D3327" s="153" t="n">
        <x:v>2.42</x:v>
      </x:c>
      <x:c r="E3327" s="153" t="n">
        <x:v>128.4292</x:v>
      </x:c>
      <x:c r="F3327" s="153" t="n">
        <x:v>16.54</x:v>
      </x:c>
      <x:c r="G3327" s="153" t="n">
        <x:v>4.33</x:v>
      </x:c>
    </x:row>
    <x:row r="3328">
      <x:c r="A3328" s="155" t="n">
        <x:v>45696</x:v>
      </x:c>
      <x:c r="B3328" s="153"/>
      <x:c r="C3328" s="153"/>
      <x:c r="D3328" s="153"/>
      <x:c r="E3328" s="153"/>
      <x:c r="F3328" s="153"/>
      <x:c r="G3328" s="153" t="n">
        <x:v>4.33</x:v>
      </x:c>
    </x:row>
    <x:row r="3329">
      <x:c r="A3329" s="155" t="n">
        <x:v>45697</x:v>
      </x:c>
      <x:c r="B3329" s="153"/>
      <x:c r="C3329" s="153"/>
      <x:c r="D3329" s="153"/>
      <x:c r="E3329" s="153"/>
      <x:c r="F3329" s="153"/>
      <x:c r="G3329" s="153" t="n">
        <x:v>4.33</x:v>
      </x:c>
    </x:row>
    <x:row r="3330">
      <x:c r="A3330" s="155" t="n">
        <x:v>45698</x:v>
      </x:c>
      <x:c r="B3330" s="153" t="n">
        <x:v>4.51</x:v>
      </x:c>
      <x:c r="C3330" s="153" t="n">
        <x:v>2.07</x:v>
      </x:c>
      <x:c r="D3330" s="153" t="n">
        <x:v>2.44</x:v>
      </x:c>
      <x:c r="E3330" s="153" t="n">
        <x:v>128.6382</x:v>
      </x:c>
      <x:c r="F3330" s="153" t="n">
        <x:v>15.81</x:v>
      </x:c>
      <x:c r="G3330" s="153" t="n">
        <x:v>4.33</x:v>
      </x:c>
    </x:row>
    <x:row r="3331">
      <x:c r="A3331" s="155" t="n">
        <x:v>45699</x:v>
      </x:c>
      <x:c r="B3331" s="153" t="n">
        <x:v>4.54</x:v>
      </x:c>
      <x:c r="C3331" s="153" t="n">
        <x:v>2.08</x:v>
      </x:c>
      <x:c r="D3331" s="153" t="n">
        <x:v>2.46</x:v>
      </x:c>
      <x:c r="E3331" s="153" t="n">
        <x:v>128.4322</x:v>
      </x:c>
      <x:c r="F3331" s="153" t="n">
        <x:v>16.02</x:v>
      </x:c>
      <x:c r="G3331" s="153" t="n">
        <x:v>4.33</x:v>
      </x:c>
    </x:row>
    <x:row r="3332">
      <x:c r="A3332" s="155" t="n">
        <x:v>45700</x:v>
      </x:c>
      <x:c r="B3332" s="153" t="n">
        <x:v>4.62</x:v>
      </x:c>
      <x:c r="C3332" s="153" t="n">
        <x:v>2.16</x:v>
      </x:c>
      <x:c r="D3332" s="153" t="n">
        <x:v>2.46</x:v>
      </x:c>
      <x:c r="E3332" s="153" t="n">
        <x:v>128.3288</x:v>
      </x:c>
      <x:c r="F3332" s="153" t="n">
        <x:v>15.89</x:v>
      </x:c>
      <x:c r="G3332" s="153" t="n">
        <x:v>4.33</x:v>
      </x:c>
    </x:row>
    <x:row r="3333">
      <x:c r="A3333" s="155" t="n">
        <x:v>45701</x:v>
      </x:c>
      <x:c r="B3333" s="153" t="n">
        <x:v>4.52</x:v>
      </x:c>
      <x:c r="C3333" s="153" t="n">
        <x:v>2.08</x:v>
      </x:c>
      <x:c r="D3333" s="153" t="n">
        <x:v>2.44</x:v>
      </x:c>
      <x:c r="E3333" s="153" t="n">
        <x:v>127.8931</x:v>
      </x:c>
      <x:c r="F3333" s="153" t="n">
        <x:v>15.1</x:v>
      </x:c>
      <x:c r="G3333" s="153" t="n">
        <x:v>4.33</x:v>
      </x:c>
    </x:row>
    <x:row r="3334">
      <x:c r="A3334" s="155" t="n">
        <x:v>45702</x:v>
      </x:c>
      <x:c r="B3334" s="153" t="n">
        <x:v>4.47</x:v>
      </x:c>
      <x:c r="C3334" s="153" t="n">
        <x:v>2.04</x:v>
      </x:c>
      <x:c r="D3334" s="153" t="n">
        <x:v>2.43</x:v>
      </x:c>
      <x:c r="E3334" s="153" t="n">
        <x:v>127.1491</x:v>
      </x:c>
      <x:c r="F3334" s="153" t="n">
        <x:v>14.77</x:v>
      </x:c>
      <x:c r="G3334" s="153" t="n">
        <x:v>4.33</x:v>
      </x:c>
    </x:row>
    <x:row r="3335">
      <x:c r="A3335" s="155" t="n">
        <x:v>45703</x:v>
      </x:c>
      <x:c r="B3335" s="153"/>
      <x:c r="C3335" s="153"/>
      <x:c r="D3335" s="153"/>
      <x:c r="E3335" s="153"/>
      <x:c r="F3335" s="153"/>
      <x:c r="G3335" s="153" t="n">
        <x:v>4.33</x:v>
      </x:c>
    </x:row>
    <x:row r="3336">
      <x:c r="A3336" s="155" t="n">
        <x:v>45704</x:v>
      </x:c>
      <x:c r="B3336" s="153"/>
      <x:c r="C3336" s="153"/>
      <x:c r="D3336" s="153"/>
      <x:c r="E3336" s="153"/>
      <x:c r="F3336" s="153"/>
      <x:c r="G3336" s="153" t="n">
        <x:v>4.33</x:v>
      </x:c>
    </x:row>
    <x:row r="3337">
      <x:c r="A3337" s="155" t="n">
        <x:v>45705</x:v>
      </x:c>
      <x:c r="B3337" s="153"/>
      <x:c r="C3337" s="153"/>
      <x:c r="D3337" s="153"/>
      <x:c r="E3337" s="153"/>
      <x:c r="F3337" s="153" t="n">
        <x:v>15.37</x:v>
      </x:c>
      <x:c r="G3337" s="153" t="n">
        <x:v>4.33</x:v>
      </x:c>
    </x:row>
    <x:row r="3338">
      <x:c r="A3338" s="155" t="n">
        <x:v>45706</x:v>
      </x:c>
      <x:c r="B3338" s="153" t="n">
        <x:v>4.55</x:v>
      </x:c>
      <x:c r="C3338" s="153" t="n">
        <x:v>2.1</x:v>
      </x:c>
      <x:c r="D3338" s="153" t="n">
        <x:v>2.45</x:v>
      </x:c>
      <x:c r="E3338" s="153" t="n">
        <x:v>127.2906</x:v>
      </x:c>
      <x:c r="F3338" s="153" t="n">
        <x:v>15.35</x:v>
      </x:c>
      <x:c r="G3338" s="153" t="n">
        <x:v>4.33</x:v>
      </x:c>
    </x:row>
    <x:row r="3339">
      <x:c r="A3339" s="155" t="n">
        <x:v>45707</x:v>
      </x:c>
      <x:c r="B3339" s="153" t="n">
        <x:v>4.53</x:v>
      </x:c>
      <x:c r="C3339" s="153" t="n">
        <x:v>2.08</x:v>
      </x:c>
      <x:c r="D3339" s="153" t="n">
        <x:v>2.45</x:v>
      </x:c>
      <x:c r="E3339" s="153" t="n">
        <x:v>127.7317</x:v>
      </x:c>
      <x:c r="F3339" s="153" t="n">
        <x:v>15.27</x:v>
      </x:c>
      <x:c r="G3339" s="153" t="n">
        <x:v>4.33</x:v>
      </x:c>
    </x:row>
    <x:row r="3340">
      <x:c r="A3340" s="155" t="n">
        <x:v>45708</x:v>
      </x:c>
      <x:c r="B3340" s="153" t="n">
        <x:v>4.5</x:v>
      </x:c>
      <x:c r="C3340" s="153" t="n">
        <x:v>2.05</x:v>
      </x:c>
      <x:c r="D3340" s="153" t="n">
        <x:v>2.45</x:v>
      </x:c>
      <x:c r="E3340" s="153" t="n">
        <x:v>127.1126</x:v>
      </x:c>
      <x:c r="F3340" s="153" t="n">
        <x:v>15.66</x:v>
      </x:c>
      <x:c r="G3340" s="153" t="n">
        <x:v>4.33</x:v>
      </x:c>
    </x:row>
    <x:row r="3341">
      <x:c r="A3341" s="155" t="n">
        <x:v>45709</x:v>
      </x:c>
      <x:c r="B3341" s="153" t="n">
        <x:v>4.42</x:v>
      </x:c>
      <x:c r="C3341" s="153" t="n">
        <x:v>2</x:v>
      </x:c>
      <x:c r="D3341" s="153" t="n">
        <x:v>2.42</x:v>
      </x:c>
      <x:c r="E3341" s="153" t="n">
        <x:v>127.1408</x:v>
      </x:c>
      <x:c r="F3341" s="153" t="n">
        <x:v>18.21</x:v>
      </x:c>
      <x:c r="G3341" s="153" t="n">
        <x:v>4.33</x:v>
      </x:c>
    </x:row>
    <x:row r="3342">
      <x:c r="A3342" s="155" t="n">
        <x:v>45710</x:v>
      </x:c>
      <x:c r="B3342" s="153"/>
      <x:c r="C3342" s="153"/>
      <x:c r="D3342" s="153"/>
      <x:c r="E3342" s="153"/>
      <x:c r="F3342" s="153"/>
      <x:c r="G3342" s="153" t="n">
        <x:v>4.33</x:v>
      </x:c>
    </x:row>
    <x:row r="3343">
      <x:c r="A3343" s="155" t="n">
        <x:v>45711</x:v>
      </x:c>
      <x:c r="B3343" s="153"/>
      <x:c r="C3343" s="153"/>
      <x:c r="D3343" s="153"/>
      <x:c r="E3343" s="153"/>
      <x:c r="F3343" s="153"/>
      <x:c r="G3343" s="153" t="n">
        <x:v>4.33</x:v>
      </x:c>
    </x:row>
    <x:row r="3344">
      <x:c r="A3344" s="155" t="n">
        <x:v>45712</x:v>
      </x:c>
      <x:c r="B3344" s="153" t="n">
        <x:v>4.4</x:v>
      </x:c>
      <x:c r="C3344" s="153" t="n">
        <x:v>1.98</x:v>
      </x:c>
      <x:c r="D3344" s="153" t="n">
        <x:v>2.42</x:v>
      </x:c>
      <x:c r="E3344" s="153" t="n">
        <x:v>127.1921</x:v>
      </x:c>
      <x:c r="F3344" s="153" t="n">
        <x:v>18.98</x:v>
      </x:c>
      <x:c r="G3344" s="153" t="n">
        <x:v>4.33</x:v>
      </x:c>
    </x:row>
    <x:row r="3345">
      <x:c r="A3345" s="155" t="n">
        <x:v>45713</x:v>
      </x:c>
      <x:c r="B3345" s="153" t="n">
        <x:v>4.3</x:v>
      </x:c>
      <x:c r="C3345" s="153" t="n">
        <x:v>1.92</x:v>
      </x:c>
      <x:c r="D3345" s="153" t="n">
        <x:v>2.38</x:v>
      </x:c>
      <x:c r="E3345" s="153" t="n">
        <x:v>127.3752</x:v>
      </x:c>
      <x:c r="F3345" s="153" t="n">
        <x:v>19.43</x:v>
      </x:c>
      <x:c r="G3345" s="153" t="n">
        <x:v>4.33</x:v>
      </x:c>
    </x:row>
    <x:row r="3346">
      <x:c r="A3346" s="155" t="n">
        <x:v>45714</x:v>
      </x:c>
      <x:c r="B3346" s="153" t="n">
        <x:v>4.25</x:v>
      </x:c>
      <x:c r="C3346" s="153" t="n">
        <x:v>1.89</x:v>
      </x:c>
      <x:c r="D3346" s="153" t="n">
        <x:v>2.36</x:v>
      </x:c>
      <x:c r="E3346" s="153" t="n">
        <x:v>127.2822</x:v>
      </x:c>
      <x:c r="F3346" s="153" t="n">
        <x:v>19.1</x:v>
      </x:c>
      <x:c r="G3346" s="153" t="n">
        <x:v>4.33</x:v>
      </x:c>
    </x:row>
    <x:row r="3347">
      <x:c r="A3347" s="155" t="n">
        <x:v>45715</x:v>
      </x:c>
      <x:c r="B3347" s="153" t="n">
        <x:v>4.29</x:v>
      </x:c>
      <x:c r="C3347" s="153" t="n">
        <x:v>1.92</x:v>
      </x:c>
      <x:c r="D3347" s="153" t="n">
        <x:v>2.37</x:v>
      </x:c>
      <x:c r="E3347" s="153" t="n">
        <x:v>127.9704</x:v>
      </x:c>
      <x:c r="F3347" s="153" t="n">
        <x:v>21.13</x:v>
      </x:c>
      <x:c r="G3347" s="153" t="n">
        <x:v>4.33</x:v>
      </x:c>
    </x:row>
    <x:row r="3348">
      <x:c r="A3348" s="155" t="n">
        <x:v>45716</x:v>
      </x:c>
      <x:c r="B3348" s="153" t="n">
        <x:v>4.24</x:v>
      </x:c>
      <x:c r="C3348" s="153" t="n">
        <x:v>1.86</x:v>
      </x:c>
      <x:c r="D3348" s="153" t="n">
        <x:v>2.38</x:v>
      </x:c>
      <x:c r="E3348" s="153" t="n">
        <x:v>128.2805</x:v>
      </x:c>
      <x:c r="F3348" s="153" t="n">
        <x:v>19.63</x:v>
      </x:c>
      <x:c r="G3348" s="153" t="n">
        <x:v>4.33</x:v>
      </x:c>
    </x:row>
    <x:row r="3349">
      <x:c r="A3349" s="155" t="n">
        <x:v>45717</x:v>
      </x:c>
      <x:c r="B3349" s="153"/>
      <x:c r="C3349" s="153"/>
      <x:c r="D3349" s="153"/>
      <x:c r="E3349" s="153"/>
      <x:c r="F3349" s="153"/>
      <x:c r="G3349" s="153" t="n">
        <x:v>4.33</x:v>
      </x:c>
    </x:row>
    <x:row r="3350">
      <x:c r="A3350" s="155" t="n">
        <x:v>45718</x:v>
      </x:c>
      <x:c r="B3350" s="153"/>
      <x:c r="C3350" s="153"/>
      <x:c r="D3350" s="153"/>
      <x:c r="E3350" s="153"/>
      <x:c r="F3350" s="153"/>
      <x:c r="G3350" s="153" t="n">
        <x:v>4.33</x:v>
      </x:c>
    </x:row>
    <x:row r="3351">
      <x:c r="A3351" s="155" t="n">
        <x:v>45719</x:v>
      </x:c>
      <x:c r="B3351" s="153" t="n">
        <x:v>4.16</x:v>
      </x:c>
      <x:c r="C3351" s="153" t="n">
        <x:v>1.8</x:v>
      </x:c>
      <x:c r="D3351" s="153" t="n">
        <x:v>2.36</x:v>
      </x:c>
      <x:c r="E3351" s="153" t="n">
        <x:v>127.75</x:v>
      </x:c>
      <x:c r="F3351" s="153" t="n">
        <x:v>22.78</x:v>
      </x:c>
      <x:c r="G3351" s="153" t="n">
        <x:v>4.33</x:v>
      </x:c>
    </x:row>
    <x:row r="3352">
      <x:c r="A3352" s="155" t="n">
        <x:v>45720</x:v>
      </x:c>
      <x:c r="B3352" s="153" t="n">
        <x:v>4.22</x:v>
      </x:c>
      <x:c r="C3352" s="153" t="n">
        <x:v>1.87</x:v>
      </x:c>
      <x:c r="D3352" s="153" t="n">
        <x:v>2.35</x:v>
      </x:c>
      <x:c r="E3352" s="153" t="n">
        <x:v>127.9966</x:v>
      </x:c>
      <x:c r="F3352" s="153" t="n">
        <x:v>23.51</x:v>
      </x:c>
      <x:c r="G3352" s="153" t="n">
        <x:v>4.33</x:v>
      </x:c>
    </x:row>
    <x:row r="3353">
      <x:c r="A3353" s="155" t="n">
        <x:v>45721</x:v>
      </x:c>
      <x:c r="B3353" s="153" t="n">
        <x:v>4.28</x:v>
      </x:c>
      <x:c r="C3353" s="153" t="n">
        <x:v>1.94</x:v>
      </x:c>
      <x:c r="D3353" s="153" t="n">
        <x:v>2.34</x:v>
      </x:c>
      <x:c r="E3353" s="153" t="n">
        <x:v>126.504</x:v>
      </x:c>
      <x:c r="F3353" s="153" t="n">
        <x:v>21.93</x:v>
      </x:c>
      <x:c r="G3353" s="153" t="n">
        <x:v>4.33</x:v>
      </x:c>
    </x:row>
    <x:row r="3354">
      <x:c r="A3354" s="155" t="n">
        <x:v>45722</x:v>
      </x:c>
      <x:c r="B3354" s="153" t="n">
        <x:v>4.29</x:v>
      </x:c>
      <x:c r="C3354" s="153" t="n">
        <x:v>1.95</x:v>
      </x:c>
      <x:c r="D3354" s="153" t="n">
        <x:v>2.34</x:v>
      </x:c>
      <x:c r="E3354" s="153" t="n">
        <x:v>126.1099</x:v>
      </x:c>
      <x:c r="F3354" s="153" t="n">
        <x:v>24.87</x:v>
      </x:c>
      <x:c r="G3354" s="153" t="n">
        <x:v>4.33</x:v>
      </x:c>
    </x:row>
    <x:row r="3355">
      <x:c r="A3355" s="155" t="n">
        <x:v>45723</x:v>
      </x:c>
      <x:c r="B3355" s="153" t="n">
        <x:v>4.32</x:v>
      </x:c>
      <x:c r="C3355" s="153" t="n">
        <x:v>1.99</x:v>
      </x:c>
      <x:c r="D3355" s="153" t="n">
        <x:v>2.33</x:v>
      </x:c>
      <x:c r="E3355" s="153" t="n">
        <x:v>125.9814</x:v>
      </x:c>
      <x:c r="F3355" s="153" t="n">
        <x:v>23.37</x:v>
      </x:c>
      <x:c r="G3355" s="153" t="n">
        <x:v>4.33</x:v>
      </x:c>
    </x:row>
    <x:row r="3356">
      <x:c r="A3356" s="155" t="n">
        <x:v>45724</x:v>
      </x:c>
      <x:c r="B3356" s="153"/>
      <x:c r="C3356" s="153"/>
      <x:c r="D3356" s="153"/>
      <x:c r="E3356" s="153"/>
      <x:c r="F3356" s="153"/>
      <x:c r="G3356" s="153" t="n">
        <x:v>4.33</x:v>
      </x:c>
    </x:row>
    <x:row r="3357">
      <x:c r="A3357" s="155" t="n">
        <x:v>45725</x:v>
      </x:c>
      <x:c r="B3357" s="153"/>
      <x:c r="C3357" s="153"/>
      <x:c r="D3357" s="153"/>
      <x:c r="E3357" s="153"/>
      <x:c r="F3357" s="153"/>
      <x:c r="G3357" s="153" t="n">
        <x:v>4.33</x:v>
      </x:c>
    </x:row>
    <x:row r="3358">
      <x:c r="A3358" s="155" t="n">
        <x:v>45726</x:v>
      </x:c>
      <x:c r="B3358" s="153" t="n">
        <x:v>4.22</x:v>
      </x:c>
      <x:c r="C3358" s="153" t="n">
        <x:v>1.91</x:v>
      </x:c>
      <x:c r="D3358" s="153" t="n">
        <x:v>2.31</x:v>
      </x:c>
      <x:c r="E3358" s="153" t="n">
        <x:v>126.268</x:v>
      </x:c>
      <x:c r="F3358" s="153" t="n">
        <x:v>27.86</x:v>
      </x:c>
      <x:c r="G3358" s="153" t="n">
        <x:v>4.33</x:v>
      </x:c>
    </x:row>
    <x:row r="3359">
      <x:c r="A3359" s="155" t="n">
        <x:v>45727</x:v>
      </x:c>
      <x:c r="B3359" s="153" t="n">
        <x:v>4.28</x:v>
      </x:c>
      <x:c r="C3359" s="153" t="n">
        <x:v>1.97</x:v>
      </x:c>
      <x:c r="D3359" s="153" t="n">
        <x:v>2.31</x:v>
      </x:c>
      <x:c r="E3359" s="153" t="n">
        <x:v>126.0457</x:v>
      </x:c>
      <x:c r="F3359" s="153" t="n">
        <x:v>26.92</x:v>
      </x:c>
      <x:c r="G3359" s="153" t="n">
        <x:v>4.33</x:v>
      </x:c>
    </x:row>
    <x:row r="3360">
      <x:c r="A3360" s="155" t="n">
        <x:v>45728</x:v>
      </x:c>
      <x:c r="B3360" s="153" t="n">
        <x:v>4.32</x:v>
      </x:c>
      <x:c r="C3360" s="153" t="n">
        <x:v>1.99</x:v>
      </x:c>
      <x:c r="D3360" s="153" t="n">
        <x:v>2.33</x:v>
      </x:c>
      <x:c r="E3360" s="153" t="n">
        <x:v>125.8664</x:v>
      </x:c>
      <x:c r="F3360" s="153" t="n">
        <x:v>24.23</x:v>
      </x:c>
      <x:c r="G3360" s="153" t="n">
        <x:v>4.33</x:v>
      </x:c>
    </x:row>
    <x:row r="3361">
      <x:c r="A3361" s="155" t="n">
        <x:v>45729</x:v>
      </x:c>
      <x:c r="B3361" s="153" t="n">
        <x:v>4.27</x:v>
      </x:c>
      <x:c r="C3361" s="153" t="n">
        <x:v>1.98</x:v>
      </x:c>
      <x:c r="D3361" s="153" t="n">
        <x:v>2.29</x:v>
      </x:c>
      <x:c r="E3361" s="153" t="n">
        <x:v>126.0031</x:v>
      </x:c>
      <x:c r="F3361" s="153" t="n">
        <x:v>24.66</x:v>
      </x:c>
      <x:c r="G3361" s="153" t="n">
        <x:v>4.33</x:v>
      </x:c>
    </x:row>
    <x:row r="3362">
      <x:c r="A3362" s="155" t="n">
        <x:v>45730</x:v>
      </x:c>
      <x:c r="B3362" s="153" t="n">
        <x:v>4.31</x:v>
      </x:c>
      <x:c r="C3362" s="153" t="n">
        <x:v>2.01</x:v>
      </x:c>
      <x:c r="D3362" s="153" t="n">
        <x:v>2.3</x:v>
      </x:c>
      <x:c r="E3362" s="153" t="n">
        <x:v>125.6942</x:v>
      </x:c>
      <x:c r="F3362" s="153" t="n">
        <x:v>21.77</x:v>
      </x:c>
      <x:c r="G3362" s="153" t="n">
        <x:v>4.33</x:v>
      </x:c>
    </x:row>
    <x:row r="3363">
      <x:c r="A3363" s="155" t="n">
        <x:v>45731</x:v>
      </x:c>
      <x:c r="B3363" s="153"/>
      <x:c r="C3363" s="153"/>
      <x:c r="D3363" s="153"/>
      <x:c r="E3363" s="153"/>
      <x:c r="F3363" s="153"/>
      <x:c r="G3363" s="153" t="n">
        <x:v>4.33</x:v>
      </x:c>
    </x:row>
    <x:row r="3364">
      <x:c r="A3364" s="155" t="n">
        <x:v>45732</x:v>
      </x:c>
      <x:c r="B3364" s="153"/>
      <x:c r="C3364" s="153"/>
      <x:c r="D3364" s="153"/>
      <x:c r="E3364" s="153"/>
      <x:c r="F3364" s="153"/>
      <x:c r="G3364" s="153" t="n">
        <x:v>4.33</x:v>
      </x:c>
    </x:row>
    <x:row r="3365">
      <x:c r="A3365" s="155" t="n">
        <x:v>45733</x:v>
      </x:c>
      <x:c r="B3365" s="153" t="n">
        <x:v>4.31</x:v>
      </x:c>
      <x:c r="C3365" s="153" t="n">
        <x:v>2.02</x:v>
      </x:c>
      <x:c r="D3365" s="153" t="n">
        <x:v>2.29</x:v>
      </x:c>
      <x:c r="E3365" s="153" t="n">
        <x:v>125.3688</x:v>
      </x:c>
      <x:c r="F3365" s="153" t="n">
        <x:v>20.51</x:v>
      </x:c>
      <x:c r="G3365" s="153" t="n">
        <x:v>4.33</x:v>
      </x:c>
    </x:row>
    <x:row r="3366">
      <x:c r="A3366" s="155" t="n">
        <x:v>45734</x:v>
      </x:c>
      <x:c r="B3366" s="153" t="n">
        <x:v>4.29</x:v>
      </x:c>
      <x:c r="C3366" s="153" t="n">
        <x:v>1.99</x:v>
      </x:c>
      <x:c r="D3366" s="153" t="n">
        <x:v>2.3</x:v>
      </x:c>
      <x:c r="E3366" s="153" t="n">
        <x:v>125.488</x:v>
      </x:c>
      <x:c r="F3366" s="153" t="n">
        <x:v>21.7</x:v>
      </x:c>
      <x:c r="G3366" s="153" t="n">
        <x:v>4.33</x:v>
      </x:c>
    </x:row>
    <x:row r="3367">
      <x:c r="A3367" s="155" t="n">
        <x:v>45735</x:v>
      </x:c>
      <x:c r="B3367" s="153" t="n">
        <x:v>4.25</x:v>
      </x:c>
      <x:c r="C3367" s="153" t="n">
        <x:v>1.94</x:v>
      </x:c>
      <x:c r="D3367" s="153" t="n">
        <x:v>2.31</x:v>
      </x:c>
      <x:c r="E3367" s="153" t="n">
        <x:v>125.8006</x:v>
      </x:c>
      <x:c r="F3367" s="153" t="n">
        <x:v>19.9</x:v>
      </x:c>
      <x:c r="G3367" s="153" t="n">
        <x:v>4.33</x:v>
      </x:c>
    </x:row>
    <x:row r="3368">
      <x:c r="A3368" s="155" t="n">
        <x:v>45736</x:v>
      </x:c>
      <x:c r="B3368" s="153" t="n">
        <x:v>4.24</x:v>
      </x:c>
      <x:c r="C3368" s="153" t="n">
        <x:v>1.93</x:v>
      </x:c>
      <x:c r="D3368" s="153" t="n">
        <x:v>2.31</x:v>
      </x:c>
      <x:c r="E3368" s="153" t="n">
        <x:v>125.985</x:v>
      </x:c>
      <x:c r="F3368" s="153" t="n">
        <x:v>19.8</x:v>
      </x:c>
      <x:c r="G3368" s="153" t="n">
        <x:v>4.33</x:v>
      </x:c>
    </x:row>
    <x:row r="3369">
      <x:c r="A3369" s="155" t="n">
        <x:v>45737</x:v>
      </x:c>
      <x:c r="B3369" s="153" t="n">
        <x:v>4.25</x:v>
      </x:c>
      <x:c r="C3369" s="153" t="n">
        <x:v>1.92</x:v>
      </x:c>
      <x:c r="D3369" s="153" t="n">
        <x:v>2.33</x:v>
      </x:c>
      <x:c r="E3369" s="153" t="n">
        <x:v>126.2679</x:v>
      </x:c>
      <x:c r="F3369" s="153" t="n">
        <x:v>19.28</x:v>
      </x:c>
      <x:c r="G3369" s="153" t="n">
        <x:v>4.33</x:v>
      </x:c>
    </x:row>
    <x:row r="3370">
      <x:c r="A3370" s="155" t="n">
        <x:v>45738</x:v>
      </x:c>
      <x:c r="B3370" s="153"/>
      <x:c r="C3370" s="153"/>
      <x:c r="D3370" s="153"/>
      <x:c r="E3370" s="153"/>
      <x:c r="F3370" s="153"/>
      <x:c r="G3370" s="153" t="n">
        <x:v>4.33</x:v>
      </x:c>
    </x:row>
    <x:row r="3371">
      <x:c r="A3371" s="155" t="n">
        <x:v>45739</x:v>
      </x:c>
      <x:c r="B3371" s="153"/>
      <x:c r="C3371" s="153"/>
      <x:c r="D3371" s="153"/>
      <x:c r="E3371" s="153"/>
      <x:c r="F3371" s="153"/>
      <x:c r="G3371" s="153" t="n">
        <x:v>4.33</x:v>
      </x:c>
    </x:row>
    <x:row r="3372">
      <x:c r="A3372" s="155" t="n">
        <x:v>45740</x:v>
      </x:c>
      <x:c r="B3372" s="153" t="n">
        <x:v>4.34</x:v>
      </x:c>
      <x:c r="C3372" s="153" t="n">
        <x:v>1.98</x:v>
      </x:c>
      <x:c r="D3372" s="153" t="n">
        <x:v>2.36</x:v>
      </x:c>
      <x:c r="E3372" s="153" t="n">
        <x:v>126.1956</x:v>
      </x:c>
      <x:c r="F3372" s="153" t="n">
        <x:v>17.48</x:v>
      </x:c>
      <x:c r="G3372" s="153" t="n">
        <x:v>4.33</x:v>
      </x:c>
    </x:row>
    <x:row r="3373">
      <x:c r="A3373" s="155" t="n">
        <x:v>45741</x:v>
      </x:c>
      <x:c r="B3373" s="153" t="n">
        <x:v>4.31</x:v>
      </x:c>
      <x:c r="C3373" s="153" t="n">
        <x:v>1.96</x:v>
      </x:c>
      <x:c r="D3373" s="153" t="n">
        <x:v>2.35</x:v>
      </x:c>
      <x:c r="E3373" s="153" t="n">
        <x:v>126.0535</x:v>
      </x:c>
      <x:c r="F3373" s="153" t="n">
        <x:v>17.15</x:v>
      </x:c>
      <x:c r="G3373" s="153" t="n">
        <x:v>4.33</x:v>
      </x:c>
    </x:row>
    <x:row r="3374">
      <x:c r="A3374" s="155" t="n">
        <x:v>45742</x:v>
      </x:c>
      <x:c r="B3374" s="153" t="n">
        <x:v>4.35</x:v>
      </x:c>
      <x:c r="C3374" s="153" t="n">
        <x:v>1.98</x:v>
      </x:c>
      <x:c r="D3374" s="153" t="n">
        <x:v>2.37</x:v>
      </x:c>
      <x:c r="E3374" s="153" t="n">
        <x:v>126.2364</x:v>
      </x:c>
      <x:c r="F3374" s="153" t="n">
        <x:v>18.33</x:v>
      </x:c>
      <x:c r="G3374" s="153" t="n">
        <x:v>4.33</x:v>
      </x:c>
    </x:row>
    <x:row r="3375">
      <x:c r="A3375" s="155" t="n">
        <x:v>45743</x:v>
      </x:c>
      <x:c r="B3375" s="153" t="n">
        <x:v>4.38</x:v>
      </x:c>
      <x:c r="C3375" s="153" t="n">
        <x:v>1.99</x:v>
      </x:c>
      <x:c r="D3375" s="153" t="n">
        <x:v>2.39</x:v>
      </x:c>
      <x:c r="E3375" s="153" t="n">
        <x:v>126.3626</x:v>
      </x:c>
      <x:c r="F3375" s="153" t="n">
        <x:v>18.69</x:v>
      </x:c>
      <x:c r="G3375" s="153" t="n">
        <x:v>4.33</x:v>
      </x:c>
    </x:row>
    <x:row r="3376">
      <x:c r="A3376" s="155" t="n">
        <x:v>45744</x:v>
      </x:c>
      <x:c r="B3376" s="153" t="n">
        <x:v>4.27</x:v>
      </x:c>
      <x:c r="C3376" s="153" t="n">
        <x:v>1.9</x:v>
      </x:c>
      <x:c r="D3376" s="153" t="n">
        <x:v>2.37</x:v>
      </x:c>
      <x:c r="E3376" s="153" t="n">
        <x:v>126.4187</x:v>
      </x:c>
      <x:c r="F3376" s="153" t="n">
        <x:v>21.65</x:v>
      </x:c>
      <x:c r="G3376" s="153" t="n">
        <x:v>4.33</x:v>
      </x:c>
    </x:row>
    <x:row r="3377">
      <x:c r="A3377" s="155" t="n">
        <x:v>45745</x:v>
      </x:c>
      <x:c r="B3377" s="153"/>
      <x:c r="C3377" s="153"/>
      <x:c r="D3377" s="153"/>
      <x:c r="E3377" s="153"/>
      <x:c r="F3377" s="153"/>
      <x:c r="G3377" s="153" t="n">
        <x:v>4.33</x:v>
      </x:c>
    </x:row>
    <x:row r="3378">
      <x:c r="A3378" s="155" t="n">
        <x:v>45746</x:v>
      </x:c>
      <x:c r="B3378" s="153"/>
      <x:c r="C3378" s="153"/>
      <x:c r="D3378" s="153"/>
      <x:c r="E3378" s="153"/>
      <x:c r="F3378" s="153"/>
      <x:c r="G3378" s="153" t="n">
        <x:v>4.33</x:v>
      </x:c>
    </x:row>
    <x:row r="3379">
      <x:c r="A3379" s="155" t="n">
        <x:v>45747</x:v>
      </x:c>
      <x:c r="B3379" s="153" t="n">
        <x:v>4.23</x:v>
      </x:c>
      <x:c r="C3379" s="153" t="n">
        <x:v>1.85</x:v>
      </x:c>
      <x:c r="D3379" s="153" t="n">
        <x:v>2.38</x:v>
      </x:c>
      <x:c r="E3379" s="153" t="n">
        <x:v>126.7075</x:v>
      </x:c>
      <x:c r="F3379" s="153" t="n">
        <x:v>22.28</x:v>
      </x:c>
      <x:c r="G3379" s="153" t="n">
        <x:v>4.33</x:v>
      </x:c>
    </x:row>
    <x:row r="3380">
      <x:c r="A3380" s="155" t="n">
        <x:v>45748</x:v>
      </x:c>
      <x:c r="B3380" s="153" t="n">
        <x:v>4.17</x:v>
      </x:c>
      <x:c r="C3380" s="153" t="n">
        <x:v>1.84</x:v>
      </x:c>
      <x:c r="D3380" s="153" t="n">
        <x:v>2.33</x:v>
      </x:c>
      <x:c r="E3380" s="153" t="n">
        <x:v>126.4338</x:v>
      </x:c>
      <x:c r="F3380" s="153" t="n">
        <x:v>21.77</x:v>
      </x:c>
      <x:c r="G3380" s="153" t="n">
        <x:v>4.33</x:v>
      </x:c>
    </x:row>
    <x:row r="3381">
      <x:c r="A3381" s="155" t="n">
        <x:v>45749</x:v>
      </x:c>
      <x:c r="B3381" s="153" t="n">
        <x:v>4.2</x:v>
      </x:c>
      <x:c r="C3381" s="153" t="n">
        <x:v>1.88</x:v>
      </x:c>
      <x:c r="D3381" s="153" t="n">
        <x:v>2.32</x:v>
      </x:c>
      <x:c r="E3381" s="153" t="n">
        <x:v>126.3811</x:v>
      </x:c>
      <x:c r="F3381" s="153" t="n">
        <x:v>21.51</x:v>
      </x:c>
      <x:c r="G3381" s="153" t="n">
        <x:v>4.33</x:v>
      </x:c>
    </x:row>
    <x:row r="3382">
      <x:c r="A3382" s="155" t="n">
        <x:v>45750</x:v>
      </x:c>
      <x:c r="B3382" s="153" t="n">
        <x:v>4.06</x:v>
      </x:c>
      <x:c r="C3382" s="153" t="n">
        <x:v>1.78</x:v>
      </x:c>
      <x:c r="D3382" s="153" t="n">
        <x:v>2.28</x:v>
      </x:c>
      <x:c r="E3382" s="153" t="n">
        <x:v>124.7316</x:v>
      </x:c>
      <x:c r="F3382" s="153" t="n">
        <x:v>30.02</x:v>
      </x:c>
      <x:c r="G3382" s="153" t="n">
        <x:v>4.33</x:v>
      </x:c>
    </x:row>
    <x:row r="3383">
      <x:c r="A3383" s="155" t="n">
        <x:v>45751</x:v>
      </x:c>
      <x:c r="B3383" s="153" t="n">
        <x:v>4.01</x:v>
      </x:c>
      <x:c r="C3383" s="153" t="n">
        <x:v>1.83</x:v>
      </x:c>
      <x:c r="D3383" s="153" t="n">
        <x:v>2.18</x:v>
      </x:c>
      <x:c r="E3383" s="153" t="n">
        <x:v>125.8129</x:v>
      </x:c>
      <x:c r="F3383" s="153" t="n">
        <x:v>45.31</x:v>
      </x:c>
      <x:c r="G3383" s="153" t="n">
        <x:v>4.33</x:v>
      </x:c>
    </x:row>
    <x:row r="3384">
      <x:c r="A3384" s="155" t="n">
        <x:v>45752</x:v>
      </x:c>
      <x:c r="B3384" s="153"/>
      <x:c r="C3384" s="153"/>
      <x:c r="D3384" s="153"/>
      <x:c r="E3384" s="153"/>
      <x:c r="F3384" s="153"/>
      <x:c r="G3384" s="153" t="n">
        <x:v>4.33</x:v>
      </x:c>
    </x:row>
    <x:row r="3385">
      <x:c r="A3385" s="155" t="n">
        <x:v>45753</x:v>
      </x:c>
      <x:c r="B3385" s="153"/>
      <x:c r="C3385" s="153"/>
      <x:c r="D3385" s="153"/>
      <x:c r="E3385" s="153"/>
      <x:c r="F3385" s="153"/>
      <x:c r="G3385" s="153" t="n">
        <x:v>4.33</x:v>
      </x:c>
    </x:row>
    <x:row r="3386">
      <x:c r="A3386" s="155" t="n">
        <x:v>45754</x:v>
      </x:c>
      <x:c r="B3386" s="153" t="n">
        <x:v>4.15</x:v>
      </x:c>
      <x:c r="C3386" s="153" t="n">
        <x:v>1.96</x:v>
      </x:c>
      <x:c r="D3386" s="153" t="n">
        <x:v>2.19</x:v>
      </x:c>
      <x:c r="E3386" s="153" t="n">
        <x:v>126.8282</x:v>
      </x:c>
      <x:c r="F3386" s="153" t="n">
        <x:v>46.98</x:v>
      </x:c>
      <x:c r="G3386" s="153" t="n">
        <x:v>4.33</x:v>
      </x:c>
    </x:row>
    <x:row r="3387">
      <x:c r="A3387" s="155" t="n">
        <x:v>45755</x:v>
      </x:c>
      <x:c r="B3387" s="153" t="n">
        <x:v>4.26</x:v>
      </x:c>
      <x:c r="C3387" s="153" t="n">
        <x:v>2.04</x:v>
      </x:c>
      <x:c r="D3387" s="153" t="n">
        <x:v>2.22</x:v>
      </x:c>
      <x:c r="E3387" s="153" t="n">
        <x:v>126.8668</x:v>
      </x:c>
      <x:c r="F3387" s="153" t="n">
        <x:v>52.33</x:v>
      </x:c>
      <x:c r="G3387" s="153" t="n">
        <x:v>4.33</x:v>
      </x:c>
    </x:row>
    <x:row r="3388">
      <x:c r="A3388" s="155" t="n">
        <x:v>45756</x:v>
      </x:c>
      <x:c r="B3388" s="153" t="n">
        <x:v>4.34</x:v>
      </x:c>
      <x:c r="C3388" s="153" t="n">
        <x:v>2.07</x:v>
      </x:c>
      <x:c r="D3388" s="153" t="n">
        <x:v>2.27</x:v>
      </x:c>
      <x:c r="E3388" s="153" t="n">
        <x:v>126.628</x:v>
      </x:c>
      <x:c r="F3388" s="153" t="n">
        <x:v>33.62</x:v>
      </x:c>
      <x:c r="G3388" s="153" t="n">
        <x:v>4.33</x:v>
      </x:c>
    </x:row>
    <x:row r="3389">
      <x:c r="A3389" s="155" t="n">
        <x:v>45757</x:v>
      </x:c>
      <x:c r="B3389" s="153" t="n">
        <x:v>4.4</x:v>
      </x:c>
      <x:c r="C3389" s="153" t="n">
        <x:v>2.21</x:v>
      </x:c>
      <x:c r="D3389" s="153" t="n">
        <x:v>2.19</x:v>
      </x:c>
      <x:c r="E3389" s="153" t="n">
        <x:v>125.089</x:v>
      </x:c>
      <x:c r="F3389" s="153" t="n">
        <x:v>40.72</x:v>
      </x:c>
      <x:c r="G3389" s="153" t="n">
        <x:v>4.33</x:v>
      </x:c>
    </x:row>
    <x:row r="3390">
      <x:c r="A3390" s="155" t="n">
        <x:v>45758</x:v>
      </x:c>
      <x:c r="B3390" s="153" t="n">
        <x:v>4.48</x:v>
      </x:c>
      <x:c r="C3390" s="153" t="n">
        <x:v>2.28</x:v>
      </x:c>
      <x:c r="D3390" s="153" t="n">
        <x:v>2.2</x:v>
      </x:c>
      <x:c r="E3390" s="153" t="n">
        <x:v>124.0163</x:v>
      </x:c>
      <x:c r="F3390" s="153" t="n">
        <x:v>37.56</x:v>
      </x:c>
      <x:c r="G3390" s="153" t="n">
        <x:v>4.33</x:v>
      </x:c>
    </x:row>
    <x:row r="3391">
      <x:c r="A3391" s="155" t="n">
        <x:v>45759</x:v>
      </x:c>
      <x:c r="B3391" s="153"/>
      <x:c r="C3391" s="153"/>
      <x:c r="D3391" s="153"/>
      <x:c r="E3391" s="153"/>
      <x:c r="F3391" s="153"/>
      <x:c r="G3391" s="153" t="n">
        <x:v>4.33</x:v>
      </x:c>
    </x:row>
    <x:row r="3392">
      <x:c r="A3392" s="155" t="n">
        <x:v>45760</x:v>
      </x:c>
      <x:c r="B3392" s="153"/>
      <x:c r="C3392" s="153"/>
      <x:c r="D3392" s="153"/>
      <x:c r="E3392" s="153"/>
      <x:c r="F3392" s="153"/>
      <x:c r="G3392" s="153" t="n">
        <x:v>4.33</x:v>
      </x:c>
    </x:row>
    <x:row r="3393">
      <x:c r="A3393" s="155" t="n">
        <x:v>45761</x:v>
      </x:c>
      <x:c r="B3393" s="153" t="n">
        <x:v>4.38</x:v>
      </x:c>
      <x:c r="C3393" s="153" t="n">
        <x:v>2.15</x:v>
      </x:c>
      <x:c r="D3393" s="153" t="n">
        <x:v>2.23</x:v>
      </x:c>
      <x:c r="E3393" s="153" t="n">
        <x:v>123.6598</x:v>
      </x:c>
      <x:c r="F3393" s="153" t="n">
        <x:v>30.89</x:v>
      </x:c>
      <x:c r="G3393" s="153" t="n">
        <x:v>4.33</x:v>
      </x:c>
    </x:row>
    <x:row r="3394">
      <x:c r="A3394" s="155" t="n">
        <x:v>45762</x:v>
      </x:c>
      <x:c r="B3394" s="153" t="n">
        <x:v>4.35</x:v>
      </x:c>
      <x:c r="C3394" s="153" t="n">
        <x:v>2.16</x:v>
      </x:c>
      <x:c r="D3394" s="153" t="n">
        <x:v>2.19</x:v>
      </x:c>
      <x:c r="E3394" s="153" t="n">
        <x:v>123.776</x:v>
      </x:c>
      <x:c r="F3394" s="153" t="n">
        <x:v>30.12</x:v>
      </x:c>
      <x:c r="G3394" s="153" t="n">
        <x:v>4.33</x:v>
      </x:c>
    </x:row>
    <x:row r="3395">
      <x:c r="A3395" s="155" t="n">
        <x:v>45763</x:v>
      </x:c>
      <x:c r="B3395" s="153" t="n">
        <x:v>4.29</x:v>
      </x:c>
      <x:c r="C3395" s="153" t="n">
        <x:v>2.12</x:v>
      </x:c>
      <x:c r="D3395" s="153" t="n">
        <x:v>2.17</x:v>
      </x:c>
      <x:c r="E3395" s="153" t="n">
        <x:v>123.2724</x:v>
      </x:c>
      <x:c r="F3395" s="153" t="n">
        <x:v>32.64</x:v>
      </x:c>
      <x:c r="G3395" s="153" t="n">
        <x:v>4.33</x:v>
      </x:c>
    </x:row>
    <x:row r="3396">
      <x:c r="A3396" s="155" t="n">
        <x:v>45764</x:v>
      </x:c>
      <x:c r="B3396" s="153" t="n">
        <x:v>4.34</x:v>
      </x:c>
      <x:c r="C3396" s="153" t="n">
        <x:v>2.11</x:v>
      </x:c>
      <x:c r="D3396" s="153" t="n">
        <x:v>2.23</x:v>
      </x:c>
      <x:c r="E3396" s="153" t="n">
        <x:v>123.1298</x:v>
      </x:c>
      <x:c r="F3396" s="153" t="n">
        <x:v>29.65</x:v>
      </x:c>
      <x:c r="G3396" s="153" t="n">
        <x:v>4.33</x:v>
      </x:c>
    </x:row>
    <x:row r="3397">
      <x:c r="A3397" s="155" t="n">
        <x:v>45765</x:v>
      </x:c>
      <x:c r="B3397" s="153"/>
      <x:c r="C3397" s="153"/>
      <x:c r="D3397" s="153"/>
      <x:c r="E3397" s="153" t="n">
        <x:v>122.9865</x:v>
      </x:c>
      <x:c r="F3397" s="153"/>
      <x:c r="G3397" s="153" t="n">
        <x:v>4.33</x:v>
      </x:c>
    </x:row>
    <x:row r="3398">
      <x:c r="A3398" s="155" t="n">
        <x:v>45766</x:v>
      </x:c>
      <x:c r="B3398" s="153"/>
      <x:c r="C3398" s="153"/>
      <x:c r="D3398" s="153"/>
      <x:c r="E3398" s="153"/>
      <x:c r="F3398" s="153"/>
      <x:c r="G3398" s="153" t="n">
        <x:v>4.33</x:v>
      </x:c>
    </x:row>
    <x:row r="3399">
      <x:c r="A3399" s="155" t="n">
        <x:v>45767</x:v>
      </x:c>
      <x:c r="B3399" s="153"/>
      <x:c r="C3399" s="153"/>
      <x:c r="D3399" s="153"/>
      <x:c r="E3399" s="153"/>
      <x:c r="F3399" s="153"/>
      <x:c r="G3399" s="153" t="n">
        <x:v>4.33</x:v>
      </x:c>
    </x:row>
    <x:row r="3400">
      <x:c r="A3400" s="155" t="n">
        <x:v>45768</x:v>
      </x:c>
      <x:c r="B3400" s="153" t="n">
        <x:v>4.42</x:v>
      </x:c>
      <x:c r="C3400" s="153" t="n">
        <x:v>2.2</x:v>
      </x:c>
      <x:c r="D3400" s="153" t="n">
        <x:v>2.22</x:v>
      </x:c>
      <x:c r="E3400" s="153" t="n">
        <x:v>122.3145</x:v>
      </x:c>
      <x:c r="F3400" s="153" t="n">
        <x:v>33.82</x:v>
      </x:c>
      <x:c r="G3400" s="153" t="n">
        <x:v>4.33</x:v>
      </x:c>
    </x:row>
    <x:row r="3401">
      <x:c r="A3401" s="155" t="n">
        <x:v>45769</x:v>
      </x:c>
      <x:c r="B3401" s="153" t="n">
        <x:v>4.41</x:v>
      </x:c>
      <x:c r="C3401" s="153" t="n">
        <x:v>2.14</x:v>
      </x:c>
      <x:c r="D3401" s="153" t="n">
        <x:v>2.27</x:v>
      </x:c>
      <x:c r="E3401" s="153" t="n">
        <x:v>122.4175</x:v>
      </x:c>
      <x:c r="F3401" s="153" t="n">
        <x:v>30.57</x:v>
      </x:c>
      <x:c r="G3401" s="153" t="n">
        <x:v>4.33</x:v>
      </x:c>
    </x:row>
    <x:row r="3402">
      <x:c r="A3402" s="155" t="n">
        <x:v>45770</x:v>
      </x:c>
      <x:c r="B3402" s="153" t="n">
        <x:v>4.4</x:v>
      </x:c>
      <x:c r="C3402" s="153" t="n">
        <x:v>2.11</x:v>
      </x:c>
      <x:c r="D3402" s="153" t="n">
        <x:v>2.29</x:v>
      </x:c>
      <x:c r="E3402" s="153" t="n">
        <x:v>123.0252</x:v>
      </x:c>
      <x:c r="F3402" s="153" t="n">
        <x:v>28.45</x:v>
      </x:c>
      <x:c r="G3402" s="153" t="n">
        <x:v>4.33</x:v>
      </x:c>
    </x:row>
    <x:row r="3403">
      <x:c r="A3403" s="155" t="n">
        <x:v>45771</x:v>
      </x:c>
      <x:c r="B3403" s="153" t="n">
        <x:v>4.32</x:v>
      </x:c>
      <x:c r="C3403" s="153" t="n">
        <x:v>2.02</x:v>
      </x:c>
      <x:c r="D3403" s="153" t="n">
        <x:v>2.3</x:v>
      </x:c>
      <x:c r="E3403" s="153" t="n">
        <x:v>122.9251</x:v>
      </x:c>
      <x:c r="F3403" s="153" t="n">
        <x:v>26.47</x:v>
      </x:c>
      <x:c r="G3403" s="153" t="n">
        <x:v>4.33</x:v>
      </x:c>
    </x:row>
    <x:row r="3404">
      <x:c r="A3404" s="155" t="n">
        <x:v>45772</x:v>
      </x:c>
      <x:c r="B3404" s="153" t="n">
        <x:v>4.29</x:v>
      </x:c>
      <x:c r="C3404" s="153" t="n">
        <x:v>2.02</x:v>
      </x:c>
      <x:c r="D3404" s="153" t="n">
        <x:v>2.27</x:v>
      </x:c>
      <x:c r="E3404" s="153" t="n">
        <x:v>122.8858</x:v>
      </x:c>
      <x:c r="F3404" s="153" t="n">
        <x:v>24.84</x:v>
      </x:c>
      <x:c r="G3404" s="153" t="n">
        <x:v>4.33</x:v>
      </x:c>
    </x:row>
    <x:row r="3405">
      <x:c r="A3405" s="155" t="n">
        <x:v>45773</x:v>
      </x:c>
      <x:c r="B3405" s="153"/>
      <x:c r="C3405" s="153"/>
      <x:c r="D3405" s="153"/>
      <x:c r="E3405" s="153"/>
      <x:c r="F3405" s="153"/>
      <x:c r="G3405" s="153" t="n">
        <x:v>4.33</x:v>
      </x:c>
    </x:row>
    <x:row r="3406">
      <x:c r="A3406" s="155" t="n">
        <x:v>45774</x:v>
      </x:c>
      <x:c r="B3406" s="153"/>
      <x:c r="C3406" s="153"/>
      <x:c r="D3406" s="153"/>
      <x:c r="E3406" s="153"/>
      <x:c r="F3406" s="153"/>
      <x:c r="G3406" s="153" t="n">
        <x:v>4.33</x:v>
      </x:c>
    </x:row>
    <x:row r="3407">
      <x:c r="A3407" s="155" t="n">
        <x:v>45775</x:v>
      </x:c>
      <x:c r="B3407" s="153" t="n">
        <x:v>4.23</x:v>
      </x:c>
      <x:c r="C3407" s="153" t="n">
        <x:v>1.98</x:v>
      </x:c>
      <x:c r="D3407" s="153" t="n">
        <x:v>2.25</x:v>
      </x:c>
      <x:c r="E3407" s="153" t="n">
        <x:v>122.7176</x:v>
      </x:c>
      <x:c r="F3407" s="153" t="n">
        <x:v>25.15</x:v>
      </x:c>
      <x:c r="G3407" s="153" t="n">
        <x:v>4.33</x:v>
      </x:c>
    </x:row>
    <x:row r="3408">
      <x:c r="A3408" s="155" t="n">
        <x:v>45776</x:v>
      </x:c>
      <x:c r="B3408" s="153" t="n">
        <x:v>4.19</x:v>
      </x:c>
      <x:c r="C3408" s="153" t="n">
        <x:v>1.96</x:v>
      </x:c>
      <x:c r="D3408" s="153" t="n">
        <x:v>2.23</x:v>
      </x:c>
      <x:c r="E3408" s="153" t="n">
        <x:v>122.5944</x:v>
      </x:c>
      <x:c r="F3408" s="153" t="n">
        <x:v>24.17</x:v>
      </x:c>
      <x:c r="G3408" s="153" t="n">
        <x:v>4.33</x:v>
      </x:c>
    </x:row>
    <x:row r="3409">
      <x:c r="A3409" s="155" t="n">
        <x:v>45777</x:v>
      </x:c>
      <x:c r="B3409" s="153" t="n">
        <x:v>4.17</x:v>
      </x:c>
      <x:c r="C3409" s="153" t="n">
        <x:v>1.94</x:v>
      </x:c>
      <x:c r="D3409" s="153" t="n">
        <x:v>2.23</x:v>
      </x:c>
      <x:c r="E3409" s="153" t="n">
        <x:v>122.5921</x:v>
      </x:c>
      <x:c r="F3409" s="153" t="n">
        <x:v>24.7</x:v>
      </x:c>
      <x:c r="G3409" s="153" t="n">
        <x:v>4.33</x:v>
      </x:c>
    </x:row>
    <x:row r="3410">
      <x:c r="A3410" s="155" t="n">
        <x:v>45778</x:v>
      </x:c>
      <x:c r="B3410" s="153" t="n">
        <x:v>4.25</x:v>
      </x:c>
      <x:c r="C3410" s="153" t="n">
        <x:v>2</x:v>
      </x:c>
      <x:c r="D3410" s="153" t="n">
        <x:v>2.25</x:v>
      </x:c>
      <x:c r="E3410" s="153" t="n">
        <x:v>123.1405</x:v>
      </x:c>
      <x:c r="F3410" s="153" t="n">
        <x:v>24.6</x:v>
      </x:c>
      <x:c r="G3410" s="153" t="n">
        <x:v>4.33</x:v>
      </x:c>
    </x:row>
    <x:row r="3411">
      <x:c r="A3411" s="155" t="n">
        <x:v>45779</x:v>
      </x:c>
      <x:c r="B3411" s="153" t="n">
        <x:v>4.33</x:v>
      </x:c>
      <x:c r="C3411" s="153" t="n">
        <x:v>2.06</x:v>
      </x:c>
      <x:c r="D3411" s="153" t="n">
        <x:v>2.27</x:v>
      </x:c>
      <x:c r="E3411" s="153" t="n">
        <x:v>122.4962</x:v>
      </x:c>
      <x:c r="F3411" s="153" t="n">
        <x:v>22.68</x:v>
      </x:c>
      <x:c r="G3411" s="153" t="n">
        <x:v>4.33</x:v>
      </x:c>
    </x:row>
    <x:row r="3412">
      <x:c r="A3412" s="155" t="n">
        <x:v>45780</x:v>
      </x:c>
      <x:c r="B3412" s="153"/>
      <x:c r="C3412" s="153"/>
      <x:c r="D3412" s="153"/>
      <x:c r="E3412" s="153"/>
      <x:c r="F3412" s="153"/>
      <x:c r="G3412" s="153" t="n">
        <x:v>4.33</x:v>
      </x:c>
    </x:row>
    <x:row r="3413">
      <x:c r="A3413" s="155" t="n">
        <x:v>45781</x:v>
      </x:c>
      <x:c r="B3413" s="153"/>
      <x:c r="C3413" s="153"/>
      <x:c r="D3413" s="153"/>
      <x:c r="E3413" s="153"/>
      <x:c r="F3413" s="153"/>
      <x:c r="G3413" s="153" t="n">
        <x:v>4.33</x:v>
      </x:c>
    </x:row>
    <x:row r="3414">
      <x:c r="A3414" s="155" t="n">
        <x:v>45782</x:v>
      </x:c>
      <x:c r="B3414" s="153" t="n">
        <x:v>4.36</x:v>
      </x:c>
      <x:c r="C3414" s="153" t="n">
        <x:v>2.08</x:v>
      </x:c>
      <x:c r="D3414" s="153" t="n">
        <x:v>2.28</x:v>
      </x:c>
      <x:c r="E3414" s="153" t="n">
        <x:v>122.2613</x:v>
      </x:c>
      <x:c r="F3414" s="153" t="n">
        <x:v>23.64</x:v>
      </x:c>
      <x:c r="G3414" s="153" t="n">
        <x:v>4.33</x:v>
      </x:c>
    </x:row>
    <x:row r="3415">
      <x:c r="A3415" s="155" t="n">
        <x:v>45783</x:v>
      </x:c>
      <x:c r="B3415" s="153" t="n">
        <x:v>4.3</x:v>
      </x:c>
      <x:c r="C3415" s="153" t="n">
        <x:v>2.04</x:v>
      </x:c>
      <x:c r="D3415" s="153" t="n">
        <x:v>2.26</x:v>
      </x:c>
      <x:c r="E3415" s="153" t="n">
        <x:v>122.0417</x:v>
      </x:c>
      <x:c r="F3415" s="153" t="n">
        <x:v>24.76</x:v>
      </x:c>
      <x:c r="G3415" s="153" t="n">
        <x:v>4.33</x:v>
      </x:c>
    </x:row>
    <x:row r="3416">
      <x:c r="A3416" s="155" t="n">
        <x:v>45784</x:v>
      </x:c>
      <x:c r="B3416" s="153" t="n">
        <x:v>4.26</x:v>
      </x:c>
      <x:c r="C3416" s="153" t="n">
        <x:v>2.01</x:v>
      </x:c>
      <x:c r="D3416" s="153" t="n">
        <x:v>2.25</x:v>
      </x:c>
      <x:c r="E3416" s="153" t="n">
        <x:v>122.117</x:v>
      </x:c>
      <x:c r="F3416" s="153" t="n">
        <x:v>23.55</x:v>
      </x:c>
      <x:c r="G3416" s="153" t="n">
        <x:v>4.33</x:v>
      </x:c>
    </x:row>
    <x:row r="3417">
      <x:c r="A3417" s="155" t="n">
        <x:v>45785</x:v>
      </x:c>
      <x:c r="B3417" s="153" t="n">
        <x:v>4.37</x:v>
      </x:c>
      <x:c r="C3417" s="153" t="n">
        <x:v>2.08</x:v>
      </x:c>
      <x:c r="D3417" s="153" t="n">
        <x:v>2.29</x:v>
      </x:c>
      <x:c r="E3417" s="153" t="n">
        <x:v>122.7568</x:v>
      </x:c>
      <x:c r="F3417" s="153" t="n">
        <x:v>22.48</x:v>
      </x:c>
      <x:c r="G3417" s="153" t="n">
        <x:v>4.33</x:v>
      </x:c>
    </x:row>
    <x:row r="3418">
      <x:c r="A3418" s="155" t="n">
        <x:v>45786</x:v>
      </x:c>
      <x:c r="B3418" s="153" t="n">
        <x:v>4.37</x:v>
      </x:c>
      <x:c r="C3418" s="153" t="n">
        <x:v>2.08</x:v>
      </x:c>
      <x:c r="D3418" s="153" t="n">
        <x:v>2.29</x:v>
      </x:c>
      <x:c r="E3418" s="153" t="n">
        <x:v>122.5191</x:v>
      </x:c>
      <x:c r="F3418" s="153" t="n">
        <x:v>21.9</x:v>
      </x:c>
      <x:c r="G3418" s="153" t="n">
        <x:v>4.33</x:v>
      </x:c>
    </x:row>
    <x:row r="3419">
      <x:c r="A3419" s="155" t="n">
        <x:v>45787</x:v>
      </x:c>
      <x:c r="B3419" s="153"/>
      <x:c r="C3419" s="153"/>
      <x:c r="D3419" s="153"/>
      <x:c r="E3419" s="153"/>
      <x:c r="F3419" s="153"/>
      <x:c r="G3419" s="153" t="n">
        <x:v>4.33</x:v>
      </x:c>
    </x:row>
    <x:row r="3420">
      <x:c r="A3420" s="155" t="n">
        <x:v>45788</x:v>
      </x:c>
      <x:c r="B3420" s="153"/>
      <x:c r="C3420" s="153"/>
      <x:c r="D3420" s="153"/>
      <x:c r="E3420" s="153"/>
      <x:c r="F3420" s="153"/>
      <x:c r="G3420" s="153" t="n">
        <x:v>4.33</x:v>
      </x:c>
    </x:row>
    <x:row r="3421">
      <x:c r="A3421" s="155" t="n">
        <x:v>45789</x:v>
      </x:c>
      <x:c r="B3421" s="153" t="n">
        <x:v>4.45</x:v>
      </x:c>
      <x:c r="C3421" s="153" t="n">
        <x:v>2.16</x:v>
      </x:c>
      <x:c r="D3421" s="153" t="n">
        <x:v>2.29</x:v>
      </x:c>
      <x:c r="E3421" s="153" t="n">
        <x:v>123.4863</x:v>
      </x:c>
      <x:c r="F3421" s="153" t="n">
        <x:v>18.39</x:v>
      </x:c>
      <x:c r="G3421" s="153" t="n">
        <x:v>4.33</x:v>
      </x:c>
    </x:row>
    <x:row r="3422">
      <x:c r="A3422" s="155" t="n">
        <x:v>45790</x:v>
      </x:c>
      <x:c r="B3422" s="153" t="n">
        <x:v>4.49</x:v>
      </x:c>
      <x:c r="C3422" s="153" t="n">
        <x:v>2.17</x:v>
      </x:c>
      <x:c r="D3422" s="153" t="n">
        <x:v>2.32</x:v>
      </x:c>
      <x:c r="E3422" s="153" t="n">
        <x:v>122.9583</x:v>
      </x:c>
      <x:c r="F3422" s="153" t="n">
        <x:v>18.22</x:v>
      </x:c>
      <x:c r="G3422" s="153" t="n">
        <x:v>4.33</x:v>
      </x:c>
    </x:row>
    <x:row r="3423">
      <x:c r="A3423" s="155" t="n">
        <x:v>45791</x:v>
      </x:c>
      <x:c r="B3423" s="153" t="n">
        <x:v>4.53</x:v>
      </x:c>
      <x:c r="C3423" s="153" t="n">
        <x:v>2.16</x:v>
      </x:c>
      <x:c r="D3423" s="153" t="n">
        <x:v>2.37</x:v>
      </x:c>
      <x:c r="E3423" s="153" t="n">
        <x:v>122.6746</x:v>
      </x:c>
      <x:c r="F3423" s="153" t="n">
        <x:v>18.62</x:v>
      </x:c>
      <x:c r="G3423" s="153" t="n">
        <x:v>4.33</x:v>
      </x:c>
    </x:row>
    <x:row r="3424">
      <x:c r="A3424" s="155" t="n">
        <x:v>45792</x:v>
      </x:c>
      <x:c r="B3424" s="153" t="n">
        <x:v>4.45</x:v>
      </x:c>
      <x:c r="C3424" s="153" t="n">
        <x:v>2.11</x:v>
      </x:c>
      <x:c r="D3424" s="153" t="n">
        <x:v>2.34</x:v>
      </x:c>
      <x:c r="E3424" s="153" t="n">
        <x:v>122.8174</x:v>
      </x:c>
      <x:c r="F3424" s="153" t="n">
        <x:v>17.83</x:v>
      </x:c>
      <x:c r="G3424" s="153" t="n">
        <x:v>4.33</x:v>
      </x:c>
    </x:row>
    <x:row r="3425">
      <x:c r="A3425" s="155" t="n">
        <x:v>45793</x:v>
      </x:c>
      <x:c r="B3425" s="153" t="n">
        <x:v>4.43</x:v>
      </x:c>
      <x:c r="C3425" s="153" t="n">
        <x:v>2.09</x:v>
      </x:c>
      <x:c r="D3425" s="153" t="n">
        <x:v>2.34</x:v>
      </x:c>
      <x:c r="E3425" s="153" t="n">
        <x:v>123.0737</x:v>
      </x:c>
      <x:c r="F3425" s="153" t="n">
        <x:v>17.24</x:v>
      </x:c>
      <x:c r="G3425" s="153" t="n">
        <x:v>4.33</x:v>
      </x:c>
    </x:row>
    <x:row r="3426">
      <x:c r="A3426" s="155" t="n">
        <x:v>45794</x:v>
      </x:c>
      <x:c r="B3426" s="153"/>
      <x:c r="C3426" s="153"/>
      <x:c r="D3426" s="153"/>
      <x:c r="E3426" s="153"/>
      <x:c r="F3426" s="153"/>
      <x:c r="G3426" s="153" t="n">
        <x:v>4.33</x:v>
      </x:c>
    </x:row>
    <x:row r="3427">
      <x:c r="A3427" s="155" t="n">
        <x:v>45795</x:v>
      </x:c>
      <x:c r="B3427" s="153"/>
      <x:c r="C3427" s="153"/>
      <x:c r="D3427" s="153"/>
      <x:c r="E3427" s="153"/>
      <x:c r="F3427" s="153"/>
      <x:c r="G3427" s="153" t="n">
        <x:v>4.33</x:v>
      </x:c>
    </x:row>
    <x:row r="3428">
      <x:c r="A3428" s="155" t="n">
        <x:v>45796</x:v>
      </x:c>
      <x:c r="B3428" s="153" t="n">
        <x:v>4.46</x:v>
      </x:c>
      <x:c r="C3428" s="153" t="n">
        <x:v>2.1</x:v>
      </x:c>
      <x:c r="D3428" s="153" t="n">
        <x:v>2.36</x:v>
      </x:c>
      <x:c r="E3428" s="153" t="n">
        <x:v>122.4186</x:v>
      </x:c>
      <x:c r="F3428" s="153" t="n">
        <x:v>18.14</x:v>
      </x:c>
      <x:c r="G3428" s="153" t="n">
        <x:v>4.33</x:v>
      </x:c>
    </x:row>
    <x:row r="3429">
      <x:c r="A3429" s="155" t="n">
        <x:v>45797</x:v>
      </x:c>
      <x:c r="B3429" s="153" t="n">
        <x:v>4.48</x:v>
      </x:c>
      <x:c r="C3429" s="153" t="n">
        <x:v>2.13</x:v>
      </x:c>
      <x:c r="D3429" s="153" t="n">
        <x:v>2.35</x:v>
      </x:c>
      <x:c r="E3429" s="153" t="n">
        <x:v>122.3199</x:v>
      </x:c>
      <x:c r="F3429" s="153" t="n">
        <x:v>18.09</x:v>
      </x:c>
      <x:c r="G3429" s="153" t="n">
        <x:v>4.33</x:v>
      </x:c>
    </x:row>
    <x:row r="3430">
      <x:c r="A3430" s="155" t="n">
        <x:v>45798</x:v>
      </x:c>
      <x:c r="B3430" s="153" t="n">
        <x:v>4.58</x:v>
      </x:c>
      <x:c r="C3430" s="153" t="n">
        <x:v>2.23</x:v>
      </x:c>
      <x:c r="D3430" s="153" t="n">
        <x:v>2.35</x:v>
      </x:c>
      <x:c r="E3430" s="153" t="n">
        <x:v>121.7496</x:v>
      </x:c>
      <x:c r="F3430" s="153" t="n">
        <x:v>20.87</x:v>
      </x:c>
      <x:c r="G3430" s="153" t="n">
        <x:v>4.33</x:v>
      </x:c>
    </x:row>
    <x:row r="3431">
      <x:c r="A3431" s="155" t="n">
        <x:v>45799</x:v>
      </x:c>
      <x:c r="B3431" s="153" t="n">
        <x:v>4.54</x:v>
      </x:c>
      <x:c r="C3431" s="153" t="n">
        <x:v>2.2</x:v>
      </x:c>
      <x:c r="D3431" s="153" t="n">
        <x:v>2.34</x:v>
      </x:c>
      <x:c r="E3431" s="153" t="n">
        <x:v>122.0429</x:v>
      </x:c>
      <x:c r="F3431" s="153" t="n">
        <x:v>20.28</x:v>
      </x:c>
      <x:c r="G3431" s="153" t="n">
        <x:v>4.33</x:v>
      </x:c>
    </x:row>
    <x:row r="3432">
      <x:c r="A3432" s="155" t="n">
        <x:v>45800</x:v>
      </x:c>
      <x:c r="B3432" s="153" t="n">
        <x:v>4.51</x:v>
      </x:c>
      <x:c r="C3432" s="153" t="n">
        <x:v>2.18</x:v>
      </x:c>
      <x:c r="D3432" s="153" t="n">
        <x:v>2.33</x:v>
      </x:c>
      <x:c r="E3432" s="153" t="n">
        <x:v>121.3837</x:v>
      </x:c>
      <x:c r="F3432" s="153" t="n">
        <x:v>22.29</x:v>
      </x:c>
      <x:c r="G3432" s="153" t="n">
        <x:v>4.33</x:v>
      </x:c>
    </x:row>
    <x:row r="3433">
      <x:c r="A3433" s="155" t="n">
        <x:v>45801</x:v>
      </x:c>
      <x:c r="B3433" s="153"/>
      <x:c r="C3433" s="153"/>
      <x:c r="D3433" s="153"/>
      <x:c r="E3433" s="153"/>
      <x:c r="F3433" s="153"/>
      <x:c r="G3433" s="153" t="n">
        <x:v>4.33</x:v>
      </x:c>
    </x:row>
    <x:row r="3434">
      <x:c r="A3434" s="155" t="n">
        <x:v>45802</x:v>
      </x:c>
      <x:c r="B3434" s="153"/>
      <x:c r="C3434" s="153"/>
      <x:c r="D3434" s="153"/>
      <x:c r="E3434" s="153"/>
      <x:c r="F3434" s="153"/>
      <x:c r="G3434" s="153" t="n">
        <x:v>4.33</x:v>
      </x:c>
    </x:row>
    <x:row r="3435">
      <x:c r="A3435" s="155" t="n">
        <x:v>45803</x:v>
      </x:c>
      <x:c r="B3435" s="153"/>
      <x:c r="C3435" s="153"/>
      <x:c r="D3435" s="153"/>
      <x:c r="E3435" s="153"/>
      <x:c r="F3435" s="153" t="n">
        <x:v>20.57</x:v>
      </x:c>
      <x:c r="G3435" s="153" t="n">
        <x:v>4.33</x:v>
      </x:c>
    </x:row>
    <x:row r="3436">
      <x:c r="A3436" s="155" t="n">
        <x:v>45804</x:v>
      </x:c>
      <x:c r="B3436" s="153" t="n">
        <x:v>4.43</x:v>
      </x:c>
      <x:c r="C3436" s="153" t="n">
        <x:v>2.11</x:v>
      </x:c>
      <x:c r="D3436" s="153" t="n">
        <x:v>2.32</x:v>
      </x:c>
      <x:c r="E3436" s="153" t="n">
        <x:v>121.6099</x:v>
      </x:c>
      <x:c r="F3436" s="153" t="n">
        <x:v>18.96</x:v>
      </x:c>
      <x:c r="G3436" s="153" t="n">
        <x:v>4.33</x:v>
      </x:c>
    </x:row>
    <x:row r="3437">
      <x:c r="A3437" s="155" t="n">
        <x:v>45805</x:v>
      </x:c>
      <x:c r="B3437" s="153" t="n">
        <x:v>4.47</x:v>
      </x:c>
      <x:c r="C3437" s="153" t="n">
        <x:v>2.15</x:v>
      </x:c>
      <x:c r="D3437" s="153" t="n">
        <x:v>2.32</x:v>
      </x:c>
      <x:c r="E3437" s="153" t="n">
        <x:v>121.9888</x:v>
      </x:c>
      <x:c r="F3437" s="153" t="n">
        <x:v>19.31</x:v>
      </x:c>
      <x:c r="G3437" s="153" t="n">
        <x:v>4.33</x:v>
      </x:c>
    </x:row>
    <x:row r="3438">
      <x:c r="A3438" s="155" t="n">
        <x:v>45806</x:v>
      </x:c>
      <x:c r="B3438" s="153" t="n">
        <x:v>4.43</x:v>
      </x:c>
      <x:c r="C3438" s="153" t="n">
        <x:v>2.11</x:v>
      </x:c>
      <x:c r="D3438" s="153" t="n">
        <x:v>2.32</x:v>
      </x:c>
      <x:c r="E3438" s="153" t="n">
        <x:v>121.5617</x:v>
      </x:c>
      <x:c r="F3438" s="153" t="n">
        <x:v>19.18</x:v>
      </x:c>
      <x:c r="G3438" s="153" t="n">
        <x:v>4.33</x:v>
      </x:c>
    </x:row>
    <x:row r="3439">
      <x:c r="A3439" s="155" t="n">
        <x:v>45807</x:v>
      </x:c>
      <x:c r="B3439" s="153" t="n">
        <x:v>4.41</x:v>
      </x:c>
      <x:c r="C3439" s="153" t="n">
        <x:v>2.07</x:v>
      </x:c>
      <x:c r="D3439" s="153" t="n">
        <x:v>2.34</x:v>
      </x:c>
      <x:c r="E3439" s="153" t="n">
        <x:v>121.7674</x:v>
      </x:c>
      <x:c r="F3439" s="153" t="n">
        <x:v>18.57</x:v>
      </x:c>
      <x:c r="G3439" s="153" t="n">
        <x:v>4.33</x:v>
      </x:c>
    </x:row>
    <x:row r="3440">
      <x:c r="A3440" s="155" t="n">
        <x:v>45808</x:v>
      </x:c>
      <x:c r="B3440" s="153"/>
      <x:c r="C3440" s="153"/>
      <x:c r="D3440" s="153"/>
      <x:c r="E3440" s="153"/>
      <x:c r="F3440" s="153"/>
      <x:c r="G3440" s="153" t="n">
        <x:v>4.33</x:v>
      </x:c>
    </x:row>
    <x:row r="3441">
      <x:c r="A3441" s="155" t="n">
        <x:v>45809</x:v>
      </x:c>
      <x:c r="B3441" s="153"/>
      <x:c r="C3441" s="153"/>
      <x:c r="D3441" s="153"/>
      <x:c r="E3441" s="153"/>
      <x:c r="F3441" s="153"/>
      <x:c r="G3441" s="153" t="n">
        <x:v>4.33</x:v>
      </x:c>
    </x:row>
    <x:row r="3442">
      <x:c r="A3442" s="155" t="n">
        <x:v>45810</x:v>
      </x:c>
      <x:c r="B3442" s="153" t="n">
        <x:v>4.46</x:v>
      </x:c>
      <x:c r="C3442" s="153" t="n">
        <x:v>2.13</x:v>
      </x:c>
      <x:c r="D3442" s="153" t="n">
        <x:v>2.33</x:v>
      </x:c>
      <x:c r="E3442" s="153" t="n">
        <x:v>121.1881</x:v>
      </x:c>
      <x:c r="F3442" s="153" t="n">
        <x:v>18.36</x:v>
      </x:c>
      <x:c r="G3442" s="153" t="n">
        <x:v>4.33</x:v>
      </x:c>
    </x:row>
    <x:row r="3443">
      <x:c r="A3443" s="155" t="n">
        <x:v>45811</x:v>
      </x:c>
      <x:c r="B3443" s="153" t="n">
        <x:v>4.46</x:v>
      </x:c>
      <x:c r="C3443" s="153" t="n">
        <x:v>2.14</x:v>
      </x:c>
      <x:c r="D3443" s="153" t="n">
        <x:v>2.32</x:v>
      </x:c>
      <x:c r="E3443" s="153" t="n">
        <x:v>121.4592</x:v>
      </x:c>
      <x:c r="F3443" s="153" t="n">
        <x:v>17.69</x:v>
      </x:c>
      <x:c r="G3443" s="153" t="n">
        <x:v>4.33</x:v>
      </x:c>
    </x:row>
    <x:row r="3444">
      <x:c r="A3444" s="155" t="n">
        <x:v>45812</x:v>
      </x:c>
      <x:c r="B3444" s="153" t="n">
        <x:v>4.37</x:v>
      </x:c>
      <x:c r="C3444" s="153" t="n">
        <x:v>2.06</x:v>
      </x:c>
      <x:c r="D3444" s="153" t="n">
        <x:v>2.31</x:v>
      </x:c>
      <x:c r="E3444" s="153" t="n">
        <x:v>121.0539</x:v>
      </x:c>
      <x:c r="F3444" s="153" t="n">
        <x:v>17.61</x:v>
      </x:c>
      <x:c r="G3444" s="153" t="n">
        <x:v>4.33</x:v>
      </x:c>
    </x:row>
    <x:row r="3445">
      <x:c r="A3445" s="155" t="n">
        <x:v>45813</x:v>
      </x:c>
      <x:c r="B3445" s="153" t="n">
        <x:v>4.4</x:v>
      </x:c>
      <x:c r="C3445" s="153" t="n">
        <x:v>2.11</x:v>
      </x:c>
      <x:c r="D3445" s="153" t="n">
        <x:v>2.29</x:v>
      </x:c>
      <x:c r="E3445" s="153" t="n">
        <x:v>120.9596</x:v>
      </x:c>
      <x:c r="F3445" s="153" t="n">
        <x:v>18.48</x:v>
      </x:c>
      <x:c r="G3445" s="153" t="n">
        <x:v>4.33</x:v>
      </x:c>
    </x:row>
    <x:row r="3446">
      <x:c r="A3446" s="155" t="n">
        <x:v>45814</x:v>
      </x:c>
      <x:c r="B3446" s="153" t="n">
        <x:v>4.51</x:v>
      </x:c>
      <x:c r="C3446" s="153" t="n">
        <x:v>2.2</x:v>
      </x:c>
      <x:c r="D3446" s="153" t="n">
        <x:v>2.31</x:v>
      </x:c>
      <x:c r="E3446" s="153" t="n">
        <x:v>121.161</x:v>
      </x:c>
      <x:c r="F3446" s="153" t="n">
        <x:v>16.77</x:v>
      </x:c>
      <x:c r="G3446" s="153" t="n">
        <x:v>4.33</x:v>
      </x:c>
    </x:row>
    <x:row r="3447">
      <x:c r="A3447" s="155" t="n">
        <x:v>45815</x:v>
      </x:c>
      <x:c r="B3447" s="153"/>
      <x:c r="C3447" s="153"/>
      <x:c r="D3447" s="153"/>
      <x:c r="E3447" s="153"/>
      <x:c r="F3447" s="153"/>
      <x:c r="G3447" s="153" t="n">
        <x:v>4.33</x:v>
      </x:c>
    </x:row>
    <x:row r="3448">
      <x:c r="A3448" s="155" t="n">
        <x:v>45816</x:v>
      </x:c>
      <x:c r="B3448" s="153"/>
      <x:c r="C3448" s="153"/>
      <x:c r="D3448" s="153"/>
      <x:c r="E3448" s="153"/>
      <x:c r="F3448" s="153"/>
      <x:c r="G3448" s="153" t="n">
        <x:v>4.33</x:v>
      </x:c>
    </x:row>
    <x:row r="3449">
      <x:c r="A3449" s="155" t="n">
        <x:v>45817</x:v>
      </x:c>
      <x:c r="B3449" s="153" t="n">
        <x:v>4.49</x:v>
      </x:c>
      <x:c r="C3449" s="153" t="n">
        <x:v>2.18</x:v>
      </x:c>
      <x:c r="D3449" s="153" t="n">
        <x:v>2.31</x:v>
      </x:c>
      <x:c r="E3449" s="153" t="n">
        <x:v>120.9103</x:v>
      </x:c>
      <x:c r="F3449" s="153" t="n">
        <x:v>17.16</x:v>
      </x:c>
      <x:c r="G3449" s="153" t="n">
        <x:v>4.33</x:v>
      </x:c>
    </x:row>
    <x:row r="3450">
      <x:c r="A3450" s="155" t="n">
        <x:v>45818</x:v>
      </x:c>
      <x:c r="B3450" s="153" t="n">
        <x:v>4.47</x:v>
      </x:c>
      <x:c r="C3450" s="153" t="n">
        <x:v>2.18</x:v>
      </x:c>
      <x:c r="D3450" s="153" t="n">
        <x:v>2.29</x:v>
      </x:c>
      <x:c r="E3450" s="153" t="n">
        <x:v>121.0485</x:v>
      </x:c>
      <x:c r="F3450" s="153" t="n">
        <x:v>16.95</x:v>
      </x:c>
      <x:c r="G3450" s="153" t="n">
        <x:v>4.33</x:v>
      </x:c>
    </x:row>
    <x:row r="3451">
      <x:c r="A3451" s="155" t="n">
        <x:v>45819</x:v>
      </x:c>
      <x:c r="B3451" s="153" t="n">
        <x:v>4.41</x:v>
      </x:c>
      <x:c r="C3451" s="153" t="n">
        <x:v>2.14</x:v>
      </x:c>
      <x:c r="D3451" s="153" t="n">
        <x:v>2.27</x:v>
      </x:c>
      <x:c r="E3451" s="153" t="n">
        <x:v>120.587</x:v>
      </x:c>
      <x:c r="F3451" s="153" t="n">
        <x:v>17.26</x:v>
      </x:c>
      <x:c r="G3451" s="153" t="n">
        <x:v>4.33</x:v>
      </x:c>
    </x:row>
    <x:row r="3452">
      <x:c r="A3452" s="155" t="n">
        <x:v>45820</x:v>
      </x:c>
      <x:c r="B3452" s="153" t="n">
        <x:v>4.36</x:v>
      </x:c>
      <x:c r="C3452" s="153" t="n">
        <x:v>2.11</x:v>
      </x:c>
      <x:c r="D3452" s="153" t="n">
        <x:v>2.25</x:v>
      </x:c>
      <x:c r="E3452" s="153" t="n">
        <x:v>120.1723</x:v>
      </x:c>
      <x:c r="F3452" s="153" t="n">
        <x:v>18.02</x:v>
      </x:c>
      <x:c r="G3452" s="153" t="n">
        <x:v>4.33</x:v>
      </x:c>
    </x:row>
    <x:row r="3453">
      <x:c r="A3453" s="155" t="n">
        <x:v>45821</x:v>
      </x:c>
      <x:c r="B3453" s="153" t="n">
        <x:v>4.41</x:v>
      </x:c>
      <x:c r="C3453" s="153" t="n">
        <x:v>2.13</x:v>
      </x:c>
      <x:c r="D3453" s="153" t="n">
        <x:v>2.28</x:v>
      </x:c>
      <x:c r="E3453" s="153" t="n">
        <x:v>120.3245</x:v>
      </x:c>
      <x:c r="F3453" s="153" t="n">
        <x:v>20.82</x:v>
      </x:c>
      <x:c r="G3453" s="153" t="n">
        <x:v>4.33</x:v>
      </x:c>
    </x:row>
    <x:row r="3454">
      <x:c r="A3454" s="155" t="n">
        <x:v>45822</x:v>
      </x:c>
      <x:c r="B3454" s="153"/>
      <x:c r="C3454" s="153"/>
      <x:c r="D3454" s="153"/>
      <x:c r="E3454" s="153"/>
      <x:c r="F3454" s="153"/>
      <x:c r="G3454" s="153" t="n">
        <x:v>4.33</x:v>
      </x:c>
    </x:row>
    <x:row r="3455">
      <x:c r="A3455" s="155" t="n">
        <x:v>45823</x:v>
      </x:c>
      <x:c r="B3455" s="153"/>
      <x:c r="C3455" s="153"/>
      <x:c r="D3455" s="153"/>
      <x:c r="E3455" s="153"/>
      <x:c r="F3455" s="153"/>
      <x:c r="G3455" s="153" t="n">
        <x:v>4.33</x:v>
      </x:c>
    </x:row>
    <x:row r="3456">
      <x:c r="A3456" s="155" t="n">
        <x:v>45824</x:v>
      </x:c>
      <x:c r="B3456" s="153" t="n">
        <x:v>4.46</x:v>
      </x:c>
      <x:c r="C3456" s="153" t="n">
        <x:v>2.16</x:v>
      </x:c>
      <x:c r="D3456" s="153" t="n">
        <x:v>2.3</x:v>
      </x:c>
      <x:c r="E3456" s="153" t="n">
        <x:v>120.1565</x:v>
      </x:c>
      <x:c r="F3456" s="153" t="n">
        <x:v>19.11</x:v>
      </x:c>
      <x:c r="G3456" s="153" t="n">
        <x:v>4.33</x:v>
      </x:c>
    </x:row>
    <x:row r="3457">
      <x:c r="A3457" s="155" t="n">
        <x:v>45825</x:v>
      </x:c>
      <x:c r="B3457" s="153" t="n">
        <x:v>4.39</x:v>
      </x:c>
      <x:c r="C3457" s="153" t="n">
        <x:v>2.08</x:v>
      </x:c>
      <x:c r="D3457" s="153" t="n">
        <x:v>2.31</x:v>
      </x:c>
      <x:c r="E3457" s="153" t="n">
        <x:v>120.5048</x:v>
      </x:c>
      <x:c r="F3457" s="153" t="n">
        <x:v>21.6</x:v>
      </x:c>
      <x:c r="G3457" s="153" t="n">
        <x:v>4.33</x:v>
      </x:c>
    </x:row>
    <x:row r="3458">
      <x:c r="A3458" s="155" t="n">
        <x:v>45826</x:v>
      </x:c>
      <x:c r="B3458" s="153" t="n">
        <x:v>4.38</x:v>
      </x:c>
      <x:c r="C3458" s="153" t="n">
        <x:v>2.07</x:v>
      </x:c>
      <x:c r="D3458" s="153" t="n">
        <x:v>2.31</x:v>
      </x:c>
      <x:c r="E3458" s="153" t="n">
        <x:v>120.7305</x:v>
      </x:c>
      <x:c r="F3458" s="153" t="n">
        <x:v>20.14</x:v>
      </x:c>
      <x:c r="G3458" s="153" t="n">
        <x:v>4.33</x:v>
      </x:c>
    </x:row>
    <x:row r="3459">
      <x:c r="A3459" s="155" t="n">
        <x:v>45827</x:v>
      </x:c>
      <x:c r="B3459" s="153"/>
      <x:c r="C3459" s="153"/>
      <x:c r="D3459" s="153"/>
      <x:c r="E3459" s="153"/>
      <x:c r="F3459" s="153" t="n">
        <x:v>22.17</x:v>
      </x:c>
      <x:c r="G3459" s="153" t="n">
        <x:v>4.33</x:v>
      </x:c>
    </x:row>
    <x:row r="3460">
      <x:c r="A3460" s="155" t="n">
        <x:v>45828</x:v>
      </x:c>
      <x:c r="B3460" s="153" t="n">
        <x:v>4.38</x:v>
      </x:c>
      <x:c r="C3460" s="153" t="n">
        <x:v>2.05</x:v>
      </x:c>
      <x:c r="D3460" s="153" t="n">
        <x:v>2.33</x:v>
      </x:c>
      <x:c r="E3460" s="153" t="n">
        <x:v>121.0408</x:v>
      </x:c>
      <x:c r="F3460" s="153" t="n">
        <x:v>20.62</x:v>
      </x:c>
      <x:c r="G3460" s="153" t="n">
        <x:v>4.33</x:v>
      </x:c>
    </x:row>
    <x:row r="3461">
      <x:c r="A3461" s="155" t="n">
        <x:v>45829</x:v>
      </x:c>
      <x:c r="B3461" s="153"/>
      <x:c r="C3461" s="153"/>
      <x:c r="D3461" s="153"/>
      <x:c r="E3461" s="153"/>
      <x:c r="F3461" s="153"/>
      <x:c r="G3461" s="153" t="n">
        <x:v>4.33</x:v>
      </x:c>
    </x:row>
    <x:row r="3462">
      <x:c r="A3462" s="155" t="n">
        <x:v>45830</x:v>
      </x:c>
      <x:c r="B3462" s="153"/>
      <x:c r="C3462" s="153"/>
      <x:c r="D3462" s="153"/>
      <x:c r="E3462" s="153"/>
      <x:c r="F3462" s="153"/>
      <x:c r="G3462" s="153" t="n">
        <x:v>4.33</x:v>
      </x:c>
    </x:row>
    <x:row r="3463">
      <x:c r="A3463" s="155" t="n">
        <x:v>45831</x:v>
      </x:c>
      <x:c r="B3463" s="153" t="n">
        <x:v>4.34</x:v>
      </x:c>
      <x:c r="C3463" s="153" t="n">
        <x:v>2.04</x:v>
      </x:c>
      <x:c r="D3463" s="153" t="n">
        <x:v>2.3</x:v>
      </x:c>
      <x:c r="E3463" s="153" t="n">
        <x:v>121.1694</x:v>
      </x:c>
      <x:c r="F3463" s="153" t="n">
        <x:v>19.83</x:v>
      </x:c>
      <x:c r="G3463" s="153" t="n">
        <x:v>4.33</x:v>
      </x:c>
    </x:row>
    <x:row r="3464">
      <x:c r="A3464" s="155" t="n">
        <x:v>45832</x:v>
      </x:c>
      <x:c r="B3464" s="153" t="n">
        <x:v>4.3</x:v>
      </x:c>
      <x:c r="C3464" s="153" t="n">
        <x:v>2.01</x:v>
      </x:c>
      <x:c r="D3464" s="153" t="n">
        <x:v>2.29</x:v>
      </x:c>
      <x:c r="E3464" s="153" t="n">
        <x:v>120.3645</x:v>
      </x:c>
      <x:c r="F3464" s="153" t="n">
        <x:v>17.48</x:v>
      </x:c>
      <x:c r="G3464" s="153" t="n">
        <x:v>4.33</x:v>
      </x:c>
    </x:row>
    <x:row r="3465">
      <x:c r="A3465" s="155" t="n">
        <x:v>45833</x:v>
      </x:c>
      <x:c r="B3465" s="153" t="n">
        <x:v>4.29</x:v>
      </x:c>
      <x:c r="C3465" s="153" t="n">
        <x:v>2.01</x:v>
      </x:c>
      <x:c r="D3465" s="153" t="n">
        <x:v>2.28</x:v>
      </x:c>
      <x:c r="E3465" s="153" t="n">
        <x:v>120.3336</x:v>
      </x:c>
      <x:c r="F3465" s="153" t="n">
        <x:v>16.76</x:v>
      </x:c>
      <x:c r="G3465" s="153" t="n">
        <x:v>4.33</x:v>
      </x:c>
    </x:row>
    <x:row r="3466">
      <x:c r="A3466" s="155" t="n">
        <x:v>45834</x:v>
      </x:c>
      <x:c r="B3466" s="153" t="n">
        <x:v>4.26</x:v>
      </x:c>
      <x:c r="C3466" s="153" t="n">
        <x:v>1.98</x:v>
      </x:c>
      <x:c r="D3466" s="153" t="n">
        <x:v>2.28</x:v>
      </x:c>
      <x:c r="E3466" s="153" t="n">
        <x:v>119.6451</x:v>
      </x:c>
      <x:c r="F3466" s="153" t="n">
        <x:v>16.59</x:v>
      </x:c>
      <x:c r="G3466" s="153" t="n">
        <x:v>4.33</x:v>
      </x:c>
    </x:row>
    <x:row r="3467">
      <x:c r="A3467" s="155" t="n">
        <x:v>45835</x:v>
      </x:c>
      <x:c r="B3467" s="153" t="n">
        <x:v>4.29</x:v>
      </x:c>
      <x:c r="C3467" s="153" t="n">
        <x:v>2</x:v>
      </x:c>
      <x:c r="D3467" s="153" t="n">
        <x:v>2.29</x:v>
      </x:c>
      <x:c r="E3467" s="153" t="n">
        <x:v>119.659</x:v>
      </x:c>
      <x:c r="F3467" s="153" t="n">
        <x:v>16.32</x:v>
      </x:c>
      <x:c r="G3467" s="153" t="n">
        <x:v>4.33</x:v>
      </x:c>
    </x:row>
    <x:row r="3468">
      <x:c r="A3468" s="155" t="n">
        <x:v>45836</x:v>
      </x:c>
      <x:c r="B3468" s="153"/>
      <x:c r="C3468" s="153"/>
      <x:c r="D3468" s="153"/>
      <x:c r="E3468" s="153"/>
      <x:c r="F3468" s="153"/>
      <x:c r="G3468" s="153" t="n">
        <x:v>4.33</x:v>
      </x:c>
    </x:row>
    <x:row r="3469">
      <x:c r="A3469" s="155" t="n">
        <x:v>45837</x:v>
      </x:c>
      <x:c r="B3469" s="153"/>
      <x:c r="C3469" s="153"/>
      <x:c r="D3469" s="153"/>
      <x:c r="E3469" s="153"/>
      <x:c r="F3469" s="153"/>
      <x:c r="G3469" s="153" t="n">
        <x:v>4.33</x:v>
      </x:c>
    </x:row>
    <x:row r="3470">
      <x:c r="A3470" s="155" t="n">
        <x:v>45838</x:v>
      </x:c>
      <x:c r="B3470" s="153" t="n">
        <x:v>4.24</x:v>
      </x:c>
      <x:c r="C3470" s="153" t="n">
        <x:v>1.95</x:v>
      </x:c>
      <x:c r="D3470" s="153" t="n">
        <x:v>2.29</x:v>
      </x:c>
      <x:c r="E3470" s="153" t="n">
        <x:v>119.4088</x:v>
      </x:c>
      <x:c r="F3470" s="153" t="n">
        <x:v>16.73</x:v>
      </x:c>
      <x:c r="G3470" s="153" t="n">
        <x:v>4.33</x:v>
      </x:c>
    </x:row>
    <x:row r="3471">
      <x:c r="A3471" s="155" t="n">
        <x:v>45839</x:v>
      </x:c>
      <x:c r="B3471" s="153" t="n">
        <x:v>4.26</x:v>
      </x:c>
      <x:c r="C3471" s="153" t="n">
        <x:v>1.97</x:v>
      </x:c>
      <x:c r="D3471" s="153" t="n">
        <x:v>2.29</x:v>
      </x:c>
      <x:c r="E3471" s="153" t="n">
        <x:v>119.3436</x:v>
      </x:c>
      <x:c r="F3471" s="153" t="n">
        <x:v>16.83</x:v>
      </x:c>
      <x:c r="G3471" s="153" t="n">
        <x:v>4.33</x:v>
      </x:c>
    </x:row>
    <x:row r="3472">
      <x:c r="A3472" s="155" t="n">
        <x:v>45840</x:v>
      </x:c>
      <x:c r="B3472" s="153" t="n">
        <x:v>4.3</x:v>
      </x:c>
      <x:c r="C3472" s="153" t="n">
        <x:v>2</x:v>
      </x:c>
      <x:c r="D3472" s="153" t="n">
        <x:v>2.3</x:v>
      </x:c>
      <x:c r="E3472" s="153" t="n">
        <x:v>119.3037</x:v>
      </x:c>
      <x:c r="F3472" s="153" t="n">
        <x:v>16.64</x:v>
      </x:c>
      <x:c r="G3472" s="153" t="n">
        <x:v>4.33</x:v>
      </x:c>
    </x:row>
    <x:row r="3473">
      <x:c r="A3473" s="155" t="n">
        <x:v>45841</x:v>
      </x:c>
      <x:c r="B3473" s="153" t="n">
        <x:v>4.35</x:v>
      </x:c>
      <x:c r="C3473" s="153" t="n">
        <x:v>2.02</x:v>
      </x:c>
      <x:c r="D3473" s="153" t="n">
        <x:v>2.33</x:v>
      </x:c>
      <x:c r="E3473" s="153" t="n">
        <x:v>119.2382</x:v>
      </x:c>
      <x:c r="F3473" s="153" t="n">
        <x:v>16.38</x:v>
      </x:c>
      <x:c r="G3473" s="153" t="n">
        <x:v>4.33</x:v>
      </x:c>
    </x:row>
    <x:row r="3474">
      <x:c r="A3474" s="155" t="n">
        <x:v>45842</x:v>
      </x:c>
      <x:c r="B3474" s="153"/>
      <x:c r="C3474" s="153"/>
      <x:c r="D3474" s="153"/>
      <x:c r="E3474" s="153"/>
      <x:c r="F3474" s="153" t="n">
        <x:v>17.48</x:v>
      </x:c>
      <x:c r="G3474" s="153" t="n">
        <x:v>4.33</x:v>
      </x:c>
    </x:row>
    <x:row r="3475">
      <x:c r="A3475" s="155" t="n">
        <x:v>45843</x:v>
      </x:c>
      <x:c r="B3475" s="153"/>
      <x:c r="C3475" s="153"/>
      <x:c r="D3475" s="153"/>
      <x:c r="E3475" s="153"/>
      <x:c r="F3475" s="153"/>
      <x:c r="G3475" s="153" t="n">
        <x:v>4.33</x:v>
      </x:c>
    </x:row>
    <x:row r="3476">
      <x:c r="A3476" s="155" t="n">
        <x:v>45844</x:v>
      </x:c>
      <x:c r="B3476" s="153"/>
      <x:c r="C3476" s="153"/>
      <x:c r="D3476" s="153"/>
      <x:c r="E3476" s="153"/>
      <x:c r="F3476" s="153"/>
      <x:c r="G3476" s="153" t="n">
        <x:v>4.33</x:v>
      </x:c>
    </x:row>
    <x:row r="3477">
      <x:c r="A3477" s="155" t="n">
        <x:v>45845</x:v>
      </x:c>
      <x:c r="B3477" s="153" t="n">
        <x:v>4.4</x:v>
      </x:c>
      <x:c r="C3477" s="153" t="n">
        <x:v>2.05</x:v>
      </x:c>
      <x:c r="D3477" s="153" t="n">
        <x:v>2.35</x:v>
      </x:c>
      <x:c r="E3477" s="153" t="n">
        <x:v>119.6201</x:v>
      </x:c>
      <x:c r="F3477" s="153" t="n">
        <x:v>17.79</x:v>
      </x:c>
      <x:c r="G3477" s="153" t="n">
        <x:v>4.33</x:v>
      </x:c>
    </x:row>
    <x:row r="3478">
      <x:c r="A3478" s="155" t="n">
        <x:v>45846</x:v>
      </x:c>
      <x:c r="B3478" s="153" t="n">
        <x:v>4.42</x:v>
      </x:c>
      <x:c r="C3478" s="153" t="n">
        <x:v>2.07</x:v>
      </x:c>
      <x:c r="D3478" s="153" t="n">
        <x:v>2.35</x:v>
      </x:c>
      <x:c r="E3478" s="153" t="n">
        <x:v>119.8371</x:v>
      </x:c>
      <x:c r="F3478" s="153" t="n">
        <x:v>16.81</x:v>
      </x:c>
      <x:c r="G3478" s="153" t="n">
        <x:v>4.33</x:v>
      </x:c>
    </x:row>
    <x:row r="3479">
      <x:c r="A3479" s="155" t="n">
        <x:v>45847</x:v>
      </x:c>
      <x:c r="B3479" s="153" t="n">
        <x:v>4.34</x:v>
      </x:c>
      <x:c r="C3479" s="153" t="n">
        <x:v>2.01</x:v>
      </x:c>
      <x:c r="D3479" s="153" t="n">
        <x:v>2.33</x:v>
      </x:c>
      <x:c r="E3479" s="153" t="n">
        <x:v>119.7311</x:v>
      </x:c>
      <x:c r="F3479" s="153" t="n">
        <x:v>15.94</x:v>
      </x:c>
      <x:c r="G3479" s="153" t="n">
        <x:v>4.33</x:v>
      </x:c>
    </x:row>
    <x:row r="3480">
      <x:c r="A3480" s="155" t="n">
        <x:v>45848</x:v>
      </x:c>
      <x:c r="B3480" s="153" t="n">
        <x:v>4.35</x:v>
      </x:c>
      <x:c r="C3480" s="153" t="n">
        <x:v>2.01</x:v>
      </x:c>
      <x:c r="D3480" s="153" t="n">
        <x:v>2.34</x:v>
      </x:c>
      <x:c r="E3480" s="153" t="n">
        <x:v>119.8343</x:v>
      </x:c>
      <x:c r="F3480" s="153" t="n">
        <x:v>15.78</x:v>
      </x:c>
      <x:c r="G3480" s="153" t="n">
        <x:v>4.33</x:v>
      </x:c>
    </x:row>
    <x:row r="3481">
      <x:c r="A3481" s="155" t="n">
        <x:v>45849</x:v>
      </x:c>
      <x:c r="B3481" s="153" t="n">
        <x:v>4.43</x:v>
      </x:c>
      <x:c r="C3481" s="153" t="n">
        <x:v>2.06</x:v>
      </x:c>
      <x:c r="D3481" s="153" t="n">
        <x:v>2.37</x:v>
      </x:c>
      <x:c r="E3481" s="153" t="n">
        <x:v>119.9214</x:v>
      </x:c>
      <x:c r="F3481" s="153" t="n">
        <x:v>16.4</x:v>
      </x:c>
      <x:c r="G3481" s="153" t="n">
        <x:v>4.33</x:v>
      </x:c>
    </x:row>
    <x:row r="3482">
      <x:c r="A3482" s="155" t="n">
        <x:v>45850</x:v>
      </x:c>
      <x:c r="B3482" s="153"/>
      <x:c r="C3482" s="153"/>
      <x:c r="D3482" s="153"/>
      <x:c r="E3482" s="153"/>
      <x:c r="F3482" s="153"/>
      <x:c r="G3482" s="153" t="n">
        <x:v>4.33</x:v>
      </x:c>
    </x:row>
    <x:row r="3483">
      <x:c r="A3483" s="155" t="n">
        <x:v>45851</x:v>
      </x:c>
      <x:c r="B3483" s="153"/>
      <x:c r="C3483" s="153"/>
      <x:c r="D3483" s="153"/>
      <x:c r="E3483" s="153"/>
      <x:c r="F3483" s="153"/>
      <x:c r="G3483" s="153" t="n">
        <x:v>4.33</x:v>
      </x:c>
    </x:row>
    <x:row r="3484">
      <x:c r="A3484" s="155" t="n">
        <x:v>45852</x:v>
      </x:c>
      <x:c r="B3484" s="153" t="n">
        <x:v>4.43</x:v>
      </x:c>
      <x:c r="C3484" s="153" t="n">
        <x:v>2.04</x:v>
      </x:c>
      <x:c r="D3484" s="153" t="n">
        <x:v>2.39</x:v>
      </x:c>
      <x:c r="E3484" s="153" t="n">
        <x:v>120.2209</x:v>
      </x:c>
      <x:c r="F3484" s="153" t="n">
        <x:v>17.2</x:v>
      </x:c>
      <x:c r="G3484" s="153" t="n">
        <x:v>4.33</x:v>
      </x:c>
    </x:row>
    <x:row r="3485">
      <x:c r="A3485" s="155" t="n">
        <x:v>45853</x:v>
      </x:c>
      <x:c r="B3485" s="153" t="n">
        <x:v>4.5</x:v>
      </x:c>
      <x:c r="C3485" s="153" t="n">
        <x:v>2.09</x:v>
      </x:c>
      <x:c r="D3485" s="153" t="n">
        <x:v>2.41</x:v>
      </x:c>
      <x:c r="E3485" s="153" t="n">
        <x:v>120.5105</x:v>
      </x:c>
      <x:c r="F3485" s="153" t="n">
        <x:v>17.38</x:v>
      </x:c>
      <x:c r="G3485" s="153" t="n">
        <x:v>4.33</x:v>
      </x:c>
    </x:row>
    <x:row r="3486">
      <x:c r="A3486" s="155" t="n">
        <x:v>45854</x:v>
      </x:c>
      <x:c r="B3486" s="153" t="n">
        <x:v>4.46</x:v>
      </x:c>
      <x:c r="C3486" s="153" t="n">
        <x:v>2.05</x:v>
      </x:c>
      <x:c r="D3486" s="153" t="n">
        <x:v>2.41</x:v>
      </x:c>
      <x:c r="E3486" s="153" t="n">
        <x:v>120.4175</x:v>
      </x:c>
      <x:c r="F3486" s="153" t="n">
        <x:v>17.16</x:v>
      </x:c>
      <x:c r="G3486" s="153" t="n">
        <x:v>4.33</x:v>
      </x:c>
    </x:row>
    <x:row r="3487">
      <x:c r="A3487" s="155" t="n">
        <x:v>45855</x:v>
      </x:c>
      <x:c r="B3487" s="153" t="n">
        <x:v>4.47</x:v>
      </x:c>
      <x:c r="C3487" s="153" t="n">
        <x:v>2.04</x:v>
      </x:c>
      <x:c r="D3487" s="153" t="n">
        <x:v>2.43</x:v>
      </x:c>
      <x:c r="E3487" s="153" t="n">
        <x:v>120.6384</x:v>
      </x:c>
      <x:c r="F3487" s="153" t="n">
        <x:v>16.52</x:v>
      </x:c>
      <x:c r="G3487" s="153" t="n">
        <x:v>4.33</x:v>
      </x:c>
    </x:row>
    <x:row r="3488">
      <x:c r="A3488" s="155" t="n">
        <x:v>45856</x:v>
      </x:c>
      <x:c r="B3488" s="153" t="n">
        <x:v>4.44</x:v>
      </x:c>
      <x:c r="C3488" s="153" t="n">
        <x:v>2.03</x:v>
      </x:c>
      <x:c r="D3488" s="153" t="n">
        <x:v>2.41</x:v>
      </x:c>
      <x:c r="E3488" s="153" t="n">
        <x:v>120.356</x:v>
      </x:c>
      <x:c r="F3488" s="153" t="n">
        <x:v>16.41</x:v>
      </x:c>
      <x:c r="G3488" s="153" t="n">
        <x:v>4.33</x:v>
      </x:c>
    </x:row>
    <x:row r="3489">
      <x:c r="A3489" s="155" t="n">
        <x:v>45857</x:v>
      </x:c>
      <x:c r="B3489" s="153"/>
      <x:c r="C3489" s="153"/>
      <x:c r="D3489" s="153"/>
      <x:c r="E3489" s="153"/>
      <x:c r="F3489" s="153"/>
      <x:c r="G3489" s="153" t="n">
        <x:v>4.33</x:v>
      </x:c>
    </x:row>
    <x:row r="3490">
      <x:c r="A3490" s="155" t="n">
        <x:v>45858</x:v>
      </x:c>
      <x:c r="B3490" s="153"/>
      <x:c r="C3490" s="153"/>
      <x:c r="D3490" s="153"/>
      <x:c r="E3490" s="153"/>
      <x:c r="F3490" s="153"/>
      <x:c r="G3490" s="153" t="n">
        <x:v>4.33</x:v>
      </x:c>
    </x:row>
    <x:row r="3491">
      <x:c r="A3491" s="155" t="n">
        <x:v>45859</x:v>
      </x:c>
      <x:c r="B3491" s="153" t="n">
        <x:v>4.38</x:v>
      </x:c>
      <x:c r="C3491" s="153" t="n">
        <x:v>1.98</x:v>
      </x:c>
      <x:c r="D3491" s="153" t="n">
        <x:v>2.4</x:v>
      </x:c>
      <x:c r="E3491" s="153" t="n">
        <x:v>119.9961</x:v>
      </x:c>
      <x:c r="F3491" s="153" t="n">
        <x:v>16.65</x:v>
      </x:c>
      <x:c r="G3491" s="153" t="n">
        <x:v>4.33</x:v>
      </x:c>
    </x:row>
    <x:row r="3492">
      <x:c r="A3492" s="155" t="n">
        <x:v>45860</x:v>
      </x:c>
      <x:c r="B3492" s="153" t="n">
        <x:v>4.35</x:v>
      </x:c>
      <x:c r="C3492" s="153" t="n">
        <x:v>1.96</x:v>
      </x:c>
      <x:c r="D3492" s="153" t="n">
        <x:v>2.39</x:v>
      </x:c>
      <x:c r="E3492" s="153" t="n">
        <x:v>119.681</x:v>
      </x:c>
      <x:c r="F3492" s="153" t="n">
        <x:v>16.5</x:v>
      </x:c>
      <x:c r="G3492" s="153" t="n">
        <x:v>4.33</x:v>
      </x:c>
    </x:row>
    <x:row r="3493">
      <x:c r="A3493" s="155" t="n">
        <x:v>45861</x:v>
      </x:c>
      <x:c r="B3493" s="153" t="n">
        <x:v>4.4</x:v>
      </x:c>
      <x:c r="C3493" s="153" t="n">
        <x:v>2.03</x:v>
      </x:c>
      <x:c r="D3493" s="153" t="n">
        <x:v>2.37</x:v>
      </x:c>
      <x:c r="E3493" s="153" t="n">
        <x:v>119.5697</x:v>
      </x:c>
      <x:c r="F3493" s="153" t="n">
        <x:v>15.37</x:v>
      </x:c>
      <x:c r="G3493" s="153" t="n">
        <x:v>4.33</x:v>
      </x:c>
    </x:row>
    <x:row r="3494">
      <x:c r="A3494" s="155" t="n">
        <x:v>45862</x:v>
      </x:c>
      <x:c r="B3494" s="153" t="n">
        <x:v>4.43</x:v>
      </x:c>
      <x:c r="C3494" s="153" t="n">
        <x:v>1.98</x:v>
      </x:c>
      <x:c r="D3494" s="153" t="n">
        <x:v>2.45</x:v>
      </x:c>
      <x:c r="E3494" s="153" t="n">
        <x:v>119.5664</x:v>
      </x:c>
      <x:c r="F3494" s="153" t="n">
        <x:v>15.39</x:v>
      </x:c>
      <x:c r="G3494" s="153" t="n">
        <x:v>4.33</x:v>
      </x:c>
    </x:row>
    <x:row r="3495">
      <x:c r="A3495" s="155" t="n">
        <x:v>45863</x:v>
      </x:c>
      <x:c r="B3495" s="153" t="n">
        <x:v>4.4</x:v>
      </x:c>
      <x:c r="C3495" s="153" t="n">
        <x:v>1.96</x:v>
      </x:c>
      <x:c r="D3495" s="153" t="n">
        <x:v>2.44</x:v>
      </x:c>
      <x:c r="E3495" s="153" t="n">
        <x:v>119.9857</x:v>
      </x:c>
      <x:c r="F3495" s="153" t="n">
        <x:v>14.93</x:v>
      </x:c>
      <x:c r="G3495" s="153" t="n">
        <x:v>4.33</x:v>
      </x:c>
    </x:row>
    <x:row r="3496">
      <x:c r="A3496" s="155" t="n">
        <x:v>45864</x:v>
      </x:c>
      <x:c r="B3496" s="153"/>
      <x:c r="C3496" s="153"/>
      <x:c r="D3496" s="153"/>
      <x:c r="E3496" s="153"/>
      <x:c r="F3496" s="153"/>
      <x:c r="G3496" s="153" t="n">
        <x:v>4.33</x:v>
      </x:c>
    </x:row>
    <x:row r="3497">
      <x:c r="A3497" s="155" t="n">
        <x:v>45865</x:v>
      </x:c>
      <x:c r="B3497" s="153"/>
      <x:c r="C3497" s="153"/>
      <x:c r="D3497" s="153"/>
      <x:c r="E3497" s="153"/>
      <x:c r="F3497" s="153"/>
      <x:c r="G3497" s="153" t="n">
        <x:v>4.33</x:v>
      </x:c>
    </x:row>
    <x:row r="3498">
      <x:c r="A3498" s="155" t="n">
        <x:v>45866</x:v>
      </x:c>
      <x:c r="B3498" s="153" t="n">
        <x:v>4.42</x:v>
      </x:c>
      <x:c r="C3498" s="153" t="n">
        <x:v>1.98</x:v>
      </x:c>
      <x:c r="D3498" s="153" t="n">
        <x:v>2.44</x:v>
      </x:c>
      <x:c r="E3498" s="153" t="n">
        <x:v>120.6149</x:v>
      </x:c>
      <x:c r="F3498" s="153" t="n">
        <x:v>15.03</x:v>
      </x:c>
      <x:c r="G3498" s="153" t="n">
        <x:v>4.33</x:v>
      </x:c>
    </x:row>
    <x:row r="3499">
      <x:c r="A3499" s="155" t="n">
        <x:v>45867</x:v>
      </x:c>
      <x:c r="B3499" s="153" t="n">
        <x:v>4.34</x:v>
      </x:c>
      <x:c r="C3499" s="153" t="n">
        <x:v>1.91</x:v>
      </x:c>
      <x:c r="D3499" s="153" t="n">
        <x:v>2.43</x:v>
      </x:c>
      <x:c r="E3499" s="153" t="n">
        <x:v>120.9674</x:v>
      </x:c>
      <x:c r="F3499" s="153" t="n">
        <x:v>15.98</x:v>
      </x:c>
      <x:c r="G3499" s="153" t="n">
        <x:v>4.33</x:v>
      </x:c>
    </x:row>
    <x:row r="3500">
      <x:c r="A3500" s="155" t="n">
        <x:v>45868</x:v>
      </x:c>
      <x:c r="B3500" s="153" t="n">
        <x:v>4.38</x:v>
      </x:c>
      <x:c r="C3500" s="153" t="n">
        <x:v>1.96</x:v>
      </x:c>
      <x:c r="D3500" s="153" t="n">
        <x:v>2.42</x:v>
      </x:c>
      <x:c r="E3500" s="153" t="n">
        <x:v>121.4042</x:v>
      </x:c>
      <x:c r="F3500" s="153" t="n">
        <x:v>15.48</x:v>
      </x:c>
      <x:c r="G3500" s="153" t="n">
        <x:v>4.33</x:v>
      </x:c>
    </x:row>
    <x:row r="3501">
      <x:c r="A3501" s="155" t="n">
        <x:v>45869</x:v>
      </x:c>
      <x:c r="B3501" s="153" t="n">
        <x:v>4.37</x:v>
      </x:c>
      <x:c r="C3501" s="153" t="n">
        <x:v>1.98</x:v>
      </x:c>
      <x:c r="D3501" s="153" t="n">
        <x:v>2.39</x:v>
      </x:c>
      <x:c r="E3501" s="153" t="n">
        <x:v>121.721</x:v>
      </x:c>
      <x:c r="F3501" s="153" t="n">
        <x:v>16.72</x:v>
      </x:c>
      <x:c r="G3501" s="153" t="n">
        <x:v>4.33</x:v>
      </x:c>
    </x:row>
    <x:row r="3502">
      <x:c r="A3502" s="155" t="n">
        <x:v>45870</x:v>
      </x:c>
      <x:c r="B3502" s="153" t="n">
        <x:v>4.23</x:v>
      </x:c>
      <x:c r="C3502" s="153" t="n">
        <x:v>1.9</x:v>
      </x:c>
      <x:c r="D3502" s="153" t="n">
        <x:v>2.33</x:v>
      </x:c>
      <x:c r="E3502" s="153" t="n">
        <x:v>121.2122</x:v>
      </x:c>
      <x:c r="F3502" s="153" t="n">
        <x:v>20.38</x:v>
      </x:c>
      <x:c r="G3502" s="153" t="n">
        <x:v>4.33</x:v>
      </x:c>
    </x:row>
    <x:row r="3503">
      <x:c r="A3503" s="155" t="n">
        <x:v>45871</x:v>
      </x:c>
      <x:c r="B3503" s="153"/>
      <x:c r="C3503" s="153"/>
      <x:c r="D3503" s="153"/>
      <x:c r="E3503" s="153"/>
      <x:c r="F3503" s="153"/>
      <x:c r="G3503" s="153" t="n">
        <x:v>4.33</x:v>
      </x:c>
    </x:row>
    <x:row r="3504">
      <x:c r="A3504" s="155" t="n">
        <x:v>45872</x:v>
      </x:c>
      <x:c r="B3504" s="153"/>
      <x:c r="C3504" s="153"/>
      <x:c r="D3504" s="153"/>
      <x:c r="E3504" s="153"/>
      <x:c r="F3504" s="153"/>
      <x:c r="G3504" s="153" t="n">
        <x:v>4.33</x:v>
      </x:c>
    </x:row>
    <x:row r="3505">
      <x:c r="A3505" s="155" t="n">
        <x:v>45873</x:v>
      </x:c>
      <x:c r="B3505" s="153" t="n">
        <x:v>4.22</x:v>
      </x:c>
      <x:c r="C3505" s="153" t="n">
        <x:v>1.85</x:v>
      </x:c>
      <x:c r="D3505" s="153" t="n">
        <x:v>2.37</x:v>
      </x:c>
      <x:c r="E3505" s="153" t="n">
        <x:v>120.9859</x:v>
      </x:c>
      <x:c r="F3505" s="153" t="n">
        <x:v>17.52</x:v>
      </x:c>
      <x:c r="G3505" s="153" t="n">
        <x:v>4.33</x:v>
      </x:c>
    </x:row>
    <x:row r="3506">
      <x:c r="A3506" s="155" t="n">
        <x:v>45874</x:v>
      </x:c>
      <x:c r="B3506" s="153" t="n">
        <x:v>4.22</x:v>
      </x:c>
      <x:c r="C3506" s="153" t="n">
        <x:v>1.86</x:v>
      </x:c>
      <x:c r="D3506" s="153" t="n">
        <x:v>2.36</x:v>
      </x:c>
      <x:c r="E3506" s="153" t="n">
        <x:v>120.9082</x:v>
      </x:c>
      <x:c r="F3506" s="153" t="n">
        <x:v>17.85</x:v>
      </x:c>
      <x:c r="G3506" s="153" t="n">
        <x:v>4.33</x:v>
      </x:c>
    </x:row>
    <x:row r="3507">
      <x:c r="A3507" s="155" t="n">
        <x:v>45875</x:v>
      </x:c>
      <x:c r="B3507" s="153" t="n">
        <x:v>4.22</x:v>
      </x:c>
      <x:c r="C3507" s="153" t="n">
        <x:v>1.88</x:v>
      </x:c>
      <x:c r="D3507" s="153" t="n">
        <x:v>2.34</x:v>
      </x:c>
      <x:c r="E3507" s="153" t="n">
        <x:v>120.5082</x:v>
      </x:c>
      <x:c r="F3507" s="153" t="n">
        <x:v>16.77</x:v>
      </x:c>
      <x:c r="G3507" s="153" t="n">
        <x:v>4.33</x:v>
      </x:c>
    </x:row>
    <x:row r="3508">
      <x:c r="A3508" s="155" t="n">
        <x:v>45876</x:v>
      </x:c>
      <x:c r="B3508" s="153" t="n">
        <x:v>4.23</x:v>
      </x:c>
      <x:c r="C3508" s="153" t="n">
        <x:v>1.88</x:v>
      </x:c>
      <x:c r="D3508" s="153" t="n">
        <x:v>2.35</x:v>
      </x:c>
      <x:c r="E3508" s="153" t="n">
        <x:v>120.5043</x:v>
      </x:c>
      <x:c r="F3508" s="153" t="n">
        <x:v>16.57</x:v>
      </x:c>
      <x:c r="G3508" s="153" t="n">
        <x:v>4.33</x:v>
      </x:c>
    </x:row>
    <x:row r="3509">
      <x:c r="A3509" s="155" t="n">
        <x:v>45877</x:v>
      </x:c>
      <x:c r="B3509" s="153" t="n">
        <x:v>4.27</x:v>
      </x:c>
      <x:c r="C3509" s="153" t="n">
        <x:v>1.88</x:v>
      </x:c>
      <x:c r="D3509" s="153" t="n">
        <x:v>2.39</x:v>
      </x:c>
      <x:c r="E3509" s="153" t="n">
        <x:v>120.3329</x:v>
      </x:c>
      <x:c r="F3509" s="153" t="n">
        <x:v>15.15</x:v>
      </x:c>
      <x:c r="G3509" s="153" t="n">
        <x:v>4.33</x:v>
      </x:c>
    </x:row>
    <x:row r="3510">
      <x:c r="A3510" s="155" t="n">
        <x:v>45878</x:v>
      </x:c>
      <x:c r="B3510" s="153"/>
      <x:c r="C3510" s="153"/>
      <x:c r="D3510" s="153"/>
      <x:c r="E3510" s="153"/>
      <x:c r="F3510" s="153"/>
      <x:c r="G3510" s="153" t="n">
        <x:v>4.33</x:v>
      </x:c>
    </x:row>
    <x:row r="3511">
      <x:c r="A3511" s="155" t="n">
        <x:v>45879</x:v>
      </x:c>
      <x:c r="B3511" s="153"/>
      <x:c r="C3511" s="153"/>
      <x:c r="D3511" s="153"/>
      <x:c r="E3511" s="153"/>
      <x:c r="F3511" s="153"/>
      <x:c r="G3511" s="153" t="n">
        <x:v>4.33</x:v>
      </x:c>
    </x:row>
    <x:row r="3512">
      <x:c r="A3512" s="155" t="n">
        <x:v>45880</x:v>
      </x:c>
      <x:c r="B3512" s="153" t="n">
        <x:v>4.27</x:v>
      </x:c>
      <x:c r="C3512" s="153" t="n">
        <x:v>1.87</x:v>
      </x:c>
      <x:c r="D3512" s="153" t="n">
        <x:v>2.4</x:v>
      </x:c>
      <x:c r="E3512" s="153" t="n">
        <x:v>120.6892</x:v>
      </x:c>
      <x:c r="F3512" s="153" t="n">
        <x:v>16.25</x:v>
      </x:c>
      <x:c r="G3512" s="153" t="n">
        <x:v>4.33</x:v>
      </x:c>
    </x:row>
    <x:row r="3513">
      <x:c r="A3513" s="155" t="n">
        <x:v>45881</x:v>
      </x:c>
      <x:c r="B3513" s="153" t="n">
        <x:v>4.29</x:v>
      </x:c>
      <x:c r="C3513" s="153" t="n">
        <x:v>1.91</x:v>
      </x:c>
      <x:c r="D3513" s="153" t="n">
        <x:v>2.38</x:v>
      </x:c>
      <x:c r="E3513" s="153" t="n">
        <x:v>120.2736</x:v>
      </x:c>
      <x:c r="F3513" s="153" t="n">
        <x:v>14.73</x:v>
      </x:c>
      <x:c r="G3513" s="153" t="n">
        <x:v>4.33</x:v>
      </x:c>
    </x:row>
    <x:row r="3514">
      <x:c r="A3514" s="155" t="n">
        <x:v>45882</x:v>
      </x:c>
      <x:c r="B3514" s="153" t="n">
        <x:v>4.24</x:v>
      </x:c>
      <x:c r="C3514" s="153" t="n">
        <x:v>1.87</x:v>
      </x:c>
      <x:c r="D3514" s="153" t="n">
        <x:v>2.37</x:v>
      </x:c>
      <x:c r="E3514" s="153" t="n">
        <x:v>120.13</x:v>
      </x:c>
      <x:c r="F3514" s="153" t="n">
        <x:v>14.49</x:v>
      </x:c>
      <x:c r="G3514" s="153" t="n">
        <x:v>4.33</x:v>
      </x:c>
    </x:row>
    <x:row r="3515">
      <x:c r="A3515" s="155" t="n">
        <x:v>45883</x:v>
      </x:c>
      <x:c r="B3515" s="153" t="n">
        <x:v>4.29</x:v>
      </x:c>
      <x:c r="C3515" s="153" t="n">
        <x:v>1.9</x:v>
      </x:c>
      <x:c r="D3515" s="153" t="n">
        <x:v>2.39</x:v>
      </x:c>
      <x:c r="E3515" s="153" t="n">
        <x:v>120.6446</x:v>
      </x:c>
      <x:c r="F3515" s="153" t="n">
        <x:v>14.83</x:v>
      </x:c>
      <x:c r="G3515" s="153" t="n">
        <x:v>4.33</x:v>
      </x:c>
    </x:row>
    <x:row r="3516">
      <x:c r="A3516" s="155" t="n">
        <x:v>45884</x:v>
      </x:c>
      <x:c r="B3516" s="153" t="n">
        <x:v>4.33</x:v>
      </x:c>
      <x:c r="C3516" s="153" t="n">
        <x:v>1.95</x:v>
      </x:c>
      <x:c r="D3516" s="153" t="n">
        <x:v>2.38</x:v>
      </x:c>
      <x:c r="E3516" s="153" t="n">
        <x:v>120.3377</x:v>
      </x:c>
      <x:c r="F3516" s="153" t="n">
        <x:v>15.09</x:v>
      </x:c>
      <x:c r="G3516" s="153" t="n">
        <x:v>4.33</x:v>
      </x:c>
    </x:row>
    <x:row r="3517">
      <x:c r="A3517" s="155" t="n">
        <x:v>45885</x:v>
      </x:c>
      <x:c r="B3517" s="153"/>
      <x:c r="C3517" s="153"/>
      <x:c r="D3517" s="153"/>
      <x:c r="E3517" s="153"/>
      <x:c r="F3517" s="153"/>
      <x:c r="G3517" s="153" t="n">
        <x:v>4.33</x:v>
      </x:c>
    </x:row>
    <x:row r="3518">
      <x:c r="A3518" s="155" t="n">
        <x:v>45886</x:v>
      </x:c>
      <x:c r="B3518" s="153"/>
      <x:c r="C3518" s="153"/>
      <x:c r="D3518" s="153"/>
      <x:c r="E3518" s="153"/>
      <x:c r="F3518" s="153"/>
      <x:c r="G3518" s="153" t="n">
        <x:v>4.33</x:v>
      </x:c>
    </x:row>
    <x:row r="3519">
      <x:c r="A3519" s="155" t="n">
        <x:v>45887</x:v>
      </x:c>
      <x:c r="B3519" s="153" t="n">
        <x:v>4.34</x:v>
      </x:c>
      <x:c r="C3519" s="153" t="n">
        <x:v>1.96</x:v>
      </x:c>
      <x:c r="D3519" s="153" t="n">
        <x:v>2.38</x:v>
      </x:c>
      <x:c r="E3519" s="153" t="n">
        <x:v>120.5622</x:v>
      </x:c>
      <x:c r="F3519" s="153" t="n">
        <x:v>14.99</x:v>
      </x:c>
      <x:c r="G3519" s="153" t="n">
        <x:v>4.33</x:v>
      </x:c>
    </x:row>
    <x:row r="3520">
      <x:c r="A3520" s="155" t="n">
        <x:v>45888</x:v>
      </x:c>
      <x:c r="B3520" s="153" t="n">
        <x:v>4.3</x:v>
      </x:c>
      <x:c r="C3520" s="153" t="n">
        <x:v>1.95</x:v>
      </x:c>
      <x:c r="D3520" s="153" t="n">
        <x:v>2.35</x:v>
      </x:c>
      <x:c r="E3520" s="153" t="n">
        <x:v>120.7224</x:v>
      </x:c>
      <x:c r="F3520" s="153" t="n">
        <x:v>15.57</x:v>
      </x:c>
      <x:c r="G3520" s="153" t="n">
        <x:v>4.33</x:v>
      </x:c>
    </x:row>
    <x:row r="3521">
      <x:c r="A3521" s="155" t="n">
        <x:v>45889</x:v>
      </x:c>
      <x:c r="B3521" s="153" t="n">
        <x:v>4.29</x:v>
      </x:c>
      <x:c r="C3521" s="153" t="n">
        <x:v>1.94</x:v>
      </x:c>
      <x:c r="D3521" s="153" t="n">
        <x:v>2.35</x:v>
      </x:c>
      <x:c r="E3521" s="153" t="n">
        <x:v>120.7757</x:v>
      </x:c>
      <x:c r="F3521" s="153" t="n">
        <x:v>15.69</x:v>
      </x:c>
      <x:c r="G3521" s="153" t="n">
        <x:v>4.33</x:v>
      </x:c>
    </x:row>
    <x:row r="3522">
      <x:c r="A3522" s="155" t="n">
        <x:v>45890</x:v>
      </x:c>
      <x:c r="B3522" s="153" t="n">
        <x:v>4.33</x:v>
      </x:c>
      <x:c r="C3522" s="153" t="n">
        <x:v>1.94</x:v>
      </x:c>
      <x:c r="D3522" s="153" t="n">
        <x:v>2.39</x:v>
      </x:c>
      <x:c r="E3522" s="153" t="n">
        <x:v>121.0843</x:v>
      </x:c>
      <x:c r="F3522" s="153" t="n">
        <x:v>16.6</x:v>
      </x:c>
      <x:c r="G3522" s="153" t="n">
        <x:v>4.33</x:v>
      </x:c>
    </x:row>
    <x:row r="3523">
      <x:c r="A3523" s="155" t="n">
        <x:v>45891</x:v>
      </x:c>
      <x:c r="B3523" s="153" t="n">
        <x:v>4.26</x:v>
      </x:c>
      <x:c r="C3523" s="153" t="n">
        <x:v>1.85</x:v>
      </x:c>
      <x:c r="D3523" s="153" t="n">
        <x:v>2.41</x:v>
      </x:c>
      <x:c r="E3523" s="153" t="n">
        <x:v>120.2774</x:v>
      </x:c>
      <x:c r="F3523" s="153" t="n">
        <x:v>14.22</x:v>
      </x:c>
      <x:c r="G3523" s="153" t="n">
        <x:v>4.33</x:v>
      </x:c>
    </x:row>
    <x:row r="3524">
      <x:c r="A3524" s="155" t="n">
        <x:v>45892</x:v>
      </x:c>
      <x:c r="B3524" s="153"/>
      <x:c r="C3524" s="153"/>
      <x:c r="D3524" s="153"/>
      <x:c r="E3524" s="153"/>
      <x:c r="F3524" s="153"/>
      <x:c r="G3524" s="153" t="n">
        <x:v>4.33</x:v>
      </x:c>
    </x:row>
    <x:row r="3525">
      <x:c r="A3525" s="155" t="n">
        <x:v>45893</x:v>
      </x:c>
      <x:c r="B3525" s="153"/>
      <x:c r="C3525" s="153"/>
      <x:c r="D3525" s="153"/>
      <x:c r="E3525" s="153"/>
      <x:c r="F3525" s="153"/>
      <x:c r="G3525" s="153" t="n">
        <x:v>4.33</x:v>
      </x:c>
    </x:row>
    <x:row r="3526">
      <x:c r="A3526" s="155" t="n">
        <x:v>45894</x:v>
      </x:c>
      <x:c r="B3526" s="153" t="n">
        <x:v>4.28</x:v>
      </x:c>
      <x:c r="C3526" s="153" t="n">
        <x:v>1.87</x:v>
      </x:c>
      <x:c r="D3526" s="153" t="n">
        <x:v>2.41</x:v>
      </x:c>
      <x:c r="E3526" s="153" t="n">
        <x:v>120.4214</x:v>
      </x:c>
      <x:c r="F3526" s="153" t="n">
        <x:v>14.79</x:v>
      </x:c>
      <x:c r="G3526" s="153" t="n">
        <x:v>4.33</x:v>
      </x:c>
    </x:row>
    <x:row r="3527">
      <x:c r="A3527" s="155" t="n">
        <x:v>45895</x:v>
      </x:c>
      <x:c r="B3527" s="153" t="n">
        <x:v>4.26</x:v>
      </x:c>
      <x:c r="C3527" s="153" t="n">
        <x:v>1.84</x:v>
      </x:c>
      <x:c r="D3527" s="153" t="n">
        <x:v>2.42</x:v>
      </x:c>
      <x:c r="E3527" s="153" t="n">
        <x:v>120.5274</x:v>
      </x:c>
      <x:c r="F3527" s="153" t="n">
        <x:v>14.62</x:v>
      </x:c>
      <x:c r="G3527" s="153" t="n">
        <x:v>4.33</x:v>
      </x:c>
    </x:row>
    <x:row r="3528">
      <x:c r="A3528" s="155" t="n">
        <x:v>45896</x:v>
      </x:c>
      <x:c r="B3528" s="153" t="n">
        <x:v>4.24</x:v>
      </x:c>
      <x:c r="C3528" s="153" t="n">
        <x:v>1.81</x:v>
      </x:c>
      <x:c r="D3528" s="153" t="n">
        <x:v>2.43</x:v>
      </x:c>
      <x:c r="E3528" s="153" t="n">
        <x:v>120.7274</x:v>
      </x:c>
      <x:c r="F3528" s="153" t="n">
        <x:v>14.85</x:v>
      </x:c>
      <x:c r="G3528" s="153" t="n">
        <x:v>4.33</x:v>
      </x:c>
    </x:row>
    <x:row r="3529">
      <x:c r="A3529" s="155" t="n">
        <x:v>45897</x:v>
      </x:c>
      <x:c r="B3529" s="153" t="n">
        <x:v>4.22</x:v>
      </x:c>
      <x:c r="C3529" s="153" t="n">
        <x:v>1.81</x:v>
      </x:c>
      <x:c r="D3529" s="153" t="n">
        <x:v>2.41</x:v>
      </x:c>
      <x:c r="E3529" s="153" t="n">
        <x:v>120.2595</x:v>
      </x:c>
      <x:c r="F3529" s="153" t="n">
        <x:v>14.43</x:v>
      </x:c>
      <x:c r="G3529" s="153" t="n">
        <x:v>4.33</x:v>
      </x:c>
    </x:row>
    <x:row r="3530">
      <x:c r="A3530" s="155" t="n">
        <x:v>45898</x:v>
      </x:c>
      <x:c r="B3530" s="153" t="n">
        <x:v>4.23</x:v>
      </x:c>
      <x:c r="C3530" s="153" t="n">
        <x:v>1.82</x:v>
      </x:c>
      <x:c r="D3530" s="153" t="n">
        <x:v>2.41</x:v>
      </x:c>
      <x:c r="E3530" s="153" t="n">
        <x:v>120.2082</x:v>
      </x:c>
      <x:c r="F3530" s="153" t="n">
        <x:v>15.36</x:v>
      </x:c>
      <x:c r="G3530" s="153" t="n">
        <x:v>4.33</x:v>
      </x:c>
    </x:row>
    <x:row r="3531">
      <x:c r="A3531" s="155" t="n">
        <x:v>45899</x:v>
      </x:c>
      <x:c r="B3531" s="153"/>
      <x:c r="C3531" s="153"/>
      <x:c r="D3531" s="153"/>
      <x:c r="E3531" s="153"/>
      <x:c r="F3531" s="153"/>
      <x:c r="G3531" s="153" t="n">
        <x:v>4.33</x:v>
      </x:c>
    </x:row>
    <x:row r="3532">
      <x:c r="A3532" s="155" t="n">
        <x:v>45900</x:v>
      </x:c>
      <x:c r="B3532" s="153"/>
      <x:c r="C3532" s="153"/>
      <x:c r="D3532" s="153"/>
      <x:c r="E3532" s="153"/>
      <x:c r="F3532" s="153"/>
      <x:c r="G3532" s="153" t="n">
        <x:v>4.33</x:v>
      </x:c>
    </x:row>
    <x:row r="3533">
      <x:c r="A3533" s="155" t="n">
        <x:v>45901</x:v>
      </x:c>
      <x:c r="B3533" s="153"/>
      <x:c r="C3533" s="153"/>
      <x:c r="D3533" s="153"/>
      <x:c r="E3533" s="153"/>
      <x:c r="F3533" s="153" t="n">
        <x:v>16.12</x:v>
      </x:c>
      <x:c r="G3533" s="153" t="n">
        <x:v>4.33</x:v>
      </x:c>
    </x:row>
    <x:row r="3534">
      <x:c r="A3534" s="155" t="n">
        <x:v>45902</x:v>
      </x:c>
      <x:c r="B3534" s="153" t="n">
        <x:v>4.28</x:v>
      </x:c>
      <x:c r="C3534" s="153" t="n">
        <x:v>1.87</x:v>
      </x:c>
      <x:c r="D3534" s="153" t="n">
        <x:v>2.41</x:v>
      </x:c>
      <x:c r="E3534" s="153" t="n">
        <x:v>120.6837</x:v>
      </x:c>
      <x:c r="F3534" s="153" t="n">
        <x:v>17.17</x:v>
      </x:c>
      <x:c r="G3534" s="153" t="n">
        <x:v>4.33</x:v>
      </x:c>
    </x:row>
    <x:row r="3535">
      <x:c r="A3535" s="155" t="n">
        <x:v>45903</x:v>
      </x:c>
      <x:c r="B3535" s="153" t="n">
        <x:v>4.22</x:v>
      </x:c>
      <x:c r="C3535" s="153" t="n">
        <x:v>1.82</x:v>
      </x:c>
      <x:c r="D3535" s="153" t="n">
        <x:v>2.4</x:v>
      </x:c>
      <x:c r="E3535" s="153" t="n">
        <x:v>120.5052</x:v>
      </x:c>
      <x:c r="F3535" s="153" t="n">
        <x:v>16.35</x:v>
      </x:c>
      <x:c r="G3535" s="153" t="n">
        <x:v>4.33</x:v>
      </x:c>
    </x:row>
    <x:row r="3536">
      <x:c r="A3536" s="155" t="n">
        <x:v>45904</x:v>
      </x:c>
      <x:c r="B3536" s="153" t="n">
        <x:v>4.17</x:v>
      </x:c>
      <x:c r="C3536" s="153" t="n">
        <x:v>1.79</x:v>
      </x:c>
      <x:c r="D3536" s="153" t="n">
        <x:v>2.38</x:v>
      </x:c>
      <x:c r="E3536" s="153" t="n">
        <x:v>120.7629</x:v>
      </x:c>
      <x:c r="F3536" s="153" t="n">
        <x:v>15.3</x:v>
      </x:c>
      <x:c r="G3536" s="153" t="n">
        <x:v>4.33</x:v>
      </x:c>
    </x:row>
    <x:row r="3537">
      <x:c r="A3537" s="155" t="n">
        <x:v>45905</x:v>
      </x:c>
      <x:c r="B3537" s="153" t="n">
        <x:v>4.1</x:v>
      </x:c>
      <x:c r="C3537" s="153" t="n">
        <x:v>1.73</x:v>
      </x:c>
      <x:c r="D3537" s="153" t="n">
        <x:v>2.37</x:v>
      </x:c>
      <x:c r="E3537" s="153" t="n">
        <x:v>120.1282</x:v>
      </x:c>
      <x:c r="F3537" s="153" t="n">
        <x:v>15.18</x:v>
      </x:c>
      <x:c r="G3537" s="153" t="n">
        <x:v>4.33</x:v>
      </x:c>
    </x:row>
    <x:row r="3538">
      <x:c r="A3538" s="155" t="n">
        <x:v>45906</x:v>
      </x:c>
      <x:c r="B3538" s="153"/>
      <x:c r="C3538" s="153"/>
      <x:c r="D3538" s="153"/>
      <x:c r="E3538" s="153"/>
      <x:c r="F3538" s="153"/>
      <x:c r="G3538" s="153" t="n">
        <x:v>4.33</x:v>
      </x:c>
    </x:row>
    <x:row r="3539">
      <x:c r="A3539" s="155" t="n">
        <x:v>45907</x:v>
      </x:c>
      <x:c r="B3539" s="153"/>
      <x:c r="C3539" s="153"/>
      <x:c r="D3539" s="153"/>
      <x:c r="E3539" s="153"/>
      <x:c r="F3539" s="153"/>
      <x:c r="G3539" s="153" t="n">
        <x:v>4.33</x:v>
      </x:c>
    </x:row>
    <x:row r="3540">
      <x:c r="A3540" s="155" t="n">
        <x:v>45908</x:v>
      </x:c>
      <x:c r="B3540" s="153" t="n">
        <x:v>4.05</x:v>
      </x:c>
      <x:c r="C3540" s="153" t="n">
        <x:v>1.7</x:v>
      </x:c>
      <x:c r="D3540" s="153" t="n">
        <x:v>2.35</x:v>
      </x:c>
      <x:c r="E3540" s="153" t="n">
        <x:v>120.0971</x:v>
      </x:c>
      <x:c r="F3540" s="153" t="n">
        <x:v>15.11</x:v>
      </x:c>
      <x:c r="G3540" s="153" t="n">
        <x:v>4.33</x:v>
      </x:c>
    </x:row>
    <x:row r="3541">
      <x:c r="A3541" s="155" t="n">
        <x:v>45909</x:v>
      </x:c>
      <x:c r="B3541" s="153" t="n">
        <x:v>4.08</x:v>
      </x:c>
      <x:c r="C3541" s="153" t="n">
        <x:v>1.72</x:v>
      </x:c>
      <x:c r="D3541" s="153" t="n">
        <x:v>2.36</x:v>
      </x:c>
      <x:c r="E3541" s="153" t="n">
        <x:v>120.1569</x:v>
      </x:c>
      <x:c r="F3541" s="153" t="n">
        <x:v>15.04</x:v>
      </x:c>
      <x:c r="G3541" s="153" t="n">
        <x:v>4.33</x:v>
      </x:c>
    </x:row>
    <x:row r="3542">
      <x:c r="A3542" s="155" t="n">
        <x:v>45910</x:v>
      </x:c>
      <x:c r="B3542" s="153" t="n">
        <x:v>4.04</x:v>
      </x:c>
      <x:c r="C3542" s="153" t="n">
        <x:v>1.69</x:v>
      </x:c>
      <x:c r="D3542" s="153" t="n">
        <x:v>2.35</x:v>
      </x:c>
      <x:c r="E3542" s="153" t="n">
        <x:v>120.1223</x:v>
      </x:c>
      <x:c r="F3542" s="153" t="n">
        <x:v>15.35</x:v>
      </x:c>
      <x:c r="G3542" s="153" t="n">
        <x:v>4.33</x:v>
      </x:c>
    </x:row>
    <x:row r="3543">
      <x:c r="A3543" s="155" t="n">
        <x:v>45911</x:v>
      </x:c>
      <x:c r="B3543" s="153" t="n">
        <x:v>4.01</x:v>
      </x:c>
      <x:c r="C3543" s="153" t="n">
        <x:v>1.67</x:v>
      </x:c>
      <x:c r="D3543" s="153" t="n">
        <x:v>2.34</x:v>
      </x:c>
      <x:c r="E3543" s="153" t="n">
        <x:v>119.9534</x:v>
      </x:c>
      <x:c r="F3543" s="153" t="n">
        <x:v>14.71</x:v>
      </x:c>
      <x:c r="G3543" s="153" t="n">
        <x:v>4.33</x:v>
      </x:c>
    </x:row>
    <x:row r="3544">
      <x:c r="A3544" s="155" t="n">
        <x:v>45912</x:v>
      </x:c>
      <x:c r="B3544" s="153" t="n">
        <x:v>4.06</x:v>
      </x:c>
      <x:c r="C3544" s="153" t="n">
        <x:v>1.7</x:v>
      </x:c>
      <x:c r="D3544" s="153" t="n">
        <x:v>2.36</x:v>
      </x:c>
      <x:c r="E3544" s="153" t="n">
        <x:v>120.0611</x:v>
      </x:c>
      <x:c r="F3544" s="153" t="n">
        <x:v>14.76</x:v>
      </x:c>
      <x:c r="G3544" s="153" t="n">
        <x:v>4.33</x:v>
      </x:c>
    </x:row>
    <x:row r="3545">
      <x:c r="A3545" s="155" t="n">
        <x:v>45913</x:v>
      </x:c>
      <x:c r="B3545" s="153"/>
      <x:c r="C3545" s="153"/>
      <x:c r="D3545" s="153"/>
      <x:c r="E3545" s="153"/>
      <x:c r="F3545" s="153"/>
      <x:c r="G3545" s="153" t="n">
        <x:v>4.33</x:v>
      </x:c>
    </x:row>
    <x:row r="3546">
      <x:c r="A3546" s="155" t="n">
        <x:v>45914</x:v>
      </x:c>
      <x:c r="B3546" s="153"/>
      <x:c r="C3546" s="153"/>
      <x:c r="D3546" s="153"/>
      <x:c r="E3546" s="153"/>
      <x:c r="F3546" s="153"/>
      <x:c r="G3546" s="153" t="n">
        <x:v>4.33</x:v>
      </x:c>
    </x:row>
    <x:row r="3547">
      <x:c r="A3547" s="155" t="n">
        <x:v>45915</x:v>
      </x:c>
      <x:c r="B3547" s="153" t="n">
        <x:v>4.05</x:v>
      </x:c>
      <x:c r="C3547" s="153" t="n">
        <x:v>1.68</x:v>
      </x:c>
      <x:c r="D3547" s="153" t="n">
        <x:v>2.37</x:v>
      </x:c>
      <x:c r="E3547" s="153" t="n">
        <x:v>119.5644</x:v>
      </x:c>
      <x:c r="F3547" s="153" t="n">
        <x:v>15.69</x:v>
      </x:c>
      <x:c r="G3547" s="153" t="n">
        <x:v>4.33</x:v>
      </x:c>
    </x:row>
    <x:row r="3548">
      <x:c r="A3548" s="155" t="n">
        <x:v>45916</x:v>
      </x:c>
      <x:c r="B3548" s="153" t="n">
        <x:v>4.04</x:v>
      </x:c>
      <x:c r="C3548" s="153" t="n">
        <x:v>1.67</x:v>
      </x:c>
      <x:c r="D3548" s="153" t="n">
        <x:v>2.37</x:v>
      </x:c>
      <x:c r="E3548" s="153" t="n">
        <x:v>119.1348</x:v>
      </x:c>
      <x:c r="F3548" s="153" t="n">
        <x:v>16.36</x:v>
      </x:c>
      <x:c r="G3548" s="153" t="n">
        <x:v>4.33</x:v>
      </x:c>
    </x:row>
    <x:row r="3549">
      <x:c r="A3549" s="155" t="n">
        <x:v>45917</x:v>
      </x:c>
      <x:c r="B3549" s="153" t="n">
        <x:v>4.06</x:v>
      </x:c>
      <x:c r="C3549" s="153" t="n">
        <x:v>1.68</x:v>
      </x:c>
      <x:c r="D3549" s="153" t="n">
        <x:v>2.38</x:v>
      </x:c>
      <x:c r="E3549" s="153" t="n">
        <x:v>119.1582</x:v>
      </x:c>
      <x:c r="F3549" s="153" t="n">
        <x:v>15.72</x:v>
      </x:c>
      <x:c r="G3549" s="153" t="n">
        <x:v>4.33</x:v>
      </x:c>
    </x:row>
    <x:row r="3550">
      <x:c r="A3550" s="155" t="n">
        <x:v>45918</x:v>
      </x:c>
      <x:c r="B3550" s="153" t="n">
        <x:v>4.11</x:v>
      </x:c>
      <x:c r="C3550" s="153" t="n">
        <x:v>1.73</x:v>
      </x:c>
      <x:c r="D3550" s="153" t="n">
        <x:v>2.38</x:v>
      </x:c>
      <x:c r="E3550" s="153" t="n">
        <x:v>119.6616</x:v>
      </x:c>
      <x:c r="F3550" s="153" t="n">
        <x:v>15.7</x:v>
      </x:c>
      <x:c r="G3550" s="153" t="n">
        <x:v>4.08</x:v>
      </x:c>
    </x:row>
    <x:row r="3551">
      <x:c r="A3551" s="155" t="n">
        <x:v>45919</x:v>
      </x:c>
      <x:c r="B3551" s="153" t="n">
        <x:v>4.14</x:v>
      </x:c>
      <x:c r="C3551" s="153" t="n">
        <x:v>1.75</x:v>
      </x:c>
      <x:c r="D3551" s="153" t="n">
        <x:v>2.39</x:v>
      </x:c>
      <x:c r="E3551" s="153" t="n">
        <x:v>119.7858</x:v>
      </x:c>
      <x:c r="F3551" s="153" t="n">
        <x:v>15.45</x:v>
      </x:c>
      <x:c r="G3551" s="153" t="n">
        <x:v>4.08</x:v>
      </x:c>
    </x:row>
    <x:row r="3552">
      <x:c r="A3552" s="155" t="n">
        <x:v>45920</x:v>
      </x:c>
      <x:c r="B3552" s="153"/>
      <x:c r="C3552" s="153"/>
      <x:c r="D3552" s="153"/>
      <x:c r="E3552" s="153"/>
      <x:c r="F3552" s="153"/>
      <x:c r="G3552" s="153" t="n">
        <x:v>4.08</x:v>
      </x:c>
    </x:row>
    <x:row r="3553">
      <x:c r="A3553" s="155" t="n">
        <x:v>45921</x:v>
      </x:c>
      <x:c r="B3553" s="153"/>
      <x:c r="C3553" s="153"/>
      <x:c r="D3553" s="153"/>
      <x:c r="E3553" s="153"/>
      <x:c r="F3553" s="153"/>
      <x:c r="G3553" s="153" t="n">
        <x:v>4.08</x:v>
      </x:c>
    </x:row>
    <x:row r="3554">
      <x:c r="A3554" s="155" t="n">
        <x:v>45922</x:v>
      </x:c>
      <x:c r="B3554" s="153" t="n">
        <x:v>4.15</x:v>
      </x:c>
      <x:c r="C3554" s="153" t="n">
        <x:v>1.78</x:v>
      </x:c>
      <x:c r="D3554" s="153" t="n">
        <x:v>2.37</x:v>
      </x:c>
      <x:c r="E3554" s="153" t="n">
        <x:v>119.8152</x:v>
      </x:c>
      <x:c r="F3554" s="153" t="n">
        <x:v>16.1</x:v>
      </x:c>
      <x:c r="G3554" s="153" t="n">
        <x:v>4.09</x:v>
      </x:c>
    </x:row>
    <x:row r="3555">
      <x:c r="A3555" s="155" t="n">
        <x:v>45923</x:v>
      </x:c>
      <x:c r="B3555" s="153" t="n">
        <x:v>4.12</x:v>
      </x:c>
      <x:c r="C3555" s="153" t="n">
        <x:v>1.75</x:v>
      </x:c>
      <x:c r="D3555" s="153" t="n">
        <x:v>2.37</x:v>
      </x:c>
      <x:c r="E3555" s="153" t="n">
        <x:v>119.6202</x:v>
      </x:c>
      <x:c r="F3555" s="153" t="n">
        <x:v>16.64</x:v>
      </x:c>
      <x:c r="G3555" s="153" t="n">
        <x:v>4.09</x:v>
      </x:c>
    </x:row>
    <x:row r="3556">
      <x:c r="A3556" s="155" t="n">
        <x:v>45924</x:v>
      </x:c>
      <x:c r="B3556" s="153" t="n">
        <x:v>4.16</x:v>
      </x:c>
      <x:c r="C3556" s="153" t="n">
        <x:v>1.78</x:v>
      </x:c>
      <x:c r="D3556" s="153" t="n">
        <x:v>2.38</x:v>
      </x:c>
      <x:c r="E3556" s="153" t="n">
        <x:v>120.1707</x:v>
      </x:c>
      <x:c r="F3556" s="153" t="n">
        <x:v>16.18</x:v>
      </x:c>
      <x:c r="G3556" s="153" t="n">
        <x:v>4.09</x:v>
      </x:c>
    </x:row>
    <x:row r="3557">
      <x:c r="A3557" s="155" t="n">
        <x:v>45925</x:v>
      </x:c>
      <x:c r="B3557" s="153" t="n">
        <x:v>4.18</x:v>
      </x:c>
      <x:c r="C3557" s="153" t="n">
        <x:v>1.8</x:v>
      </x:c>
      <x:c r="D3557" s="153" t="n">
        <x:v>2.38</x:v>
      </x:c>
      <x:c r="E3557" s="153" t="n">
        <x:v>120.5419</x:v>
      </x:c>
      <x:c r="F3557" s="153" t="n">
        <x:v>16.74</x:v>
      </x:c>
      <x:c r="G3557" s="153" t="n">
        <x:v>4.09</x:v>
      </x:c>
    </x:row>
    <x:row r="3558">
      <x:c r="A3558" s="155" t="n">
        <x:v>45926</x:v>
      </x:c>
      <x:c r="B3558" s="153" t="n">
        <x:v>4.2</x:v>
      </x:c>
      <x:c r="C3558" s="153" t="n">
        <x:v>1.82</x:v>
      </x:c>
      <x:c r="D3558" s="153" t="n">
        <x:v>2.38</x:v>
      </x:c>
      <x:c r="E3558" s="153" t="n">
        <x:v>120.4349</x:v>
      </x:c>
      <x:c r="F3558" s="153" t="n">
        <x:v>15.29</x:v>
      </x:c>
      <x:c r="G3558" s="153" t="n">
        <x:v>4.09</x:v>
      </x:c>
    </x:row>
    <x:row r="3559">
      <x:c r="A3559" s="155" t="n">
        <x:v>45927</x:v>
      </x:c>
      <x:c r="B3559" s="153"/>
      <x:c r="C3559" s="153"/>
      <x:c r="D3559" s="153"/>
      <x:c r="E3559" s="153"/>
      <x:c r="F3559" s="153"/>
      <x:c r="G3559" s="153" t="n">
        <x:v>4.09</x:v>
      </x:c>
    </x:row>
    <x:row r="3560">
      <x:c r="A3560" s="155" t="n">
        <x:v>45928</x:v>
      </x:c>
      <x:c r="B3560" s="153"/>
      <x:c r="C3560" s="153"/>
      <x:c r="D3560" s="153"/>
      <x:c r="E3560" s="153"/>
      <x:c r="F3560" s="153"/>
      <x:c r="G3560" s="153" t="n">
        <x:v>4.09</x:v>
      </x:c>
    </x:row>
    <x:row r="3561">
      <x:c r="A3561" s="155" t="n">
        <x:v>45929</x:v>
      </x:c>
      <x:c r="B3561" s="153" t="n">
        <x:v>4.15</x:v>
      </x:c>
      <x:c r="C3561" s="153" t="n">
        <x:v>1.8</x:v>
      </x:c>
      <x:c r="D3561" s="153" t="n">
        <x:v>2.35</x:v>
      </x:c>
      <x:c r="E3561" s="153" t="n">
        <x:v>120.115</x:v>
      </x:c>
      <x:c r="F3561" s="153" t="n">
        <x:v>16.12</x:v>
      </x:c>
      <x:c r="G3561" s="153" t="n">
        <x:v>4.09</x:v>
      </x:c>
    </x:row>
    <x:row r="3562">
      <x:c r="A3562" s="155" t="n">
        <x:v>45930</x:v>
      </x:c>
      <x:c r="B3562" s="153" t="n">
        <x:v>4.16</x:v>
      </x:c>
      <x:c r="C3562" s="153" t="n">
        <x:v>1.8</x:v>
      </x:c>
      <x:c r="D3562" s="153" t="n">
        <x:v>2.36</x:v>
      </x:c>
      <x:c r="E3562" s="153" t="n">
        <x:v>120.1368</x:v>
      </x:c>
      <x:c r="F3562" s="153" t="n">
        <x:v>16.28</x:v>
      </x:c>
      <x:c r="G3562" s="153" t="n">
        <x:v>4.09</x:v>
      </x:c>
    </x:row>
    <x:row r="3563">
      <x:c r="A3563" s="155" t="n">
        <x:v>45931</x:v>
      </x:c>
      <x:c r="B3563" s="153" t="n">
        <x:v>4.12</x:v>
      </x:c>
      <x:c r="C3563" s="153" t="n">
        <x:v>1.77</x:v>
      </x:c>
      <x:c r="D3563" s="153" t="n">
        <x:v>2.35</x:v>
      </x:c>
      <x:c r="E3563" s="153" t="n">
        <x:v>120.1502</x:v>
      </x:c>
      <x:c r="F3563" s="153" t="n">
        <x:v>16.29</x:v>
      </x:c>
      <x:c r="G3563" s="153" t="n">
        <x:v>4.09</x:v>
      </x:c>
    </x:row>
    <x:row r="3564">
      <x:c r="A3564" s="155" t="n">
        <x:v>45932</x:v>
      </x:c>
      <x:c r="B3564" s="153" t="n">
        <x:v>4.1</x:v>
      </x:c>
      <x:c r="C3564" s="153" t="n">
        <x:v>1.76</x:v>
      </x:c>
      <x:c r="D3564" s="153" t="n">
        <x:v>2.34</x:v>
      </x:c>
      <x:c r="E3564" s="153" t="n">
        <x:v>120.4296</x:v>
      </x:c>
      <x:c r="F3564" s="153" t="n">
        <x:v>16.63</x:v>
      </x:c>
      <x:c r="G3564" s="153" t="n">
        <x:v>4.09</x:v>
      </x:c>
    </x:row>
    <x:row r="3565">
      <x:c r="A3565" s="155" t="n">
        <x:v>45933</x:v>
      </x:c>
      <x:c r="B3565" s="153" t="n">
        <x:v>4.13</x:v>
      </x:c>
      <x:c r="C3565" s="153" t="n">
        <x:v>1.8</x:v>
      </x:c>
      <x:c r="D3565" s="153" t="n">
        <x:v>2.33</x:v>
      </x:c>
      <x:c r="E3565" s="153" t="n">
        <x:v>120.0881</x:v>
      </x:c>
      <x:c r="F3565" s="153" t="n">
        <x:v>16.65</x:v>
      </x:c>
      <x:c r="G3565" s="153" t="n">
        <x:v>4.09</x:v>
      </x:c>
    </x:row>
    <x:row r="3566">
      <x:c r="A3566" s="155" t="n">
        <x:v>45934</x:v>
      </x:c>
      <x:c r="B3566" s="153"/>
      <x:c r="C3566" s="153"/>
      <x:c r="D3566" s="153"/>
      <x:c r="E3566" s="153"/>
      <x:c r="F3566" s="153"/>
      <x:c r="G3566" s="153" t="n">
        <x:v>4.09</x:v>
      </x:c>
    </x:row>
    <x:row r="3567">
      <x:c r="A3567" s="155" t="n">
        <x:v>45935</x:v>
      </x:c>
      <x:c r="B3567" s="153"/>
      <x:c r="C3567" s="153"/>
      <x:c r="D3567" s="153"/>
      <x:c r="E3567" s="153"/>
      <x:c r="F3567" s="153"/>
      <x:c r="G3567" s="153" t="n">
        <x:v>4.09</x:v>
      </x:c>
    </x:row>
    <x:row r="3568">
      <x:c r="A3568" s="155" t="n">
        <x:v>45936</x:v>
      </x:c>
      <x:c r="B3568" s="153" t="n">
        <x:v>4.18</x:v>
      </x:c>
      <x:c r="C3568" s="153" t="n">
        <x:v>1.84</x:v>
      </x:c>
      <x:c r="D3568" s="153" t="n">
        <x:v>2.34</x:v>
      </x:c>
      <x:c r="E3568" s="153" t="n">
        <x:v>120.2722</x:v>
      </x:c>
      <x:c r="F3568" s="153" t="n">
        <x:v>16.37</x:v>
      </x:c>
      <x:c r="G3568" s="153" t="n">
        <x:v>4.09</x:v>
      </x:c>
    </x:row>
    <x:row r="3569">
      <x:c r="A3569" s="155" t="n">
        <x:v>45937</x:v>
      </x:c>
      <x:c r="B3569" s="153" t="n">
        <x:v>4.14</x:v>
      </x:c>
      <x:c r="C3569" s="153" t="n">
        <x:v>1.79</x:v>
      </x:c>
      <x:c r="D3569" s="153" t="n">
        <x:v>2.35</x:v>
      </x:c>
      <x:c r="E3569" s="153" t="n">
        <x:v>120.4884</x:v>
      </x:c>
      <x:c r="F3569" s="153" t="n">
        <x:v>17.24</x:v>
      </x:c>
      <x:c r="G3569" s="153" t="n">
        <x:v>4.09</x:v>
      </x:c>
    </x:row>
    <x:row r="3570">
      <x:c r="A3570" s="155" t="n">
        <x:v>45938</x:v>
      </x:c>
      <x:c r="B3570" s="153" t="n">
        <x:v>4.13</x:v>
      </x:c>
      <x:c r="C3570" s="153" t="n">
        <x:v>1.78</x:v>
      </x:c>
      <x:c r="D3570" s="153" t="n">
        <x:v>2.35</x:v>
      </x:c>
      <x:c r="E3570" s="153" t="n">
        <x:v>120.7766</x:v>
      </x:c>
      <x:c r="F3570" s="153" t="n">
        <x:v>16.3</x:v>
      </x:c>
      <x:c r="G3570" s="153" t="n">
        <x:v>4.1</x:v>
      </x:c>
    </x:row>
    <x:row r="3571">
      <x:c r="A3571" s="155" t="n">
        <x:v>45939</x:v>
      </x:c>
      <x:c r="B3571" s="153" t="n">
        <x:v>4.14</x:v>
      </x:c>
      <x:c r="C3571" s="153" t="n">
        <x:v>1.8</x:v>
      </x:c>
      <x:c r="D3571" s="153" t="n">
        <x:v>2.34</x:v>
      </x:c>
      <x:c r="E3571" s="153" t="n">
        <x:v>121.0902</x:v>
      </x:c>
      <x:c r="F3571" s="153" t="n">
        <x:v>16.43</x:v>
      </x:c>
      <x:c r="G3571" s="153" t="n">
        <x:v>4.1</x:v>
      </x:c>
    </x:row>
    <x:row r="3572">
      <x:c r="A3572" s="155" t="n">
        <x:v>45940</x:v>
      </x:c>
      <x:c r="B3572" s="153" t="n">
        <x:v>4.05</x:v>
      </x:c>
      <x:c r="C3572" s="153" t="n">
        <x:v>1.75</x:v>
      </x:c>
      <x:c r="D3572" s="153" t="n">
        <x:v>2.3</x:v>
      </x:c>
      <x:c r="E3572" s="153" t="n">
        <x:v>121.1163</x:v>
      </x:c>
      <x:c r="F3572" s="153" t="n">
        <x:v>21.66</x:v>
      </x:c>
      <x:c r="G3572" s="153" t="n">
        <x:v>4.1</x:v>
      </x:c>
    </x:row>
    <x:row r="3573">
      <x:c r="A3573" s="155" t="n">
        <x:v>45941</x:v>
      </x:c>
      <x:c r="B3573" s="153"/>
      <x:c r="C3573" s="153"/>
      <x:c r="D3573" s="153"/>
      <x:c r="E3573" s="153"/>
      <x:c r="F3573" s="153"/>
      <x:c r="G3573" s="153" t="n">
        <x:v>4.1</x:v>
      </x:c>
    </x:row>
    <x:row r="3574">
      <x:c r="A3574" s="155" t="n">
        <x:v>45942</x:v>
      </x:c>
      <x:c r="B3574" s="153"/>
      <x:c r="C3574" s="153"/>
      <x:c r="D3574" s="153"/>
      <x:c r="E3574" s="153"/>
      <x:c r="F3574" s="153"/>
      <x:c r="G3574" s="153" t="n">
        <x:v>4.1</x:v>
      </x:c>
    </x:row>
    <x:row r="3575">
      <x:c r="A3575" s="155" t="n">
        <x:v>45943</x:v>
      </x:c>
      <x:c r="B3575" s="153"/>
      <x:c r="C3575" s="153"/>
      <x:c r="D3575" s="153"/>
      <x:c r="E3575" s="153"/>
      <x:c r="F3575" s="153" t="n">
        <x:v>19.03</x:v>
      </x:c>
      <x:c r="G3575" s="153" t="n">
        <x:v>4.1</x:v>
      </x:c>
    </x:row>
    <x:row r="3576">
      <x:c r="A3576" s="155" t="n">
        <x:v>45944</x:v>
      </x:c>
      <x:c r="B3576" s="153" t="n">
        <x:v>4.03</x:v>
      </x:c>
      <x:c r="C3576" s="153" t="n">
        <x:v>1.73</x:v>
      </x:c>
      <x:c r="D3576" s="153" t="n">
        <x:v>2.3</x:v>
      </x:c>
      <x:c r="E3576" s="153" t="n">
        <x:v>121.1822</x:v>
      </x:c>
      <x:c r="F3576" s="153" t="n">
        <x:v>20.81</x:v>
      </x:c>
      <x:c r="G3576" s="153" t="n">
        <x:v>4.1</x:v>
      </x:c>
    </x:row>
    <x:row r="3577">
      <x:c r="A3577" s="155" t="n">
        <x:v>45945</x:v>
      </x:c>
      <x:c r="B3577" s="153" t="n">
        <x:v>4.05</x:v>
      </x:c>
      <x:c r="C3577" s="153" t="n">
        <x:v>1.76</x:v>
      </x:c>
      <x:c r="D3577" s="153" t="n">
        <x:v>2.29</x:v>
      </x:c>
      <x:c r="E3577" s="153" t="n">
        <x:v>120.8642</x:v>
      </x:c>
      <x:c r="F3577" s="153" t="n">
        <x:v>20.64</x:v>
      </x:c>
      <x:c r="G3577" s="153" t="n">
        <x:v>4.1</x:v>
      </x:c>
    </x:row>
    <x:row r="3578">
      <x:c r="A3578" s="155" t="n">
        <x:v>45946</x:v>
      </x:c>
      <x:c r="B3578" s="153" t="n">
        <x:v>3.99</x:v>
      </x:c>
      <x:c r="C3578" s="153" t="n">
        <x:v>1.71</x:v>
      </x:c>
      <x:c r="D3578" s="153" t="n">
        <x:v>2.28</x:v>
      </x:c>
      <x:c r="E3578" s="153" t="n">
        <x:v>120.6698</x:v>
      </x:c>
      <x:c r="F3578" s="153" t="n">
        <x:v>25.31</x:v>
      </x:c>
      <x:c r="G3578" s="153" t="n">
        <x:v>4.11</x:v>
      </x:c>
    </x:row>
    <x:row r="3579">
      <x:c r="A3579" s="155" t="n">
        <x:v>45947</x:v>
      </x:c>
      <x:c r="B3579" s="153" t="n">
        <x:v>4.02</x:v>
      </x:c>
      <x:c r="C3579" s="153" t="n">
        <x:v>1.75</x:v>
      </x:c>
      <x:c r="D3579" s="153" t="n">
        <x:v>2.27</x:v>
      </x:c>
      <x:c r="E3579" s="153" t="n">
        <x:v>120.7028</x:v>
      </x:c>
      <x:c r="F3579" s="153" t="n">
        <x:v>20.78</x:v>
      </x:c>
      <x:c r="G3579" s="153" t="n">
        <x:v>4.11</x:v>
      </x:c>
    </x:row>
    <x:row r="3580">
      <x:c r="A3580" s="155" t="n">
        <x:v>45948</x:v>
      </x:c>
      <x:c r="B3580" s="153"/>
      <x:c r="C3580" s="153"/>
      <x:c r="D3580" s="153"/>
      <x:c r="E3580" s="153"/>
      <x:c r="F3580" s="153"/>
      <x:c r="G3580" s="153" t="n">
        <x:v>4.11</x:v>
      </x:c>
    </x:row>
    <x:row r="3581">
      <x:c r="A3581" s="155" t="n">
        <x:v>45949</x:v>
      </x:c>
      <x:c r="B3581" s="153"/>
      <x:c r="C3581" s="153"/>
      <x:c r="D3581" s="153"/>
      <x:c r="E3581" s="153"/>
      <x:c r="F3581" s="153"/>
      <x:c r="G3581" s="153" t="n">
        <x:v>4.11</x:v>
      </x:c>
    </x:row>
    <x:row r="3582">
      <x:c r="A3582" s="155" t="n">
        <x:v>45950</x:v>
      </x:c>
      <x:c r="B3582" s="153" t="n">
        <x:v>4</x:v>
      </x:c>
      <x:c r="C3582" s="153" t="n">
        <x:v>1.74</x:v>
      </x:c>
      <x:c r="D3582" s="153" t="n">
        <x:v>2.26</x:v>
      </x:c>
      <x:c r="E3582" s="153" t="n">
        <x:v>120.6209</x:v>
      </x:c>
      <x:c r="F3582" s="153" t="n">
        <x:v>18.23</x:v>
      </x:c>
      <x:c r="G3582" s="153" t="n">
        <x:v>4.11</x:v>
      </x:c>
    </x:row>
    <x:row r="3583">
      <x:c r="A3583" s="155" t="n">
        <x:v>45951</x:v>
      </x:c>
      <x:c r="B3583" s="153" t="n">
        <x:v>3.98</x:v>
      </x:c>
      <x:c r="C3583" s="153" t="n">
        <x:v>1.7</x:v>
      </x:c>
      <x:c r="D3583" s="153" t="n">
        <x:v>2.28</x:v>
      </x:c>
      <x:c r="E3583" s="153" t="n">
        <x:v>120.8895</x:v>
      </x:c>
      <x:c r="F3583" s="153" t="n">
        <x:v>17.87</x:v>
      </x:c>
      <x:c r="G3583" s="153" t="n">
        <x:v>4.11</x:v>
      </x:c>
    </x:row>
    <x:row r="3584">
      <x:c r="A3584" s="155" t="n">
        <x:v>45952</x:v>
      </x:c>
      <x:c r="B3584" s="153" t="n">
        <x:v>3.97</x:v>
      </x:c>
      <x:c r="C3584" s="153" t="n">
        <x:v>1.68</x:v>
      </x:c>
      <x:c r="D3584" s="153" t="n">
        <x:v>2.29</x:v>
      </x:c>
      <x:c r="E3584" s="153" t="n">
        <x:v>120.8958</x:v>
      </x:c>
      <x:c r="F3584" s="153" t="n">
        <x:v>18.6</x:v>
      </x:c>
      <x:c r="G3584" s="153" t="n">
        <x:v>4.11</x:v>
      </x:c>
    </x:row>
    <x:row r="3585">
      <x:c r="A3585" s="155" t="n">
        <x:v>45953</x:v>
      </x:c>
      <x:c r="B3585" s="153" t="n">
        <x:v>4.01</x:v>
      </x:c>
      <x:c r="C3585" s="153" t="n">
        <x:v>1.71</x:v>
      </x:c>
      <x:c r="D3585" s="153" t="n">
        <x:v>2.3</x:v>
      </x:c>
      <x:c r="E3585" s="153" t="n">
        <x:v>120.9531</x:v>
      </x:c>
      <x:c r="F3585" s="153" t="n">
        <x:v>17.3</x:v>
      </x:c>
      <x:c r="G3585" s="153" t="n">
        <x:v>4.11</x:v>
      </x:c>
    </x:row>
    <x:row r="3586">
      <x:c r="A3586" s="155" t="n">
        <x:v>45954</x:v>
      </x:c>
      <x:c r="B3586" s="153" t="n">
        <x:v>4.02</x:v>
      </x:c>
      <x:c r="C3586" s="153" t="n">
        <x:v>1.73</x:v>
      </x:c>
      <x:c r="D3586" s="153" t="n">
        <x:v>2.29</x:v>
      </x:c>
      <x:c r="E3586" s="153" t="n">
        <x:v>120.9345</x:v>
      </x:c>
      <x:c r="F3586" s="153" t="n">
        <x:v>16.37</x:v>
      </x:c>
      <x:c r="G3586" s="153" t="n">
        <x:v>4.11</x:v>
      </x:c>
    </x:row>
    <x:row r="3587">
      <x:c r="A3587" s="155" t="n">
        <x:v>45955</x:v>
      </x:c>
      <x:c r="B3587" s="153"/>
      <x:c r="C3587" s="153"/>
      <x:c r="D3587" s="153"/>
      <x:c r="E3587" s="153"/>
      <x:c r="F3587" s="153"/>
      <x:c r="G3587" s="153" t="n">
        <x:v>4.11</x:v>
      </x:c>
    </x:row>
    <x:row r="3588">
      <x:c r="A3588" s="155" t="n">
        <x:v>45956</x:v>
      </x:c>
      <x:c r="B3588" s="153"/>
      <x:c r="C3588" s="153"/>
      <x:c r="D3588" s="153"/>
      <x:c r="E3588" s="153"/>
      <x:c r="F3588" s="153"/>
      <x:c r="G3588" s="153" t="n">
        <x:v>4.11</x:v>
      </x:c>
    </x:row>
    <x:row r="3589">
      <x:c r="A3589" s="155" t="n">
        <x:v>45957</x:v>
      </x:c>
      <x:c r="B3589" s="153" t="n">
        <x:v>4.01</x:v>
      </x:c>
      <x:c r="C3589" s="153" t="n">
        <x:v>1.73</x:v>
      </x:c>
      <x:c r="D3589" s="153" t="n">
        <x:v>2.28</x:v>
      </x:c>
      <x:c r="E3589" s="153" t="n">
        <x:v>120.7988</x:v>
      </x:c>
      <x:c r="F3589" s="153" t="n">
        <x:v>15.79</x:v>
      </x:c>
      <x:c r="G3589" s="153" t="n">
        <x:v>4.12</x:v>
      </x:c>
    </x:row>
    <x:row r="3590">
      <x:c r="A3590" s="155" t="n">
        <x:v>45958</x:v>
      </x:c>
      <x:c r="B3590" s="153" t="n">
        <x:v>3.99</x:v>
      </x:c>
      <x:c r="C3590" s="153" t="n">
        <x:v>1.71</x:v>
      </x:c>
      <x:c r="D3590" s="153" t="n">
        <x:v>2.28</x:v>
      </x:c>
      <x:c r="E3590" s="153" t="n">
        <x:v>120.6361</x:v>
      </x:c>
      <x:c r="F3590" s="153" t="n">
        <x:v>16.42</x:v>
      </x:c>
      <x:c r="G3590" s="153" t="n">
        <x:v>4.12</x:v>
      </x:c>
    </x:row>
    <x:row r="3591">
      <x:c r="A3591" s="155" t="n">
        <x:v>45959</x:v>
      </x:c>
      <x:c r="B3591" s="153" t="n">
        <x:v>4.08</x:v>
      </x:c>
      <x:c r="C3591" s="153" t="n">
        <x:v>1.78</x:v>
      </x:c>
      <x:c r="D3591" s="153" t="n">
        <x:v>2.3</x:v>
      </x:c>
      <x:c r="E3591" s="153" t="n">
        <x:v>120.5312</x:v>
      </x:c>
      <x:c r="F3591" s="153" t="n">
        <x:v>16.92</x:v>
      </x:c>
      <x:c r="G3591" s="153" t="n">
        <x:v>4.12</x:v>
      </x:c>
    </x:row>
    <x:row r="3592">
      <x:c r="A3592" s="155" t="n">
        <x:v>45960</x:v>
      </x:c>
      <x:c r="B3592" s="153" t="n">
        <x:v>4.11</x:v>
      </x:c>
      <x:c r="C3592" s="153" t="n">
        <x:v>1.82</x:v>
      </x:c>
      <x:c r="D3592" s="153" t="n">
        <x:v>2.29</x:v>
      </x:c>
      <x:c r="E3592" s="153" t="n">
        <x:v>121.2832</x:v>
      </x:c>
      <x:c r="F3592" s="153" t="n">
        <x:v>16.91</x:v>
      </x:c>
      <x:c r="G3592" s="153" t="n">
        <x:v>3.87</x:v>
      </x:c>
    </x:row>
    <x:row r="3593">
      <x:c r="A3593" s="155" t="n">
        <x:v>45961</x:v>
      </x:c>
      <x:c r="B3593" s="153" t="n">
        <x:v>4.11</x:v>
      </x:c>
      <x:c r="C3593" s="153" t="n">
        <x:v>1.81</x:v>
      </x:c>
      <x:c r="D3593" s="153" t="n">
        <x:v>2.3</x:v>
      </x:c>
      <x:c r="E3593" s="153" t="n">
        <x:v>121.3859</x:v>
      </x:c>
      <x:c r="F3593" s="153" t="n">
        <x:v>17.44</x:v>
      </x:c>
      <x:c r="G3593" s="153" t="n">
        <x:v>3.86</x:v>
      </x:c>
    </x:row>
    <x:row r="3594">
      <x:c r="A3594" s="155" t="n">
        <x:v>45962</x:v>
      </x:c>
      <x:c r="B3594" s="153"/>
      <x:c r="C3594" s="153"/>
      <x:c r="D3594" s="153"/>
      <x:c r="E3594" s="153"/>
      <x:c r="F3594" s="153"/>
      <x:c r="G3594" s="153" t="n">
        <x:v>3.86</x:v>
      </x:c>
    </x:row>
    <x:row r="3595">
      <x:c r="A3595" s="155" t="n">
        <x:v>45963</x:v>
      </x:c>
      <x:c r="B3595" s="153"/>
      <x:c r="C3595" s="153"/>
      <x:c r="D3595" s="153"/>
      <x:c r="E3595" s="153"/>
      <x:c r="F3595" s="153"/>
      <x:c r="G3595" s="153" t="n">
        <x:v>3.86</x:v>
      </x:c>
    </x:row>
    <x:row r="3596">
      <x:c r="A3596" s="155" t="n">
        <x:v>45964</x:v>
      </x:c>
      <x:c r="B3596" s="153" t="n">
        <x:v>4.13</x:v>
      </x:c>
      <x:c r="C3596" s="153" t="n">
        <x:v>1.82</x:v>
      </x:c>
      <x:c r="D3596" s="153" t="n">
        <x:v>2.31</x:v>
      </x:c>
      <x:c r="E3596" s="153" t="n">
        <x:v>121.4512</x:v>
      </x:c>
      <x:c r="F3596" s="153" t="n">
        <x:v>17.17</x:v>
      </x:c>
      <x:c r="G3596" s="153" t="n">
        <x:v>3.87</x:v>
      </x:c>
    </x:row>
    <x:row r="3597">
      <x:c r="A3597" s="155" t="n">
        <x:v>45965</x:v>
      </x:c>
      <x:c r="B3597" s="153" t="n">
        <x:v>4.1</x:v>
      </x:c>
      <x:c r="C3597" s="153" t="n">
        <x:v>1.81</x:v>
      </x:c>
      <x:c r="D3597" s="153" t="n">
        <x:v>2.29</x:v>
      </x:c>
      <x:c r="E3597" s="153" t="n">
        <x:v>121.8271</x:v>
      </x:c>
      <x:c r="F3597" s="153" t="n">
        <x:v>19</x:v>
      </x:c>
      <x:c r="G3597" s="153" t="n">
        <x:v>3.87</x:v>
      </x:c>
    </x:row>
    <x:row r="3598">
      <x:c r="A3598" s="155" t="n">
        <x:v>45966</x:v>
      </x:c>
      <x:c r="B3598" s="153" t="n">
        <x:v>4.17</x:v>
      </x:c>
      <x:c r="C3598" s="153" t="n">
        <x:v>1.87</x:v>
      </x:c>
      <x:c r="D3598" s="153" t="n">
        <x:v>2.3</x:v>
      </x:c>
      <x:c r="E3598" s="153" t="n">
        <x:v>121.8482</x:v>
      </x:c>
      <x:c r="F3598" s="153" t="n">
        <x:v>18.01</x:v>
      </x:c>
      <x:c r="G3598" s="153" t="n">
        <x:v>3.87</x:v>
      </x:c>
    </x:row>
    <x:row r="3599">
      <x:c r="A3599" s="155" t="n">
        <x:v>45967</x:v>
      </x:c>
      <x:c r="B3599" s="153" t="n">
        <x:v>4.11</x:v>
      </x:c>
      <x:c r="C3599" s="153" t="n">
        <x:v>1.83</x:v>
      </x:c>
      <x:c r="D3599" s="153" t="n">
        <x:v>2.28</x:v>
      </x:c>
      <x:c r="E3599" s="153" t="n">
        <x:v>121.6948</x:v>
      </x:c>
      <x:c r="F3599" s="153" t="n">
        <x:v>19.5</x:v>
      </x:c>
      <x:c r="G3599" s="153" t="n">
        <x:v>3.87</x:v>
      </x:c>
    </x:row>
    <x:row r="3600">
      <x:c r="A3600" s="155" t="n">
        <x:v>45968</x:v>
      </x:c>
      <x:c r="B3600" s="153" t="n">
        <x:v>4.11</x:v>
      </x:c>
      <x:c r="C3600" s="153" t="n">
        <x:v>1.83</x:v>
      </x:c>
      <x:c r="D3600" s="153" t="n">
        <x:v>2.28</x:v>
      </x:c>
      <x:c r="E3600" s="153" t="n">
        <x:v>121.388</x:v>
      </x:c>
      <x:c r="F3600" s="153" t="n">
        <x:v>19.08</x:v>
      </x:c>
      <x:c r="G3600" s="153" t="n">
        <x:v>3.87</x:v>
      </x:c>
    </x:row>
    <x:row r="3601">
      <x:c r="A3601" s="155" t="n">
        <x:v>45969</x:v>
      </x:c>
      <x:c r="B3601" s="153"/>
      <x:c r="C3601" s="153"/>
      <x:c r="D3601" s="153"/>
      <x:c r="E3601" s="153"/>
      <x:c r="F3601" s="153"/>
      <x:c r="G3601" s="153" t="n">
        <x:v>3.87</x:v>
      </x:c>
    </x:row>
    <x:row r="3602">
      <x:c r="A3602" s="155" t="n">
        <x:v>45970</x:v>
      </x:c>
      <x:c r="B3602" s="153"/>
      <x:c r="C3602" s="153"/>
      <x:c r="D3602" s="153"/>
      <x:c r="E3602" s="153"/>
      <x:c r="F3602" s="153"/>
      <x:c r="G3602" s="153" t="n">
        <x:v>3.87</x:v>
      </x:c>
    </x:row>
    <x:row r="3603">
      <x:c r="A3603" s="155" t="n">
        <x:v>45971</x:v>
      </x:c>
      <x:c r="B3603" s="153" t="n">
        <x:v>4.13</x:v>
      </x:c>
      <x:c r="C3603" s="153" t="n">
        <x:v>1.84</x:v>
      </x:c>
      <x:c r="D3603" s="153" t="n">
        <x:v>2.29</x:v>
      </x:c>
      <x:c r="E3603" s="153" t="n">
        <x:v>121.2984</x:v>
      </x:c>
      <x:c r="F3603" s="153" t="n">
        <x:v>17.6</x:v>
      </x:c>
      <x:c r="G3603" s="153" t="n">
        <x:v>3.87</x:v>
      </x:c>
    </x:row>
    <x:row r="3604">
      <x:c r="A3604" s="155" t="n">
        <x:v>45972</x:v>
      </x:c>
      <x:c r="B3604" s="153"/>
      <x:c r="C3604" s="153"/>
      <x:c r="D3604" s="153"/>
      <x:c r="E3604" s="153"/>
      <x:c r="F3604" s="153" t="n">
        <x:v>17.28</x:v>
      </x:c>
      <x:c r="G3604" s="153" t="n">
        <x:v>3.87</x:v>
      </x:c>
    </x:row>
    <x:row r="3605">
      <x:c r="A3605" s="155" t="n">
        <x:v>45973</x:v>
      </x:c>
      <x:c r="B3605" s="153" t="n">
        <x:v>4.08</x:v>
      </x:c>
      <x:c r="C3605" s="153" t="n">
        <x:v>1.81</x:v>
      </x:c>
      <x:c r="D3605" s="153" t="n">
        <x:v>2.27</x:v>
      </x:c>
      <x:c r="E3605" s="153" t="n">
        <x:v>121.0458</x:v>
      </x:c>
      <x:c r="F3605" s="153" t="n">
        <x:v>17.51</x:v>
      </x:c>
      <x:c r="G3605" s="153" t="n">
        <x:v>3.87</x:v>
      </x:c>
    </x:row>
    <x:row r="3606">
      <x:c r="A3606" s="155" t="n">
        <x:v>45974</x:v>
      </x:c>
      <x:c r="B3606" s="153" t="n">
        <x:v>4.11</x:v>
      </x:c>
      <x:c r="C3606" s="153" t="n">
        <x:v>1.83</x:v>
      </x:c>
      <x:c r="D3606" s="153" t="n">
        <x:v>2.28</x:v>
      </x:c>
      <x:c r="E3606" s="153" t="n">
        <x:v>120.7725</x:v>
      </x:c>
      <x:c r="F3606" s="153" t="n">
        <x:v>20</x:v>
      </x:c>
      <x:c r="G3606" s="153" t="n">
        <x:v>3.88</x:v>
      </x:c>
    </x:row>
    <x:row r="3607">
      <x:c r="A3607" s="155" t="n">
        <x:v>45975</x:v>
      </x:c>
      <x:c r="B3607" s="153" t="n">
        <x:v>4.14</x:v>
      </x:c>
      <x:c r="C3607" s="153" t="n">
        <x:v>1.86</x:v>
      </x:c>
      <x:c r="D3607" s="153" t="n">
        <x:v>2.28</x:v>
      </x:c>
      <x:c r="E3607" s="153" t="n">
        <x:v>120.9666</x:v>
      </x:c>
      <x:c r="F3607" s="153" t="n">
        <x:v>19.83</x:v>
      </x:c>
      <x:c r="G3607" s="153" t="n">
        <x:v>3.88</x:v>
      </x:c>
    </x:row>
    <x:row r="3608">
      <x:c r="A3608" s="155" t="n">
        <x:v>45976</x:v>
      </x:c>
      <x:c r="B3608" s="153"/>
      <x:c r="C3608" s="153"/>
      <x:c r="D3608" s="153"/>
      <x:c r="E3608" s="153"/>
      <x:c r="F3608" s="153"/>
      <x:c r="G3608" s="153" t="n">
        <x:v>3.88</x:v>
      </x:c>
    </x:row>
    <x:row r="3609">
      <x:c r="A3609" s="155" t="n">
        <x:v>45977</x:v>
      </x:c>
      <x:c r="B3609" s="153"/>
      <x:c r="C3609" s="153"/>
      <x:c r="D3609" s="153"/>
      <x:c r="E3609" s="153"/>
      <x:c r="F3609" s="153"/>
      <x:c r="G3609" s="153" t="n">
        <x:v>3.88</x:v>
      </x:c>
    </x:row>
    <x:row r="3610">
      <x:c r="A3610" s="155" t="n">
        <x:v>45978</x:v>
      </x:c>
      <x:c r="B3610" s="153" t="n">
        <x:v>4.13</x:v>
      </x:c>
      <x:c r="C3610" s="153" t="n">
        <x:v>1.85</x:v>
      </x:c>
      <x:c r="D3610" s="153" t="n">
        <x:v>2.28</x:v>
      </x:c>
      <x:c r="E3610" s="153" t="n">
        <x:v>121.1146</x:v>
      </x:c>
      <x:c r="F3610" s="153" t="n">
        <x:v>22.38</x:v>
      </x:c>
      <x:c r="G3610" s="153" t="n">
        <x:v>3.88</x:v>
      </x:c>
    </x:row>
    <x:row r="3611">
      <x:c r="A3611" s="155" t="n">
        <x:v>45979</x:v>
      </x:c>
      <x:c r="B3611" s="153" t="n">
        <x:v>4.12</x:v>
      </x:c>
      <x:c r="C3611" s="153" t="n">
        <x:v>1.85</x:v>
      </x:c>
      <x:c r="D3611" s="153" t="n">
        <x:v>2.27</x:v>
      </x:c>
      <x:c r="E3611" s="153" t="n">
        <x:v>121.2127</x:v>
      </x:c>
      <x:c r="F3611" s="153" t="n">
        <x:v>24.69</x:v>
      </x:c>
      <x:c r="G3611" s="153" t="n">
        <x:v>3.88</x:v>
      </x:c>
    </x:row>
    <x:row r="3612">
      <x:c r="A3612" s="155" t="n">
        <x:v>45980</x:v>
      </x:c>
      <x:c r="B3612" s="153" t="n">
        <x:v>4.13</x:v>
      </x:c>
      <x:c r="C3612" s="153" t="n">
        <x:v>1.86</x:v>
      </x:c>
      <x:c r="D3612" s="153" t="n">
        <x:v>2.27</x:v>
      </x:c>
      <x:c r="E3612" s="153" t="n">
        <x:v>121.4978</x:v>
      </x:c>
      <x:c r="F3612" s="153" t="n">
        <x:v>23.66</x:v>
      </x:c>
      <x:c r="G3612" s="153" t="n">
        <x:v>3.88</x:v>
      </x:c>
    </x:row>
    <x:row r="3613">
      <x:c r="A3613" s="155" t="n">
        <x:v>45981</x:v>
      </x:c>
      <x:c r="B3613" s="153" t="n">
        <x:v>4.1</x:v>
      </x:c>
      <x:c r="C3613" s="153" t="n">
        <x:v>1.86</x:v>
      </x:c>
      <x:c r="D3613" s="153" t="n">
        <x:v>2.24</x:v>
      </x:c>
      <x:c r="E3613" s="153" t="n">
        <x:v>121.6889</x:v>
      </x:c>
      <x:c r="F3613" s="153" t="n">
        <x:v>26.42</x:v>
      </x:c>
      <x:c r="G3613" s="153" t="n">
        <x:v>3.88</x:v>
      </x:c>
    </x:row>
    <x:row r="3614">
      <x:c r="A3614" s="155" t="n">
        <x:v>45982</x:v>
      </x:c>
      <x:c r="B3614" s="153" t="n">
        <x:v>4.06</x:v>
      </x:c>
      <x:c r="C3614" s="153" t="n">
        <x:v>1.82</x:v>
      </x:c>
      <x:c r="D3614" s="153" t="n">
        <x:v>2.24</x:v>
      </x:c>
      <x:c r="E3614" s="153" t="n">
        <x:v>121.8653</x:v>
      </x:c>
      <x:c r="F3614" s="153" t="n">
        <x:v>23.43</x:v>
      </x:c>
      <x:c r="G3614" s="153" t="n">
        <x:v>3.88</x:v>
      </x:c>
    </x:row>
    <x:row r="3615">
      <x:c r="A3615" s="155" t="n">
        <x:v>45983</x:v>
      </x:c>
      <x:c r="B3615" s="153"/>
      <x:c r="C3615" s="153"/>
      <x:c r="D3615" s="153"/>
      <x:c r="E3615" s="153"/>
      <x:c r="F3615" s="153"/>
      <x:c r="G3615" s="153" t="n">
        <x:v>3.88</x:v>
      </x:c>
    </x:row>
    <x:row r="3616">
      <x:c r="A3616" s="155" t="n">
        <x:v>45984</x:v>
      </x:c>
      <x:c r="B3616" s="153"/>
      <x:c r="C3616" s="153"/>
      <x:c r="D3616" s="153"/>
      <x:c r="E3616" s="153"/>
      <x:c r="F3616" s="153"/>
      <x:c r="G3616" s="153" t="n">
        <x:v>3.88</x:v>
      </x:c>
    </x:row>
    <x:row r="3617">
      <x:c r="A3617" s="155" t="n">
        <x:v>45985</x:v>
      </x:c>
      <x:c r="B3617" s="153" t="n">
        <x:v>4.04</x:v>
      </x:c>
      <x:c r="C3617" s="153" t="n">
        <x:v>1.81</x:v>
      </x:c>
      <x:c r="D3617" s="153" t="n">
        <x:v>2.23</x:v>
      </x:c>
      <x:c r="E3617" s="153" t="n">
        <x:v>121.9171</x:v>
      </x:c>
      <x:c r="F3617" s="153" t="n">
        <x:v>20.52</x:v>
      </x:c>
      <x:c r="G3617" s="153" t="n">
        <x:v>3.88</x:v>
      </x:c>
    </x:row>
    <x:row r="3618">
      <x:c r="A3618" s="155" t="n">
        <x:v>45986</x:v>
      </x:c>
      <x:c r="B3618" s="153" t="n">
        <x:v>4.01</x:v>
      </x:c>
      <x:c r="C3618" s="153" t="n">
        <x:v>1.79</x:v>
      </x:c>
      <x:c r="D3618" s="153" t="n">
        <x:v>2.22</x:v>
      </x:c>
      <x:c r="E3618" s="153" t="n">
        <x:v>121.6335</x:v>
      </x:c>
      <x:c r="F3618" s="153" t="n">
        <x:v>18.56</x:v>
      </x:c>
      <x:c r="G3618" s="153" t="n">
        <x:v>3.88</x:v>
      </x:c>
    </x:row>
    <x:row r="3619">
      <x:c r="A3619" s="155" t="n">
        <x:v>45987</x:v>
      </x:c>
      <x:c r="B3619" s="153" t="n">
        <x:v>4</x:v>
      </x:c>
      <x:c r="C3619" s="153" t="n">
        <x:v>1.77</x:v>
      </x:c>
      <x:c r="D3619" s="153" t="n">
        <x:v>2.23</x:v>
      </x:c>
      <x:c r="E3619" s="153" t="n">
        <x:v>121.2437</x:v>
      </x:c>
      <x:c r="F3619" s="153" t="n">
        <x:v>17.19</x:v>
      </x:c>
      <x:c r="G3619" s="153" t="n">
        <x:v>3.88</x:v>
      </x:c>
    </x:row>
    <x:row r="3620">
      <x:c r="A3620" s="155" t="n">
        <x:v>45988</x:v>
      </x:c>
      <x:c r="B3620" s="153"/>
      <x:c r="C3620" s="153"/>
      <x:c r="D3620" s="153"/>
      <x:c r="E3620" s="153"/>
      <x:c r="F3620" s="153" t="n">
        <x:v>17.21</x:v>
      </x:c>
      <x:c r="G3620" s="153" t="n">
        <x:v>3.88</x:v>
      </x:c>
    </x:row>
    <x:row r="3621">
      <x:c r="A3621" s="155" t="n">
        <x:v>45989</x:v>
      </x:c>
      <x:c r="B3621" s="153" t="n">
        <x:v>4.02</x:v>
      </x:c>
      <x:c r="C3621" s="153" t="n">
        <x:v>1.79</x:v>
      </x:c>
      <x:c r="D3621" s="153" t="n">
        <x:v>2.23</x:v>
      </x:c>
      <x:c r="E3621" s="153" t="n">
        <x:v>121.0527</x:v>
      </x:c>
      <x:c r="F3621" s="153" t="n">
        <x:v>16.35</x:v>
      </x:c>
      <x:c r="G3621" s="153" t="n">
        <x:v>3.89</x:v>
      </x:c>
    </x:row>
    <x:row r="3622">
      <x:c r="A3622" s="155" t="n">
        <x:v>45990</x:v>
      </x:c>
      <x:c r="B3622" s="153"/>
      <x:c r="C3622" s="153"/>
      <x:c r="D3622" s="153"/>
      <x:c r="E3622" s="153"/>
      <x:c r="F3622" s="153"/>
      <x:c r="G3622" s="153" t="n">
        <x:v>3.89</x:v>
      </x:c>
    </x:row>
    <x:row r="3623">
      <x:c r="A3623" s="155" t="n">
        <x:v>45991</x:v>
      </x:c>
      <x:c r="B3623" s="153"/>
      <x:c r="C3623" s="153"/>
      <x:c r="D3623" s="153"/>
      <x:c r="E3623" s="153"/>
      <x:c r="F3623" s="153"/>
      <x:c r="G3623" s="153" t="n">
        <x:v>3.89</x:v>
      </x:c>
    </x:row>
    <x:row r="3624">
      <x:c r="A3624" s="155" t="n">
        <x:v>45992</x:v>
      </x:c>
      <x:c r="B3624" s="153" t="n">
        <x:v>4.09</x:v>
      </x:c>
      <x:c r="C3624" s="153" t="n">
        <x:v>1.85</x:v>
      </x:c>
      <x:c r="D3624" s="153" t="n">
        <x:v>2.24</x:v>
      </x:c>
      <x:c r="E3624" s="153" t="n">
        <x:v>120.9862</x:v>
      </x:c>
      <x:c r="F3624" s="153" t="n">
        <x:v>17.24</x:v>
      </x:c>
      <x:c r="G3624" s="153" t="n">
        <x:v>3.89</x:v>
      </x:c>
    </x:row>
    <x:row r="3625">
      <x:c r="A3625" s="155" t="n">
        <x:v>45993</x:v>
      </x:c>
      <x:c r="B3625" s="153" t="n">
        <x:v>4.09</x:v>
      </x:c>
      <x:c r="C3625" s="153" t="n">
        <x:v>1.85</x:v>
      </x:c>
      <x:c r="D3625" s="153" t="n">
        <x:v>2.24</x:v>
      </x:c>
      <x:c r="E3625" s="153" t="n">
        <x:v>121.1467</x:v>
      </x:c>
      <x:c r="F3625" s="153" t="n">
        <x:v>16.59</x:v>
      </x:c>
      <x:c r="G3625" s="153" t="n">
        <x:v>3.89</x:v>
      </x:c>
    </x:row>
    <x:row r="3626">
      <x:c r="A3626" s="155" t="n">
        <x:v>45994</x:v>
      </x:c>
      <x:c r="B3626" s="153" t="n">
        <x:v>4.06</x:v>
      </x:c>
      <x:c r="C3626" s="153" t="n">
        <x:v>1.82</x:v>
      </x:c>
      <x:c r="D3626" s="153" t="n">
        <x:v>2.24</x:v>
      </x:c>
      <x:c r="E3626" s="153" t="n">
        <x:v>120.7336</x:v>
      </x:c>
      <x:c r="F3626" s="153" t="n">
        <x:v>16.08</x:v>
      </x:c>
      <x:c r="G3626" s="153" t="n">
        <x:v>3.89</x:v>
      </x:c>
    </x:row>
    <x:row r="3627">
      <x:c r="A3627" s="155" t="n">
        <x:v>45995</x:v>
      </x:c>
      <x:c r="B3627" s="153" t="n">
        <x:v>4.11</x:v>
      </x:c>
      <x:c r="C3627" s="153" t="n">
        <x:v>1.85</x:v>
      </x:c>
      <x:c r="D3627" s="153" t="n">
        <x:v>2.26</x:v>
      </x:c>
      <x:c r="E3627" s="153" t="n">
        <x:v>120.6766</x:v>
      </x:c>
      <x:c r="F3627" s="153" t="n">
        <x:v>15.78</x:v>
      </x:c>
      <x:c r="G3627" s="153" t="n">
        <x:v>3.89</x:v>
      </x:c>
    </x:row>
    <x:row r="3628">
      <x:c r="A3628" s="155" t="n">
        <x:v>45996</x:v>
      </x:c>
      <x:c r="B3628" s="153" t="n">
        <x:v>4.14</x:v>
      </x:c>
      <x:c r="C3628" s="153" t="n">
        <x:v>1.88</x:v>
      </x:c>
      <x:c r="D3628" s="153" t="n">
        <x:v>2.26</x:v>
      </x:c>
      <x:c r="E3628" s="153" t="n">
        <x:v>120.6863</x:v>
      </x:c>
      <x:c r="F3628" s="153" t="n">
        <x:v>15.41</x:v>
      </x:c>
      <x:c r="G3628" s="153" t="n">
        <x:v>3.89</x:v>
      </x:c>
    </x:row>
    <x:row r="3629">
      <x:c r="A3629" s="155" t="n">
        <x:v>45997</x:v>
      </x:c>
      <x:c r="B3629" s="153"/>
      <x:c r="C3629" s="153"/>
      <x:c r="D3629" s="153"/>
      <x:c r="E3629" s="153"/>
      <x:c r="F3629" s="153"/>
      <x:c r="G3629" s="153" t="n">
        <x:v>3.89</x:v>
      </x:c>
    </x:row>
    <x:row r="3630">
      <x:c r="A3630" s="155" t="n">
        <x:v>45998</x:v>
      </x:c>
      <x:c r="B3630" s="153"/>
      <x:c r="C3630" s="153"/>
      <x:c r="D3630" s="153"/>
      <x:c r="E3630" s="153"/>
      <x:c r="F3630" s="153"/>
      <x:c r="G3630" s="153" t="n">
        <x:v>3.89</x:v>
      </x:c>
    </x:row>
    <x:row r="3631">
      <x:c r="A3631" s="155" t="n">
        <x:v>45999</x:v>
      </x:c>
      <x:c r="B3631" s="153" t="n">
        <x:v>4.17</x:v>
      </x:c>
      <x:c r="C3631" s="153" t="n">
        <x:v>1.91</x:v>
      </x:c>
      <x:c r="D3631" s="153" t="n">
        <x:v>2.26</x:v>
      </x:c>
      <x:c r="E3631" s="153" t="n">
        <x:v>120.776</x:v>
      </x:c>
      <x:c r="F3631" s="153" t="n">
        <x:v>16.66</x:v>
      </x:c>
      <x:c r="G3631" s="153" t="n">
        <x:v>3.89</x:v>
      </x:c>
    </x:row>
    <x:row r="3632">
      <x:c r="A3632" s="155" t="n">
        <x:v>46000</x:v>
      </x:c>
      <x:c r="B3632" s="153" t="n">
        <x:v>4.18</x:v>
      </x:c>
      <x:c r="C3632" s="153" t="n">
        <x:v>1.92</x:v>
      </x:c>
      <x:c r="D3632" s="153" t="n">
        <x:v>2.26</x:v>
      </x:c>
      <x:c r="E3632" s="153" t="n">
        <x:v>120.6832</x:v>
      </x:c>
      <x:c r="F3632" s="153" t="n">
        <x:v>16.93</x:v>
      </x:c>
      <x:c r="G3632" s="153" t="n">
        <x:v>3.89</x:v>
      </x:c>
    </x:row>
    <x:row r="3633">
      <x:c r="A3633" s="155" t="n">
        <x:v>46001</x:v>
      </x:c>
      <x:c r="B3633" s="153" t="n">
        <x:v>4.13</x:v>
      </x:c>
      <x:c r="C3633" s="153" t="n">
        <x:v>1.88</x:v>
      </x:c>
      <x:c r="D3633" s="153" t="n">
        <x:v>2.25</x:v>
      </x:c>
      <x:c r="E3633" s="153" t="n">
        <x:v>120.6752</x:v>
      </x:c>
      <x:c r="F3633" s="153" t="n">
        <x:v>15.77</x:v>
      </x:c>
      <x:c r="G3633" s="153" t="n">
        <x:v>3.89</x:v>
      </x:c>
    </x:row>
    <x:row r="3634">
      <x:c r="A3634" s="155" t="n">
        <x:v>46002</x:v>
      </x:c>
      <x:c r="B3634" s="153" t="n">
        <x:v>4.14</x:v>
      </x:c>
      <x:c r="C3634" s="153" t="n">
        <x:v>1.89</x:v>
      </x:c>
      <x:c r="D3634" s="153" t="n">
        <x:v>2.25</x:v>
      </x:c>
      <x:c r="E3634" s="153" t="n">
        <x:v>119.98</x:v>
      </x:c>
      <x:c r="F3634" s="153" t="n">
        <x:v>14.85</x:v>
      </x:c>
      <x:c r="G3634" s="153" t="n">
        <x:v>3.64</x:v>
      </x:c>
    </x:row>
    <x:row r="3635">
      <x:c r="A3635" s="155" t="n">
        <x:v>46003</x:v>
      </x:c>
      <x:c r="B3635" s="153" t="n">
        <x:v>4.19</x:v>
      </x:c>
      <x:c r="C3635" s="153" t="n">
        <x:v>1.93</x:v>
      </x:c>
      <x:c r="D3635" s="153" t="n">
        <x:v>2.26</x:v>
      </x:c>
      <x:c r="E3635" s="153" t="n">
        <x:v>120.1442</x:v>
      </x:c>
      <x:c r="F3635" s="153" t="n">
        <x:v>15.74</x:v>
      </x:c>
      <x:c r="G3635" s="153" t="n">
        <x:v>3.64</x:v>
      </x:c>
    </x:row>
    <x:row r="3636">
      <x:c r="A3636" s="155" t="n">
        <x:v>46004</x:v>
      </x:c>
      <x:c r="B3636" s="153"/>
      <x:c r="C3636" s="153"/>
      <x:c r="D3636" s="153"/>
      <x:c r="E3636" s="153"/>
      <x:c r="F3636" s="153"/>
      <x:c r="G3636" s="153" t="n">
        <x:v>3.64</x:v>
      </x:c>
    </x:row>
    <x:row r="3637">
      <x:c r="A3637" s="155" t="n">
        <x:v>46005</x:v>
      </x:c>
      <x:c r="B3637" s="153"/>
      <x:c r="C3637" s="153"/>
      <x:c r="D3637" s="153"/>
      <x:c r="E3637" s="153"/>
      <x:c r="F3637" s="153"/>
      <x:c r="G3637" s="153" t="n">
        <x:v>3.64</x:v>
      </x:c>
    </x:row>
    <x:row r="3638">
      <x:c r="A3638" s="155" t="n">
        <x:v>46006</x:v>
      </x:c>
      <x:c r="B3638" s="153" t="n">
        <x:v>4.18</x:v>
      </x:c>
      <x:c r="C3638" s="153" t="n">
        <x:v>1.93</x:v>
      </x:c>
      <x:c r="D3638" s="153" t="n">
        <x:v>2.25</x:v>
      </x:c>
      <x:c r="E3638" s="153" t="n">
        <x:v>119.9561</x:v>
      </x:c>
      <x:c r="F3638" s="153" t="n">
        <x:v>16.5</x:v>
      </x:c>
      <x:c r="G3638" s="153" t="n">
        <x:v>3.64</x:v>
      </x:c>
    </x:row>
    <x:row r="3639">
      <x:c r="A3639" s="155" t="n">
        <x:v>46007</x:v>
      </x:c>
      <x:c r="B3639" s="153" t="n">
        <x:v>4.15</x:v>
      </x:c>
      <x:c r="C3639" s="153" t="n">
        <x:v>1.92</x:v>
      </x:c>
      <x:c r="D3639" s="153" t="n">
        <x:v>2.23</x:v>
      </x:c>
      <x:c r="E3639" s="153" t="n">
        <x:v>119.8902</x:v>
      </x:c>
      <x:c r="F3639" s="153" t="n">
        <x:v>16.48</x:v>
      </x:c>
      <x:c r="G3639" s="153" t="n">
        <x:v>3.64</x:v>
      </x:c>
    </x:row>
    <x:row r="3640">
      <x:c r="A3640" s="155" t="n">
        <x:v>46008</x:v>
      </x:c>
      <x:c r="B3640" s="153" t="n">
        <x:v>4.16</x:v>
      </x:c>
      <x:c r="C3640" s="153" t="n">
        <x:v>1.92</x:v>
      </x:c>
      <x:c r="D3640" s="153" t="n">
        <x:v>2.24</x:v>
      </x:c>
      <x:c r="E3640" s="153" t="n">
        <x:v>120.155</x:v>
      </x:c>
      <x:c r="F3640" s="153" t="n">
        <x:v>17.62</x:v>
      </x:c>
      <x:c r="G3640" s="153" t="n">
        <x:v>3.64</x:v>
      </x:c>
    </x:row>
    <x:row r="3641">
      <x:c r="A3641" s="155" t="n">
        <x:v>46009</x:v>
      </x:c>
      <x:c r="B3641" s="153" t="n">
        <x:v>4.12</x:v>
      </x:c>
      <x:c r="C3641" s="153" t="n">
        <x:v>1.88</x:v>
      </x:c>
      <x:c r="D3641" s="153" t="n">
        <x:v>2.24</x:v>
      </x:c>
      <x:c r="E3641" s="153" t="n">
        <x:v>120.0528</x:v>
      </x:c>
      <x:c r="F3641" s="153" t="n">
        <x:v>16.87</x:v>
      </x:c>
      <x:c r="G3641" s="153" t="n">
        <x:v>3.64</x:v>
      </x:c>
    </x:row>
    <x:row r="3642">
      <x:c r="A3642" s="155" t="n">
        <x:v>46010</x:v>
      </x:c>
      <x:c r="B3642" s="153" t="n">
        <x:v>4.16</x:v>
      </x:c>
      <x:c r="C3642" s="153" t="n">
        <x:v>1.92</x:v>
      </x:c>
      <x:c r="D3642" s="153" t="n">
        <x:v>2.24</x:v>
      </x:c>
      <x:c r="E3642" s="153" t="n">
        <x:v>120.1652</x:v>
      </x:c>
      <x:c r="F3642" s="153" t="n">
        <x:v>14.91</x:v>
      </x:c>
      <x:c r="G3642" s="153" t="n">
        <x:v>3.64</x:v>
      </x:c>
    </x:row>
    <x:row r="3643">
      <x:c r="A3643" s="155" t="n">
        <x:v>46011</x:v>
      </x:c>
      <x:c r="B3643" s="153"/>
      <x:c r="C3643" s="153"/>
      <x:c r="D3643" s="153"/>
      <x:c r="E3643" s="153"/>
      <x:c r="F3643" s="153"/>
      <x:c r="G3643" s="153" t="n">
        <x:v>3.64</x:v>
      </x:c>
    </x:row>
    <x:row r="3644">
      <x:c r="A3644" s="155" t="n">
        <x:v>46012</x:v>
      </x:c>
      <x:c r="B3644" s="153"/>
      <x:c r="C3644" s="153"/>
      <x:c r="D3644" s="153"/>
      <x:c r="E3644" s="153"/>
      <x:c r="F3644" s="153"/>
      <x:c r="G3644" s="153" t="n">
        <x:v>3.64</x:v>
      </x:c>
    </x:row>
    <x:row r="3645">
      <x:c r="A3645" s="155" t="n">
        <x:v>46013</x:v>
      </x:c>
      <x:c r="B3645" s="153" t="n">
        <x:v>4.17</x:v>
      </x:c>
      <x:c r="C3645" s="153" t="n">
        <x:v>1.94</x:v>
      </x:c>
      <x:c r="D3645" s="153" t="n">
        <x:v>2.23</x:v>
      </x:c>
      <x:c r="E3645" s="153" t="n">
        <x:v>119.9912</x:v>
      </x:c>
      <x:c r="F3645" s="153" t="n">
        <x:v>14.08</x:v>
      </x:c>
      <x:c r="G3645" s="153" t="n">
        <x:v>3.64</x:v>
      </x:c>
    </x:row>
    <x:row r="3646">
      <x:c r="A3646" s="155" t="n">
        <x:v>46014</x:v>
      </x:c>
      <x:c r="B3646" s="153" t="n">
        <x:v>4.18</x:v>
      </x:c>
      <x:c r="C3646" s="153" t="n">
        <x:v>1.94</x:v>
      </x:c>
      <x:c r="D3646" s="153" t="n">
        <x:v>2.24</x:v>
      </x:c>
      <x:c r="E3646" s="153" t="n">
        <x:v>119.7057</x:v>
      </x:c>
      <x:c r="F3646" s="153" t="n">
        <x:v>14</x:v>
      </x:c>
      <x:c r="G3646" s="153" t="n">
        <x:v>3.64</x:v>
      </x:c>
    </x:row>
    <x:row r="3647">
      <x:c r="A3647" s="155" t="n">
        <x:v>46015</x:v>
      </x:c>
      <x:c r="B3647" s="153" t="n">
        <x:v>4.15</x:v>
      </x:c>
      <x:c r="C3647" s="153" t="n">
        <x:v>1.91</x:v>
      </x:c>
      <x:c r="D3647" s="153" t="n">
        <x:v>2.24</x:v>
      </x:c>
      <x:c r="E3647" s="153" t="n">
        <x:v>119.4372</x:v>
      </x:c>
      <x:c r="F3647" s="153" t="n">
        <x:v>13.47</x:v>
      </x:c>
      <x:c r="G3647" s="153" t="n">
        <x:v>3.64</x:v>
      </x:c>
    </x:row>
    <x:row r="3648">
      <x:c r="A3648" s="155" t="n">
        <x:v>46016</x:v>
      </x:c>
      <x:c r="B3648" s="153"/>
      <x:c r="C3648" s="153"/>
      <x:c r="D3648" s="153"/>
      <x:c r="E3648" s="153"/>
      <x:c r="F3648" s="153"/>
      <x:c r="G3648" s="153" t="n">
        <x:v>3.64</x:v>
      </x:c>
    </x:row>
    <x:row r="3649">
      <x:c r="A3649" s="155" t="n">
        <x:v>46017</x:v>
      </x:c>
      <x:c r="B3649" s="153" t="n">
        <x:v>4.14</x:v>
      </x:c>
      <x:c r="C3649" s="153" t="n">
        <x:v>1.91</x:v>
      </x:c>
      <x:c r="D3649" s="153" t="n">
        <x:v>2.23</x:v>
      </x:c>
      <x:c r="E3649" s="153" t="n">
        <x:v>119.4723</x:v>
      </x:c>
      <x:c r="F3649" s="153" t="n">
        <x:v>13.6</x:v>
      </x:c>
      <x:c r="G3649" s="153" t="n">
        <x:v>3.64</x:v>
      </x:c>
    </x:row>
    <x:row r="3650">
      <x:c r="A3650" s="155" t="n">
        <x:v>46018</x:v>
      </x:c>
      <x:c r="B3650" s="153"/>
      <x:c r="C3650" s="153"/>
      <x:c r="D3650" s="153"/>
      <x:c r="E3650" s="153"/>
      <x:c r="F3650" s="153"/>
      <x:c r="G3650" s="153" t="n">
        <x:v>3.64</x:v>
      </x:c>
    </x:row>
    <x:row r="3651">
      <x:c r="A3651" s="155" t="n">
        <x:v>46019</x:v>
      </x:c>
      <x:c r="B3651" s="153"/>
      <x:c r="C3651" s="153"/>
      <x:c r="D3651" s="153"/>
      <x:c r="E3651" s="153"/>
      <x:c r="F3651" s="153"/>
      <x:c r="G3651" s="153" t="n">
        <x:v>3.64</x:v>
      </x:c>
    </x:row>
    <x:row r="3652">
      <x:c r="A3652" s="155" t="n">
        <x:v>46020</x:v>
      </x:c>
      <x:c r="B3652" s="153" t="n">
        <x:v>4.12</x:v>
      </x:c>
      <x:c r="C3652" s="153" t="n">
        <x:v>1.9</x:v>
      </x:c>
      <x:c r="D3652" s="153" t="n">
        <x:v>2.22</x:v>
      </x:c>
      <x:c r="E3652" s="153" t="n">
        <x:v>119.5899</x:v>
      </x:c>
      <x:c r="F3652" s="153" t="n">
        <x:v>14.2</x:v>
      </x:c>
      <x:c r="G3652" s="153" t="n">
        <x:v>3.64</x:v>
      </x:c>
    </x:row>
    <x:row r="3653">
      <x:c r="A3653" s="155" t="n">
        <x:v>46021</x:v>
      </x:c>
      <x:c r="B3653" s="153" t="n">
        <x:v>4.14</x:v>
      </x:c>
      <x:c r="C3653" s="153" t="n">
        <x:v>1.9</x:v>
      </x:c>
      <x:c r="D3653" s="153" t="n">
        <x:v>2.24</x:v>
      </x:c>
      <x:c r="E3653" s="153" t="n">
        <x:v>119.4939</x:v>
      </x:c>
      <x:c r="F3653" s="153" t="n">
        <x:v>14.33</x:v>
      </x:c>
      <x:c r="G3653" s="153" t="n">
        <x:v>3.64</x:v>
      </x:c>
    </x:row>
    <x:row r="3654">
      <x:c r="A3654" s="155" t="n">
        <x:v>46022</x:v>
      </x:c>
      <x:c r="B3654" s="153" t="n">
        <x:v>4.18</x:v>
      </x:c>
      <x:c r="C3654" s="153" t="n">
        <x:v>1.93</x:v>
      </x:c>
      <x:c r="D3654" s="153" t="n">
        <x:v>2.25</x:v>
      </x:c>
      <x:c r="E3654" s="153" t="n">
        <x:v>119.7456</x:v>
      </x:c>
      <x:c r="F3654" s="153" t="n">
        <x:v>14.95</x:v>
      </x:c>
      <x:c r="G3654" s="153" t="n">
        <x:v>3.64</x:v>
      </x:c>
    </x:row>
    <x:row r="3655">
      <x:c r="A3655" s="155" t="n">
        <x:v>46023</x:v>
      </x:c>
      <x:c r="B3655" s="153"/>
      <x:c r="C3655" s="153"/>
      <x:c r="D3655" s="153"/>
      <x:c r="E3655" s="153"/>
      <x:c r="F3655" s="153"/>
      <x:c r="G3655" s="153" t="n">
        <x:v>3.64</x:v>
      </x:c>
    </x:row>
    <x:row r="3656">
      <x:c r="A3656" s="155" t="n">
        <x:v>46024</x:v>
      </x:c>
      <x:c r="B3656" s="153" t="n">
        <x:v>4.19</x:v>
      </x:c>
      <x:c r="C3656" s="153" t="n">
        <x:v>1.94</x:v>
      </x:c>
      <x:c r="D3656" s="153" t="n">
        <x:v>2.25</x:v>
      </x:c>
      <x:c r="E3656" s="153" t="n">
        <x:v>119.6059</x:v>
      </x:c>
      <x:c r="F3656" s="153" t="n">
        <x:v>14.51</x:v>
      </x:c>
      <x:c r="G3656" s="153" t="n">
        <x:v>3.64</x:v>
      </x:c>
    </x:row>
    <x:row r="3657">
      <x:c r="A3657" s="155" t="n">
        <x:v>46025</x:v>
      </x:c>
      <x:c r="B3657" s="153"/>
      <x:c r="C3657" s="153"/>
      <x:c r="D3657" s="153"/>
      <x:c r="E3657" s="153"/>
      <x:c r="F3657" s="153"/>
      <x:c r="G3657" s="153" t="n">
        <x:v>3.64</x:v>
      </x:c>
    </x:row>
    <x:row r="3658">
      <x:c r="A3658" s="155" t="n">
        <x:v>46026</x:v>
      </x:c>
      <x:c r="B3658" s="153"/>
      <x:c r="C3658" s="153"/>
      <x:c r="D3658" s="153"/>
      <x:c r="E3658" s="153"/>
      <x:c r="F3658" s="153"/>
      <x:c r="G3658" s="153" t="n">
        <x:v>3.64</x:v>
      </x:c>
    </x:row>
    <x:row r="3659">
      <x:c r="A3659" s="155" t="n">
        <x:v>46027</x:v>
      </x:c>
      <x:c r="B3659" s="153" t="n">
        <x:v>4.17</x:v>
      </x:c>
      <x:c r="C3659" s="153" t="n">
        <x:v>1.91</x:v>
      </x:c>
      <x:c r="D3659" s="153" t="n">
        <x:v>2.26</x:v>
      </x:c>
      <x:c r="E3659" s="153" t="n">
        <x:v>119.6192</x:v>
      </x:c>
      <x:c r="F3659" s="153" t="n">
        <x:v>14.9</x:v>
      </x:c>
      <x:c r="G3659" s="153" t="n">
        <x:v>3.64</x:v>
      </x:c>
    </x:row>
    <x:row r="3660">
      <x:c r="A3660" s="155" t="n">
        <x:v>46028</x:v>
      </x:c>
      <x:c r="B3660" s="153" t="n">
        <x:v>4.18</x:v>
      </x:c>
      <x:c r="C3660" s="153" t="n">
        <x:v>1.91</x:v>
      </x:c>
      <x:c r="D3660" s="153" t="n">
        <x:v>2.27</x:v>
      </x:c>
      <x:c r="E3660" s="153" t="n">
        <x:v>119.7807</x:v>
      </x:c>
      <x:c r="F3660" s="153" t="n">
        <x:v>14.75</x:v>
      </x:c>
      <x:c r="G3660" s="153" t="n">
        <x:v>3.64</x:v>
      </x:c>
    </x:row>
    <x:row r="3661">
      <x:c r="A3661" s="155" t="n">
        <x:v>46029</x:v>
      </x:c>
      <x:c r="B3661" s="153" t="n">
        <x:v>4.15</x:v>
      </x:c>
      <x:c r="C3661" s="153" t="n">
        <x:v>1.88</x:v>
      </x:c>
      <x:c r="D3661" s="153" t="n">
        <x:v>2.27</x:v>
      </x:c>
      <x:c r="E3661" s="153" t="n">
        <x:v>119.8719</x:v>
      </x:c>
      <x:c r="F3661" s="153" t="n">
        <x:v>15.38</x:v>
      </x:c>
      <x:c r="G3661" s="153" t="n">
        <x:v>3.64</x:v>
      </x:c>
    </x:row>
    <x:row r="3662">
      <x:c r="A3662" s="155" t="n">
        <x:v>46030</x:v>
      </x:c>
      <x:c r="B3662" s="153" t="n">
        <x:v>4.19</x:v>
      </x:c>
      <x:c r="C3662" s="153" t="n">
        <x:v>1.92</x:v>
      </x:c>
      <x:c r="D3662" s="153" t="n">
        <x:v>2.27</x:v>
      </x:c>
      <x:c r="E3662" s="153" t="n">
        <x:v>120.0904</x:v>
      </x:c>
      <x:c r="F3662" s="153" t="n">
        <x:v>15.45</x:v>
      </x:c>
      <x:c r="G3662" s="153" t="n">
        <x:v>3.64</x:v>
      </x:c>
    </x:row>
    <x:row r="3663">
      <x:c r="A3663" s="155" t="n">
        <x:v>46031</x:v>
      </x:c>
      <x:c r="B3663" s="153" t="n">
        <x:v>4.18</x:v>
      </x:c>
      <x:c r="C3663" s="153" t="n">
        <x:v>1.9</x:v>
      </x:c>
      <x:c r="D3663" s="153" t="n">
        <x:v>2.28</x:v>
      </x:c>
      <x:c r="E3663" s="153" t="n">
        <x:v>120.2215</x:v>
      </x:c>
      <x:c r="F3663" s="153" t="n">
        <x:v>14.49</x:v>
      </x:c>
      <x:c r="G3663" s="153" t="n">
        <x:v>3.64</x:v>
      </x:c>
    </x:row>
    <x:row r="3664">
      <x:c r="A3664" s="155" t="n">
        <x:v>46032</x:v>
      </x:c>
      <x:c r="B3664" s="153"/>
      <x:c r="C3664" s="153"/>
      <x:c r="D3664" s="153"/>
      <x:c r="E3664" s="153"/>
      <x:c r="F3664" s="153"/>
      <x:c r="G3664" s="153" t="n">
        <x:v>3.64</x:v>
      </x:c>
    </x:row>
    <x:row r="3665">
      <x:c r="A3665" s="155" t="n">
        <x:v>46033</x:v>
      </x:c>
      <x:c r="B3665" s="153"/>
      <x:c r="C3665" s="153"/>
      <x:c r="D3665" s="153"/>
      <x:c r="E3665" s="153"/>
      <x:c r="F3665" s="153"/>
      <x:c r="G3665" s="153" t="n">
        <x:v>3.64</x:v>
      </x:c>
    </x:row>
    <x:row r="3666">
      <x:c r="A3666" s="155" t="n">
        <x:v>46034</x:v>
      </x:c>
      <x:c r="B3666" s="153" t="n">
        <x:v>4.19</x:v>
      </x:c>
      <x:c r="C3666" s="153" t="n">
        <x:v>1.9</x:v>
      </x:c>
      <x:c r="D3666" s="153" t="n">
        <x:v>2.29</x:v>
      </x:c>
      <x:c r="E3666" s="153" t="n">
        <x:v>119.9958</x:v>
      </x:c>
      <x:c r="F3666" s="153" t="n">
        <x:v>15.12</x:v>
      </x:c>
      <x:c r="G3666" s="153" t="n">
        <x:v>3.64</x:v>
      </x:c>
    </x:row>
    <x:row r="3667">
      <x:c r="A3667" s="155" t="n">
        <x:v>46035</x:v>
      </x:c>
      <x:c r="B3667" s="153" t="n">
        <x:v>4.18</x:v>
      </x:c>
      <x:c r="C3667" s="153" t="n">
        <x:v>1.88</x:v>
      </x:c>
      <x:c r="D3667" s="153" t="n">
        <x:v>2.3</x:v>
      </x:c>
      <x:c r="E3667" s="153" t="n">
        <x:v>120.1401</x:v>
      </x:c>
      <x:c r="F3667" s="153" t="n">
        <x:v>15.98</x:v>
      </x:c>
      <x:c r="G3667" s="153" t="n">
        <x:v>3.64</x:v>
      </x:c>
    </x:row>
    <x:row r="3668">
      <x:c r="A3668" s="155" t="n">
        <x:v>46036</x:v>
      </x:c>
      <x:c r="B3668" s="153" t="n">
        <x:v>4.15</x:v>
      </x:c>
      <x:c r="C3668" s="153" t="n">
        <x:v>1.86</x:v>
      </x:c>
      <x:c r="D3668" s="153" t="n">
        <x:v>2.29</x:v>
      </x:c>
      <x:c r="E3668" s="153" t="n">
        <x:v>119.9537</x:v>
      </x:c>
      <x:c r="F3668" s="153" t="n">
        <x:v>16.75</x:v>
      </x:c>
      <x:c r="G3668" s="153" t="n">
        <x:v>3.64</x:v>
      </x:c>
    </x:row>
    <x:row r="3669">
      <x:c r="A3669" s="155" t="n">
        <x:v>46037</x:v>
      </x:c>
      <x:c r="B3669" s="153" t="n">
        <x:v>4.17</x:v>
      </x:c>
      <x:c r="C3669" s="153" t="n">
        <x:v>1.88</x:v>
      </x:c>
      <x:c r="D3669" s="153" t="n">
        <x:v>2.29</x:v>
      </x:c>
      <x:c r="E3669" s="153" t="n">
        <x:v>119.9951</x:v>
      </x:c>
      <x:c r="F3669" s="153" t="n">
        <x:v>15.84</x:v>
      </x:c>
      <x:c r="G3669" s="153" t="n">
        <x:v>3.64</x:v>
      </x:c>
    </x:row>
    <x:row r="3670">
      <x:c r="A3670" s="155" t="n">
        <x:v>46038</x:v>
      </x:c>
      <x:c r="B3670" s="153" t="n">
        <x:v>4.24</x:v>
      </x:c>
      <x:c r="C3670" s="153" t="n">
        <x:v>1.91</x:v>
      </x:c>
      <x:c r="D3670" s="153" t="n">
        <x:v>2.33</x:v>
      </x:c>
      <x:c r="E3670" s="153" t="n">
        <x:v>120.0838</x:v>
      </x:c>
      <x:c r="F3670" s="153" t="n">
        <x:v>15.86</x:v>
      </x:c>
      <x:c r="G3670" s="153" t="n">
        <x:v>3.64</x:v>
      </x:c>
    </x:row>
    <x:row r="3671">
      <x:c r="A3671" s="155" t="n">
        <x:v>46039</x:v>
      </x:c>
      <x:c r="B3671" s="153"/>
      <x:c r="C3671" s="153"/>
      <x:c r="D3671" s="153"/>
      <x:c r="E3671" s="153"/>
      <x:c r="F3671" s="153"/>
      <x:c r="G3671" s="153" t="n">
        <x:v>3.64</x:v>
      </x:c>
    </x:row>
    <x:row r="3672">
      <x:c r="A3672" s="155" t="n">
        <x:v>46040</x:v>
      </x:c>
      <x:c r="B3672" s="153"/>
      <x:c r="C3672" s="153"/>
      <x:c r="D3672" s="153"/>
      <x:c r="E3672" s="153"/>
      <x:c r="F3672" s="153"/>
      <x:c r="G3672" s="153" t="n">
        <x:v>3.64</x:v>
      </x:c>
    </x:row>
    <x:row r="3673">
      <x:c r="A3673" s="155" t="n">
        <x:v>46041</x:v>
      </x:c>
      <x:c r="B3673" s="153"/>
      <x:c r="C3673" s="153"/>
      <x:c r="D3673" s="153"/>
      <x:c r="E3673" s="153"/>
      <x:c r="F3673" s="153" t="n">
        <x:v>18.84</x:v>
      </x:c>
      <x:c r="G3673" s="153" t="n">
        <x:v>3.64</x:v>
      </x:c>
    </x:row>
    <x:row r="3674">
      <x:c r="A3674" s="155" t="n">
        <x:v>46042</x:v>
      </x:c>
      <x:c r="B3674" s="153" t="n">
        <x:v>4.3</x:v>
      </x:c>
      <x:c r="C3674" s="153" t="n">
        <x:v>1.97</x:v>
      </x:c>
      <x:c r="D3674" s="153" t="n">
        <x:v>2.33</x:v>
      </x:c>
      <x:c r="E3674" s="153" t="n">
        <x:v>119.4455</x:v>
      </x:c>
      <x:c r="F3674" s="153" t="n">
        <x:v>20.09</x:v>
      </x:c>
      <x:c r="G3674" s="153" t="n">
        <x:v>3.64</x:v>
      </x:c>
    </x:row>
    <x:row r="3675">
      <x:c r="A3675" s="155" t="n">
        <x:v>46043</x:v>
      </x:c>
      <x:c r="B3675" s="153" t="n">
        <x:v>4.26</x:v>
      </x:c>
      <x:c r="C3675" s="153" t="n">
        <x:v>1.92</x:v>
      </x:c>
      <x:c r="D3675" s="153" t="n">
        <x:v>2.34</x:v>
      </x:c>
      <x:c r="E3675" s="153" t="n">
        <x:v>119.3431</x:v>
      </x:c>
      <x:c r="F3675" s="153" t="n">
        <x:v>16.9</x:v>
      </x:c>
      <x:c r="G3675" s="153" t="n">
        <x:v>3.64</x:v>
      </x:c>
    </x:row>
    <x:row r="3676">
      <x:c r="A3676" s="155" t="n">
        <x:v>46044</x:v>
      </x:c>
      <x:c r="B3676" s="153" t="n">
        <x:v>4.26</x:v>
      </x:c>
      <x:c r="C3676" s="153" t="n">
        <x:v>1.95</x:v>
      </x:c>
      <x:c r="D3676" s="153" t="n">
        <x:v>2.31</x:v>
      </x:c>
      <x:c r="E3676" s="153" t="n">
        <x:v>119.1962</x:v>
      </x:c>
      <x:c r="F3676" s="153" t="n">
        <x:v>15.64</x:v>
      </x:c>
      <x:c r="G3676" s="153" t="n">
        <x:v>3.64</x:v>
      </x:c>
    </x:row>
    <x:row r="3677">
      <x:c r="A3677" s="155" t="n">
        <x:v>46045</x:v>
      </x:c>
      <x:c r="B3677" s="153" t="n">
        <x:v>4.24</x:v>
      </x:c>
      <x:c r="C3677" s="153" t="n">
        <x:v>1.92</x:v>
      </x:c>
      <x:c r="D3677" s="153" t="n">
        <x:v>2.32</x:v>
      </x:c>
      <x:c r="E3677" s="153" t="n">
        <x:v>118.8976</x:v>
      </x:c>
      <x:c r="F3677" s="153" t="n">
        <x:v>16.09</x:v>
      </x:c>
      <x:c r="G3677" s="153" t="n">
        <x:v>3.64</x:v>
      </x:c>
    </x:row>
    <x:row r="3678">
      <x:c r="A3678" s="155" t="n">
        <x:v>46046</x:v>
      </x:c>
      <x:c r="B3678" s="153"/>
      <x:c r="C3678" s="153"/>
      <x:c r="D3678" s="153"/>
      <x:c r="E3678" s="153"/>
      <x:c r="F3678" s="153"/>
      <x:c r="G3678" s="153" t="n">
        <x:v>3.64</x:v>
      </x:c>
    </x:row>
    <x:row r="3679">
      <x:c r="A3679" s="155" t="n">
        <x:v>46047</x:v>
      </x:c>
      <x:c r="B3679" s="153"/>
      <x:c r="C3679" s="153"/>
      <x:c r="D3679" s="153"/>
      <x:c r="E3679" s="153"/>
      <x:c r="F3679" s="153"/>
      <x:c r="G3679" s="153" t="n">
        <x:v>3.64</x:v>
      </x:c>
    </x:row>
    <x:row r="3680">
      <x:c r="A3680" s="155" t="n">
        <x:v>46048</x:v>
      </x:c>
      <x:c r="B3680" s="153" t="n">
        <x:v>4.22</x:v>
      </x:c>
      <x:c r="C3680" s="153" t="n">
        <x:v>1.9</x:v>
      </x:c>
      <x:c r="D3680" s="153" t="n">
        <x:v>2.32</x:v>
      </x:c>
      <x:c r="E3680" s="153" t="n">
        <x:v>118.0525</x:v>
      </x:c>
      <x:c r="F3680" s="153" t="n">
        <x:v>16.15</x:v>
      </x:c>
      <x:c r="G3680" s="153" t="n">
        <x:v>3.64</x:v>
      </x:c>
    </x:row>
    <x:row r="3681">
      <x:c r="A3681" s="155" t="n">
        <x:v>46049</x:v>
      </x:c>
      <x:c r="B3681" s="153" t="n">
        <x:v>4.24</x:v>
      </x:c>
      <x:c r="C3681" s="153" t="n">
        <x:v>1.9</x:v>
      </x:c>
      <x:c r="D3681" s="153" t="n">
        <x:v>2.34</x:v>
      </x:c>
      <x:c r="E3681" s="153" t="n">
        <x:v>117.4523</x:v>
      </x:c>
      <x:c r="F3681" s="153" t="n">
        <x:v>16.35</x:v>
      </x:c>
      <x:c r="G3681" s="153" t="n">
        <x:v>3.64</x:v>
      </x:c>
    </x:row>
    <x:row r="3682">
      <x:c r="A3682" s="155" t="n">
        <x:v>46050</x:v>
      </x:c>
      <x:c r="B3682" s="153" t="n">
        <x:v>4.26</x:v>
      </x:c>
      <x:c r="C3682" s="153" t="n">
        <x:v>1.9</x:v>
      </x:c>
      <x:c r="D3682" s="153" t="n">
        <x:v>2.36</x:v>
      </x:c>
      <x:c r="E3682" s="153" t="n">
        <x:v>117.5117</x:v>
      </x:c>
      <x:c r="F3682" s="153" t="n">
        <x:v>16.35</x:v>
      </x:c>
      <x:c r="G3682" s="153" t="n">
        <x:v>3.64</x:v>
      </x:c>
    </x:row>
    <x:row r="3683">
      <x:c r="A3683" s="155" t="n">
        <x:v>46051</x:v>
      </x:c>
      <x:c r="B3683" s="153" t="n">
        <x:v>4.24</x:v>
      </x:c>
      <x:c r="C3683" s="153" t="n">
        <x:v>1.89</x:v>
      </x:c>
      <x:c r="D3683" s="153" t="n">
        <x:v>2.35</x:v>
      </x:c>
      <x:c r="E3683" s="153" t="n">
        <x:v>117.4396</x:v>
      </x:c>
      <x:c r="F3683" s="153" t="n">
        <x:v>16.88</x:v>
      </x:c>
      <x:c r="G3683" s="153" t="n">
        <x:v>3.64</x:v>
      </x:c>
    </x:row>
    <x:row r="3684">
      <x:c r="A3684" s="155" t="n">
        <x:v>46052</x:v>
      </x:c>
      <x:c r="B3684" s="153" t="n">
        <x:v>4.26</x:v>
      </x:c>
      <x:c r="C3684" s="153" t="n">
        <x:v>1.9</x:v>
      </x:c>
      <x:c r="D3684" s="153" t="n">
        <x:v>2.36</x:v>
      </x:c>
      <x:c r="E3684" s="153" t="n">
        <x:v>117.8996</x:v>
      </x:c>
      <x:c r="F3684" s="153" t="n">
        <x:v>17.44</x:v>
      </x:c>
      <x:c r="G3684" s="153" t="n">
        <x:v>3.64</x:v>
      </x:c>
    </x:row>
    <x:row r="3685">
      <x:c r="A3685" s="155" t="n">
        <x:v>46053</x:v>
      </x:c>
      <x:c r="B3685" s="153"/>
      <x:c r="C3685" s="153"/>
      <x:c r="D3685" s="153"/>
      <x:c r="E3685" s="153"/>
      <x:c r="F3685" s="153"/>
      <x:c r="G3685" s="153" t="n">
        <x:v>3.64</x:v>
      </x:c>
    </x:row>
    <x:row r="3686">
      <x:c r="A3686" s="155" t="n">
        <x:v>46054</x:v>
      </x:c>
      <x:c r="B3686" s="153"/>
      <x:c r="C3686" s="153"/>
      <x:c r="D3686" s="153"/>
      <x:c r="E3686" s="153"/>
      <x:c r="F3686" s="153"/>
      <x:c r="G3686" s="153" t="n">
        <x:v>3.64</x:v>
      </x:c>
    </x:row>
    <x:row r="3687">
      <x:c r="A3687" s="155" t="n">
        <x:v>46055</x:v>
      </x:c>
      <x:c r="B3687" s="153" t="n">
        <x:v>4.29</x:v>
      </x:c>
      <x:c r="C3687" s="153" t="n">
        <x:v>1.94</x:v>
      </x:c>
      <x:c r="D3687" s="153" t="n">
        <x:v>2.35</x:v>
      </x:c>
      <x:c r="E3687" s="153" t="n">
        <x:v>118.3609</x:v>
      </x:c>
      <x:c r="F3687" s="153" t="n">
        <x:v>16.34</x:v>
      </x:c>
      <x:c r="G3687" s="153" t="n">
        <x:v>3.64</x:v>
      </x:c>
    </x:row>
    <x:row r="3688">
      <x:c r="A3688" s="155" t="n">
        <x:v>46056</x:v>
      </x:c>
      <x:c r="B3688" s="153" t="n">
        <x:v>4.28</x:v>
      </x:c>
      <x:c r="C3688" s="153" t="n">
        <x:v>1.92</x:v>
      </x:c>
      <x:c r="D3688" s="153" t="n">
        <x:v>2.36</x:v>
      </x:c>
      <x:c r="E3688" s="153" t="n">
        <x:v>117.9764</x:v>
      </x:c>
      <x:c r="F3688" s="153" t="n">
        <x:v>18</x:v>
      </x:c>
      <x:c r="G3688" s="153" t="n">
        <x:v>3.64</x:v>
      </x:c>
    </x:row>
    <x:row r="3689">
      <x:c r="A3689" s="155" t="n">
        <x:v>46057</x:v>
      </x:c>
      <x:c r="B3689" s="153" t="n">
        <x:v>4.29</x:v>
      </x:c>
      <x:c r="C3689" s="153" t="n">
        <x:v>1.94</x:v>
      </x:c>
      <x:c r="D3689" s="153" t="n">
        <x:v>2.35</x:v>
      </x:c>
      <x:c r="E3689" s="153" t="n">
        <x:v>118.2602</x:v>
      </x:c>
      <x:c r="F3689" s="153" t="n">
        <x:v>18.64</x:v>
      </x:c>
      <x:c r="G3689" s="153" t="n">
        <x:v>3.64</x:v>
      </x:c>
    </x:row>
    <x:row r="3690">
      <x:c r="A3690" s="155" t="n">
        <x:v>46058</x:v>
      </x:c>
      <x:c r="B3690" s="153" t="n">
        <x:v>4.21</x:v>
      </x:c>
      <x:c r="C3690" s="153" t="n">
        <x:v>1.89</x:v>
      </x:c>
      <x:c r="D3690" s="153" t="n">
        <x:v>2.32</x:v>
      </x:c>
      <x:c r="E3690" s="153" t="n">
        <x:v>118.5034</x:v>
      </x:c>
      <x:c r="F3690" s="153" t="n">
        <x:v>21.77</x:v>
      </x:c>
      <x:c r="G3690" s="153" t="n">
        <x:v>3.64</x:v>
      </x:c>
    </x:row>
    <x:row r="3691">
      <x:c r="A3691" s="155" t="n">
        <x:v>46059</x:v>
      </x:c>
      <x:c r="B3691" s="153" t="n">
        <x:v>4.22</x:v>
      </x:c>
      <x:c r="C3691" s="153" t="n">
        <x:v>1.88</x:v>
      </x:c>
      <x:c r="D3691" s="153" t="n">
        <x:v>2.34</x:v>
      </x:c>
      <x:c r="E3691" s="153" t="n">
        <x:v>118.2407</x:v>
      </x:c>
      <x:c r="F3691" s="153" t="n">
        <x:v>17.76</x:v>
      </x:c>
      <x:c r="G3691" s="153" t="n">
        <x:v>3.64</x:v>
      </x:c>
    </x:row>
    <x:row r="3692">
      <x:c r="A3692" s="155" t="n">
        <x:v>46060</x:v>
      </x:c>
      <x:c r="B3692" s="153"/>
      <x:c r="C3692" s="153"/>
      <x:c r="D3692" s="153"/>
      <x:c r="E3692" s="153"/>
      <x:c r="F3692" s="153"/>
      <x:c r="G3692" s="153" t="n">
        <x:v>3.64</x:v>
      </x:c>
    </x:row>
    <x:row r="3693">
      <x:c r="A3693" s="155" t="n">
        <x:v>46061</x:v>
      </x:c>
      <x:c r="B3693" s="153"/>
      <x:c r="C3693" s="153"/>
      <x:c r="D3693" s="153"/>
      <x:c r="E3693" s="153"/>
      <x:c r="F3693" s="153"/>
      <x:c r="G3693" s="153" t="n">
        <x:v>3.64</x:v>
      </x:c>
    </x:row>
    <x:row r="3694">
      <x:c r="A3694" s="155" t="n">
        <x:v>46062</x:v>
      </x:c>
      <x:c r="B3694" s="153" t="n">
        <x:v>4.22</x:v>
      </x:c>
      <x:c r="C3694" s="153" t="n">
        <x:v>1.87</x:v>
      </x:c>
      <x:c r="D3694" s="153" t="n">
        <x:v>2.35</x:v>
      </x:c>
      <x:c r="E3694" s="153" t="n">
        <x:v>117.6392</x:v>
      </x:c>
      <x:c r="F3694" s="153" t="n">
        <x:v>17.36</x:v>
      </x:c>
      <x:c r="G3694" s="153" t="n">
        <x:v>3.64</x:v>
      </x:c>
    </x:row>
    <x:row r="3695">
      <x:c r="A3695" s="155" t="n">
        <x:v>46063</x:v>
      </x:c>
      <x:c r="B3695" s="153" t="n">
        <x:v>4.16</x:v>
      </x:c>
      <x:c r="C3695" s="153" t="n">
        <x:v>1.84</x:v>
      </x:c>
      <x:c r="D3695" s="153" t="n">
        <x:v>2.32</x:v>
      </x:c>
      <x:c r="E3695" s="153" t="n">
        <x:v>117.5216</x:v>
      </x:c>
      <x:c r="F3695" s="153" t="n">
        <x:v>17.79</x:v>
      </x:c>
      <x:c r="G3695" s="153" t="n">
        <x:v>3.64</x:v>
      </x:c>
    </x:row>
    <x:row r="3696">
      <x:c r="A3696" s="155" t="n">
        <x:v>46064</x:v>
      </x:c>
      <x:c r="B3696" s="153" t="n">
        <x:v>4.18</x:v>
      </x:c>
      <x:c r="C3696" s="153" t="n">
        <x:v>1.86</x:v>
      </x:c>
      <x:c r="D3696" s="153" t="n">
        <x:v>2.32</x:v>
      </x:c>
      <x:c r="E3696" s="153" t="n">
        <x:v>117.4601</x:v>
      </x:c>
      <x:c r="F3696" s="153" t="n">
        <x:v>17.65</x:v>
      </x:c>
      <x:c r="G3696" s="153" t="n">
        <x:v>3.64</x:v>
      </x:c>
    </x:row>
    <x:row r="3697">
      <x:c r="A3697" s="155" t="n">
        <x:v>46065</x:v>
      </x:c>
      <x:c r="B3697" s="153" t="n">
        <x:v>4.09</x:v>
      </x:c>
      <x:c r="C3697" s="153" t="n">
        <x:v>1.8</x:v>
      </x:c>
      <x:c r="D3697" s="153" t="n">
        <x:v>2.29</x:v>
      </x:c>
      <x:c r="E3697" s="153" t="n">
        <x:v>117.5376</x:v>
      </x:c>
      <x:c r="F3697" s="153" t="n">
        <x:v>20.82</x:v>
      </x:c>
      <x:c r="G3697" s="153" t="n">
        <x:v>3.64</x:v>
      </x:c>
    </x:row>
    <x:row r="3698">
      <x:c r="A3698" s="155" t="n">
        <x:v>46066</x:v>
      </x:c>
      <x:c r="B3698" s="153" t="n">
        <x:v>4.04</x:v>
      </x:c>
      <x:c r="C3698" s="153" t="n">
        <x:v>1.77</x:v>
      </x:c>
      <x:c r="D3698" s="153" t="n">
        <x:v>2.27</x:v>
      </x:c>
      <x:c r="E3698" s="153" t="n">
        <x:v>117.5258</x:v>
      </x:c>
      <x:c r="F3698" s="153" t="n">
        <x:v>20.6</x:v>
      </x:c>
      <x:c r="G3698" s="153" t="n">
        <x:v>3.64</x:v>
      </x:c>
    </x:row>
    <x:row r="3699">
      <x:c r="A3699" s="155" t="n">
        <x:v>46067</x:v>
      </x:c>
      <x:c r="B3699" s="153"/>
      <x:c r="C3699" s="153"/>
      <x:c r="D3699" s="153"/>
      <x:c r="E3699" s="153"/>
      <x:c r="F3699" s="153"/>
      <x:c r="G3699" s="153" t="n">
        <x:v>3.64</x:v>
      </x:c>
    </x:row>
    <x:row r="3700">
      <x:c r="A3700" s="155" t="n">
        <x:v>46068</x:v>
      </x:c>
      <x:c r="B3700" s="153"/>
      <x:c r="C3700" s="153"/>
      <x:c r="D3700" s="153"/>
      <x:c r="E3700" s="153"/>
      <x:c r="F3700" s="153"/>
      <x:c r="G3700" s="153" t="n">
        <x:v>3.64</x:v>
      </x:c>
    </x:row>
    <x:row r="3701">
      <x:c r="A3701" s="155" t="n">
        <x:v>46069</x:v>
      </x:c>
      <x:c r="B3701" s="153"/>
      <x:c r="C3701" s="153"/>
      <x:c r="D3701" s="153"/>
      <x:c r="E3701" s="153"/>
      <x:c r="F3701" s="153" t="n">
        <x:v>21.2</x:v>
      </x:c>
      <x:c r="G3701" s="153" t="n">
        <x:v>3.64</x:v>
      </x:c>
    </x:row>
    <x:row r="3702">
      <x:c r="A3702" s="155" t="n">
        <x:v>46070</x:v>
      </x:c>
      <x:c r="B3702" s="153" t="n">
        <x:v>4.05</x:v>
      </x:c>
      <x:c r="C3702" s="153" t="n">
        <x:v>1.79</x:v>
      </x:c>
      <x:c r="D3702" s="153" t="n">
        <x:v>2.26</x:v>
      </x:c>
      <x:c r="E3702" s="153" t="n">
        <x:v>117.7375</x:v>
      </x:c>
      <x:c r="F3702" s="153" t="n">
        <x:v>20.29</x:v>
      </x:c>
      <x:c r="G3702" s="153" t="n">
        <x:v>3.64</x:v>
      </x:c>
    </x:row>
    <x:row r="3703">
      <x:c r="A3703" s="155" t="n">
        <x:v>46071</x:v>
      </x:c>
      <x:c r="B3703" s="153" t="n">
        <x:v>4.09</x:v>
      </x:c>
      <x:c r="C3703" s="153" t="n">
        <x:v>1.8</x:v>
      </x:c>
      <x:c r="D3703" s="153" t="n">
        <x:v>2.29</x:v>
      </x:c>
      <x:c r="E3703" s="153" t="n">
        <x:v>117.8426</x:v>
      </x:c>
      <x:c r="F3703" s="153" t="n">
        <x:v>19.62</x:v>
      </x:c>
      <x:c r="G3703" s="153" t="n">
        <x:v>3.64</x:v>
      </x:c>
    </x:row>
    <x:row r="3704">
      <x:c r="A3704" s="155" t="n">
        <x:v>46072</x:v>
      </x:c>
      <x:c r="B3704" s="153" t="n">
        <x:v>4.08</x:v>
      </x:c>
      <x:c r="C3704" s="153" t="n">
        <x:v>1.79</x:v>
      </x:c>
      <x:c r="D3704" s="153" t="n">
        <x:v>2.29</x:v>
      </x:c>
      <x:c r="E3704" s="153" t="n">
        <x:v>118.2354</x:v>
      </x:c>
      <x:c r="F3704" s="153" t="n">
        <x:v>20.23</x:v>
      </x:c>
      <x:c r="G3704" s="153" t="n">
        <x:v>3.64</x:v>
      </x:c>
    </x:row>
    <x:row r="3705">
      <x:c r="A3705" s="155" t="n">
        <x:v>46073</x:v>
      </x:c>
      <x:c r="B3705" s="153" t="n">
        <x:v>4.08</x:v>
      </x:c>
      <x:c r="C3705" s="153" t="n">
        <x:v>1.8</x:v>
      </x:c>
      <x:c r="D3705" s="153" t="n">
        <x:v>2.28</x:v>
      </x:c>
      <x:c r="E3705" s="153" t="n">
        <x:v>117.9917</x:v>
      </x:c>
      <x:c r="F3705" s="153" t="n">
        <x:v>19.09</x:v>
      </x:c>
      <x:c r="G3705" s="153" t="n">
        <x:v>3.64</x:v>
      </x:c>
    </x:row>
    <x:row r="3706">
      <x:c r="A3706" s="155" t="n">
        <x:v>46074</x:v>
      </x:c>
      <x:c r="B3706" s="153"/>
      <x:c r="C3706" s="153"/>
      <x:c r="D3706" s="153"/>
      <x:c r="E3706" s="153"/>
      <x:c r="F3706" s="153"/>
      <x:c r="G3706" s="153" t="n">
        <x:v>3.64</x:v>
      </x:c>
    </x:row>
    <x:row r="3707">
      <x:c r="A3707" s="155" t="n">
        <x:v>46075</x:v>
      </x:c>
      <x:c r="B3707" s="153"/>
      <x:c r="C3707" s="153"/>
      <x:c r="D3707" s="153"/>
      <x:c r="E3707" s="153"/>
      <x:c r="F3707" s="153"/>
      <x:c r="G3707" s="153" t="n">
        <x:v>3.64</x:v>
      </x:c>
    </x:row>
    <x:row r="3708">
      <x:c r="A3708" s="155" t="n">
        <x:v>46076</x:v>
      </x:c>
      <x:c r="B3708" s="153" t="n">
        <x:v>4.03</x:v>
      </x:c>
      <x:c r="C3708" s="153" t="n">
        <x:v>1.77</x:v>
      </x:c>
      <x:c r="D3708" s="153" t="n">
        <x:v>2.26</x:v>
      </x:c>
      <x:c r="E3708" s="153" t="n">
        <x:v>117.9395</x:v>
      </x:c>
      <x:c r="F3708" s="153" t="n">
        <x:v>21.01</x:v>
      </x:c>
      <x:c r="G3708" s="153" t="n">
        <x:v>3.64</x:v>
      </x:c>
    </x:row>
    <x:row r="3709">
      <x:c r="A3709" s="155" t="n">
        <x:v>46077</x:v>
      </x:c>
      <x:c r="B3709" s="153" t="n">
        <x:v>4.04</x:v>
      </x:c>
      <x:c r="C3709" s="153" t="n">
        <x:v>1.78</x:v>
      </x:c>
      <x:c r="D3709" s="153" t="n">
        <x:v>2.26</x:v>
      </x:c>
      <x:c r="E3709" s="153" t="n">
        <x:v>117.9463</x:v>
      </x:c>
      <x:c r="F3709" s="153" t="n">
        <x:v>19.55</x:v>
      </x:c>
      <x:c r="G3709" s="153" t="n">
        <x:v>3.64</x:v>
      </x:c>
    </x:row>
    <x:row r="3710">
      <x:c r="A3710" s="155" t="n">
        <x:v>46078</x:v>
      </x:c>
      <x:c r="B3710" s="153" t="n">
        <x:v>4.05</x:v>
      </x:c>
      <x:c r="C3710" s="153" t="n">
        <x:v>1.77</x:v>
      </x:c>
      <x:c r="D3710" s="153" t="n">
        <x:v>2.28</x:v>
      </x:c>
      <x:c r="E3710" s="153" t="n">
        <x:v>117.769</x:v>
      </x:c>
      <x:c r="F3710" s="153" t="n">
        <x:v>17.93</x:v>
      </x:c>
      <x:c r="G3710" s="153" t="n">
        <x:v>3.64</x:v>
      </x:c>
    </x:row>
    <x:row r="3711">
      <x:c r="A3711" s="155" t="n">
        <x:v>46079</x:v>
      </x:c>
      <x:c r="B3711" s="153" t="n">
        <x:v>4.02</x:v>
      </x:c>
      <x:c r="C3711" s="153" t="n">
        <x:v>1.74</x:v>
      </x:c>
      <x:c r="D3711" s="153" t="n">
        <x:v>2.28</x:v>
      </x:c>
      <x:c r="E3711" s="153" t="n">
        <x:v>117.9042</x:v>
      </x:c>
      <x:c r="F3711" s="153" t="n">
        <x:v>18.63</x:v>
      </x:c>
      <x:c r="G3711" s="153" t="n">
        <x:v>3.64</x:v>
      </x:c>
    </x:row>
    <x:row r="3712">
      <x:c r="A3712" s="155" t="n">
        <x:v>46080</x:v>
      </x:c>
      <x:c r="B3712" s="153" t="n">
        <x:v>3.97</x:v>
      </x:c>
      <x:c r="C3712" s="153" t="n">
        <x:v>1.72</x:v>
      </x:c>
      <x:c r="D3712" s="153" t="n">
        <x:v>2.25</x:v>
      </x:c>
      <x:c r="E3712" s="153" t="n">
        <x:v>117.8223</x:v>
      </x:c>
      <x:c r="F3712" s="153" t="n">
        <x:v>19.86</x:v>
      </x:c>
      <x:c r="G3712" s="153" t="n">
        <x:v>3.64</x:v>
      </x:c>
    </x:row>
    <x:row r="3713">
      <x:c r="A3713" s="155" t="n">
        <x:v>46081</x:v>
      </x:c>
      <x:c r="B3713" s="153"/>
      <x:c r="C3713" s="153"/>
      <x:c r="D3713" s="153"/>
      <x:c r="E3713" s="153"/>
      <x:c r="F3713" s="153"/>
      <x:c r="G3713" s="153" t="n">
        <x:v>3.64</x:v>
      </x:c>
    </x:row>
    <x:row r="3714">
      <x:c r="A3714" s="155" t="n">
        <x:v>46082</x:v>
      </x:c>
      <x:c r="B3714" s="153"/>
      <x:c r="C3714" s="153"/>
      <x:c r="D3714" s="153"/>
      <x:c r="E3714" s="153"/>
      <x:c r="F3714" s="153"/>
      <x:c r="G3714" s="153" t="n">
        <x:v>3.64</x:v>
      </x:c>
    </x:row>
    <x:row r="3715">
      <x:c r="A3715" s="155" t="n">
        <x:v>46083</x:v>
      </x:c>
      <x:c r="B3715" s="153" t="n">
        <x:v>4.05</x:v>
      </x:c>
      <x:c r="C3715" s="153" t="n">
        <x:v>1.76</x:v>
      </x:c>
      <x:c r="D3715" s="153" t="n">
        <x:v>2.29</x:v>
      </x:c>
      <x:c r="E3715" s="153" t="n">
        <x:v>118.667</x:v>
      </x:c>
      <x:c r="F3715" s="153" t="n">
        <x:v>21.44</x:v>
      </x:c>
      <x:c r="G3715" s="153" t="n">
        <x:v>3.64</x:v>
      </x:c>
    </x:row>
    <x:row r="3716">
      <x:c r="A3716" s="155" t="n">
        <x:v>46084</x:v>
      </x:c>
      <x:c r="B3716" s="153" t="n">
        <x:v>4.06</x:v>
      </x:c>
      <x:c r="C3716" s="153" t="n">
        <x:v>1.77</x:v>
      </x:c>
      <x:c r="D3716" s="153" t="n">
        <x:v>2.29</x:v>
      </x:c>
      <x:c r="E3716" s="153" t="n">
        <x:v>119.4341</x:v>
      </x:c>
      <x:c r="F3716" s="153" t="n">
        <x:v>23.57</x:v>
      </x:c>
      <x:c r="G3716" s="153" t="n">
        <x:v>3.64</x:v>
      </x:c>
    </x:row>
    <x:row r="3717">
      <x:c r="A3717" s="155" t="n">
        <x:v>46085</x:v>
      </x:c>
      <x:c r="B3717" s="153" t="n">
        <x:v>4.09</x:v>
      </x:c>
      <x:c r="C3717" s="153" t="n">
        <x:v>1.8</x:v>
      </x:c>
      <x:c r="D3717" s="153" t="n">
        <x:v>2.29</x:v>
      </x:c>
      <x:c r="E3717" s="153" t="n">
        <x:v>119.0705</x:v>
      </x:c>
      <x:c r="F3717" s="153" t="n">
        <x:v>21.15</x:v>
      </x:c>
      <x:c r="G3717" s="153" t="n">
        <x:v>3.64</x:v>
      </x:c>
    </x:row>
    <x:row r="3718">
      <x:c r="A3718" s="155" t="n">
        <x:v>46086</x:v>
      </x:c>
      <x:c r="B3718" s="153" t="n">
        <x:v>4.13</x:v>
      </x:c>
      <x:c r="C3718" s="153" t="n">
        <x:v>1.82</x:v>
      </x:c>
      <x:c r="D3718" s="153" t="n">
        <x:v>2.31</x:v>
      </x:c>
      <x:c r="E3718" s="153" t="n">
        <x:v>119.5683</x:v>
      </x:c>
      <x:c r="F3718" s="153" t="n">
        <x:v>23.75</x:v>
      </x:c>
      <x:c r="G3718" s="153" t="n">
        <x:v>3.64</x:v>
      </x:c>
    </x:row>
    <x:row r="3719">
      <x:c r="A3719" s="155" t="n">
        <x:v>46087</x:v>
      </x:c>
      <x:c r="B3719" s="153" t="n">
        <x:v>4.15</x:v>
      </x:c>
      <x:c r="C3719" s="153" t="n">
        <x:v>1.8</x:v>
      </x:c>
      <x:c r="D3719" s="153" t="n">
        <x:v>2.35</x:v>
      </x:c>
      <x:c r="E3719" s="153" t="n">
        <x:v>119.491</x:v>
      </x:c>
      <x:c r="F3719" s="153" t="n">
        <x:v>29.49</x:v>
      </x:c>
      <x:c r="G3719" s="153" t="n">
        <x:v>3.64</x:v>
      </x:c>
    </x:row>
    <x:row r="3720">
      <x:c r="A3720" s="155" t="n">
        <x:v>46088</x:v>
      </x:c>
      <x:c r="B3720" s="153"/>
      <x:c r="C3720" s="153"/>
      <x:c r="D3720" s="153"/>
      <x:c r="E3720" s="153"/>
      <x:c r="F3720" s="153"/>
      <x:c r="G3720" s="153" t="n">
        <x:v>3.64</x:v>
      </x:c>
    </x:row>
    <x:row r="3721">
      <x:c r="A3721" s="155" t="n">
        <x:v>46089</x:v>
      </x:c>
      <x:c r="B3721" s="153"/>
      <x:c r="C3721" s="153"/>
      <x:c r="D3721" s="153"/>
      <x:c r="E3721" s="153"/>
      <x:c r="F3721" s="153"/>
      <x:c r="G3721" s="153" t="n">
        <x:v>3.64</x:v>
      </x:c>
    </x:row>
    <x:row r="3722">
      <x:c r="A3722" s="155" t="n">
        <x:v>46090</x:v>
      </x:c>
      <x:c r="B3722" s="153" t="n">
        <x:v>4.12</x:v>
      </x:c>
      <x:c r="C3722" s="153" t="n">
        <x:v>1.78</x:v>
      </x:c>
      <x:c r="D3722" s="153" t="n">
        <x:v>2.34</x:v>
      </x:c>
      <x:c r="E3722" s="153" t="n">
        <x:v>119.5151</x:v>
      </x:c>
      <x:c r="F3722" s="153" t="n">
        <x:v>25.5</x:v>
      </x:c>
      <x:c r="G3722" s="153" t="n">
        <x:v>3.64</x:v>
      </x:c>
    </x:row>
    <x:row r="3723">
      <x:c r="A3723" s="155" t="n">
        <x:v>46091</x:v>
      </x:c>
      <x:c r="B3723" s="153" t="n">
        <x:v>4.15</x:v>
      </x:c>
      <x:c r="C3723" s="153" t="n">
        <x:v>1.82</x:v>
      </x:c>
      <x:c r="D3723" s="153" t="n">
        <x:v>2.33</x:v>
      </x:c>
      <x:c r="E3723" s="153" t="n">
        <x:v>118.7255</x:v>
      </x:c>
      <x:c r="F3723" s="153" t="n">
        <x:v>24.93</x:v>
      </x:c>
      <x:c r="G3723" s="153" t="n">
        <x:v>3.64</x:v>
      </x:c>
    </x:row>
    <x:row r="3724">
      <x:c r="A3724" s="155" t="n">
        <x:v>46092</x:v>
      </x:c>
      <x:c r="B3724" s="153" t="n">
        <x:v>4.21</x:v>
      </x:c>
      <x:c r="C3724" s="153" t="n">
        <x:v>1.85</x:v>
      </x:c>
      <x:c r="D3724" s="153" t="n">
        <x:v>2.36</x:v>
      </x:c>
      <x:c r="E3724" s="153" t="n">
        <x:v>119.2885</x:v>
      </x:c>
      <x:c r="F3724" s="153" t="n">
        <x:v>24.23</x:v>
      </x:c>
      <x:c r="G3724" s="153" t="n">
        <x:v>3.64</x:v>
      </x:c>
    </x:row>
    <x:row r="3725">
      <x:c r="A3725" s="155" t="n">
        <x:v>46093</x:v>
      </x:c>
      <x:c r="B3725" s="153" t="n">
        <x:v>4.27</x:v>
      </x:c>
      <x:c r="C3725" s="153" t="n">
        <x:v>1.89</x:v>
      </x:c>
      <x:c r="D3725" s="153" t="n">
        <x:v>2.38</x:v>
      </x:c>
      <x:c r="E3725" s="153" t="n">
        <x:v>119.8227</x:v>
      </x:c>
      <x:c r="F3725" s="153" t="n">
        <x:v>27.29</x:v>
      </x:c>
      <x:c r="G3725" s="153" t="n">
        <x:v>3.64</x:v>
      </x:c>
    </x:row>
    <x:row r="3726">
      <x:c r="A3726" s="155" t="n">
        <x:v>46094</x:v>
      </x:c>
      <x:c r="B3726" s="153" t="n">
        <x:v>4.28</x:v>
      </x:c>
      <x:c r="C3726" s="153" t="n">
        <x:v>1.92</x:v>
      </x:c>
      <x:c r="D3726" s="153" t="n">
        <x:v>2.36</x:v>
      </x:c>
      <x:c r="E3726" s="153" t="n">
        <x:v>120.5518</x:v>
      </x:c>
      <x:c r="F3726" s="153" t="n">
        <x:v>27.19</x:v>
      </x:c>
      <x:c r="G3726" s="153" t="n">
        <x:v>3.64</x:v>
      </x:c>
    </x:row>
    <x:row r="3727">
      <x:c r="A3727" s="155" t="n">
        <x:v>46095</x:v>
      </x:c>
      <x:c r="B3727" s="153"/>
      <x:c r="C3727" s="153"/>
      <x:c r="D3727" s="153"/>
      <x:c r="E3727" s="153"/>
      <x:c r="F3727" s="153"/>
      <x:c r="G3727" s="153" t="n">
        <x:v>3.64</x:v>
      </x:c>
    </x:row>
    <x:row r="3728">
      <x:c r="A3728" s="155" t="n">
        <x:v>46096</x:v>
      </x:c>
      <x:c r="B3728" s="153"/>
      <x:c r="C3728" s="153"/>
      <x:c r="D3728" s="153"/>
      <x:c r="E3728" s="153"/>
      <x:c r="F3728" s="153"/>
      <x:c r="G3728" s="153" t="n">
        <x:v>3.64</x:v>
      </x:c>
    </x:row>
    <x:row r="3729">
      <x:c r="A3729" s="155" t="n">
        <x:v>46097</x:v>
      </x:c>
      <x:c r="B3729" s="153" t="n">
        <x:v>4.23</x:v>
      </x:c>
      <x:c r="C3729" s="153" t="n">
        <x:v>1.87</x:v>
      </x:c>
      <x:c r="D3729" s="153" t="n">
        <x:v>2.36</x:v>
      </x:c>
      <x:c r="E3729" s="153" t="n">
        <x:v>120.097</x:v>
      </x:c>
      <x:c r="F3729" s="153" t="n">
        <x:v>23.51</x:v>
      </x:c>
      <x:c r="G3729" s="153" t="n">
        <x:v>3.64</x:v>
      </x:c>
    </x:row>
    <x:row r="3730">
      <x:c r="A3730" s="155" t="n">
        <x:v>46098</x:v>
      </x:c>
      <x:c r="B3730" s="153" t="n">
        <x:v>4.2</x:v>
      </x:c>
      <x:c r="C3730" s="153" t="n">
        <x:v>1.83</x:v>
      </x:c>
      <x:c r="D3730" s="153" t="n">
        <x:v>2.37</x:v>
      </x:c>
      <x:c r="E3730" s="153" t="n">
        <x:v>119.8328</x:v>
      </x:c>
      <x:c r="F3730" s="153" t="n">
        <x:v>22.37</x:v>
      </x:c>
      <x:c r="G3730" s="153" t="n">
        <x:v>3.64</x:v>
      </x:c>
    </x:row>
    <x:row r="3731">
      <x:c r="A3731" s="155" t="n">
        <x:v>46099</x:v>
      </x:c>
      <x:c r="B3731" s="153" t="n">
        <x:v>4.26</x:v>
      </x:c>
      <x:c r="C3731" s="153" t="n">
        <x:v>1.86</x:v>
      </x:c>
      <x:c r="D3731" s="153" t="n">
        <x:v>2.4</x:v>
      </x:c>
      <x:c r="E3731" s="153" t="n">
        <x:v>119.9276</x:v>
      </x:c>
      <x:c r="F3731" s="153" t="n">
        <x:v>25.09</x:v>
      </x:c>
      <x:c r="G3731" s="153" t="n">
        <x:v>3.64</x:v>
      </x:c>
    </x:row>
    <x:row r="3732">
      <x:c r="A3732" s="155" t="n">
        <x:v>46100</x:v>
      </x:c>
      <x:c r="B3732" s="153" t="n">
        <x:v>4.25</x:v>
      </x:c>
      <x:c r="C3732" s="153" t="n">
        <x:v>1.88</x:v>
      </x:c>
      <x:c r="D3732" s="153" t="n">
        <x:v>2.37</x:v>
      </x:c>
      <x:c r="E3732" s="153" t="n">
        <x:v>120.1802</x:v>
      </x:c>
      <x:c r="F3732" s="153" t="n">
        <x:v>24.06</x:v>
      </x:c>
      <x:c r="G3732" s="153" t="n">
        <x:v>3.64</x:v>
      </x:c>
    </x:row>
    <x:row r="3733">
      <x:c r="A3733" s="155" t="n">
        <x:v>46101</x:v>
      </x:c>
      <x:c r="B3733" s="153" t="n">
        <x:v>4.39</x:v>
      </x:c>
      <x:c r="C3733" s="153" t="n">
        <x:v>2.01</x:v>
      </x:c>
      <x:c r="D3733" s="153" t="n">
        <x:v>2.38</x:v>
      </x:c>
      <x:c r="E3733" s="153" t="n">
        <x:v>120.2757</x:v>
      </x:c>
      <x:c r="F3733" s="153" t="n">
        <x:v>26.78</x:v>
      </x:c>
      <x:c r="G3733" s="153" t="n">
        <x:v>3.64</x:v>
      </x:c>
    </x:row>
    <x:row r="3734">
      <x:c r="A3734" s="155" t="n">
        <x:v>46102</x:v>
      </x:c>
      <x:c r="B3734" s="153"/>
      <x:c r="C3734" s="153"/>
      <x:c r="D3734" s="153"/>
      <x:c r="E3734" s="153"/>
      <x:c r="F3734" s="153"/>
      <x:c r="G3734" s="153" t="n">
        <x:v>3.64</x:v>
      </x:c>
    </x:row>
    <x:row r="3735">
      <x:c r="A3735" s="155" t="n">
        <x:v>46103</x:v>
      </x:c>
      <x:c r="B3735" s="153"/>
      <x:c r="C3735" s="153"/>
      <x:c r="D3735" s="153"/>
      <x:c r="E3735" s="153"/>
      <x:c r="F3735" s="153"/>
      <x:c r="G3735" s="153" t="n">
        <x:v>3.64</x:v>
      </x:c>
    </x:row>
    <x:row r="3736">
      <x:c r="A3736" s="155" t="n">
        <x:v>46104</x:v>
      </x:c>
      <x:c r="B3736" s="153" t="n">
        <x:v>4.34</x:v>
      </x:c>
      <x:c r="C3736" s="153" t="n">
        <x:v>2.01</x:v>
      </x:c>
      <x:c r="D3736" s="153" t="n">
        <x:v>2.33</x:v>
      </x:c>
      <x:c r="E3736" s="153" t="n">
        <x:v>119.9371</x:v>
      </x:c>
      <x:c r="F3736" s="153" t="n">
        <x:v>26.15</x:v>
      </x:c>
      <x:c r="G3736" s="153" t="n">
        <x:v>3.64</x:v>
      </x:c>
    </x:row>
    <x:row r="3737">
      <x:c r="A3737" s="155" t="n">
        <x:v>46105</x:v>
      </x:c>
      <x:c r="B3737" s="153" t="n">
        <x:v>4.39</x:v>
      </x:c>
      <x:c r="C3737" s="153" t="n">
        <x:v>2.06</x:v>
      </x:c>
      <x:c r="D3737" s="153" t="n">
        <x:v>2.33</x:v>
      </x:c>
      <x:c r="E3737" s="153" t="n">
        <x:v>120.1295</x:v>
      </x:c>
      <x:c r="F3737" s="153" t="n">
        <x:v>26.95</x:v>
      </x:c>
      <x:c r="G3737" s="153" t="n">
        <x:v>3.64</x:v>
      </x:c>
    </x:row>
    <x:row r="3738">
      <x:c r="A3738" s="155" t="n">
        <x:v>46106</x:v>
      </x:c>
      <x:c r="B3738" s="153" t="n">
        <x:v>4.33</x:v>
      </x:c>
      <x:c r="C3738" s="153" t="n">
        <x:v>2.02</x:v>
      </x:c>
      <x:c r="D3738" s="153" t="n">
        <x:v>2.31</x:v>
      </x:c>
      <x:c r="E3738" s="153" t="n">
        <x:v>120.1282</x:v>
      </x:c>
      <x:c r="F3738" s="153" t="n">
        <x:v>25.33</x:v>
      </x:c>
      <x:c r="G3738" s="153" t="n">
        <x:v>3.64</x:v>
      </x:c>
    </x:row>
    <x:row r="3739">
      <x:c r="A3739" s="155" t="n">
        <x:v>46107</x:v>
      </x:c>
      <x:c r="B3739" s="153" t="n">
        <x:v>4.42</x:v>
      </x:c>
      <x:c r="C3739" s="153" t="n">
        <x:v>2.08</x:v>
      </x:c>
      <x:c r="D3739" s="153" t="n">
        <x:v>2.34</x:v>
      </x:c>
      <x:c r="E3739" s="153" t="n">
        <x:v>120.389</x:v>
      </x:c>
      <x:c r="F3739" s="153" t="n">
        <x:v>27.44</x:v>
      </x:c>
      <x:c r="G3739" s="153" t="n">
        <x:v>3.64</x:v>
      </x:c>
    </x:row>
    <x:row r="3740">
      <x:c r="A3740" s="155" t="n">
        <x:v>46108</x:v>
      </x:c>
      <x:c r="B3740" s="153" t="n">
        <x:v>4.44</x:v>
      </x:c>
      <x:c r="C3740" s="153" t="n">
        <x:v>2.13</x:v>
      </x:c>
      <x:c r="D3740" s="153" t="n">
        <x:v>2.31</x:v>
      </x:c>
      <x:c r="E3740" s="153" t="n">
        <x:v>120.8851</x:v>
      </x:c>
      <x:c r="F3740" s="153" t="n">
        <x:v>31.05</x:v>
      </x:c>
      <x:c r="G3740" s="153" t="n">
        <x:v>3.64</x:v>
      </x:c>
    </x:row>
    <x:row r="3741">
      <x:c r="A3741" s="155" t="n">
        <x:v>46109</x:v>
      </x:c>
      <x:c r="B3741" s="153"/>
      <x:c r="C3741" s="153"/>
      <x:c r="D3741" s="153"/>
      <x:c r="E3741" s="153"/>
      <x:c r="F3741" s="153"/>
      <x:c r="G3741" s="153" t="n">
        <x:v>3.64</x:v>
      </x:c>
    </x:row>
    <x:row r="3742">
      <x:c r="A3742" s="155" t="n">
        <x:v>46110</x:v>
      </x:c>
      <x:c r="B3742" s="153"/>
      <x:c r="C3742" s="153"/>
      <x:c r="D3742" s="153"/>
      <x:c r="E3742" s="153"/>
      <x:c r="F3742" s="153"/>
      <x:c r="G3742" s="153" t="n">
        <x:v>3.64</x:v>
      </x:c>
    </x:row>
    <x:row r="3743">
      <x:c r="A3743" s="155" t="n">
        <x:v>46111</x:v>
      </x:c>
      <x:c r="B3743" s="153" t="n">
        <x:v>4.35</x:v>
      </x:c>
      <x:c r="C3743" s="153" t="n">
        <x:v>2.04</x:v>
      </x:c>
      <x:c r="D3743" s="153" t="n">
        <x:v>2.31</x:v>
      </x:c>
      <x:c r="E3743" s="153" t="n">
        <x:v>121.2851</x:v>
      </x:c>
      <x:c r="F3743" s="153" t="n">
        <x:v>30.61</x:v>
      </x:c>
      <x:c r="G3743" s="153" t="n">
        <x:v>3.64</x:v>
      </x:c>
    </x:row>
    <x:row r="3744">
      <x:c r="A3744" s="155" t="n">
        <x:v>46112</x:v>
      </x:c>
      <x:c r="B3744" s="153" t="n">
        <x:v>4.3</x:v>
      </x:c>
      <x:c r="C3744" s="153" t="n">
        <x:v>2</x:v>
      </x:c>
      <x:c r="D3744" s="153" t="n">
        <x:v>2.3</x:v>
      </x:c>
      <x:c r="E3744" s="153" t="n">
        <x:v>121.035</x:v>
      </x:c>
      <x:c r="F3744" s="153" t="n">
        <x:v>25.25</x:v>
      </x:c>
      <x:c r="G3744" s="153" t="n">
        <x:v>3.64</x:v>
      </x:c>
    </x:row>
    <x:row r="3745">
      <x:c r="A3745" s="155" t="n">
        <x:v>46113</x:v>
      </x:c>
      <x:c r="B3745" s="153" t="n">
        <x:v>4.33</x:v>
      </x:c>
      <x:c r="C3745" s="153" t="n">
        <x:v>2.02</x:v>
      </x:c>
      <x:c r="D3745" s="153" t="n">
        <x:v>2.31</x:v>
      </x:c>
      <x:c r="E3745" s="153" t="n">
        <x:v>120.1198</x:v>
      </x:c>
      <x:c r="F3745" s="153" t="n">
        <x:v>24.54</x:v>
      </x:c>
      <x:c r="G3745" s="153" t="n">
        <x:v>3.64</x:v>
      </x:c>
    </x:row>
    <x:row r="3746">
      <x:c r="A3746" s="155" t="n">
        <x:v>46114</x:v>
      </x:c>
      <x:c r="B3746" s="153" t="n">
        <x:v>4.31</x:v>
      </x:c>
      <x:c r="C3746" s="153" t="n">
        <x:v>1.97</x:v>
      </x:c>
      <x:c r="D3746" s="153" t="n">
        <x:v>2.34</x:v>
      </x:c>
      <x:c r="E3746" s="153" t="n">
        <x:v>120.503</x:v>
      </x:c>
      <x:c r="F3746" s="153" t="n">
        <x:v>23.87</x:v>
      </x:c>
      <x:c r="G3746" s="153" t="n">
        <x:v>3.64</x:v>
      </x:c>
    </x:row>
    <x:row r="3747">
      <x:c r="A3747" s="155" t="n">
        <x:v>46115</x:v>
      </x:c>
      <x:c r="B3747" s="153" t="n">
        <x:v>4.35</x:v>
      </x:c>
      <x:c r="C3747" s="153" t="n">
        <x:v>1.99</x:v>
      </x:c>
      <x:c r="D3747" s="153" t="n">
        <x:v>2.36</x:v>
      </x:c>
      <x:c r="E3747" s="153" t="n">
        <x:v>120.6565</x:v>
      </x:c>
      <x:c r="F3747" s="153"/>
      <x:c r="G3747" s="153" t="n">
        <x:v>3.64</x:v>
      </x:c>
    </x:row>
    <x:row r="3748">
      <x:c r="A3748" s="155" t="n">
        <x:v>46116</x:v>
      </x:c>
      <x:c r="B3748" s="153"/>
      <x:c r="C3748" s="153"/>
      <x:c r="D3748" s="153"/>
      <x:c r="E3748" s="153"/>
      <x:c r="F3748" s="153"/>
      <x:c r="G3748" s="153" t="n">
        <x:v>3.64</x:v>
      </x:c>
    </x:row>
    <x:row r="3749">
      <x:c r="A3749" s="155" t="n">
        <x:v>46117</x:v>
      </x:c>
      <x:c r="B3749" s="153"/>
      <x:c r="C3749" s="153"/>
      <x:c r="D3749" s="153"/>
      <x:c r="E3749" s="153"/>
      <x:c r="F3749" s="153"/>
      <x:c r="G3749" s="153" t="n">
        <x:v>3.64</x:v>
      </x:c>
    </x:row>
    <x:row r="3750">
      <x:c r="A3750" s="155" t="n">
        <x:v>46118</x:v>
      </x:c>
      <x:c r="B3750" s="153" t="n">
        <x:v>4.34</x:v>
      </x:c>
      <x:c r="C3750" s="153" t="n">
        <x:v>1.98</x:v>
      </x:c>
      <x:c r="D3750" s="153" t="n">
        <x:v>2.36</x:v>
      </x:c>
      <x:c r="E3750" s="153" t="n">
        <x:v>120.4302</x:v>
      </x:c>
      <x:c r="F3750" s="153" t="n">
        <x:v>24.17</x:v>
      </x:c>
      <x:c r="G3750" s="153" t="n">
        <x:v>3.64</x:v>
      </x:c>
    </x:row>
    <x:row r="3751">
      <x:c r="A3751" s="155" t="n">
        <x:v>46119</x:v>
      </x:c>
      <x:c r="B3751" s="153" t="n">
        <x:v>4.33</x:v>
      </x:c>
      <x:c r="C3751" s="153" t="n">
        <x:v>1.96</x:v>
      </x:c>
      <x:c r="D3751" s="153" t="n">
        <x:v>2.37</x:v>
      </x:c>
      <x:c r="E3751" s="153" t="n">
        <x:v>120.32</x:v>
      </x:c>
      <x:c r="F3751" s="153" t="n">
        <x:v>25.78</x:v>
      </x:c>
      <x:c r="G3751" s="153" t="n">
        <x:v>3.64</x:v>
      </x:c>
    </x:row>
    <x:row r="3752">
      <x:c r="A3752" s="155" t="n">
        <x:v>46120</x:v>
      </x:c>
      <x:c r="B3752" s="153" t="n">
        <x:v>4.29</x:v>
      </x:c>
      <x:c r="C3752" s="153" t="n">
        <x:v>1.96</x:v>
      </x:c>
      <x:c r="D3752" s="153" t="n">
        <x:v>2.33</x:v>
      </x:c>
      <x:c r="E3752" s="153" t="n">
        <x:v>119.0596</x:v>
      </x:c>
      <x:c r="F3752" s="153" t="n">
        <x:v>21.04</x:v>
      </x:c>
      <x:c r="G3752" s="153" t="n">
        <x:v>3.64</x:v>
      </x:c>
    </x:row>
    <x:row r="3753">
      <x:c r="A3753" s="155" t="n">
        <x:v>46121</x:v>
      </x:c>
      <x:c r="B3753" s="153" t="n">
        <x:v>4.29</x:v>
      </x:c>
      <x:c r="C3753" s="153" t="n">
        <x:v>1.95</x:v>
      </x:c>
      <x:c r="D3753" s="153" t="n">
        <x:v>2.34</x:v>
      </x:c>
      <x:c r="E3753" s="153" t="n">
        <x:v>118.8998</x:v>
      </x:c>
      <x:c r="F3753" s="153" t="n">
        <x:v>19.49</x:v>
      </x:c>
      <x:c r="G3753" s="153" t="n">
        <x:v>3.64</x:v>
      </x:c>
    </x:row>
    <x:row r="3754">
      <x:c r="A3754" s="155" t="n">
        <x:v>46122</x:v>
      </x:c>
      <x:c r="B3754" s="153" t="n">
        <x:v>4.31</x:v>
      </x:c>
      <x:c r="C3754" s="153" t="n">
        <x:v>1.95</x:v>
      </x:c>
      <x:c r="D3754" s="153" t="n">
        <x:v>2.36</x:v>
      </x:c>
      <x:c r="E3754" s="153" t="n">
        <x:v>118.8552</x:v>
      </x:c>
      <x:c r="F3754" s="153" t="n">
        <x:v>19.23</x:v>
      </x:c>
      <x:c r="G3754" s="153" t="n">
        <x:v>3.64</x:v>
      </x:c>
    </x:row>
    <x:row r="3755">
      <x:c r="A3755" s="155" t="n">
        <x:v>46123</x:v>
      </x:c>
      <x:c r="B3755" s="153"/>
      <x:c r="C3755" s="153"/>
      <x:c r="D3755" s="153"/>
      <x:c r="E3755" s="153"/>
      <x:c r="F3755" s="153"/>
      <x:c r="G3755" s="153" t="n">
        <x:v>3.64</x:v>
      </x:c>
    </x:row>
    <x:row r="3756">
      <x:c r="A3756" s="155" t="n">
        <x:v>46124</x:v>
      </x:c>
      <x:c r="B3756" s="153"/>
      <x:c r="C3756" s="153"/>
      <x:c r="D3756" s="153"/>
      <x:c r="E3756" s="153"/>
      <x:c r="F3756" s="153"/>
      <x:c r="G3756" s="153" t="n">
        <x:v>3.64</x:v>
      </x:c>
    </x:row>
    <x:row r="3757">
      <x:c r="A3757" s="155" t="n">
        <x:v>46125</x:v>
      </x:c>
      <x:c r="B3757" s="153" t="n">
        <x:v>4.3</x:v>
      </x:c>
      <x:c r="C3757" s="153" t="n">
        <x:v>1.92</x:v>
      </x:c>
      <x:c r="D3757" s="153" t="n">
        <x:v>2.38</x:v>
      </x:c>
      <x:c r="E3757" s="153" t="n">
        <x:v>118.9916</x:v>
      </x:c>
      <x:c r="F3757" s="153" t="n">
        <x:v>19.12</x:v>
      </x:c>
      <x:c r="G3757" s="153" t="n">
        <x:v>3.64</x:v>
      </x:c>
    </x:row>
    <x:row r="3758">
      <x:c r="A3758" s="155" t="n">
        <x:v>46126</x:v>
      </x:c>
      <x:c r="B3758" s="153" t="n">
        <x:v>4.26</x:v>
      </x:c>
      <x:c r="C3758" s="153" t="n">
        <x:v>1.89</x:v>
      </x:c>
      <x:c r="D3758" s="153" t="n">
        <x:v>2.37</x:v>
      </x:c>
      <x:c r="E3758" s="153" t="n">
        <x:v>118.3581</x:v>
      </x:c>
      <x:c r="F3758" s="153" t="n">
        <x:v>18.36</x:v>
      </x:c>
      <x:c r="G3758" s="153" t="n">
        <x:v>3.64</x:v>
      </x:c>
    </x:row>
    <x:row r="3759">
      <x:c r="A3759" s="155" t="n">
        <x:v>46127</x:v>
      </x:c>
      <x:c r="B3759" s="153" t="n">
        <x:v>4.29</x:v>
      </x:c>
      <x:c r="C3759" s="153" t="n">
        <x:v>1.9</x:v>
      </x:c>
      <x:c r="D3759" s="153" t="n">
        <x:v>2.39</x:v>
      </x:c>
      <x:c r="E3759" s="153" t="n">
        <x:v>118.3623</x:v>
      </x:c>
      <x:c r="F3759" s="153" t="n">
        <x:v>18.17</x:v>
      </x:c>
      <x:c r="G3759" s="153" t="n">
        <x:v>3.64</x:v>
      </x:c>
    </x:row>
    <x:row r="3760">
      <x:c r="A3760" s="155" t="n">
        <x:v>46128</x:v>
      </x:c>
      <x:c r="B3760" s="153" t="n">
        <x:v>4.32</x:v>
      </x:c>
      <x:c r="C3760" s="153" t="n">
        <x:v>1.93</x:v>
      </x:c>
      <x:c r="D3760" s="153" t="n">
        <x:v>2.39</x:v>
      </x:c>
      <x:c r="E3760" s="153" t="n">
        <x:v>118.3616</x:v>
      </x:c>
      <x:c r="F3760" s="153" t="n">
        <x:v>17.94</x:v>
      </x:c>
      <x:c r="G3760" s="153" t="n">
        <x:v>3.64</x:v>
      </x:c>
    </x:row>
    <x:row r="3761">
      <x:c r="A3761" s="155" t="n">
        <x:v>46129</x:v>
      </x:c>
      <x:c r="B3761" s="153" t="n">
        <x:v>4.26</x:v>
      </x:c>
      <x:c r="C3761" s="153" t="n">
        <x:v>1.9</x:v>
      </x:c>
      <x:c r="D3761" s="153" t="n">
        <x:v>2.36</x:v>
      </x:c>
      <x:c r="E3761" s="153" t="n">
        <x:v>118.0795</x:v>
      </x:c>
      <x:c r="F3761" s="153" t="n">
        <x:v>17.48</x:v>
      </x:c>
      <x:c r="G3761" s="153" t="n">
        <x:v>3.64</x:v>
      </x:c>
    </x:row>
    <x:row r="3762">
      <x:c r="A3762" s="155" t="n">
        <x:v>46130</x:v>
      </x:c>
      <x:c r="B3762" s="153"/>
      <x:c r="C3762" s="153"/>
      <x:c r="D3762" s="153"/>
      <x:c r="E3762" s="153"/>
      <x:c r="F3762" s="153"/>
      <x:c r="G3762" s="153" t="n">
        <x:v>3.64</x:v>
      </x:c>
    </x:row>
    <x:row r="3763">
      <x:c r="A3763" s="155" t="n">
        <x:v>46131</x:v>
      </x:c>
      <x:c r="B3763" s="153"/>
      <x:c r="C3763" s="153"/>
      <x:c r="D3763" s="153"/>
      <x:c r="E3763" s="153"/>
      <x:c r="F3763" s="153"/>
      <x:c r="G3763" s="153" t="n">
        <x:v>3.64</x:v>
      </x:c>
    </x:row>
    <x:row r="3764">
      <x:c r="A3764" s="155" t="n">
        <x:v>46132</x:v>
      </x:c>
      <x:c r="B3764" s="153" t="n">
        <x:v>4.26</x:v>
      </x:c>
      <x:c r="C3764" s="153" t="n">
        <x:v>1.91</x:v>
      </x:c>
      <x:c r="D3764" s="153" t="n">
        <x:v>2.35</x:v>
      </x:c>
      <x:c r="E3764" s="153" t="n">
        <x:v>118.2374</x:v>
      </x:c>
      <x:c r="F3764" s="153" t="n">
        <x:v>18.87</x:v>
      </x:c>
      <x:c r="G3764" s="153" t="n">
        <x:v>3.64</x:v>
      </x:c>
    </x:row>
    <x:row r="3765">
      <x:c r="A3765" s="155" t="n">
        <x:v>46133</x:v>
      </x:c>
      <x:c r="B3765" s="153" t="n">
        <x:v>4.3</x:v>
      </x:c>
      <x:c r="C3765" s="153" t="n">
        <x:v>1.92</x:v>
      </x:c>
      <x:c r="D3765" s="153" t="n">
        <x:v>2.38</x:v>
      </x:c>
      <x:c r="E3765" s="153" t="n">
        <x:v>118.4331</x:v>
      </x:c>
      <x:c r="F3765" s="153" t="n">
        <x:v>19.5</x:v>
      </x:c>
      <x:c r="G3765" s="153" t="n">
        <x:v>3.64</x:v>
      </x:c>
    </x:row>
    <x:row r="3766">
      <x:c r="A3766" s="155" t="n">
        <x:v>46134</x:v>
      </x:c>
      <x:c r="B3766" s="153" t="n">
        <x:v>4.3</x:v>
      </x:c>
      <x:c r="C3766" s="153" t="n">
        <x:v>1.92</x:v>
      </x:c>
      <x:c r="D3766" s="153" t="n">
        <x:v>2.38</x:v>
      </x:c>
      <x:c r="E3766" s="153" t="n">
        <x:v>118.6004</x:v>
      </x:c>
      <x:c r="F3766" s="153" t="n">
        <x:v>18.92</x:v>
      </x:c>
      <x:c r="G3766" s="153" t="n">
        <x:v>3.64</x:v>
      </x:c>
    </x:row>
    <x:row r="3767">
      <x:c r="A3767" s="155" t="n">
        <x:v>46135</x:v>
      </x:c>
      <x:c r="B3767" s="153" t="n">
        <x:v>4.34</x:v>
      </x:c>
      <x:c r="C3767" s="153" t="n">
        <x:v>1.92</x:v>
      </x:c>
      <x:c r="D3767" s="153" t="n">
        <x:v>2.42</x:v>
      </x:c>
      <x:c r="E3767" s="153" t="n">
        <x:v>118.7155</x:v>
      </x:c>
      <x:c r="F3767" s="153" t="n">
        <x:v>19.31</x:v>
      </x:c>
      <x:c r="G3767" s="153" t="n">
        <x:v>3.64</x:v>
      </x:c>
    </x:row>
    <x:row r="3768">
      <x:c r="A3768" s="155" t="n">
        <x:v>46136</x:v>
      </x:c>
      <x:c r="B3768" s="153" t="n">
        <x:v>4.31</x:v>
      </x:c>
      <x:c r="C3768" s="153" t="n">
        <x:v>1.89</x:v>
      </x:c>
      <x:c r="D3768" s="153" t="n">
        <x:v>2.42</x:v>
      </x:c>
      <x:c r="E3768" s="153" t="n">
        <x:v>118.7294</x:v>
      </x:c>
      <x:c r="F3768" s="153" t="n">
        <x:v>18.71</x:v>
      </x:c>
      <x:c r="G3768" s="153" t="n">
        <x:v>3.64</x:v>
      </x:c>
    </x:row>
    <x:row r="3769">
      <x:c r="A3769" s="155" t="n">
        <x:v>46137</x:v>
      </x:c>
      <x:c r="B3769" s="153"/>
      <x:c r="C3769" s="153"/>
      <x:c r="D3769" s="153"/>
      <x:c r="E3769" s="153"/>
      <x:c r="F3769" s="153"/>
      <x:c r="G3769" s="153" t="n">
        <x:v>3.64</x:v>
      </x:c>
    </x:row>
    <x:row r="3770">
      <x:c r="A3770" s="155" t="n">
        <x:v>46138</x:v>
      </x:c>
      <x:c r="B3770" s="153"/>
      <x:c r="C3770" s="153"/>
      <x:c r="D3770" s="153"/>
      <x:c r="E3770" s="153"/>
      <x:c r="F3770" s="153"/>
      <x:c r="G3770" s="153" t="n">
        <x:v>3.64</x:v>
      </x:c>
    </x:row>
    <x:row r="3771">
      <x:c r="A3771" s="155" t="n">
        <x:v>46139</x:v>
      </x:c>
      <x:c r="B3771" s="153" t="n">
        <x:v>4.35</x:v>
      </x:c>
      <x:c r="C3771" s="153" t="n">
        <x:v>1.91</x:v>
      </x:c>
      <x:c r="D3771" s="153" t="n">
        <x:v>2.44</x:v>
      </x:c>
      <x:c r="E3771" s="153" t="n">
        <x:v>118.5458</x:v>
      </x:c>
      <x:c r="F3771" s="153" t="n">
        <x:v>18.02</x:v>
      </x:c>
      <x:c r="G3771" s="153" t="n">
        <x:v>3.64</x:v>
      </x:c>
    </x:row>
    <x:row r="3772">
      <x:c r="A3772" s="155" t="n">
        <x:v>46140</x:v>
      </x:c>
      <x:c r="B3772" s="153" t="n">
        <x:v>4.36</x:v>
      </x:c>
      <x:c r="C3772" s="153" t="n">
        <x:v>1.92</x:v>
      </x:c>
      <x:c r="D3772" s="153" t="n">
        <x:v>2.44</x:v>
      </x:c>
      <x:c r="E3772" s="153" t="n">
        <x:v>118.7717</x:v>
      </x:c>
      <x:c r="F3772" s="153" t="n">
        <x:v>17.83</x:v>
      </x:c>
      <x:c r="G3772" s="153" t="n">
        <x:v>3.64</x:v>
      </x:c>
    </x:row>
    <x:row r="3773">
      <x:c r="A3773" s="155" t="n">
        <x:v>46141</x:v>
      </x:c>
      <x:c r="B3773" s="153" t="n">
        <x:v>4.42</x:v>
      </x:c>
      <x:c r="C3773" s="153" t="n">
        <x:v>1.96</x:v>
      </x:c>
      <x:c r="D3773" s="153" t="n">
        <x:v>2.46</x:v>
      </x:c>
      <x:c r="E3773" s="153" t="n">
        <x:v>119.0975</x:v>
      </x:c>
      <x:c r="F3773" s="153" t="n">
        <x:v>18.81</x:v>
      </x:c>
      <x:c r="G3773" s="153" t="n">
        <x:v>3.64</x:v>
      </x:c>
    </x:row>
    <x:row r="3774">
      <x:c r="A3774" s="155" t="n">
        <x:v>46142</x:v>
      </x:c>
      <x:c r="B3774" s="153" t="n">
        <x:v>4.4</x:v>
      </x:c>
      <x:c r="C3774" s="153" t="n">
        <x:v>1.94</x:v>
      </x:c>
      <x:c r="D3774" s="153" t="n">
        <x:v>2.46</x:v>
      </x:c>
      <x:c r="E3774" s="153" t="n">
        <x:v>118.671</x:v>
      </x:c>
      <x:c r="F3774" s="153" t="n">
        <x:v>16.89</x:v>
      </x:c>
      <x:c r="G3774" s="153" t="n">
        <x:v>3.64</x:v>
      </x:c>
    </x:row>
    <x:row r="3775">
      <x:c r="A3775" s="155" t="n">
        <x:v>46143</x:v>
      </x:c>
      <x:c r="B3775" s="153" t="n">
        <x:v>4.39</x:v>
      </x:c>
      <x:c r="C3775" s="153" t="n">
        <x:v>1.91</x:v>
      </x:c>
      <x:c r="D3775" s="153" t="n">
        <x:v>2.48</x:v>
      </x:c>
      <x:c r="E3775" s="153" t="n">
        <x:v>118.3926</x:v>
      </x:c>
      <x:c r="F3775" s="153" t="n">
        <x:v>16.99</x:v>
      </x:c>
      <x:c r="G3775" s="153" t="n">
        <x:v>3.64</x:v>
      </x:c>
    </x:row>
    <x:row r="3776">
      <x:c r="A3776" s="155" t="n">
        <x:v>46144</x:v>
      </x:c>
      <x:c r="B3776" s="153"/>
      <x:c r="C3776" s="153"/>
      <x:c r="D3776" s="153"/>
      <x:c r="E3776" s="153"/>
      <x:c r="F3776" s="153"/>
      <x:c r="G3776" s="153" t="n">
        <x:v>3.64</x:v>
      </x:c>
    </x:row>
    <x:row r="3777">
      <x:c r="A3777" s="155" t="n">
        <x:v>46145</x:v>
      </x:c>
      <x:c r="B3777" s="153"/>
      <x:c r="C3777" s="153"/>
      <x:c r="D3777" s="153"/>
      <x:c r="E3777" s="153"/>
      <x:c r="F3777" s="153"/>
      <x:c r="G3777" s="153" t="n">
        <x:v>3.64</x:v>
      </x:c>
    </x:row>
    <x:row r="3778">
      <x:c r="A3778" s="155" t="n">
        <x:v>46146</x:v>
      </x:c>
      <x:c r="B3778" s="153" t="n">
        <x:v>4.45</x:v>
      </x:c>
      <x:c r="C3778" s="153" t="n">
        <x:v>1.95</x:v>
      </x:c>
      <x:c r="D3778" s="153" t="n">
        <x:v>2.5</x:v>
      </x:c>
      <x:c r="E3778" s="153" t="n">
        <x:v>118.8264</x:v>
      </x:c>
      <x:c r="F3778" s="153" t="n">
        <x:v>18.29</x:v>
      </x:c>
      <x:c r="G3778" s="153" t="n">
        <x:v>3.64</x:v>
      </x:c>
    </x:row>
    <x:row r="3779">
      <x:c r="A3779" s="155" t="n">
        <x:v>46147</x:v>
      </x:c>
      <x:c r="B3779" s="153" t="n">
        <x:v>4.43</x:v>
      </x:c>
      <x:c r="C3779" s="153" t="n">
        <x:v>1.96</x:v>
      </x:c>
      <x:c r="D3779" s="153" t="n">
        <x:v>2.47</x:v>
      </x:c>
      <x:c r="E3779" s="153" t="n">
        <x:v>118.6207</x:v>
      </x:c>
      <x:c r="F3779" s="153" t="n">
        <x:v>17.38</x:v>
      </x:c>
      <x:c r="G3779" s="153" t="n">
        <x:v>3.64</x:v>
      </x:c>
    </x:row>
    <x:row r="3780">
      <x:c r="A3780" s="155" t="n">
        <x:v>46148</x:v>
      </x:c>
      <x:c r="B3780" s="153" t="n">
        <x:v>4.36</x:v>
      </x:c>
      <x:c r="C3780" s="153" t="n">
        <x:v>1.94</x:v>
      </x:c>
      <x:c r="D3780" s="153" t="n">
        <x:v>2.42</x:v>
      </x:c>
      <x:c r="E3780" s="153" t="n">
        <x:v>118.0982</x:v>
      </x:c>
      <x:c r="F3780" s="153" t="n">
        <x:v>17.39</x:v>
      </x:c>
      <x:c r="G3780" s="153" t="n">
        <x:v>3.64</x:v>
      </x:c>
    </x:row>
    <x:row r="3781">
      <x:c r="A3781" s="155" t="n">
        <x:v>46149</x:v>
      </x:c>
      <x:c r="B3781" s="153" t="n">
        <x:v>4.41</x:v>
      </x:c>
      <x:c r="C3781" s="153" t="n">
        <x:v>1.96</x:v>
      </x:c>
      <x:c r="D3781" s="153" t="n">
        <x:v>2.45</x:v>
      </x:c>
      <x:c r="E3781" s="153" t="n">
        <x:v>118.0116</x:v>
      </x:c>
      <x:c r="F3781" s="153" t="n">
        <x:v>17.08</x:v>
      </x:c>
      <x:c r="G3781" s="153" t="n">
        <x:v>3.63</x:v>
      </x:c>
    </x:row>
    <x:row r="3782">
      <x:c r="A3782" s="155" t="n">
        <x:v>46150</x:v>
      </x:c>
      <x:c r="B3782" s="153" t="n">
        <x:v>4.38</x:v>
      </x:c>
      <x:c r="C3782" s="153" t="n">
        <x:v>1.93</x:v>
      </x:c>
      <x:c r="D3782" s="153" t="n">
        <x:v>2.45</x:v>
      </x:c>
      <x:c r="E3782" s="153" t="n">
        <x:v>118.0392</x:v>
      </x:c>
      <x:c r="F3782" s="153" t="n">
        <x:v>17.19</x:v>
      </x:c>
      <x:c r="G3782" s="153" t="n">
        <x:v>3.63</x:v>
      </x:c>
    </x:row>
    <x:row r="3783">
      <x:c r="A3783" s="155" t="n">
        <x:v>46151</x:v>
      </x:c>
      <x:c r="B3783" s="153"/>
      <x:c r="C3783" s="153"/>
      <x:c r="D3783" s="153"/>
      <x:c r="E3783" s="153"/>
      <x:c r="F3783" s="153"/>
      <x:c r="G3783" s="153" t="n">
        <x:v>3.63</x:v>
      </x:c>
    </x:row>
    <x:row r="3784">
      <x:c r="A3784" s="155" t="n">
        <x:v>46152</x:v>
      </x:c>
      <x:c r="B3784" s="153"/>
      <x:c r="C3784" s="153"/>
      <x:c r="D3784" s="153"/>
      <x:c r="E3784" s="153"/>
      <x:c r="F3784" s="153"/>
      <x:c r="G3784" s="153" t="n">
        <x:v>3.63</x:v>
      </x:c>
    </x:row>
    <x:row r="3785">
      <x:c r="A3785" s="155" t="n">
        <x:v>46153</x:v>
      </x:c>
      <x:c r="B3785" s="153" t="n">
        <x:v>4.42</x:v>
      </x:c>
      <x:c r="C3785" s="153" t="n">
        <x:v>1.95</x:v>
      </x:c>
      <x:c r="D3785" s="153" t="n">
        <x:v>2.47</x:v>
      </x:c>
      <x:c r="E3785" s="153" t="n">
        <x:v>118.0562</x:v>
      </x:c>
      <x:c r="F3785" s="153" t="n">
        <x:v>18.38</x:v>
      </x:c>
      <x:c r="G3785" s="153" t="n">
        <x:v>3.63</x:v>
      </x:c>
    </x:row>
    <x:row r="3786">
      <x:c r="A3786" s="155" t="n">
        <x:v>46154</x:v>
      </x:c>
      <x:c r="B3786" s="153" t="n">
        <x:v>4.46</x:v>
      </x:c>
      <x:c r="C3786" s="153" t="n">
        <x:v>1.99</x:v>
      </x:c>
      <x:c r="D3786" s="153" t="n">
        <x:v>2.47</x:v>
      </x:c>
      <x:c r="E3786" s="153" t="n">
        <x:v>118.5238</x:v>
      </x:c>
      <x:c r="F3786" s="153" t="n">
        <x:v>17.99</x:v>
      </x:c>
      <x:c r="G3786" s="153" t="n">
        <x:v>3.63</x:v>
      </x:c>
    </x:row>
    <x:row r="3787">
      <x:c r="A3787" s="155" t="n">
        <x:v>46155</x:v>
      </x:c>
      <x:c r="B3787" s="153" t="n">
        <x:v>4.46</x:v>
      </x:c>
      <x:c r="C3787" s="153" t="n">
        <x:v>1.99</x:v>
      </x:c>
      <x:c r="D3787" s="153" t="n">
        <x:v>2.47</x:v>
      </x:c>
      <x:c r="E3787" s="153" t="n">
        <x:v>118.4737</x:v>
      </x:c>
      <x:c r="F3787" s="153" t="n">
        <x:v>17.87</x:v>
      </x:c>
      <x:c r="G3787" s="153" t="n">
        <x:v>3.63</x:v>
      </x:c>
    </x:row>
    <x:row r="3788">
      <x:c r="A3788" s="155" t="n">
        <x:v>46156</x:v>
      </x:c>
      <x:c r="B3788" s="153" t="n">
        <x:v>4.47</x:v>
      </x:c>
      <x:c r="C3788" s="153" t="n">
        <x:v>2</x:v>
      </x:c>
      <x:c r="D3788" s="153" t="n">
        <x:v>2.47</x:v>
      </x:c>
      <x:c r="E3788" s="153" t="n">
        <x:v>118.6696</x:v>
      </x:c>
      <x:c r="F3788" s="153" t="n">
        <x:v>17.26</x:v>
      </x:c>
      <x:c r="G3788" s="153" t="n">
        <x:v>3.63</x:v>
      </x:c>
    </x:row>
    <x:row r="3789">
      <x:c r="A3789" s="155" t="n">
        <x:v>46157</x:v>
      </x:c>
      <x:c r="B3789" s="153" t="n">
        <x:v>4.59</x:v>
      </x:c>
      <x:c r="C3789" s="153" t="n">
        <x:v>2.1</x:v>
      </x:c>
      <x:c r="D3789" s="153" t="n">
        <x:v>2.49</x:v>
      </x:c>
      <x:c r="E3789" s="153" t="n">
        <x:v>119.2825</x:v>
      </x:c>
      <x:c r="F3789" s="153" t="n">
        <x:v>18.43</x:v>
      </x:c>
      <x:c r="G3789" s="153" t="n">
        <x:v>3.63</x:v>
      </x:c>
    </x:row>
    <x:row r="3790">
      <x:c r="A3790" s="155" t="n">
        <x:v>46158</x:v>
      </x:c>
      <x:c r="B3790" s="153"/>
      <x:c r="C3790" s="153"/>
      <x:c r="D3790" s="153"/>
      <x:c r="E3790" s="153"/>
      <x:c r="F3790" s="153"/>
      <x:c r="G3790" s="153" t="n">
        <x:v>3.63</x:v>
      </x:c>
    </x:row>
    <x:row r="3791">
      <x:c r="A3791" s="155" t="n">
        <x:v>46159</x:v>
      </x:c>
      <x:c r="B3791" s="153"/>
      <x:c r="C3791" s="153"/>
      <x:c r="D3791" s="153"/>
      <x:c r="E3791" s="153"/>
      <x:c r="F3791" s="153"/>
      <x:c r="G3791" s="153" t="n">
        <x:v>3.63</x:v>
      </x:c>
    </x:row>
    <x:row r="3792">
      <x:c r="A3792" s="155" t="n">
        <x:v>46160</x:v>
      </x:c>
      <x:c r="B3792" s="153" t="n">
        <x:v>4.61</x:v>
      </x:c>
      <x:c r="C3792" s="153" t="n">
        <x:v>2.13</x:v>
      </x:c>
      <x:c r="D3792" s="153" t="n">
        <x:v>2.48</x:v>
      </x:c>
      <x:c r="E3792" s="153" t="n">
        <x:v>119.0574</x:v>
      </x:c>
      <x:c r="F3792" s="153" t="n">
        <x:v>17.82</x:v>
      </x:c>
      <x:c r="G3792" s="153" t="n">
        <x:v>3.63</x:v>
      </x:c>
    </x:row>
    <x:row r="3793">
      <x:c r="A3793" s="155" t="n">
        <x:v>46161</x:v>
      </x:c>
      <x:c r="B3793" s="153" t="n">
        <x:v>4.67</x:v>
      </x:c>
      <x:c r="C3793" s="153" t="n">
        <x:v>2.18</x:v>
      </x:c>
      <x:c r="D3793" s="153" t="n">
        <x:v>2.49</x:v>
      </x:c>
      <x:c r="E3793" s="153" t="n">
        <x:v>119.451</x:v>
      </x:c>
      <x:c r="F3793" s="153" t="n">
        <x:v>18.06</x:v>
      </x:c>
      <x:c r="G3793" s="153" t="n">
        <x:v>3.62</x:v>
      </x:c>
    </x:row>
    <x:row r="3794">
      <x:c r="A3794" s="155" t="n">
        <x:v>46162</x:v>
      </x:c>
      <x:c r="B3794" s="153" t="n">
        <x:v>4.57</x:v>
      </x:c>
      <x:c r="C3794" s="153" t="n">
        <x:v>2.13</x:v>
      </x:c>
      <x:c r="D3794" s="153" t="n">
        <x:v>2.44</x:v>
      </x:c>
      <x:c r="E3794" s="153" t="n">
        <x:v>119.1624</x:v>
      </x:c>
      <x:c r="F3794" s="153" t="n">
        <x:v>17.44</x:v>
      </x:c>
      <x:c r="G3794" s="153" t="n">
        <x:v>3.62</x:v>
      </x:c>
    </x:row>
    <x:row r="3795">
      <x:c r="A3795" s="155" t="n">
        <x:v>46163</x:v>
      </x:c>
      <x:c r="B3795" s="153" t="n">
        <x:v>4.57</x:v>
      </x:c>
      <x:c r="C3795" s="153" t="n">
        <x:v>2.18</x:v>
      </x:c>
      <x:c r="D3795" s="153" t="n">
        <x:v>2.39</x:v>
      </x:c>
      <x:c r="E3795" s="153" t="n">
        <x:v>119.369</x:v>
      </x:c>
      <x:c r="F3795" s="153" t="n">
        <x:v>16.76</x:v>
      </x:c>
      <x:c r="G3795" s="153" t="n">
        <x:v>3.62</x:v>
      </x:c>
    </x:row>
    <x:row r="3796">
      <x:c r="A3796" s="155" t="n">
        <x:v>46164</x:v>
      </x:c>
      <x:c r="B3796" s="153" t="n">
        <x:v>4.56</x:v>
      </x:c>
      <x:c r="C3796" s="153" t="n">
        <x:v>2.16</x:v>
      </x:c>
      <x:c r="D3796" s="153" t="n">
        <x:v>2.4</x:v>
      </x:c>
      <x:c r="E3796" s="153" t="n">
        <x:v>119.2868</x:v>
      </x:c>
      <x:c r="F3796" s="153" t="n">
        <x:v>16.7</x:v>
      </x:c>
      <x:c r="G3796" s="153" t="n">
        <x:v>3.62</x:v>
      </x:c>
    </x:row>
    <x:row r="3797">
      <x:c r="A3797" s="155" t="n">
        <x:v>46165</x:v>
      </x:c>
      <x:c r="B3797" s="153"/>
      <x:c r="C3797" s="153"/>
      <x:c r="D3797" s="153"/>
      <x:c r="E3797" s="153"/>
      <x:c r="F3797" s="153"/>
      <x:c r="G3797" s="153" t="n">
        <x:v>3.62</x:v>
      </x:c>
    </x:row>
    <x:row r="3798">
      <x:c r="A3798" s="155" t="n">
        <x:v>46166</x:v>
      </x:c>
      <x:c r="B3798" s="153"/>
      <x:c r="C3798" s="153"/>
      <x:c r="D3798" s="153"/>
      <x:c r="E3798" s="153"/>
      <x:c r="F3798" s="153"/>
      <x:c r="G3798" s="153" t="n">
        <x:v>3.62</x:v>
      </x:c>
    </x:row>
    <x:row r="3799">
      <x:c r="A3799" s="155" t="n">
        <x:v>46167</x:v>
      </x:c>
      <x:c r="B3799" s="153"/>
      <x:c r="C3799" s="153"/>
      <x:c r="D3799" s="153"/>
      <x:c r="E3799" s="153"/>
      <x:c r="F3799" s="153" t="n">
        <x:v>16.59</x:v>
      </x:c>
      <x:c r="G3799" s="153" t="n">
        <x:v>3.62</x:v>
      </x:c>
    </x:row>
    <x:row r="3800">
      <x:c r="A3800" s="155" t="n">
        <x:v>46168</x:v>
      </x:c>
      <x:c r="B3800" s="153" t="n">
        <x:v>4.5</x:v>
      </x:c>
      <x:c r="C3800" s="153" t="n">
        <x:v>2.1</x:v>
      </x:c>
      <x:c r="D3800" s="153" t="n">
        <x:v>2.4</x:v>
      </x:c>
      <x:c r="E3800" s="153" t="n">
        <x:v>119.1696</x:v>
      </x:c>
      <x:c r="F3800" s="153" t="n">
        <x:v>17.01</x:v>
      </x:c>
      <x:c r="G3800" s="153" t="n">
        <x:v>3.62</x:v>
      </x:c>
    </x:row>
    <x:row r="3801">
      <x:c r="A3801" s="155" t="n">
        <x:v>46169</x:v>
      </x:c>
      <x:c r="B3801" s="153" t="n">
        <x:v>4.48</x:v>
      </x:c>
      <x:c r="C3801" s="153" t="n">
        <x:v>2.09</x:v>
      </x:c>
      <x:c r="D3801" s="153" t="n">
        <x:v>2.39</x:v>
      </x:c>
      <x:c r="E3801" s="153" t="n">
        <x:v>119.1829</x:v>
      </x:c>
      <x:c r="F3801" s="153" t="n">
        <x:v>16.29</x:v>
      </x:c>
      <x:c r="G3801" s="153" t="n">
        <x:v>3.62</x:v>
      </x:c>
    </x:row>
    <x:row r="3802">
      <x:c r="A3802" s="155" t="n">
        <x:v>46170</x:v>
      </x:c>
      <x:c r="B3802" s="153" t="n">
        <x:v>4.45</x:v>
      </x:c>
      <x:c r="C3802" s="153" t="n">
        <x:v>2.06</x:v>
      </x:c>
      <x:c r="D3802" s="153" t="n">
        <x:v>2.39</x:v>
      </x:c>
      <x:c r="E3802" s="153" t="n">
        <x:v>119.0318</x:v>
      </x:c>
      <x:c r="F3802" s="153" t="n">
        <x:v>15.74</x:v>
      </x:c>
      <x:c r="G3802" s="153" t="n">
        <x:v>3.62</x:v>
      </x:c>
    </x:row>
    <x:row r="3803">
      <x:c r="A3803" s="155" t="n">
        <x:v>46171</x:v>
      </x:c>
      <x:c r="B3803" s="153" t="n">
        <x:v>4.45</x:v>
      </x:c>
      <x:c r="C3803" s="153" t="n">
        <x:v>2.07</x:v>
      </x:c>
      <x:c r="D3803" s="153" t="n">
        <x:v>2.38</x:v>
      </x:c>
      <x:c r="E3803" s="153" t="n">
        <x:v>118.8783</x:v>
      </x:c>
      <x:c r="F3803" s="153" t="n">
        <x:v>15.32</x:v>
      </x:c>
      <x:c r="G3803" s="153" t="n">
        <x:v>3.62</x:v>
      </x:c>
    </x:row>
    <x:row r="3804">
      <x:c r="A3804" s="155" t="n">
        <x:v>46172</x:v>
      </x:c>
      <x:c r="B3804" s="153"/>
      <x:c r="C3804" s="153"/>
      <x:c r="D3804" s="153"/>
      <x:c r="E3804" s="153"/>
      <x:c r="F3804" s="153"/>
      <x:c r="G3804" s="153" t="n">
        <x:v>3.62</x:v>
      </x:c>
    </x:row>
    <x:row r="3805">
      <x:c r="A3805" s="155" t="n">
        <x:v>46173</x:v>
      </x:c>
      <x:c r="B3805" s="153"/>
      <x:c r="C3805" s="153"/>
      <x:c r="D3805" s="153"/>
      <x:c r="E3805" s="153"/>
      <x:c r="F3805" s="153"/>
      <x:c r="G3805" s="153" t="n">
        <x:v>3.62</x:v>
      </x:c>
    </x:row>
    <x:row r="3806">
      <x:c r="A3806" s="155" t="n">
        <x:v>46174</x:v>
      </x:c>
      <x:c r="B3806" s="153" t="n">
        <x:v>4.47</x:v>
      </x:c>
      <x:c r="C3806" s="153" t="n">
        <x:v>2.07</x:v>
      </x:c>
      <x:c r="D3806" s="153" t="n">
        <x:v>2.4</x:v>
      </x:c>
      <x:c r="E3806" s="153" t="n">
        <x:v>119.1653</x:v>
      </x:c>
      <x:c r="F3806" s="153" t="n">
        <x:v>16.05</x:v>
      </x:c>
      <x:c r="G3806" s="153" t="n">
        <x:v>3.62</x:v>
      </x:c>
    </x:row>
    <x:row r="3807">
      <x:c r="A3807" s="155" t="n">
        <x:v>46175</x:v>
      </x:c>
      <x:c r="B3807" s="153" t="n">
        <x:v>4.46</x:v>
      </x:c>
      <x:c r="C3807" s="153" t="n">
        <x:v>2.07</x:v>
      </x:c>
      <x:c r="D3807" s="153" t="n">
        <x:v>2.39</x:v>
      </x:c>
      <x:c r="E3807" s="153" t="n">
        <x:v>119.0359</x:v>
      </x:c>
      <x:c r="F3807" s="153" t="n">
        <x:v>15.77</x:v>
      </x:c>
      <x:c r="G3807" s="153" t="n">
        <x:v>3.62</x:v>
      </x:c>
    </x:row>
    <x:row r="3808">
      <x:c r="A3808" s="155" t="n">
        <x:v>46176</x:v>
      </x:c>
      <x:c r="B3808" s="153" t="n">
        <x:v>4.49</x:v>
      </x:c>
      <x:c r="C3808" s="153" t="n">
        <x:v>2.11</x:v>
      </x:c>
      <x:c r="D3808" s="153" t="n">
        <x:v>2.38</x:v>
      </x:c>
      <x:c r="E3808" s="153" t="n">
        <x:v>119.3848</x:v>
      </x:c>
      <x:c r="F3808" s="153" t="n">
        <x:v>16.06</x:v>
      </x:c>
      <x:c r="G3808" s="153" t="n">
        <x:v>3.62</x:v>
      </x:c>
    </x:row>
    <x:row r="3809">
      <x:c r="A3809" s="155" t="n">
        <x:v>46177</x:v>
      </x:c>
      <x:c r="B3809" s="153" t="n">
        <x:v>4.47</x:v>
      </x:c>
      <x:c r="C3809" s="153" t="n">
        <x:v>2.11</x:v>
      </x:c>
      <x:c r="D3809" s="153" t="n">
        <x:v>2.36</x:v>
      </x:c>
      <x:c r="E3809" s="153" t="n">
        <x:v>119.3615</x:v>
      </x:c>
      <x:c r="F3809" s="153" t="n">
        <x:v>15.4</x:v>
      </x:c>
      <x:c r="G3809" s="153" t="n">
        <x:v>3.62</x:v>
      </x:c>
    </x:row>
    <x:row r="3810">
      <x:c r="A3810" s="155" t="n">
        <x:v>46178</x:v>
      </x:c>
      <x:c r="B3810" s="153" t="n">
        <x:v>4.55</x:v>
      </x:c>
      <x:c r="C3810" s="153" t="n">
        <x:v>2.19</x:v>
      </x:c>
      <x:c r="D3810" s="153" t="n">
        <x:v>2.36</x:v>
      </x:c>
      <x:c r="E3810" s="153" t="n">
        <x:v>120.0831</x:v>
      </x:c>
      <x:c r="F3810" s="153" t="n">
        <x:v>21.51</x:v>
      </x:c>
      <x:c r="G3810" s="153" t="n">
        <x:v>3.62</x:v>
      </x:c>
    </x:row>
    <x:row r="3811">
      <x:c r="A3811" s="155" t="n">
        <x:v>46179</x:v>
      </x:c>
      <x:c r="B3811" s="153"/>
      <x:c r="C3811" s="153"/>
      <x:c r="D3811" s="153"/>
      <x:c r="E3811" s="153"/>
      <x:c r="F3811" s="153"/>
      <x:c r="G3811" s="153" t="n">
        <x:v>3.62</x:v>
      </x:c>
    </x:row>
    <x:row r="3812">
      <x:c r="A3812" s="155" t="n">
        <x:v>46180</x:v>
      </x:c>
      <x:c r="B3812" s="153"/>
      <x:c r="C3812" s="153"/>
      <x:c r="D3812" s="153"/>
      <x:c r="E3812" s="153"/>
      <x:c r="F3812" s="153"/>
      <x:c r="G3812" s="153" t="n">
        <x:v>3.62</x:v>
      </x:c>
    </x:row>
    <x:row r="3813">
      <x:c r="A3813" s="155" t="n">
        <x:v>46181</x:v>
      </x:c>
      <x:c r="B3813" s="153" t="n">
        <x:v>4.56</x:v>
      </x:c>
      <x:c r="C3813" s="153" t="n">
        <x:v>2.21</x:v>
      </x:c>
      <x:c r="D3813" s="153" t="n">
        <x:v>2.35</x:v>
      </x:c>
      <x:c r="E3813" s="153" t="n">
        <x:v>120.034</x:v>
      </x:c>
      <x:c r="F3813" s="153" t="n">
        <x:v>18.92</x:v>
      </x:c>
      <x:c r="G3813" s="153" t="n">
        <x:v>3.62</x:v>
      </x:c>
    </x:row>
    <x:row r="3814">
      <x:c r="A3814" s="155" t="n">
        <x:v>46182</x:v>
      </x:c>
      <x:c r="B3814" s="153" t="n">
        <x:v>4.53</x:v>
      </x:c>
      <x:c r="C3814" s="153" t="n">
        <x:v>2.2</x:v>
      </x:c>
      <x:c r="D3814" s="153" t="n">
        <x:v>2.33</x:v>
      </x:c>
      <x:c r="E3814" s="153" t="n">
        <x:v>119.9617</x:v>
      </x:c>
      <x:c r="F3814" s="153" t="n">
        <x:v>19.87</x:v>
      </x:c>
      <x:c r="G3814" s="153" t="n">
        <x:v>3.62</x:v>
      </x:c>
    </x:row>
    <x:row r="3815">
      <x:c r="A3815" s="155" t="n">
        <x:v>46183</x:v>
      </x:c>
      <x:c r="B3815" s="153" t="n">
        <x:v>4.55</x:v>
      </x:c>
      <x:c r="C3815" s="153" t="n">
        <x:v>2.21</x:v>
      </x:c>
      <x:c r="D3815" s="153" t="n">
        <x:v>2.34</x:v>
      </x:c>
      <x:c r="E3815" s="153" t="n">
        <x:v>119.9134</x:v>
      </x:c>
      <x:c r="F3815" s="153" t="n">
        <x:v>22.22</x:v>
      </x:c>
      <x:c r="G3815" s="153" t="n">
        <x:v>3.62</x:v>
      </x:c>
    </x:row>
    <x:row r="3816">
      <x:c r="A3816" s="155" t="n">
        <x:v>46184</x:v>
      </x:c>
      <x:c r="B3816" s="153" t="n">
        <x:v>4.45</x:v>
      </x:c>
      <x:c r="C3816" s="153" t="n">
        <x:v>2.16</x:v>
      </x:c>
      <x:c r="D3816" s="153" t="n">
        <x:v>2.29</x:v>
      </x:c>
      <x:c r="E3816" s="153" t="n">
        <x:v>120.1174</x:v>
      </x:c>
      <x:c r="F3816" s="153" t="n">
        <x:v>19.44</x:v>
      </x:c>
      <x:c r="G3816" s="153" t="n">
        <x:v>3.62</x:v>
      </x:c>
    </x:row>
    <x:row r="3817">
      <x:c r="A3817" s="155" t="n">
        <x:v>46185</x:v>
      </x:c>
      <x:c r="B3817" s="153" t="n">
        <x:v>4.48</x:v>
      </x:c>
      <x:c r="C3817" s="153" t="n">
        <x:v>2.17</x:v>
      </x:c>
      <x:c r="D3817" s="153" t="n">
        <x:v>2.31</x:v>
      </x:c>
      <x:c r="E3817" s="153" t="n">
        <x:v>119.5073</x:v>
      </x:c>
      <x:c r="F3817" s="153" t="n">
        <x:v>17.68</x:v>
      </x:c>
      <x:c r="G3817" s="153" t="n">
        <x:v>3.62</x:v>
      </x:c>
    </x:row>
    <x:row r="3818">
      <x:c r="A3818" s="155" t="n">
        <x:v>46186</x:v>
      </x:c>
      <x:c r="B3818" s="153"/>
      <x:c r="C3818" s="153"/>
      <x:c r="D3818" s="153"/>
      <x:c r="E3818" s="153"/>
      <x:c r="F3818" s="153"/>
      <x:c r="G3818" s="153" t="n">
        <x:v>3.62</x:v>
      </x:c>
    </x:row>
    <x:row r="3819">
      <x:c r="A3819" s="155" t="n">
        <x:v>46187</x:v>
      </x:c>
      <x:c r="B3819" s="153"/>
      <x:c r="C3819" s="153"/>
      <x:c r="D3819" s="153"/>
      <x:c r="E3819" s="153"/>
      <x:c r="F3819" s="153"/>
      <x:c r="G3819" s="153" t="n">
        <x:v>3.62</x:v>
      </x:c>
    </x:row>
    <x:row r="3820">
      <x:c r="A3820" s="155" t="n">
        <x:v>46188</x:v>
      </x:c>
      <x:c r="B3820" s="153" t="n">
        <x:v>4.47</x:v>
      </x:c>
      <x:c r="C3820" s="153" t="n">
        <x:v>2.15</x:v>
      </x:c>
      <x:c r="D3820" s="153" t="n">
        <x:v>2.32</x:v>
      </x:c>
      <x:c r="E3820" s="153" t="n">
        <x:v>119.3158</x:v>
      </x:c>
      <x:c r="F3820" s="153" t="n">
        <x:v>16.2</x:v>
      </x:c>
      <x:c r="G3820" s="153" t="n">
        <x:v>3.63</x:v>
      </x:c>
    </x:row>
    <x:row r="3821">
      <x:c r="A3821" s="155" t="n">
        <x:v>46189</x:v>
      </x:c>
      <x:c r="B3821" s="153" t="n">
        <x:v>4.43</x:v>
      </x:c>
      <x:c r="C3821" s="153" t="n">
        <x:v>2.14</x:v>
      </x:c>
      <x:c r="D3821" s="153" t="n">
        <x:v>2.29</x:v>
      </x:c>
      <x:c r="E3821" s="153" t="n">
        <x:v>119.256</x:v>
      </x:c>
      <x:c r="F3821" s="153" t="n">
        <x:v>16.41</x:v>
      </x:c>
      <x:c r="G3821" s="153" t="n">
        <x:v>3.63</x:v>
      </x:c>
    </x:row>
    <x:row r="3822">
      <x:c r="A3822" s="155" t="n">
        <x:v>46190</x:v>
      </x:c>
      <x:c r="B3822" s="153" t="n">
        <x:v>4.49</x:v>
      </x:c>
      <x:c r="C3822" s="153" t="n">
        <x:v>2.23</x:v>
      </x:c>
      <x:c r="D3822" s="153" t="n">
        <x:v>2.26</x:v>
      </x:c>
      <x:c r="E3822" s="153" t="n">
        <x:v>119.3871</x:v>
      </x:c>
      <x:c r="F3822" s="153" t="n">
        <x:v>18.44</x:v>
      </x:c>
      <x:c r="G3822" s="153" t="n">
        <x:v>3.63</x:v>
      </x:c>
    </x:row>
    <x:row r="3823">
      <x:c r="A3823" s="155" t="n">
        <x:v>46191</x:v>
      </x:c>
      <x:c r="B3823" s="153" t="n">
        <x:v>4.46</x:v>
      </x:c>
      <x:c r="C3823" s="153" t="n">
        <x:v>2.21</x:v>
      </x:c>
      <x:c r="D3823" s="153" t="n">
        <x:v>2.25</x:v>
      </x:c>
      <x:c r="E3823" s="153" t="n">
        <x:v>120.3958</x:v>
      </x:c>
      <x:c r="F3823" s="153" t="n">
        <x:v>16.4</x:v>
      </x:c>
      <x:c r="G3823" s="153" t="n">
        <x:v>3.63</x:v>
      </x:c>
    </x:row>
    <x:row r="3824">
      <x:c r="A3824" s="155" t="n">
        <x:v>46192</x:v>
      </x:c>
      <x:c r="B3824" s="153"/>
      <x:c r="C3824" s="153"/>
      <x:c r="D3824" s="153"/>
      <x:c r="E3824" s="153"/>
      <x:c r="F3824" s="153" t="n">
        <x:v>16.78</x:v>
      </x:c>
      <x:c r="G3824" s="153" t="n">
        <x:v>3.63</x:v>
      </x:c>
    </x:row>
    <x:row r="3825">
      <x:c r="A3825" s="155" t="n">
        <x:v>46193</x:v>
      </x:c>
      <x:c r="B3825" s="153"/>
      <x:c r="C3825" s="153"/>
      <x:c r="D3825" s="153"/>
      <x:c r="E3825" s="153"/>
      <x:c r="F3825" s="153"/>
      <x:c r="G3825" s="153" t="n">
        <x:v>3.63</x:v>
      </x:c>
    </x:row>
    <x:row r="3826">
      <x:c r="A3826" s="155" t="n">
        <x:v>46194</x:v>
      </x:c>
      <x:c r="B3826" s="153"/>
      <x:c r="C3826" s="153"/>
      <x:c r="D3826" s="153"/>
      <x:c r="E3826" s="153"/>
      <x:c r="F3826" s="153"/>
      <x:c r="G3826" s="153" t="n">
        <x:v>3.63</x:v>
      </x:c>
    </x:row>
    <x:row r="3827">
      <x:c r="A3827" s="155" t="n">
        <x:v>46195</x:v>
      </x:c>
      <x:c r="B3827" s="153" t="n">
        <x:v>4.51</x:v>
      </x:c>
      <x:c r="C3827" s="153" t="n">
        <x:v>2.28</x:v>
      </x:c>
      <x:c r="D3827" s="153" t="n">
        <x:v>2.23</x:v>
      </x:c>
      <x:c r="E3827" s="153" t="n">
        <x:v>120.5463</x:v>
      </x:c>
      <x:c r="F3827" s="153" t="n">
        <x:v>17.28</x:v>
      </x:c>
      <x:c r="G3827" s="153" t="n">
        <x:v>3.63</x:v>
      </x:c>
    </x:row>
    <x:row r="3828">
      <x:c r="A3828" s="155" t="n">
        <x:v>46196</x:v>
      </x:c>
      <x:c r="B3828" s="153" t="n">
        <x:v>4.5</x:v>
      </x:c>
      <x:c r="C3828" s="153" t="n">
        <x:v>2.29</x:v>
      </x:c>
      <x:c r="D3828" s="153" t="n">
        <x:v>2.21</x:v>
      </x:c>
      <x:c r="E3828" s="153" t="n">
        <x:v>121.0552</x:v>
      </x:c>
      <x:c r="F3828" s="153" t="n">
        <x:v>19.49</x:v>
      </x:c>
      <x:c r="G3828" s="153" t="n">
        <x:v>3.63</x:v>
      </x:c>
    </x:row>
    <x:row r="3829">
      <x:c r="A3829" s="155" t="n">
        <x:v>46197</x:v>
      </x:c>
      <x:c r="B3829" s="153" t="n">
        <x:v>4.41</x:v>
      </x:c>
      <x:c r="C3829" s="153" t="n">
        <x:v>2.23</x:v>
      </x:c>
      <x:c r="D3829" s="153" t="n">
        <x:v>2.18</x:v>
      </x:c>
      <x:c r="E3829" s="153" t="n">
        <x:v>121.412</x:v>
      </x:c>
      <x:c r="F3829" s="153" t="n">
        <x:v>18.63</x:v>
      </x:c>
      <x:c r="G3829" s="153" t="n">
        <x:v>3.63</x:v>
      </x:c>
    </x:row>
    <x:row r="3830">
      <x:c r="A3830" s="155" t="n">
        <x:v>46198</x:v>
      </x:c>
      <x:c r="B3830" s="153" t="n">
        <x:v>4.4</x:v>
      </x:c>
      <x:c r="C3830" s="153" t="n">
        <x:v>2.19</x:v>
      </x:c>
      <x:c r="D3830" s="153" t="n">
        <x:v>2.21</x:v>
      </x:c>
      <x:c r="E3830" s="153" t="n">
        <x:v>121.0559</x:v>
      </x:c>
      <x:c r="F3830" s="153" t="n">
        <x:v>18.89</x:v>
      </x:c>
      <x:c r="G3830" s="153" t="n">
        <x:v>3.63</x:v>
      </x:c>
    </x:row>
    <x:row r="3831">
      <x:c r="A3831" s="155" t="n">
        <x:v>46199</x:v>
      </x:c>
      <x:c r="B3831" s="153" t="n">
        <x:v>4.38</x:v>
      </x:c>
      <x:c r="C3831" s="153" t="n">
        <x:v>2.18</x:v>
      </x:c>
      <x:c r="D3831" s="153" t="n">
        <x:v>2.2</x:v>
      </x:c>
      <x:c r="E3831" s="153" t="n">
        <x:v>120.8866</x:v>
      </x:c>
      <x:c r="F3831" s="153" t="n">
        <x:v>18.41</x:v>
      </x:c>
      <x:c r="G3831" s="153" t="n">
        <x:v>3.63</x:v>
      </x:c>
    </x:row>
    <x:row r="3832">
      <x:c r="A3832" s="155" t="n">
        <x:v>46200</x:v>
      </x:c>
      <x:c r="B3832" s="153"/>
      <x:c r="C3832" s="153"/>
      <x:c r="D3832" s="153"/>
      <x:c r="E3832" s="153"/>
      <x:c r="F3832" s="153"/>
      <x:c r="G3832" s="153" t="n">
        <x:v>3.63</x:v>
      </x:c>
    </x:row>
    <x:row r="3833">
      <x:c r="A3833" s="155" t="n">
        <x:v>46201</x:v>
      </x:c>
      <x:c r="B3833" s="153"/>
      <x:c r="C3833" s="153"/>
      <x:c r="D3833" s="153"/>
      <x:c r="E3833" s="153"/>
      <x:c r="F3833" s="153"/>
      <x:c r="G3833" s="153" t="n">
        <x:v>3.63</x:v>
      </x:c>
    </x:row>
    <x:row r="3834">
      <x:c r="A3834" s="155" t="n">
        <x:v>46202</x:v>
      </x:c>
      <x:c r="B3834" s="153" t="n">
        <x:v>4.38</x:v>
      </x:c>
      <x:c r="C3834" s="153" t="n">
        <x:v>2.16</x:v>
      </x:c>
      <x:c r="D3834" s="153" t="n">
        <x:v>2.22</x:v>
      </x:c>
      <x:c r="E3834" s="153" t="n">
        <x:v>120.9525</x:v>
      </x:c>
      <x:c r="F3834" s="153" t="n">
        <x:v>17.65</x:v>
      </x:c>
      <x:c r="G3834" s="153" t="n">
        <x:v>3.63</x:v>
      </x:c>
    </x:row>
    <x:row r="3835">
      <x:c r="A3835" s="155" t="n">
        <x:v>46203</x:v>
      </x:c>
      <x:c r="B3835" s="153" t="n">
        <x:v>4.44</x:v>
      </x:c>
      <x:c r="C3835" s="153" t="n">
        <x:v>2.2</x:v>
      </x:c>
      <x:c r="D3835" s="153" t="n">
        <x:v>2.24</x:v>
      </x:c>
      <x:c r="E3835" s="153" t="n">
        <x:v>120.9248</x:v>
      </x:c>
      <x:c r="F3835" s="153" t="n">
        <x:v>16.45</x:v>
      </x:c>
      <x:c r="G3835" s="153" t="n">
        <x:v>3.63</x:v>
      </x:c>
    </x:row>
    <x:row r="3836">
      <x:c r="A3836" s="155" t="n">
        <x:v>46204</x:v>
      </x:c>
      <x:c r="B3836" s="153" t="n">
        <x:v>4.48</x:v>
      </x:c>
      <x:c r="C3836" s="153" t="n">
        <x:v>2.25</x:v>
      </x:c>
      <x:c r="D3836" s="153" t="n">
        <x:v>2.23</x:v>
      </x:c>
      <x:c r="E3836" s="153" t="n">
        <x:v>121.1455</x:v>
      </x:c>
      <x:c r="F3836" s="153" t="n">
        <x:v>16.59</x:v>
      </x:c>
      <x:c r="G3836" s="153" t="n">
        <x:v>3.63</x:v>
      </x:c>
    </x:row>
    <x:row r="3837">
      <x:c r="A3837" s="155" t="n">
        <x:v>46205</x:v>
      </x:c>
      <x:c r="B3837" s="153" t="n">
        <x:v>4.49</x:v>
      </x:c>
      <x:c r="C3837" s="153" t="n">
        <x:v>2.26</x:v>
      </x:c>
      <x:c r="D3837" s="153" t="n">
        <x:v>2.23</x:v>
      </x:c>
      <x:c r="E3837" s="153" t="n">
        <x:v>120.6902</x:v>
      </x:c>
      <x:c r="F3837" s="153" t="n">
        <x:v>16.15</x:v>
      </x:c>
      <x:c r="G3837" s="153" t="n">
        <x:v>3.63</x:v>
      </x:c>
    </x:row>
    <x:row r="3838">
      <x:c r="A3838" s="155" t="n">
        <x:v>46206</x:v>
      </x:c>
      <x:c r="B3838" s="153"/>
      <x:c r="C3838" s="153"/>
      <x:c r="D3838" s="153"/>
      <x:c r="E3838" s="153"/>
      <x:c r="F3838" s="153" t="n">
        <x:v>15.81</x:v>
      </x:c>
      <x:c r="G3838" s="153" t="n">
        <x:v>3.63</x:v>
      </x:c>
    </x:row>
    <x:row r="3839">
      <x:c r="A3839" s="155" t="n">
        <x:v>46207</x:v>
      </x:c>
      <x:c r="B3839" s="153"/>
      <x:c r="C3839" s="153"/>
      <x:c r="D3839" s="153"/>
      <x:c r="E3839" s="153"/>
      <x:c r="F3839" s="153"/>
      <x:c r="G3839" s="153" t="n">
        <x:v>3.63</x:v>
      </x:c>
    </x:row>
    <x:row r="3840">
      <x:c r="A3840" s="155" t="n">
        <x:v>46208</x:v>
      </x:c>
      <x:c r="B3840" s="153"/>
      <x:c r="C3840" s="153"/>
      <x:c r="D3840" s="153"/>
      <x:c r="E3840" s="153"/>
      <x:c r="F3840" s="153"/>
      <x:c r="G3840" s="153" t="n">
        <x:v>3.63</x:v>
      </x:c>
    </x:row>
    <x:row r="3841">
      <x:c r="A3841" s="155" t="n">
        <x:v>46209</x:v>
      </x:c>
      <x:c r="B3841" s="153" t="n">
        <x:v>4.48</x:v>
      </x:c>
      <x:c r="C3841" s="153" t="n">
        <x:v>2.24</x:v>
      </x:c>
      <x:c r="D3841" s="153" t="n">
        <x:v>2.24</x:v>
      </x:c>
      <x:c r="E3841" s="153" t="n">
        <x:v>120.835</x:v>
      </x:c>
      <x:c r="F3841" s="153" t="n">
        <x:v>15.57</x:v>
      </x:c>
      <x:c r="G3841" s="153" t="n">
        <x:v>3.63</x:v>
      </x:c>
    </x:row>
    <x:row r="3842">
      <x:c r="A3842" s="155" t="n">
        <x:v>46210</x:v>
      </x:c>
      <x:c r="B3842" s="153" t="n">
        <x:v>4.55</x:v>
      </x:c>
      <x:c r="C3842" s="153" t="n">
        <x:v>2.3</x:v>
      </x:c>
      <x:c r="D3842" s="153" t="n">
        <x:v>2.25</x:v>
      </x:c>
      <x:c r="E3842" s="153" t="n">
        <x:v>120.8145</x:v>
      </x:c>
      <x:c r="F3842" s="153" t="n">
        <x:v>16.13</x:v>
      </x:c>
      <x:c r="G3842" s="153" t="n">
        <x:v>3.63</x:v>
      </x:c>
    </x:row>
    <x:row r="3843">
      <x:c r="A3843" s="155" t="n">
        <x:v>46211</x:v>
      </x:c>
      <x:c r="B3843" s="153" t="n">
        <x:v>4.56</x:v>
      </x:c>
      <x:c r="C3843" s="153" t="n">
        <x:v>2.31</x:v>
      </x:c>
      <x:c r="D3843" s="153" t="n">
        <x:v>2.25</x:v>
      </x:c>
      <x:c r="E3843" s="153" t="n">
        <x:v>121.1307</x:v>
      </x:c>
      <x:c r="F3843" s="153" t="n">
        <x:v>16.9</x:v>
      </x:c>
      <x:c r="G3843" s="153" t="n">
        <x:v>3.62</x:v>
      </x:c>
    </x:row>
    <x:row r="3844">
      <x:c r="A3844" s="155" t="n">
        <x:v>46212</x:v>
      </x:c>
      <x:c r="B3844" s="153" t="n">
        <x:v>4.54</x:v>
      </x:c>
      <x:c r="C3844" s="153" t="n">
        <x:v>2.31</x:v>
      </x:c>
      <x:c r="D3844" s="153" t="n">
        <x:v>2.23</x:v>
      </x:c>
      <x:c r="E3844" s="153" t="n">
        <x:v>120.753</x:v>
      </x:c>
      <x:c r="F3844" s="153" t="n">
        <x:v>15.84</x:v>
      </x:c>
      <x:c r="G3844" s="153" t="n">
        <x:v>3.62</x:v>
      </x:c>
    </x:row>
    <x:row r="3845">
      <x:c r="A3845" s="155" t="n">
        <x:v>46213</x:v>
      </x:c>
      <x:c r="B3845" s="153" t="n">
        <x:v>4.56</x:v>
      </x:c>
      <x:c r="C3845" s="153" t="n">
        <x:v>2.32</x:v>
      </x:c>
      <x:c r="D3845" s="153" t="n">
        <x:v>2.24</x:v>
      </x:c>
      <x:c r="E3845" s="153" t="n">
        <x:v>120.5046</x:v>
      </x:c>
      <x:c r="F3845" s="153" t="n">
        <x:v>15.03</x:v>
      </x:c>
      <x:c r="G3845" s="153" t="n">
        <x:v>3.62</x:v>
      </x:c>
    </x:row>
    <x:row r="3846">
      <x:c r="A3846" s="155" t="n">
        <x:v>46214</x:v>
      </x:c>
      <x:c r="B3846" s="153"/>
      <x:c r="C3846" s="153"/>
      <x:c r="D3846" s="153"/>
      <x:c r="E3846" s="153"/>
      <x:c r="F3846" s="153"/>
      <x:c r="G3846" s="153" t="n">
        <x:v>3.62</x:v>
      </x:c>
    </x:row>
    <x:row r="3847">
      <x:c r="A3847" s="155" t="n">
        <x:v>46215</x:v>
      </x:c>
      <x:c r="B3847" s="153"/>
      <x:c r="C3847" s="153"/>
      <x:c r="D3847" s="153"/>
      <x:c r="E3847" s="153"/>
      <x:c r="F3847" s="153"/>
      <x:c r="G3847" s="153" t="n">
        <x:v>3.62</x:v>
      </x:c>
    </x:row>
    <x:row r="3848">
      <x:c r="A3848" s="155" t="n">
        <x:v>46216</x:v>
      </x:c>
      <x:c r="B3848" s="153" t="n">
        <x:v>4.62</x:v>
      </x:c>
      <x:c r="C3848" s="153" t="n">
        <x:v>2.36</x:v>
      </x:c>
      <x:c r="D3848" s="153" t="n">
        <x:v>2.26</x:v>
      </x:c>
      <x:c r="E3848" s="153" t="n">
        <x:v>120.7413</x:v>
      </x:c>
      <x:c r="F3848" s="153" t="n">
        <x:v>17.16</x:v>
      </x:c>
      <x:c r="G3848" s="153" t="n">
        <x:v>3.62</x:v>
      </x:c>
    </x:row>
    <x:row r="3849">
      <x:c r="A3849" s="155" t="n">
        <x:v>46217</x:v>
      </x:c>
      <x:c r="B3849" s="153" t="n">
        <x:v>4.58</x:v>
      </x:c>
      <x:c r="C3849" s="153" t="n">
        <x:v>2.33</x:v>
      </x:c>
      <x:c r="D3849" s="153" t="n">
        <x:v>2.25</x:v>
      </x:c>
      <x:c r="E3849" s="153" t="n">
        <x:v>120.4728</x:v>
      </x:c>
      <x:c r="F3849" s="153" t="n">
        <x:v>16.5</x:v>
      </x:c>
      <x:c r="G3849" s="153" t="n">
        <x:v>3.63</x:v>
      </x:c>
    </x:row>
    <x:row r="3850">
      <x:c r="A3850" s="155" t="n">
        <x:v>46218</x:v>
      </x:c>
      <x:c r="B3850" s="153" t="n">
        <x:v>4.55</x:v>
      </x:c>
      <x:c r="C3850" s="153" t="n">
        <x:v>2.32</x:v>
      </x:c>
      <x:c r="D3850" s="153" t="n">
        <x:v>2.23</x:v>
      </x:c>
      <x:c r="E3850" s="153" t="n">
        <x:v>120.3088</x:v>
      </x:c>
      <x:c r="F3850" s="153" t="n">
        <x:v>15.67</x:v>
      </x:c>
      <x:c r="G3850" s="153" t="n">
        <x:v>3.63</x:v>
      </x:c>
    </x:row>
    <x:row r="3851">
      <x:c r="A3851" s="155" t="n">
        <x:v>46219</x:v>
      </x:c>
      <x:c r="B3851" s="153" t="n">
        <x:v>4.57</x:v>
      </x:c>
      <x:c r="C3851" s="153" t="n">
        <x:v>2.35</x:v>
      </x:c>
      <x:c r="D3851" s="153" t="n">
        <x:v>2.22</x:v>
      </x:c>
      <x:c r="E3851" s="153" t="n">
        <x:v>120.331</x:v>
      </x:c>
      <x:c r="F3851" s="153" t="n">
        <x:v>16.73</x:v>
      </x:c>
      <x:c r="G3851" s="153" t="n">
        <x:v>3.63</x:v>
      </x:c>
    </x:row>
    <x:row r="3852">
      <x:c r="A3852" s="155" t="n">
        <x:v>46220</x:v>
      </x:c>
      <x:c r="B3852" s="153" t="n">
        <x:v>4.55</x:v>
      </x:c>
      <x:c r="C3852" s="153" t="n">
        <x:v>2.31</x:v>
      </x:c>
      <x:c r="D3852" s="153" t="n">
        <x:v>2.24</x:v>
      </x:c>
      <x:c r="E3852" s="153" t="n">
        <x:v>120.5315</x:v>
      </x:c>
      <x:c r="F3852" s="153" t="n">
        <x:v>18.77</x:v>
      </x:c>
      <x:c r="G3852" s="153" t="n">
        <x:v>3.63</x:v>
      </x:c>
    </x:row>
    <x:row r="3853">
      <x:c r="A3853" s="155" t="n">
        <x:v>46221</x:v>
      </x:c>
      <x:c r="B3853" s="153"/>
      <x:c r="C3853" s="153"/>
      <x:c r="D3853" s="153"/>
      <x:c r="E3853" s="153"/>
      <x:c r="F3853" s="153"/>
      <x:c r="G3853" s="153" t="n">
        <x:v>3.63</x:v>
      </x:c>
    </x:row>
    <x:row r="3854">
      <x:c r="A3854" s="155" t="n">
        <x:v>46222</x:v>
      </x:c>
      <x:c r="B3854" s="153"/>
      <x:c r="C3854" s="153"/>
      <x:c r="D3854" s="153"/>
      <x:c r="E3854" s="153"/>
      <x:c r="F3854" s="153"/>
      <x:c r="G3854" s="153" t="n">
        <x:v>3.63</x:v>
      </x:c>
    </x:row>
    <x:row r="3855">
      <x:c r="A3855" s="155" t="n">
        <x:v>46223</x:v>
      </x:c>
      <x:c r="B3855" s="153" t="n">
        <x:v>4.6</x:v>
      </x:c>
      <x:c r="C3855" s="153" t="n">
        <x:v>2.35</x:v>
      </x:c>
      <x:c r="D3855" s="153" t="n">
        <x:v>2.25</x:v>
      </x:c>
      <x:c r="E3855" s="153"/>
      <x:c r="F3855" s="153" t="n">
        <x:v>18.65</x:v>
      </x:c>
      <x:c r="G3855" s="153" t="n">
        <x:v>3.63</x:v>
      </x:c>
    </x:row>
    <x:row r="3856">
      <x:c r="A3856" s="155" t="n">
        <x:v>46224</x:v>
      </x:c>
      <x:c r="B3856" s="153" t="n">
        <x:v>4.63</x:v>
      </x:c>
      <x:c r="C3856" s="153" t="n">
        <x:v>2.37</x:v>
      </x:c>
      <x:c r="D3856" s="153" t="n">
        <x:v>2.26</x:v>
      </x:c>
      <x:c r="E3856" s="153"/>
      <x:c r="F3856" s="153" t="n">
        <x:v>17.05</x:v>
      </x:c>
      <x:c r="G3856" s="153" t="n">
        <x:v>3.63</x:v>
      </x:c>
    </x:row>
    <x:row r="3857">
      <x:c r="A3857" s="155" t="n">
        <x:v>46225</x:v>
      </x:c>
      <x:c r="B3857" s="153" t="n">
        <x:v>4.67</x:v>
      </x:c>
      <x:c r="C3857" s="153" t="n">
        <x:v>2.39</x:v>
      </x:c>
      <x:c r="D3857" s="153" t="n">
        <x:v>2.28</x:v>
      </x:c>
      <x:c r="E3857" s="153"/>
      <x:c r="F3857" s="153" t="n">
        <x:v>16.64</x:v>
      </x:c>
      <x:c r="G3857" s="153" t="n">
        <x:v>3.63</x:v>
      </x:c>
    </x:row>
    <x:row r="3858">
      <x:c r="A3858" s="155" t="n">
        <x:v>46226</x:v>
      </x:c>
      <x:c r="B3858" s="153"/>
      <x:c r="C3858" s="153"/>
      <x:c r="D3858" s="153" t="n">
        <x:v>2.28</x:v>
      </x:c>
      <x:c r="E3858" s="153"/>
      <x:c r="F3858" s="153"/>
      <x:c r="G3858" s="153"/>
    </x:row>
  </x:sheetData>
  <x:pageMargins left="0.7" right="0.7" top="0.75" bottom="0.75" header="0.3" footer="0.3"/>
  <x:tableParts count="1">
    <x:tablePart xmlns:r="http://schemas.openxmlformats.org/officeDocument/2006/relationships" r:id="Rc0298126214a46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2" customHeight="1">
      <x:c r="A1" s="151" t="str">
        <x:v>asset</x:v>
      </x:c>
      <x:c r="B1" s="151" t="str">
        <x:v>report_date</x:v>
      </x:c>
      <x:c r="C1" s="151" t="str">
        <x:v>assumed_release_date</x:v>
      </x:c>
      <x:c r="D1" s="151" t="str">
        <x:v>open_interest</x:v>
      </x:c>
      <x:c r="E1" s="151" t="str">
        <x:v>managed_money_long</x:v>
      </x:c>
      <x:c r="F1" s="151" t="str">
        <x:v>managed_money_short</x:v>
      </x:c>
      <x:c r="G1" s="151" t="str">
        <x:v>managed_money_net</x:v>
      </x:c>
      <x:c r="H1" s="151" t="str">
        <x:v>managed_money_net_pct_oi</x:v>
      </x:c>
      <x:c r="I1" s="151" t="str">
        <x:v>producer_long</x:v>
      </x:c>
      <x:c r="J1" s="151" t="str">
        <x:v>producer_short</x:v>
      </x:c>
      <x:c r="K1" s="151" t="str">
        <x:v>producer_net</x:v>
      </x:c>
      <x:c r="L1" s="151" t="str">
        <x:v>producer_net_pct_oi</x:v>
      </x:c>
    </x:row>
    <x:row r="2">
      <x:c r="A2" s="141" t="str">
        <x:v>Gold</x:v>
      </x:c>
      <x:c r="B2" s="155" t="n">
        <x:v>42374</x:v>
      </x:c>
      <x:c r="C2" s="155" t="n">
        <x:v>42377</x:v>
      </x:c>
      <x:c r="D2" s="159" t="n">
        <x:v>413688</x:v>
      </x:c>
      <x:c r="E2" s="159" t="n">
        <x:v>79732</x:v>
      </x:c>
      <x:c r="F2" s="159" t="n">
        <x:v>95659</x:v>
      </x:c>
      <x:c r="G2" s="159" t="n">
        <x:f>E2-F2</x:f>
        <x:v>-15927</x:v>
      </x:c>
      <x:c r="H2" s="154" t="n">
        <x:f>IFERROR(G2/D2,"")</x:f>
        <x:v>-0.03850002900736787</x:v>
      </x:c>
      <x:c r="I2" s="159" t="n">
        <x:v>22948</x:v>
      </x:c>
      <x:c r="J2" s="159" t="n">
        <x:v>67800</x:v>
      </x:c>
      <x:c r="K2" s="159" t="n">
        <x:f>I2-J2</x:f>
        <x:v>-44852</x:v>
      </x:c>
      <x:c r="L2" s="154" t="n">
        <x:f>IFERROR(K2/D2,"")</x:f>
        <x:v>-0.10841987198081646</x:v>
      </x:c>
    </x:row>
    <x:row r="3">
      <x:c r="A3" s="141" t="str">
        <x:v>Silver</x:v>
      </x:c>
      <x:c r="B3" s="155" t="n">
        <x:v>42374</x:v>
      </x:c>
      <x:c r="C3" s="155" t="n">
        <x:v>42377</x:v>
      </x:c>
      <x:c r="D3" s="159" t="n">
        <x:v>167520</x:v>
      </x:c>
      <x:c r="E3" s="159" t="n">
        <x:v>49088</x:v>
      </x:c>
      <x:c r="F3" s="159" t="n">
        <x:v>41197</x:v>
      </x:c>
      <x:c r="G3" s="159" t="n">
        <x:f>E3-F3</x:f>
        <x:v>7891</x:v>
      </x:c>
      <x:c r="H3" s="154" t="n">
        <x:f>IFERROR(G3/D3,"")</x:f>
        <x:v>0.047104823304680035</x:v>
      </x:c>
      <x:c r="I3" s="159" t="n">
        <x:v>17895</x:v>
      </x:c>
      <x:c r="J3" s="159" t="n">
        <x:v>39793</x:v>
      </x:c>
      <x:c r="K3" s="159" t="n">
        <x:f>I3-J3</x:f>
        <x:v>-21898</x:v>
      </x:c>
      <x:c r="L3" s="154" t="n">
        <x:f>IFERROR(K3/D3,"")</x:f>
        <x:v>-0.13071872015281757</x:v>
      </x:c>
    </x:row>
    <x:row r="4">
      <x:c r="A4" s="141" t="str">
        <x:v>Gold</x:v>
      </x:c>
      <x:c r="B4" s="155" t="n">
        <x:v>42381</x:v>
      </x:c>
      <x:c r="C4" s="155" t="n">
        <x:v>42384</x:v>
      </x:c>
      <x:c r="D4" s="159" t="n">
        <x:v>397565</x:v>
      </x:c>
      <x:c r="E4" s="159" t="n">
        <x:v>82908</x:v>
      </x:c>
      <x:c r="F4" s="159" t="n">
        <x:v>82816</x:v>
      </x:c>
      <x:c r="G4" s="159" t="n">
        <x:f>E4-F4</x:f>
        <x:v>92</x:v>
      </x:c>
      <x:c r="H4" s="154" t="n">
        <x:f>IFERROR(G4/D4,"")</x:f>
        <x:v>0.00023140870046407507</x:v>
      </x:c>
      <x:c r="I4" s="159" t="n">
        <x:v>23309</x:v>
      </x:c>
      <x:c r="J4" s="159" t="n">
        <x:v>75124</x:v>
      </x:c>
      <x:c r="K4" s="159" t="n">
        <x:f>I4-J4</x:f>
        <x:v>-51815</x:v>
      </x:c>
      <x:c r="L4" s="154" t="n">
        <x:f>IFERROR(K4/D4,"")</x:f>
        <x:v>-0.130330889288544</x:v>
      </x:c>
    </x:row>
    <x:row r="5">
      <x:c r="A5" s="141" t="str">
        <x:v>Silver</x:v>
      </x:c>
      <x:c r="B5" s="155" t="n">
        <x:v>42381</x:v>
      </x:c>
      <x:c r="C5" s="155" t="n">
        <x:v>42384</x:v>
      </x:c>
      <x:c r="D5" s="159" t="n">
        <x:v>166172</x:v>
      </x:c>
      <x:c r="E5" s="159" t="n">
        <x:v>50421</x:v>
      </x:c>
      <x:c r="F5" s="159" t="n">
        <x:v>41872</x:v>
      </x:c>
      <x:c r="G5" s="159" t="n">
        <x:f>E5-F5</x:f>
        <x:v>8549</x:v>
      </x:c>
      <x:c r="H5" s="154" t="n">
        <x:f>IFERROR(G5/D5,"")</x:f>
        <x:v>0.05144669378716029</x:v>
      </x:c>
      <x:c r="I5" s="159" t="n">
        <x:v>15934</x:v>
      </x:c>
      <x:c r="J5" s="159" t="n">
        <x:v>38809</x:v>
      </x:c>
      <x:c r="K5" s="159" t="n">
        <x:f>I5-J5</x:f>
        <x:v>-22875</x:v>
      </x:c>
      <x:c r="L5" s="154" t="n">
        <x:f>IFERROR(K5/D5,"")</x:f>
        <x:v>-0.13765857063765255</x:v>
      </x:c>
    </x:row>
    <x:row r="6">
      <x:c r="A6" s="141" t="str">
        <x:v>Gold</x:v>
      </x:c>
      <x:c r="B6" s="155" t="n">
        <x:v>42388</x:v>
      </x:c>
      <x:c r="C6" s="155" t="n">
        <x:v>42391</x:v>
      </x:c>
      <x:c r="D6" s="159" t="n">
        <x:v>408835</x:v>
      </x:c>
      <x:c r="E6" s="159" t="n">
        <x:v>84054</x:v>
      </x:c>
      <x:c r="F6" s="159" t="n">
        <x:v>83615</x:v>
      </x:c>
      <x:c r="G6" s="159" t="n">
        <x:f>E6-F6</x:f>
        <x:v>439</x:v>
      </x:c>
      <x:c r="H6" s="154" t="n">
        <x:f>IFERROR(G6/D6,"")</x:f>
        <x:v>0.0010737828219208238</x:v>
      </x:c>
      <x:c r="I6" s="159" t="n">
        <x:v>24206</x:v>
      </x:c>
      <x:c r="J6" s="159" t="n">
        <x:v>73168</x:v>
      </x:c>
      <x:c r="K6" s="159" t="n">
        <x:f>I6-J6</x:f>
        <x:v>-48962</x:v>
      </x:c>
      <x:c r="L6" s="154" t="n">
        <x:f>IFERROR(K6/D6,"")</x:f>
        <x:v>-0.11975980530042682</x:v>
      </x:c>
    </x:row>
    <x:row r="7">
      <x:c r="A7" s="141" t="str">
        <x:v>Silver</x:v>
      </x:c>
      <x:c r="B7" s="155" t="n">
        <x:v>42388</x:v>
      </x:c>
      <x:c r="C7" s="155" t="n">
        <x:v>42391</x:v>
      </x:c>
      <x:c r="D7" s="159" t="n">
        <x:v>159521</x:v>
      </x:c>
      <x:c r="E7" s="159" t="n">
        <x:v>49199</x:v>
      </x:c>
      <x:c r="F7" s="159" t="n">
        <x:v>32750</x:v>
      </x:c>
      <x:c r="G7" s="159" t="n">
        <x:f>E7-F7</x:f>
        <x:v>16449</x:v>
      </x:c>
      <x:c r="H7" s="154" t="n">
        <x:f>IFERROR(G7/D7,"")</x:f>
        <x:v>0.10311495038270824</x:v>
      </x:c>
      <x:c r="I7" s="159" t="n">
        <x:v>15167</x:v>
      </x:c>
      <x:c r="J7" s="159" t="n">
        <x:v>39947</x:v>
      </x:c>
      <x:c r="K7" s="159" t="n">
        <x:f>I7-J7</x:f>
        <x:v>-24780</x:v>
      </x:c>
      <x:c r="L7" s="154" t="n">
        <x:f>IFERROR(K7/D7,"")</x:f>
        <x:v>-0.15534004927250958</x:v>
      </x:c>
    </x:row>
    <x:row r="8">
      <x:c r="A8" s="141" t="str">
        <x:v>Gold</x:v>
      </x:c>
      <x:c r="B8" s="155" t="n">
        <x:v>42395</x:v>
      </x:c>
      <x:c r="C8" s="155" t="n">
        <x:v>42398</x:v>
      </x:c>
      <x:c r="D8" s="159" t="n">
        <x:v>385350</x:v>
      </x:c>
      <x:c r="E8" s="159" t="n">
        <x:v>95745</x:v>
      </x:c>
      <x:c r="F8" s="159" t="n">
        <x:v>78942</x:v>
      </x:c>
      <x:c r="G8" s="159" t="n">
        <x:f>E8-F8</x:f>
        <x:v>16803</x:v>
      </x:c>
      <x:c r="H8" s="154" t="n">
        <x:f>IFERROR(G8/D8,"")</x:f>
        <x:v>0.04360451537563254</x:v>
      </x:c>
      <x:c r="I8" s="159" t="n">
        <x:v>19845</x:v>
      </x:c>
      <x:c r="J8" s="159" t="n">
        <x:v>72454</x:v>
      </x:c>
      <x:c r="K8" s="159" t="n">
        <x:f>I8-J8</x:f>
        <x:v>-52609</x:v>
      </x:c>
      <x:c r="L8" s="154" t="n">
        <x:f>IFERROR(K8/D8,"")</x:f>
        <x:v>-0.13652264175424939</x:v>
      </x:c>
    </x:row>
    <x:row r="9">
      <x:c r="A9" s="141" t="str">
        <x:v>Silver</x:v>
      </x:c>
      <x:c r="B9" s="155" t="n">
        <x:v>42395</x:v>
      </x:c>
      <x:c r="C9" s="155" t="n">
        <x:v>42398</x:v>
      </x:c>
      <x:c r="D9" s="159" t="n">
        <x:v>154734</x:v>
      </x:c>
      <x:c r="E9" s="159" t="n">
        <x:v>50614</x:v>
      </x:c>
      <x:c r="F9" s="159" t="n">
        <x:v>25218</x:v>
      </x:c>
      <x:c r="G9" s="159" t="n">
        <x:f>E9-F9</x:f>
        <x:v>25396</x:v>
      </x:c>
      <x:c r="H9" s="154" t="n">
        <x:f>IFERROR(G9/D9,"")</x:f>
        <x:v>0.1641268240981297</x:v>
      </x:c>
      <x:c r="I9" s="159" t="n">
        <x:v>13982</x:v>
      </x:c>
      <x:c r="J9" s="159" t="n">
        <x:v>42708</x:v>
      </x:c>
      <x:c r="K9" s="159" t="n">
        <x:f>I9-J9</x:f>
        <x:v>-28726</x:v>
      </x:c>
      <x:c r="L9" s="154" t="n">
        <x:f>IFERROR(K9/D9,"")</x:f>
        <x:v>-0.18564762754145825</x:v>
      </x:c>
    </x:row>
    <x:row r="10">
      <x:c r="A10" s="141" t="str">
        <x:v>Gold</x:v>
      </x:c>
      <x:c r="B10" s="155" t="n">
        <x:v>42402</x:v>
      </x:c>
      <x:c r="C10" s="155" t="n">
        <x:v>42405</x:v>
      </x:c>
      <x:c r="D10" s="159" t="n">
        <x:v>379185</x:v>
      </x:c>
      <x:c r="E10" s="159" t="n">
        <x:v>100566</x:v>
      </x:c>
      <x:c r="F10" s="159" t="n">
        <x:v>71530</x:v>
      </x:c>
      <x:c r="G10" s="159" t="n">
        <x:f>E10-F10</x:f>
        <x:v>29036</x:v>
      </x:c>
      <x:c r="H10" s="154" t="n">
        <x:f>IFERROR(G10/D10,"")</x:f>
        <x:v>0.07657475902264066</x:v>
      </x:c>
      <x:c r="I10" s="159" t="n">
        <x:v>24395</x:v>
      </x:c>
      <x:c r="J10" s="159" t="n">
        <x:v>80385</x:v>
      </x:c>
      <x:c r="K10" s="159" t="n">
        <x:f>I10-J10</x:f>
        <x:v>-55990</x:v>
      </x:c>
      <x:c r="L10" s="154" t="n">
        <x:f>IFERROR(K10/D10,"")</x:f>
        <x:v>-0.14765879451982541</x:v>
      </x:c>
    </x:row>
    <x:row r="11">
      <x:c r="A11" s="141" t="str">
        <x:v>Silver</x:v>
      </x:c>
      <x:c r="B11" s="155" t="n">
        <x:v>42402</x:v>
      </x:c>
      <x:c r="C11" s="155" t="n">
        <x:v>42405</x:v>
      </x:c>
      <x:c r="D11" s="159" t="n">
        <x:v>157934</x:v>
      </x:c>
      <x:c r="E11" s="159" t="n">
        <x:v>50949</x:v>
      </x:c>
      <x:c r="F11" s="159" t="n">
        <x:v>25932</x:v>
      </x:c>
      <x:c r="G11" s="159" t="n">
        <x:f>E11-F11</x:f>
        <x:v>25017</x:v>
      </x:c>
      <x:c r="H11" s="154" t="n">
        <x:f>IFERROR(G11/D11,"")</x:f>
        <x:v>0.15840161079944787</x:v>
      </x:c>
      <x:c r="I11" s="159" t="n">
        <x:v>14360</x:v>
      </x:c>
      <x:c r="J11" s="159" t="n">
        <x:v>44711</x:v>
      </x:c>
      <x:c r="K11" s="159" t="n">
        <x:f>I11-J11</x:f>
        <x:v>-30351</x:v>
      </x:c>
      <x:c r="L11" s="154" t="n">
        <x:f>IFERROR(K11/D11,"")</x:f>
        <x:v>-0.19217521243050895</x:v>
      </x:c>
    </x:row>
    <x:row r="12">
      <x:c r="A12" s="141" t="str">
        <x:v>Gold</x:v>
      </x:c>
      <x:c r="B12" s="155" t="n">
        <x:v>42409</x:v>
      </x:c>
      <x:c r="C12" s="155" t="n">
        <x:v>42412</x:v>
      </x:c>
      <x:c r="D12" s="159" t="n">
        <x:v>410833</x:v>
      </x:c>
      <x:c r="E12" s="159" t="n">
        <x:v>121059</x:v>
      </x:c>
      <x:c r="F12" s="159" t="n">
        <x:v>60423</x:v>
      </x:c>
      <x:c r="G12" s="159" t="n">
        <x:f>E12-F12</x:f>
        <x:v>60636</x:v>
      </x:c>
      <x:c r="H12" s="154" t="n">
        <x:f>IFERROR(G12/D12,"")</x:f>
        <x:v>0.1475928175195274</x:v>
      </x:c>
      <x:c r="I12" s="159" t="n">
        <x:v>23988</x:v>
      </x:c>
      <x:c r="J12" s="159" t="n">
        <x:v>91728</x:v>
      </x:c>
      <x:c r="K12" s="159" t="n">
        <x:f>I12-J12</x:f>
        <x:v>-67740</x:v>
      </x:c>
      <x:c r="L12" s="154" t="n">
        <x:f>IFERROR(K12/D12,"")</x:f>
        <x:v>-0.16488451511928204</x:v>
      </x:c>
    </x:row>
    <x:row r="13">
      <x:c r="A13" s="141" t="str">
        <x:v>Silver</x:v>
      </x:c>
      <x:c r="B13" s="155" t="n">
        <x:v>42409</x:v>
      </x:c>
      <x:c r="C13" s="155" t="n">
        <x:v>42412</x:v>
      </x:c>
      <x:c r="D13" s="159" t="n">
        <x:v>164664</x:v>
      </x:c>
      <x:c r="E13" s="159" t="n">
        <x:v>58876</x:v>
      </x:c>
      <x:c r="F13" s="159" t="n">
        <x:v>19132</x:v>
      </x:c>
      <x:c r="G13" s="159" t="n">
        <x:f>E13-F13</x:f>
        <x:v>39744</x:v>
      </x:c>
      <x:c r="H13" s="154" t="n">
        <x:f>IFERROR(G13/D13,"")</x:f>
        <x:v>0.24136423261915171</x:v>
      </x:c>
      <x:c r="I13" s="159" t="n">
        <x:v>12816</x:v>
      </x:c>
      <x:c r="J13" s="159" t="n">
        <x:v>51259</x:v>
      </x:c>
      <x:c r="K13" s="159" t="n">
        <x:f>I13-J13</x:f>
        <x:v>-38443</x:v>
      </x:c>
      <x:c r="L13" s="154" t="n">
        <x:f>IFERROR(K13/D13,"")</x:f>
        <x:v>-0.23346329495214496</x:v>
      </x:c>
    </x:row>
    <x:row r="14">
      <x:c r="A14" s="141" t="str">
        <x:v>Gold</x:v>
      </x:c>
      <x:c r="B14" s="155" t="n">
        <x:v>42416</x:v>
      </x:c>
      <x:c r="C14" s="155" t="n">
        <x:v>42419</x:v>
      </x:c>
      <x:c r="D14" s="159" t="n">
        <x:v>428912</x:v>
      </x:c>
      <x:c r="E14" s="159" t="n">
        <x:v>126219</x:v>
      </x:c>
      <x:c r="F14" s="159" t="n">
        <x:v>45206</x:v>
      </x:c>
      <x:c r="G14" s="159" t="n">
        <x:f>E14-F14</x:f>
        <x:v>81013</x:v>
      </x:c>
      <x:c r="H14" s="154" t="n">
        <x:f>IFERROR(G14/D14,"")</x:f>
        <x:v>0.18888023650539038</x:v>
      </x:c>
      <x:c r="I14" s="159" t="n">
        <x:v>26085</x:v>
      </x:c>
      <x:c r="J14" s="159" t="n">
        <x:v>111860</x:v>
      </x:c>
      <x:c r="K14" s="159" t="n">
        <x:f>I14-J14</x:f>
        <x:v>-85775</x:v>
      </x:c>
      <x:c r="L14" s="154" t="n">
        <x:f>IFERROR(K14/D14,"")</x:f>
        <x:v>-0.19998274704368263</x:v>
      </x:c>
    </x:row>
    <x:row r="15">
      <x:c r="A15" s="141" t="str">
        <x:v>Silver</x:v>
      </x:c>
      <x:c r="B15" s="155" t="n">
        <x:v>42416</x:v>
      </x:c>
      <x:c r="C15" s="155" t="n">
        <x:v>42419</x:v>
      </x:c>
      <x:c r="D15" s="159" t="n">
        <x:v>166645</x:v>
      </x:c>
      <x:c r="E15" s="159" t="n">
        <x:v>60725</x:v>
      </x:c>
      <x:c r="F15" s="159" t="n">
        <x:v>13004</x:v>
      </x:c>
      <x:c r="G15" s="159" t="n">
        <x:f>E15-F15</x:f>
        <x:v>47721</x:v>
      </x:c>
      <x:c r="H15" s="154" t="n">
        <x:f>IFERROR(G15/D15,"")</x:f>
        <x:v>0.28636322721953855</x:v>
      </x:c>
      <x:c r="I15" s="159" t="n">
        <x:v>12175</x:v>
      </x:c>
      <x:c r="J15" s="159" t="n">
        <x:v>56287</x:v>
      </x:c>
      <x:c r="K15" s="159" t="n">
        <x:f>I15-J15</x:f>
        <x:v>-44112</x:v>
      </x:c>
      <x:c r="L15" s="154" t="n">
        <x:f>IFERROR(K15/D15,"")</x:f>
        <x:v>-0.2647064118335384</x:v>
      </x:c>
    </x:row>
    <x:row r="16">
      <x:c r="A16" s="141" t="str">
        <x:v>Gold</x:v>
      </x:c>
      <x:c r="B16" s="155" t="n">
        <x:v>42423</x:v>
      </x:c>
      <x:c r="C16" s="155" t="n">
        <x:v>42426</x:v>
      </x:c>
      <x:c r="D16" s="159" t="n">
        <x:v>445290</x:v>
      </x:c>
      <x:c r="E16" s="159" t="n">
        <x:v>141373</x:v>
      </x:c>
      <x:c r="F16" s="159" t="n">
        <x:v>32276</x:v>
      </x:c>
      <x:c r="G16" s="159" t="n">
        <x:f>E16-F16</x:f>
        <x:v>109097</x:v>
      </x:c>
      <x:c r="H16" s="154" t="n">
        <x:f>IFERROR(G16/D16,"")</x:f>
        <x:v>0.24500213344112826</x:v>
      </x:c>
      <x:c r="I16" s="159" t="n">
        <x:v>19329</x:v>
      </x:c>
      <x:c r="J16" s="159" t="n">
        <x:v>123277</x:v>
      </x:c>
      <x:c r="K16" s="159" t="n">
        <x:f>I16-J16</x:f>
        <x:v>-103948</x:v>
      </x:c>
      <x:c r="L16" s="154" t="n">
        <x:f>IFERROR(K16/D16,"")</x:f>
        <x:v>-0.2334388825259943</x:v>
      </x:c>
    </x:row>
    <x:row r="17">
      <x:c r="A17" s="141" t="str">
        <x:v>Silver</x:v>
      </x:c>
      <x:c r="B17" s="155" t="n">
        <x:v>42423</x:v>
      </x:c>
      <x:c r="C17" s="155" t="n">
        <x:v>42426</x:v>
      </x:c>
      <x:c r="D17" s="159" t="n">
        <x:v>174697</x:v>
      </x:c>
      <x:c r="E17" s="159" t="n">
        <x:v>62683</x:v>
      </x:c>
      <x:c r="F17" s="159" t="n">
        <x:v>11662</x:v>
      </x:c>
      <x:c r="G17" s="159" t="n">
        <x:f>E17-F17</x:f>
        <x:v>51021</x:v>
      </x:c>
      <x:c r="H17" s="154" t="n">
        <x:f>IFERROR(G17/D17,"")</x:f>
        <x:v>0.2920542424884228</x:v>
      </x:c>
      <x:c r="I17" s="159" t="n">
        <x:v>13483</x:v>
      </x:c>
      <x:c r="J17" s="159" t="n">
        <x:v>59944</x:v>
      </x:c>
      <x:c r="K17" s="159" t="n">
        <x:f>I17-J17</x:f>
        <x:v>-46461</x:v>
      </x:c>
      <x:c r="L17" s="154" t="n">
        <x:f>IFERROR(K17/D17,"")</x:f>
        <x:v>-0.26595190529888896</x:v>
      </x:c>
    </x:row>
    <x:row r="18">
      <x:c r="A18" s="141" t="str">
        <x:v>Gold</x:v>
      </x:c>
      <x:c r="B18" s="155" t="n">
        <x:v>42430</x:v>
      </x:c>
      <x:c r="C18" s="155" t="n">
        <x:v>42433</x:v>
      </x:c>
      <x:c r="D18" s="159" t="n">
        <x:v>450555</x:v>
      </x:c>
      <x:c r="E18" s="159" t="n">
        <x:v>133823</x:v>
      </x:c>
      <x:c r="F18" s="159" t="n">
        <x:v>29453</x:v>
      </x:c>
      <x:c r="G18" s="159" t="n">
        <x:f>E18-F18</x:f>
        <x:v>104370</x:v>
      </x:c>
      <x:c r="H18" s="154" t="n">
        <x:f>IFERROR(G18/D18,"")</x:f>
        <x:v>0.23164763458401305</x:v>
      </x:c>
      <x:c r="I18" s="159" t="n">
        <x:v>16920</x:v>
      </x:c>
      <x:c r="J18" s="159" t="n">
        <x:v>129587</x:v>
      </x:c>
      <x:c r="K18" s="159" t="n">
        <x:f>I18-J18</x:f>
        <x:v>-112667</x:v>
      </x:c>
      <x:c r="L18" s="154" t="n">
        <x:f>IFERROR(K18/D18,"")</x:f>
        <x:v>-0.25006270044722617</x:v>
      </x:c>
    </x:row>
    <x:row r="19">
      <x:c r="A19" s="141" t="str">
        <x:v>Silver</x:v>
      </x:c>
      <x:c r="B19" s="155" t="n">
        <x:v>42430</x:v>
      </x:c>
      <x:c r="C19" s="155" t="n">
        <x:v>42433</x:v>
      </x:c>
      <x:c r="D19" s="159" t="n">
        <x:v>162293</x:v>
      </x:c>
      <x:c r="E19" s="159" t="n">
        <x:v>58117</x:v>
      </x:c>
      <x:c r="F19" s="159" t="n">
        <x:v>11562</x:v>
      </x:c>
      <x:c r="G19" s="159" t="n">
        <x:f>E19-F19</x:f>
        <x:v>46555</x:v>
      </x:c>
      <x:c r="H19" s="154" t="n">
        <x:f>IFERROR(G19/D19,"")</x:f>
        <x:v>0.2868577202960078</x:v>
      </x:c>
      <x:c r="I19" s="159" t="n">
        <x:v>16020</x:v>
      </x:c>
      <x:c r="J19" s="159" t="n">
        <x:v>58393</x:v>
      </x:c>
      <x:c r="K19" s="159" t="n">
        <x:f>I19-J19</x:f>
        <x:v>-42373</x:v>
      </x:c>
      <x:c r="L19" s="154" t="n">
        <x:f>IFERROR(K19/D19,"")</x:f>
        <x:v>-0.26108951094625155</x:v>
      </x:c>
    </x:row>
    <x:row r="20">
      <x:c r="A20" s="141" t="str">
        <x:v>Gold</x:v>
      </x:c>
      <x:c r="B20" s="155" t="n">
        <x:v>42437</x:v>
      </x:c>
      <x:c r="C20" s="155" t="n">
        <x:v>42440</x:v>
      </x:c>
      <x:c r="D20" s="159" t="n">
        <x:v>499110</x:v>
      </x:c>
      <x:c r="E20" s="159" t="n">
        <x:v>160317</x:v>
      </x:c>
      <x:c r="F20" s="159" t="n">
        <x:v>32890</x:v>
      </x:c>
      <x:c r="G20" s="159" t="n">
        <x:f>E20-F20</x:f>
        <x:v>127427</x:v>
      </x:c>
      <x:c r="H20" s="154" t="n">
        <x:f>IFERROR(G20/D20,"")</x:f>
        <x:v>0.25530844903928995</x:v>
      </x:c>
      <x:c r="I20" s="159" t="n">
        <x:v>17739</x:v>
      </x:c>
      <x:c r="J20" s="159" t="n">
        <x:v>143726</x:v>
      </x:c>
      <x:c r="K20" s="159" t="n">
        <x:f>I20-J20</x:f>
        <x:v>-125987</x:v>
      </x:c>
      <x:c r="L20" s="154" t="n">
        <x:f>IFERROR(K20/D20,"")</x:f>
        <x:v>-0.2524233134980265</x:v>
      </x:c>
    </x:row>
    <x:row r="21">
      <x:c r="A21" s="141" t="str">
        <x:v>Silver</x:v>
      </x:c>
      <x:c r="B21" s="155" t="n">
        <x:v>42437</x:v>
      </x:c>
      <x:c r="C21" s="155" t="n">
        <x:v>42440</x:v>
      </x:c>
      <x:c r="D21" s="159" t="n">
        <x:v>169875</x:v>
      </x:c>
      <x:c r="E21" s="159" t="n">
        <x:v>59303</x:v>
      </x:c>
      <x:c r="F21" s="159" t="n">
        <x:v>9730</x:v>
      </x:c>
      <x:c r="G21" s="159" t="n">
        <x:f>E21-F21</x:f>
        <x:v>49573</x:v>
      </x:c>
      <x:c r="H21" s="154" t="n">
        <x:f>IFERROR(G21/D21,"")</x:f>
        <x:v>0.2918204562178072</x:v>
      </x:c>
      <x:c r="I21" s="159" t="n">
        <x:v>15606</x:v>
      </x:c>
      <x:c r="J21" s="159" t="n">
        <x:v>60460</x:v>
      </x:c>
      <x:c r="K21" s="159" t="n">
        <x:f>I21-J21</x:f>
        <x:v>-44854</x:v>
      </x:c>
      <x:c r="L21" s="154" t="n">
        <x:f>IFERROR(K21/D21,"")</x:f>
        <x:v>-0.26404120676968357</x:v>
      </x:c>
    </x:row>
    <x:row r="22">
      <x:c r="A22" s="141" t="str">
        <x:v>Gold</x:v>
      </x:c>
      <x:c r="B22" s="155" t="n">
        <x:v>42444</x:v>
      </x:c>
      <x:c r="C22" s="155" t="n">
        <x:v>42447</x:v>
      </x:c>
      <x:c r="D22" s="159" t="n">
        <x:v>493086</x:v>
      </x:c>
      <x:c r="E22" s="159" t="n">
        <x:v>159202</x:v>
      </x:c>
      <x:c r="F22" s="159" t="n">
        <x:v>29425</x:v>
      </x:c>
      <x:c r="G22" s="159" t="n">
        <x:f>E22-F22</x:f>
        <x:v>129777</x:v>
      </x:c>
      <x:c r="H22" s="154" t="n">
        <x:f>IFERROR(G22/D22,"")</x:f>
        <x:v>0.26319343887273217</x:v>
      </x:c>
      <x:c r="I22" s="159" t="n">
        <x:v>19486</x:v>
      </x:c>
      <x:c r="J22" s="159" t="n">
        <x:v>143435</x:v>
      </x:c>
      <x:c r="K22" s="159" t="n">
        <x:f>I22-J22</x:f>
        <x:v>-123949</x:v>
      </x:c>
      <x:c r="L22" s="154" t="n">
        <x:f>IFERROR(K22/D22,"")</x:f>
        <x:v>-0.2513739996674008</x:v>
      </x:c>
    </x:row>
    <x:row r="23">
      <x:c r="A23" s="141" t="str">
        <x:v>Silver</x:v>
      </x:c>
      <x:c r="B23" s="155" t="n">
        <x:v>42444</x:v>
      </x:c>
      <x:c r="C23" s="155" t="n">
        <x:v>42447</x:v>
      </x:c>
      <x:c r="D23" s="159" t="n">
        <x:v>166180</x:v>
      </x:c>
      <x:c r="E23" s="159" t="n">
        <x:v>58689</x:v>
      </x:c>
      <x:c r="F23" s="159" t="n">
        <x:v>7933</x:v>
      </x:c>
      <x:c r="G23" s="159" t="n">
        <x:f>E23-F23</x:f>
        <x:v>50756</x:v>
      </x:c>
      <x:c r="H23" s="154" t="n">
        <x:f>IFERROR(G23/D23,"")</x:f>
        <x:v>0.30542784932001443</x:v>
      </x:c>
      <x:c r="I23" s="159" t="n">
        <x:v>14831</x:v>
      </x:c>
      <x:c r="J23" s="159" t="n">
        <x:v>59948</x:v>
      </x:c>
      <x:c r="K23" s="159" t="n">
        <x:f>I23-J23</x:f>
        <x:v>-45117</x:v>
      </x:c>
      <x:c r="L23" s="154" t="n">
        <x:f>IFERROR(K23/D23,"")</x:f>
        <x:v>-0.27149476471296186</x:v>
      </x:c>
    </x:row>
    <x:row r="24">
      <x:c r="A24" s="141" t="str">
        <x:v>Gold</x:v>
      </x:c>
      <x:c r="B24" s="155" t="n">
        <x:v>42451</x:v>
      </x:c>
      <x:c r="C24" s="155" t="n">
        <x:v>42454</x:v>
      </x:c>
      <x:c r="D24" s="159" t="n">
        <x:v>510579</x:v>
      </x:c>
      <x:c r="E24" s="159" t="n">
        <x:v>174457</x:v>
      </x:c>
      <x:c r="F24" s="159" t="n">
        <x:v>29558</x:v>
      </x:c>
      <x:c r="G24" s="159" t="n">
        <x:f>E24-F24</x:f>
        <x:v>144899</x:v>
      </x:c>
      <x:c r="H24" s="154" t="n">
        <x:f>IFERROR(G24/D24,"")</x:f>
        <x:v>0.28379349718652747</x:v>
      </x:c>
      <x:c r="I24" s="159" t="n">
        <x:v>19858</x:v>
      </x:c>
      <x:c r="J24" s="159" t="n">
        <x:v>150125</x:v>
      </x:c>
      <x:c r="K24" s="159" t="n">
        <x:f>I24-J24</x:f>
        <x:v>-130267</x:v>
      </x:c>
      <x:c r="L24" s="154" t="n">
        <x:f>IFERROR(K24/D24,"")</x:f>
        <x:v>-0.2551358359822868</x:v>
      </x:c>
    </x:row>
    <x:row r="25">
      <x:c r="A25" s="141" t="str">
        <x:v>Silver</x:v>
      </x:c>
      <x:c r="B25" s="155" t="n">
        <x:v>42451</x:v>
      </x:c>
      <x:c r="C25" s="155" t="n">
        <x:v>42454</x:v>
      </x:c>
      <x:c r="D25" s="159" t="n">
        <x:v>175775</x:v>
      </x:c>
      <x:c r="E25" s="159" t="n">
        <x:v>64150</x:v>
      </x:c>
      <x:c r="F25" s="159" t="n">
        <x:v>9449</x:v>
      </x:c>
      <x:c r="G25" s="159" t="n">
        <x:f>E25-F25</x:f>
        <x:v>54701</x:v>
      </x:c>
      <x:c r="H25" s="154" t="n">
        <x:f>IFERROR(G25/D25,"")</x:f>
        <x:v>0.3111989759635898</x:v>
      </x:c>
      <x:c r="I25" s="159" t="n">
        <x:v>14205</x:v>
      </x:c>
      <x:c r="J25" s="159" t="n">
        <x:v>63656</x:v>
      </x:c>
      <x:c r="K25" s="159" t="n">
        <x:f>I25-J25</x:f>
        <x:v>-49451</x:v>
      </x:c>
      <x:c r="L25" s="154" t="n">
        <x:f>IFERROR(K25/D25,"")</x:f>
        <x:v>-0.2813312473332385</x:v>
      </x:c>
    </x:row>
    <x:row r="26">
      <x:c r="A26" s="141" t="str">
        <x:v>Gold</x:v>
      </x:c>
      <x:c r="B26" s="155" t="n">
        <x:v>42458</x:v>
      </x:c>
      <x:c r="C26" s="155" t="n">
        <x:v>42461</x:v>
      </x:c>
      <x:c r="D26" s="159" t="n">
        <x:v>480461</x:v>
      </x:c>
      <x:c r="E26" s="159" t="n">
        <x:v>184135</x:v>
      </x:c>
      <x:c r="F26" s="159" t="n">
        <x:v>29930</x:v>
      </x:c>
      <x:c r="G26" s="159" t="n">
        <x:f>E26-F26</x:f>
        <x:v>154205</x:v>
      </x:c>
      <x:c r="H26" s="154" t="n">
        <x:f>IFERROR(G26/D26,"")</x:f>
        <x:v>0.320952168854496</x:v>
      </x:c>
      <x:c r="I26" s="159" t="n">
        <x:v>24190</x:v>
      </x:c>
      <x:c r="J26" s="159" t="n">
        <x:v>150685</x:v>
      </x:c>
      <x:c r="K26" s="159" t="n">
        <x:f>I26-J26</x:f>
        <x:v>-126495</x:v>
      </x:c>
      <x:c r="L26" s="154" t="n">
        <x:f>IFERROR(K26/D26,"")</x:f>
        <x:v>-0.26327839304334794</x:v>
      </x:c>
    </x:row>
    <x:row r="27">
      <x:c r="A27" s="141" t="str">
        <x:v>Silver</x:v>
      </x:c>
      <x:c r="B27" s="155" t="n">
        <x:v>42458</x:v>
      </x:c>
      <x:c r="C27" s="155" t="n">
        <x:v>42461</x:v>
      </x:c>
      <x:c r="D27" s="159" t="n">
        <x:v>175255</x:v>
      </x:c>
      <x:c r="E27" s="159" t="n">
        <x:v>60154</x:v>
      </x:c>
      <x:c r="F27" s="159" t="n">
        <x:v>15734</x:v>
      </x:c>
      <x:c r="G27" s="159" t="n">
        <x:f>E27-F27</x:f>
        <x:v>44420</x:v>
      </x:c>
      <x:c r="H27" s="154" t="n">
        <x:f>IFERROR(G27/D27,"")</x:f>
        <x:v>0.2534592450999971</x:v>
      </x:c>
      <x:c r="I27" s="159" t="n">
        <x:v>15033</x:v>
      </x:c>
      <x:c r="J27" s="159" t="n">
        <x:v>59094</x:v>
      </x:c>
      <x:c r="K27" s="159" t="n">
        <x:f>I27-J27</x:f>
        <x:v>-44061</x:v>
      </x:c>
      <x:c r="L27" s="154" t="n">
        <x:f>IFERROR(K27/D27,"")</x:f>
        <x:v>-0.25141080140366895</x:v>
      </x:c>
    </x:row>
    <x:row r="28">
      <x:c r="A28" s="141" t="str">
        <x:v>Gold</x:v>
      </x:c>
      <x:c r="B28" s="155" t="n">
        <x:v>42465</x:v>
      </x:c>
      <x:c r="C28" s="155" t="n">
        <x:v>42468</x:v>
      </x:c>
      <x:c r="D28" s="159" t="n">
        <x:v>474094</x:v>
      </x:c>
      <x:c r="E28" s="159" t="n">
        <x:v>186716</x:v>
      </x:c>
      <x:c r="F28" s="159" t="n">
        <x:v>33958</x:v>
      </x:c>
      <x:c r="G28" s="159" t="n">
        <x:f>E28-F28</x:f>
        <x:v>152758</x:v>
      </x:c>
      <x:c r="H28" s="154" t="n">
        <x:f>IFERROR(G28/D28,"")</x:f>
        <x:v>0.3222103633456656</x:v>
      </x:c>
      <x:c r="I28" s="159" t="n">
        <x:v>21204</x:v>
      </x:c>
      <x:c r="J28" s="159" t="n">
        <x:v>151023</x:v>
      </x:c>
      <x:c r="K28" s="159" t="n">
        <x:f>I28-J28</x:f>
        <x:v>-129819</x:v>
      </x:c>
      <x:c r="L28" s="154" t="n">
        <x:f>IFERROR(K28/D28,"")</x:f>
        <x:v>-0.2738254438993111</x:v>
      </x:c>
    </x:row>
    <x:row r="29">
      <x:c r="A29" s="141" t="str">
        <x:v>Silver</x:v>
      </x:c>
      <x:c r="B29" s="155" t="n">
        <x:v>42465</x:v>
      </x:c>
      <x:c r="C29" s="155" t="n">
        <x:v>42468</x:v>
      </x:c>
      <x:c r="D29" s="159" t="n">
        <x:v>179913</x:v>
      </x:c>
      <x:c r="E29" s="159" t="n">
        <x:v>60866</x:v>
      </x:c>
      <x:c r="F29" s="159" t="n">
        <x:v>17603</x:v>
      </x:c>
      <x:c r="G29" s="159" t="n">
        <x:f>E29-F29</x:f>
        <x:v>43263</x:v>
      </x:c>
      <x:c r="H29" s="154" t="n">
        <x:f>IFERROR(G29/D29,"")</x:f>
        <x:v>0.24046622534224876</x:v>
      </x:c>
      <x:c r="I29" s="159" t="n">
        <x:v>18071</x:v>
      </x:c>
      <x:c r="J29" s="159" t="n">
        <x:v>57007</x:v>
      </x:c>
      <x:c r="K29" s="159" t="n">
        <x:f>I29-J29</x:f>
        <x:v>-38936</x:v>
      </x:c>
      <x:c r="L29" s="154" t="n">
        <x:f>IFERROR(K29/D29,"")</x:f>
        <x:v>-0.21641571203859644</x:v>
      </x:c>
    </x:row>
    <x:row r="30">
      <x:c r="A30" s="141" t="str">
        <x:v>Gold</x:v>
      </x:c>
      <x:c r="B30" s="155" t="n">
        <x:v>42472</x:v>
      </x:c>
      <x:c r="C30" s="155" t="n">
        <x:v>42475</x:v>
      </x:c>
      <x:c r="D30" s="159" t="n">
        <x:v>504523</x:v>
      </x:c>
      <x:c r="E30" s="159" t="n">
        <x:v>202500</x:v>
      </x:c>
      <x:c r="F30" s="159" t="n">
        <x:v>31866</x:v>
      </x:c>
      <x:c r="G30" s="159" t="n">
        <x:f>E30-F30</x:f>
        <x:v>170634</x:v>
      </x:c>
      <x:c r="H30" s="154" t="n">
        <x:f>IFERROR(G30/D30,"")</x:f>
        <x:v>0.3382085653181322</x:v>
      </x:c>
      <x:c r="I30" s="159" t="n">
        <x:v>21129</x:v>
      </x:c>
      <x:c r="J30" s="159" t="n">
        <x:v>164322</x:v>
      </x:c>
      <x:c r="K30" s="159" t="n">
        <x:f>I30-J30</x:f>
        <x:v>-143193</x:v>
      </x:c>
      <x:c r="L30" s="154" t="n">
        <x:f>IFERROR(K30/D30,"")</x:f>
        <x:v>-0.2838185771510912</x:v>
      </x:c>
    </x:row>
    <x:row r="31">
      <x:c r="A31" s="141" t="str">
        <x:v>Silver</x:v>
      </x:c>
      <x:c r="B31" s="155" t="n">
        <x:v>42472</x:v>
      </x:c>
      <x:c r="C31" s="155" t="n">
        <x:v>42475</x:v>
      </x:c>
      <x:c r="D31" s="159" t="n">
        <x:v>184800</x:v>
      </x:c>
      <x:c r="E31" s="159" t="n">
        <x:v>69774</x:v>
      </x:c>
      <x:c r="F31" s="159" t="n">
        <x:v>13756</x:v>
      </x:c>
      <x:c r="G31" s="159" t="n">
        <x:f>E31-F31</x:f>
        <x:v>56018</x:v>
      </x:c>
      <x:c r="H31" s="154" t="n">
        <x:f>IFERROR(G31/D31,"")</x:f>
        <x:v>0.30312770562770563</x:v>
      </x:c>
      <x:c r="I31" s="159" t="n">
        <x:v>18847</x:v>
      </x:c>
      <x:c r="J31" s="159" t="n">
        <x:v>65976</x:v>
      </x:c>
      <x:c r="K31" s="159" t="n">
        <x:f>I31-J31</x:f>
        <x:v>-47129</x:v>
      </x:c>
      <x:c r="L31" s="154" t="n">
        <x:f>IFERROR(K31/D31,"")</x:f>
        <x:v>-0.2550270562770563</x:v>
      </x:c>
    </x:row>
    <x:row r="32">
      <x:c r="A32" s="141" t="str">
        <x:v>Gold</x:v>
      </x:c>
      <x:c r="B32" s="155" t="n">
        <x:v>42479</x:v>
      </x:c>
      <x:c r="C32" s="155" t="n">
        <x:v>42482</x:v>
      </x:c>
      <x:c r="D32" s="159" t="n">
        <x:v>503331</x:v>
      </x:c>
      <x:c r="E32" s="159" t="n">
        <x:v>208661</x:v>
      </x:c>
      <x:c r="F32" s="159" t="n">
        <x:v>34554</x:v>
      </x:c>
      <x:c r="G32" s="159" t="n">
        <x:f>E32-F32</x:f>
        <x:v>174107</x:v>
      </x:c>
      <x:c r="H32" s="154" t="n">
        <x:f>IFERROR(G32/D32,"")</x:f>
        <x:v>0.3459095505740755</x:v>
      </x:c>
      <x:c r="I32" s="159" t="n">
        <x:v>20069</x:v>
      </x:c>
      <x:c r="J32" s="159" t="n">
        <x:v>166296</x:v>
      </x:c>
      <x:c r="K32" s="159" t="n">
        <x:f>I32-J32</x:f>
        <x:v>-146227</x:v>
      </x:c>
      <x:c r="L32" s="154" t="n">
        <x:f>IFERROR(K32/D32,"")</x:f>
        <x:v>-0.2905185653178525</x:v>
      </x:c>
    </x:row>
    <x:row r="33">
      <x:c r="A33" s="141" t="str">
        <x:v>Silver</x:v>
      </x:c>
      <x:c r="B33" s="155" t="n">
        <x:v>42479</x:v>
      </x:c>
      <x:c r="C33" s="155" t="n">
        <x:v>42482</x:v>
      </x:c>
      <x:c r="D33" s="159" t="n">
        <x:v>194510</x:v>
      </x:c>
      <x:c r="E33" s="159" t="n">
        <x:v>77534</x:v>
      </x:c>
      <x:c r="F33" s="159" t="n">
        <x:v>9631</x:v>
      </x:c>
      <x:c r="G33" s="159" t="n">
        <x:f>E33-F33</x:f>
        <x:v>67903</x:v>
      </x:c>
      <x:c r="H33" s="154" t="n">
        <x:f>IFERROR(G33/D33,"")</x:f>
        <x:v>0.3490977327643823</x:v>
      </x:c>
      <x:c r="I33" s="159" t="n">
        <x:v>19682</x:v>
      </x:c>
      <x:c r="J33" s="159" t="n">
        <x:v>73069</x:v>
      </x:c>
      <x:c r="K33" s="159" t="n">
        <x:f>I33-J33</x:f>
        <x:v>-53387</x:v>
      </x:c>
      <x:c r="L33" s="154" t="n">
        <x:f>IFERROR(K33/D33,"")</x:f>
        <x:v>-0.2744691789625212</x:v>
      </x:c>
    </x:row>
    <x:row r="34">
      <x:c r="A34" s="141" t="str">
        <x:v>Gold</x:v>
      </x:c>
      <x:c r="B34" s="155" t="n">
        <x:v>42486</x:v>
      </x:c>
      <x:c r="C34" s="155" t="n">
        <x:v>42489</x:v>
      </x:c>
      <x:c r="D34" s="159" t="n">
        <x:v>497884</x:v>
      </x:c>
      <x:c r="E34" s="159" t="n">
        <x:v>206476</x:v>
      </x:c>
      <x:c r="F34" s="159" t="n">
        <x:v>34426</x:v>
      </x:c>
      <x:c r="G34" s="159" t="n">
        <x:f>E34-F34</x:f>
        <x:v>172050</x:v>
      </x:c>
      <x:c r="H34" s="154" t="n">
        <x:f>IFERROR(G34/D34,"")</x:f>
        <x:v>0.3455624201621261</x:v>
      </x:c>
      <x:c r="I34" s="159" t="n">
        <x:v>18752</x:v>
      </x:c>
      <x:c r="J34" s="159" t="n">
        <x:v>165367</x:v>
      </x:c>
      <x:c r="K34" s="159" t="n">
        <x:f>I34-J34</x:f>
        <x:v>-146615</x:v>
      </x:c>
      <x:c r="L34" s="154" t="n">
        <x:f>IFERROR(K34/D34,"")</x:f>
        <x:v>-0.29447622337733287</x:v>
      </x:c>
    </x:row>
    <x:row r="35">
      <x:c r="A35" s="141" t="str">
        <x:v>Silver</x:v>
      </x:c>
      <x:c r="B35" s="155" t="n">
        <x:v>42486</x:v>
      </x:c>
      <x:c r="C35" s="155" t="n">
        <x:v>42489</x:v>
      </x:c>
      <x:c r="D35" s="159" t="n">
        <x:v>206748</x:v>
      </x:c>
      <x:c r="E35" s="159" t="n">
        <x:v>79825</x:v>
      </x:c>
      <x:c r="F35" s="159" t="n">
        <x:v>8665</x:v>
      </x:c>
      <x:c r="G35" s="159" t="n">
        <x:f>E35-F35</x:f>
        <x:v>71160</x:v>
      </x:c>
      <x:c r="H35" s="154" t="n">
        <x:f>IFERROR(G35/D35,"")</x:f>
        <x:v>0.3441871263567241</x:v>
      </x:c>
      <x:c r="I35" s="159" t="n">
        <x:v>20341</x:v>
      </x:c>
      <x:c r="J35" s="159" t="n">
        <x:v>76004</x:v>
      </x:c>
      <x:c r="K35" s="159" t="n">
        <x:f>I35-J35</x:f>
        <x:v>-55663</x:v>
      </x:c>
      <x:c r="L35" s="154" t="n">
        <x:f>IFERROR(K35/D35,"")</x:f>
        <x:v>-0.26923114129278153</x:v>
      </x:c>
    </x:row>
    <x:row r="36">
      <x:c r="A36" s="141" t="str">
        <x:v>Gold</x:v>
      </x:c>
      <x:c r="B36" s="155" t="n">
        <x:v>42493</x:v>
      </x:c>
      <x:c r="C36" s="155" t="n">
        <x:v>42496</x:v>
      </x:c>
      <x:c r="D36" s="159" t="n">
        <x:v>565774</x:v>
      </x:c>
      <x:c r="E36" s="159" t="n">
        <x:v>248842</x:v>
      </x:c>
      <x:c r="F36" s="159" t="n">
        <x:v>29947</x:v>
      </x:c>
      <x:c r="G36" s="159" t="n">
        <x:f>E36-F36</x:f>
        <x:v>218895</x:v>
      </x:c>
      <x:c r="H36" s="154" t="n">
        <x:f>IFERROR(G36/D36,"")</x:f>
        <x:v>0.38689476716851606</x:v>
      </x:c>
      <x:c r="I36" s="159" t="n">
        <x:v>19259</x:v>
      </x:c>
      <x:c r="J36" s="159" t="n">
        <x:v>189227</x:v>
      </x:c>
      <x:c r="K36" s="159" t="n">
        <x:f>I36-J36</x:f>
        <x:v>-169968</x:v>
      </x:c>
      <x:c r="L36" s="154" t="n">
        <x:f>IFERROR(K36/D36,"")</x:f>
        <x:v>-0.3004167741889871</x:v>
      </x:c>
    </x:row>
    <x:row r="37">
      <x:c r="A37" s="141" t="str">
        <x:v>Silver</x:v>
      </x:c>
      <x:c r="B37" s="155" t="n">
        <x:v>42493</x:v>
      </x:c>
      <x:c r="C37" s="155" t="n">
        <x:v>42496</x:v>
      </x:c>
      <x:c r="D37" s="159" t="n">
        <x:v>198237</x:v>
      </x:c>
      <x:c r="E37" s="159" t="n">
        <x:v>81012</x:v>
      </x:c>
      <x:c r="F37" s="159" t="n">
        <x:v>12646</x:v>
      </x:c>
      <x:c r="G37" s="159" t="n">
        <x:f>E37-F37</x:f>
        <x:v>68366</x:v>
      </x:c>
      <x:c r="H37" s="154" t="n">
        <x:f>IFERROR(G37/D37,"")</x:f>
        <x:v>0.34487002930835314</x:v>
      </x:c>
      <x:c r="I37" s="159" t="n">
        <x:v>22398</x:v>
      </x:c>
      <x:c r="J37" s="159" t="n">
        <x:v>74805</x:v>
      </x:c>
      <x:c r="K37" s="159" t="n">
        <x:f>I37-J37</x:f>
        <x:v>-52407</x:v>
      </x:c>
      <x:c r="L37" s="154" t="n">
        <x:f>IFERROR(K37/D37,"")</x:f>
        <x:v>-0.26436538083203437</x:v>
      </x:c>
    </x:row>
    <x:row r="38">
      <x:c r="A38" s="141" t="str">
        <x:v>Gold</x:v>
      </x:c>
      <x:c r="B38" s="155" t="n">
        <x:v>42500</x:v>
      </x:c>
      <x:c r="C38" s="155" t="n">
        <x:v>42503</x:v>
      </x:c>
      <x:c r="D38" s="159" t="n">
        <x:v>579777</x:v>
      </x:c>
      <x:c r="E38" s="159" t="n">
        <x:v>246782</x:v>
      </x:c>
      <x:c r="F38" s="159" t="n">
        <x:v>35591</x:v>
      </x:c>
      <x:c r="G38" s="159" t="n">
        <x:f>E38-F38</x:f>
        <x:v>211191</x:v>
      </x:c>
      <x:c r="H38" s="154" t="n">
        <x:f>IFERROR(G38/D38,"")</x:f>
        <x:v>0.36426246643105886</x:v>
      </x:c>
      <x:c r="I38" s="159" t="n">
        <x:v>20797</x:v>
      </x:c>
      <x:c r="J38" s="159" t="n">
        <x:v>178897</x:v>
      </x:c>
      <x:c r="K38" s="159" t="n">
        <x:f>I38-J38</x:f>
        <x:v>-158100</x:v>
      </x:c>
      <x:c r="L38" s="154" t="n">
        <x:f>IFERROR(K38/D38,"")</x:f>
        <x:v>-0.2726910519044391</x:v>
      </x:c>
    </x:row>
    <x:row r="39">
      <x:c r="A39" s="141" t="str">
        <x:v>Silver</x:v>
      </x:c>
      <x:c r="B39" s="155" t="n">
        <x:v>42500</x:v>
      </x:c>
      <x:c r="C39" s="155" t="n">
        <x:v>42503</x:v>
      </x:c>
      <x:c r="D39" s="159" t="n">
        <x:v>205391</x:v>
      </x:c>
      <x:c r="E39" s="159" t="n">
        <x:v>86732</x:v>
      </x:c>
      <x:c r="F39" s="159" t="n">
        <x:v>13792</x:v>
      </x:c>
      <x:c r="G39" s="159" t="n">
        <x:f>E39-F39</x:f>
        <x:v>72940</x:v>
      </x:c>
      <x:c r="H39" s="154" t="n">
        <x:f>IFERROR(G39/D39,"")</x:f>
        <x:v>0.35512753723386126</x:v>
      </x:c>
      <x:c r="I39" s="159" t="n">
        <x:v>20601</x:v>
      </x:c>
      <x:c r="J39" s="159" t="n">
        <x:v>73181</x:v>
      </x:c>
      <x:c r="K39" s="159" t="n">
        <x:f>I39-J39</x:f>
        <x:v>-52580</x:v>
      </x:c>
      <x:c r="L39" s="154" t="n">
        <x:f>IFERROR(K39/D39,"")</x:f>
        <x:v>-0.2559995325987994</x:v>
      </x:c>
    </x:row>
    <x:row r="40">
      <x:c r="A40" s="141" t="str">
        <x:v>Gold</x:v>
      </x:c>
      <x:c r="B40" s="155" t="n">
        <x:v>42507</x:v>
      </x:c>
      <x:c r="C40" s="155" t="n">
        <x:v>42510</x:v>
      </x:c>
      <x:c r="D40" s="159" t="n">
        <x:v>595077</x:v>
      </x:c>
      <x:c r="E40" s="159" t="n">
        <x:v>247059</x:v>
      </x:c>
      <x:c r="F40" s="159" t="n">
        <x:v>34618</x:v>
      </x:c>
      <x:c r="G40" s="159" t="n">
        <x:f>E40-F40</x:f>
        <x:v>212441</x:v>
      </x:c>
      <x:c r="H40" s="154" t="n">
        <x:f>IFERROR(G40/D40,"")</x:f>
        <x:v>0.3569974978028054</x:v>
      </x:c>
      <x:c r="I40" s="159" t="n">
        <x:v>21631</x:v>
      </x:c>
      <x:c r="J40" s="159" t="n">
        <x:v>170642</x:v>
      </x:c>
      <x:c r="K40" s="159" t="n">
        <x:f>I40-J40</x:f>
        <x:v>-149011</x:v>
      </x:c>
      <x:c r="L40" s="154" t="n">
        <x:f>IFERROR(K40/D40,"")</x:f>
        <x:v>-0.2504062499474858</x:v>
      </x:c>
    </x:row>
    <x:row r="41">
      <x:c r="A41" s="141" t="str">
        <x:v>Silver</x:v>
      </x:c>
      <x:c r="B41" s="155" t="n">
        <x:v>42507</x:v>
      </x:c>
      <x:c r="C41" s="155" t="n">
        <x:v>42510</x:v>
      </x:c>
      <x:c r="D41" s="159" t="n">
        <x:v>207394</x:v>
      </x:c>
      <x:c r="E41" s="159" t="n">
        <x:v>84369</x:v>
      </x:c>
      <x:c r="F41" s="159" t="n">
        <x:v>16171</x:v>
      </x:c>
      <x:c r="G41" s="159" t="n">
        <x:f>E41-F41</x:f>
        <x:v>68198</x:v>
      </x:c>
      <x:c r="H41" s="154" t="n">
        <x:f>IFERROR(G41/D41,"")</x:f>
        <x:v>0.32883304242167083</x:v>
      </x:c>
      <x:c r="I41" s="159" t="n">
        <x:v>20830</x:v>
      </x:c>
      <x:c r="J41" s="159" t="n">
        <x:v>72445</x:v>
      </x:c>
      <x:c r="K41" s="159" t="n">
        <x:f>I41-J41</x:f>
        <x:v>-51615</x:v>
      </x:c>
      <x:c r="L41" s="154" t="n">
        <x:f>IFERROR(K41/D41,"")</x:f>
        <x:v>-0.24887412364870728</x:v>
      </x:c>
    </x:row>
    <x:row r="42">
      <x:c r="A42" s="141" t="str">
        <x:v>Gold</x:v>
      </x:c>
      <x:c r="B42" s="155" t="n">
        <x:v>42514</x:v>
      </x:c>
      <x:c r="C42" s="155" t="n">
        <x:v>42517</x:v>
      </x:c>
      <x:c r="D42" s="159" t="n">
        <x:v>542958</x:v>
      </x:c>
      <x:c r="E42" s="159" t="n">
        <x:v>205180</x:v>
      </x:c>
      <x:c r="F42" s="159" t="n">
        <x:v>48719</x:v>
      </x:c>
      <x:c r="G42" s="159" t="n">
        <x:f>E42-F42</x:f>
        <x:v>156461</x:v>
      </x:c>
      <x:c r="H42" s="154" t="n">
        <x:f>IFERROR(G42/D42,"")</x:f>
        <x:v>0.28816409372363977</x:v>
      </x:c>
      <x:c r="I42" s="159" t="n">
        <x:v>59557</x:v>
      </x:c>
      <x:c r="J42" s="159" t="n">
        <x:v>156435</x:v>
      </x:c>
      <x:c r="K42" s="159" t="n">
        <x:f>I42-J42</x:f>
        <x:v>-96878</x:v>
      </x:c>
      <x:c r="L42" s="154" t="n">
        <x:f>IFERROR(K42/D42,"")</x:f>
        <x:v>-0.17842632395139219</x:v>
      </x:c>
    </x:row>
    <x:row r="43">
      <x:c r="A43" s="141" t="str">
        <x:v>Silver</x:v>
      </x:c>
      <x:c r="B43" s="155" t="n">
        <x:v>42514</x:v>
      </x:c>
      <x:c r="C43" s="155" t="n">
        <x:v>42517</x:v>
      </x:c>
      <x:c r="D43" s="159" t="n">
        <x:v>203682</x:v>
      </x:c>
      <x:c r="E43" s="159" t="n">
        <x:v>76941</x:v>
      </x:c>
      <x:c r="F43" s="159" t="n">
        <x:v>18946</x:v>
      </x:c>
      <x:c r="G43" s="159" t="n">
        <x:f>E43-F43</x:f>
        <x:v>57995</x:v>
      </x:c>
      <x:c r="H43" s="154" t="n">
        <x:f>IFERROR(G43/D43,"")</x:f>
        <x:v>0.2847330642864858</x:v>
      </x:c>
      <x:c r="I43" s="159" t="n">
        <x:v>24423</x:v>
      </x:c>
      <x:c r="J43" s="159" t="n">
        <x:v>68210</x:v>
      </x:c>
      <x:c r="K43" s="159" t="n">
        <x:f>I43-J43</x:f>
        <x:v>-43787</x:v>
      </x:c>
      <x:c r="L43" s="154" t="n">
        <x:f>IFERROR(K43/D43,"")</x:f>
        <x:v>-0.21497726848715154</x:v>
      </x:c>
    </x:row>
    <x:row r="44">
      <x:c r="A44" s="141" t="str">
        <x:v>Gold</x:v>
      </x:c>
      <x:c r="B44" s="155" t="n">
        <x:v>42521</x:v>
      </x:c>
      <x:c r="C44" s="155" t="n">
        <x:v>42524</x:v>
      </x:c>
      <x:c r="D44" s="159" t="n">
        <x:v>494321</x:v>
      </x:c>
      <x:c r="E44" s="159" t="n">
        <x:v>192160</x:v>
      </x:c>
      <x:c r="F44" s="159" t="n">
        <x:v>43549</x:v>
      </x:c>
      <x:c r="G44" s="159" t="n">
        <x:f>E44-F44</x:f>
        <x:v>148611</x:v>
      </x:c>
      <x:c r="H44" s="154" t="n">
        <x:f>IFERROR(G44/D44,"")</x:f>
        <x:v>0.300636630853231</x:v>
      </x:c>
      <x:c r="I44" s="159" t="n">
        <x:v>47227</x:v>
      </x:c>
      <x:c r="J44" s="159" t="n">
        <x:v>142196</x:v>
      </x:c>
      <x:c r="K44" s="159" t="n">
        <x:f>I44-J44</x:f>
        <x:v>-94969</x:v>
      </x:c>
      <x:c r="L44" s="154" t="n">
        <x:f>IFERROR(K44/D44,"")</x:f>
        <x:v>-0.1921201000969006</x:v>
      </x:c>
    </x:row>
    <x:row r="45">
      <x:c r="A45" s="141" t="str">
        <x:v>Silver</x:v>
      </x:c>
      <x:c r="B45" s="155" t="n">
        <x:v>42521</x:v>
      </x:c>
      <x:c r="C45" s="155" t="n">
        <x:v>42524</x:v>
      </x:c>
      <x:c r="D45" s="159" t="n">
        <x:v>198118</x:v>
      </x:c>
      <x:c r="E45" s="159" t="n">
        <x:v>70677</x:v>
      </x:c>
      <x:c r="F45" s="159" t="n">
        <x:v>16761</x:v>
      </x:c>
      <x:c r="G45" s="159" t="n">
        <x:f>E45-F45</x:f>
        <x:v>53916</x:v>
      </x:c>
      <x:c r="H45" s="154" t="n">
        <x:f>IFERROR(G45/D45,"")</x:f>
        <x:v>0.27214084535478855</x:v>
      </x:c>
      <x:c r="I45" s="159" t="n">
        <x:v>23919</x:v>
      </x:c>
      <x:c r="J45" s="159" t="n">
        <x:v>67729</x:v>
      </x:c>
      <x:c r="K45" s="159" t="n">
        <x:f>I45-J45</x:f>
        <x:v>-43810</x:v>
      </x:c>
      <x:c r="L45" s="154" t="n">
        <x:f>IFERROR(K45/D45,"")</x:f>
        <x:v>-0.22113084121584106</x:v>
      </x:c>
    </x:row>
    <x:row r="46">
      <x:c r="A46" s="141" t="str">
        <x:v>Gold</x:v>
      </x:c>
      <x:c r="B46" s="155" t="n">
        <x:v>42528</x:v>
      </x:c>
      <x:c r="C46" s="155" t="n">
        <x:v>42531</x:v>
      </x:c>
      <x:c r="D46" s="159" t="n">
        <x:v>496330</x:v>
      </x:c>
      <x:c r="E46" s="159" t="n">
        <x:v>212061</x:v>
      </x:c>
      <x:c r="F46" s="159" t="n">
        <x:v>34695</x:v>
      </x:c>
      <x:c r="G46" s="159" t="n">
        <x:f>E46-F46</x:f>
        <x:v>177366</x:v>
      </x:c>
      <x:c r="H46" s="154" t="n">
        <x:f>IFERROR(G46/D46,"")</x:f>
        <x:v>0.3573549855942619</x:v>
      </x:c>
      <x:c r="I46" s="159" t="n">
        <x:v>26136</x:v>
      </x:c>
      <x:c r="J46" s="159" t="n">
        <x:v>147563</x:v>
      </x:c>
      <x:c r="K46" s="159" t="n">
        <x:f>I46-J46</x:f>
        <x:v>-121427</x:v>
      </x:c>
      <x:c r="L46" s="154" t="n">
        <x:f>IFERROR(K46/D46,"")</x:f>
        <x:v>-0.24464972901094031</x:v>
      </x:c>
    </x:row>
    <x:row r="47">
      <x:c r="A47" s="141" t="str">
        <x:v>Silver</x:v>
      </x:c>
      <x:c r="B47" s="155" t="n">
        <x:v>42528</x:v>
      </x:c>
      <x:c r="C47" s="155" t="n">
        <x:v>42531</x:v>
      </x:c>
      <x:c r="D47" s="159" t="n">
        <x:v>192376</x:v>
      </x:c>
      <x:c r="E47" s="159" t="n">
        <x:v>68148</x:v>
      </x:c>
      <x:c r="F47" s="159" t="n">
        <x:v>18987</x:v>
      </x:c>
      <x:c r="G47" s="159" t="n">
        <x:f>E47-F47</x:f>
        <x:v>49161</x:v>
      </x:c>
      <x:c r="H47" s="154" t="n">
        <x:f>IFERROR(G47/D47,"")</x:f>
        <x:v>0.2555464299080966</x:v>
      </x:c>
      <x:c r="I47" s="159" t="n">
        <x:v>22928</x:v>
      </x:c>
      <x:c r="J47" s="159" t="n">
        <x:v>64790</x:v>
      </x:c>
      <x:c r="K47" s="159" t="n">
        <x:f>I47-J47</x:f>
        <x:v>-41862</x:v>
      </x:c>
      <x:c r="L47" s="154" t="n">
        <x:f>IFERROR(K47/D47,"")</x:f>
        <x:v>-0.21760510666611219</x:v>
      </x:c>
    </x:row>
    <x:row r="48">
      <x:c r="A48" s="141" t="str">
        <x:v>Gold</x:v>
      </x:c>
      <x:c r="B48" s="155" t="n">
        <x:v>42535</x:v>
      </x:c>
      <x:c r="C48" s="155" t="n">
        <x:v>42538</x:v>
      </x:c>
      <x:c r="D48" s="159" t="n">
        <x:v>545357</x:v>
      </x:c>
      <x:c r="E48" s="159" t="n">
        <x:v>257500</x:v>
      </x:c>
      <x:c r="F48" s="159" t="n">
        <x:v>28260</x:v>
      </x:c>
      <x:c r="G48" s="159" t="n">
        <x:f>E48-F48</x:f>
        <x:v>229240</x:v>
      </x:c>
      <x:c r="H48" s="154" t="n">
        <x:f>IFERROR(G48/D48,"")</x:f>
        <x:v>0.4203485056577618</x:v>
      </x:c>
      <x:c r="I48" s="159" t="n">
        <x:v>26395</x:v>
      </x:c>
      <x:c r="J48" s="159" t="n">
        <x:v>176665</x:v>
      </x:c>
      <x:c r="K48" s="159" t="n">
        <x:f>I48-J48</x:f>
        <x:v>-150270</x:v>
      </x:c>
      <x:c r="L48" s="154" t="n">
        <x:f>IFERROR(K48/D48,"")</x:f>
        <x:v>-0.2755442765014477</x:v>
      </x:c>
    </x:row>
    <x:row r="49">
      <x:c r="A49" s="141" t="str">
        <x:v>Silver</x:v>
      </x:c>
      <x:c r="B49" s="155" t="n">
        <x:v>42535</x:v>
      </x:c>
      <x:c r="C49" s="155" t="n">
        <x:v>42538</x:v>
      </x:c>
      <x:c r="D49" s="159" t="n">
        <x:v>199111</x:v>
      </x:c>
      <x:c r="E49" s="159" t="n">
        <x:v>77085</x:v>
      </x:c>
      <x:c r="F49" s="159" t="n">
        <x:v>15666</x:v>
      </x:c>
      <x:c r="G49" s="159" t="n">
        <x:f>E49-F49</x:f>
        <x:v>61419</x:v>
      </x:c>
      <x:c r="H49" s="154" t="n">
        <x:f>IFERROR(G49/D49,"")</x:f>
        <x:v>0.3084661319565469</x:v>
      </x:c>
      <x:c r="I49" s="159" t="n">
        <x:v>22321</x:v>
      </x:c>
      <x:c r="J49" s="159" t="n">
        <x:v>69214</x:v>
      </x:c>
      <x:c r="K49" s="159" t="n">
        <x:f>I49-J49</x:f>
        <x:v>-46893</x:v>
      </x:c>
      <x:c r="L49" s="154" t="n">
        <x:f>IFERROR(K49/D49,"")</x:f>
        <x:v>-0.23551185017402354</x:v>
      </x:c>
    </x:row>
    <x:row r="50">
      <x:c r="A50" s="141" t="str">
        <x:v>Gold</x:v>
      </x:c>
      <x:c r="B50" s="155" t="n">
        <x:v>42542</x:v>
      </x:c>
      <x:c r="C50" s="155" t="n">
        <x:v>42545</x:v>
      </x:c>
      <x:c r="D50" s="159" t="n">
        <x:v>571517</x:v>
      </x:c>
      <x:c r="E50" s="159" t="n">
        <x:v>274936</x:v>
      </x:c>
      <x:c r="F50" s="159" t="n">
        <x:v>24528</x:v>
      </x:c>
      <x:c r="G50" s="159" t="n">
        <x:f>E50-F50</x:f>
        <x:v>250408</x:v>
      </x:c>
      <x:c r="H50" s="154" t="n">
        <x:f>IFERROR(G50/D50,"")</x:f>
        <x:v>0.43814619687603346</x:v>
      </x:c>
      <x:c r="I50" s="159" t="n">
        <x:v>28287</x:v>
      </x:c>
      <x:c r="J50" s="159" t="n">
        <x:v>177414</x:v>
      </x:c>
      <x:c r="K50" s="159" t="n">
        <x:f>I50-J50</x:f>
        <x:v>-149127</x:v>
      </x:c>
      <x:c r="L50" s="154" t="n">
        <x:f>IFERROR(K50/D50,"")</x:f>
        <x:v>-0.2609318707929948</x:v>
      </x:c>
    </x:row>
    <x:row r="51">
      <x:c r="A51" s="141" t="str">
        <x:v>Silver</x:v>
      </x:c>
      <x:c r="B51" s="155" t="n">
        <x:v>42542</x:v>
      </x:c>
      <x:c r="C51" s="155" t="n">
        <x:v>42545</x:v>
      </x:c>
      <x:c r="D51" s="159" t="n">
        <x:v>205618</x:v>
      </x:c>
      <x:c r="E51" s="159" t="n">
        <x:v>87674</x:v>
      </x:c>
      <x:c r="F51" s="159" t="n">
        <x:v>12096</x:v>
      </x:c>
      <x:c r="G51" s="159" t="n">
        <x:f>E51-F51</x:f>
        <x:v>75578</x:v>
      </x:c>
      <x:c r="H51" s="154" t="n">
        <x:f>IFERROR(G51/D51,"")</x:f>
        <x:v>0.36756509644097307</x:v>
      </x:c>
      <x:c r="I51" s="159" t="n">
        <x:v>21397</x:v>
      </x:c>
      <x:c r="J51" s="159" t="n">
        <x:v>72678</x:v>
      </x:c>
      <x:c r="K51" s="159" t="n">
        <x:f>I51-J51</x:f>
        <x:v>-51281</x:v>
      </x:c>
      <x:c r="L51" s="154" t="n">
        <x:f>IFERROR(K51/D51,"")</x:f>
        <x:v>-0.2493993716503419</x:v>
      </x:c>
    </x:row>
    <x:row r="52">
      <x:c r="A52" s="141" t="str">
        <x:v>Gold</x:v>
      </x:c>
      <x:c r="B52" s="155" t="n">
        <x:v>42549</x:v>
      </x:c>
      <x:c r="C52" s="155" t="n">
        <x:v>42552</x:v>
      </x:c>
      <x:c r="D52" s="159" t="n">
        <x:v>613792</x:v>
      </x:c>
      <x:c r="E52" s="159" t="n">
        <x:v>285895</x:v>
      </x:c>
      <x:c r="F52" s="159" t="n">
        <x:v>24845</x:v>
      </x:c>
      <x:c r="G52" s="159" t="n">
        <x:f>E52-F52</x:f>
        <x:v>261050</x:v>
      </x:c>
      <x:c r="H52" s="154" t="n">
        <x:f>IFERROR(G52/D52,"")</x:f>
        <x:v>0.4253069443720348</x:v>
      </x:c>
      <x:c r="I52" s="159" t="n">
        <x:v>30055</x:v>
      </x:c>
      <x:c r="J52" s="159" t="n">
        <x:v>179646</x:v>
      </x:c>
      <x:c r="K52" s="159" t="n">
        <x:f>I52-J52</x:f>
        <x:v>-149591</x:v>
      </x:c>
      <x:c r="L52" s="154" t="n">
        <x:f>IFERROR(K52/D52,"")</x:f>
        <x:v>-0.24371611229862886</x:v>
      </x:c>
    </x:row>
    <x:row r="53">
      <x:c r="A53" s="141" t="str">
        <x:v>Silver</x:v>
      </x:c>
      <x:c r="B53" s="155" t="n">
        <x:v>42549</x:v>
      </x:c>
      <x:c r="C53" s="155" t="n">
        <x:v>42552</x:v>
      </x:c>
      <x:c r="D53" s="159" t="n">
        <x:v>211396</x:v>
      </x:c>
      <x:c r="E53" s="159" t="n">
        <x:v>87541</x:v>
      </x:c>
      <x:c r="F53" s="159" t="n">
        <x:v>9879</x:v>
      </x:c>
      <x:c r="G53" s="159" t="n">
        <x:f>E53-F53</x:f>
        <x:v>77662</x:v>
      </x:c>
      <x:c r="H53" s="154" t="n">
        <x:f>IFERROR(G53/D53,"")</x:f>
        <x:v>0.3673768661658688</x:v>
      </x:c>
      <x:c r="I53" s="159" t="n">
        <x:v>21355</x:v>
      </x:c>
      <x:c r="J53" s="159" t="n">
        <x:v>75848</x:v>
      </x:c>
      <x:c r="K53" s="159" t="n">
        <x:f>I53-J53</x:f>
        <x:v>-54493</x:v>
      </x:c>
      <x:c r="L53" s="154" t="n">
        <x:f>IFERROR(K53/D53,"")</x:f>
        <x:v>-0.25777687373460234</x:v>
      </x:c>
    </x:row>
    <x:row r="54">
      <x:c r="A54" s="141" t="str">
        <x:v>Gold</x:v>
      </x:c>
      <x:c r="B54" s="155" t="n">
        <x:v>42556</x:v>
      </x:c>
      <x:c r="C54" s="155" t="n">
        <x:v>42559</x:v>
      </x:c>
      <x:c r="D54" s="159" t="n">
        <x:v>652971</x:v>
      </x:c>
      <x:c r="E54" s="159" t="n">
        <x:v>300070</x:v>
      </x:c>
      <x:c r="F54" s="159" t="n">
        <x:v>26994</x:v>
      </x:c>
      <x:c r="G54" s="159" t="n">
        <x:f>E54-F54</x:f>
        <x:v>273076</x:v>
      </x:c>
      <x:c r="H54" s="154" t="n">
        <x:f>IFERROR(G54/D54,"")</x:f>
        <x:v>0.41820540269016543</x:v>
      </x:c>
      <x:c r="I54" s="159" t="n">
        <x:v>29270</x:v>
      </x:c>
      <x:c r="J54" s="159" t="n">
        <x:v>178378</x:v>
      </x:c>
      <x:c r="K54" s="159" t="n">
        <x:f>I54-J54</x:f>
        <x:v>-149108</x:v>
      </x:c>
      <x:c r="L54" s="154" t="n">
        <x:f>IFERROR(K54/D54,"")</x:f>
        <x:v>-0.22835317341811504</x:v>
      </x:c>
    </x:row>
    <x:row r="55">
      <x:c r="A55" s="141" t="str">
        <x:v>Silver</x:v>
      </x:c>
      <x:c r="B55" s="155" t="n">
        <x:v>42556</x:v>
      </x:c>
      <x:c r="C55" s="155" t="n">
        <x:v>42559</x:v>
      </x:c>
      <x:c r="D55" s="159" t="n">
        <x:v>211347</x:v>
      </x:c>
      <x:c r="E55" s="159" t="n">
        <x:v>90030</x:v>
      </x:c>
      <x:c r="F55" s="159" t="n">
        <x:v>9045</x:v>
      </x:c>
      <x:c r="G55" s="159" t="n">
        <x:f>E55-F55</x:f>
        <x:v>80985</x:v>
      </x:c>
      <x:c r="H55" s="154" t="n">
        <x:f>IFERROR(G55/D55,"")</x:f>
        <x:v>0.3831849990773467</x:v>
      </x:c>
      <x:c r="I55" s="159" t="n">
        <x:v>22991</x:v>
      </x:c>
      <x:c r="J55" s="159" t="n">
        <x:v>76664</x:v>
      </x:c>
      <x:c r="K55" s="159" t="n">
        <x:f>I55-J55</x:f>
        <x:v>-53673</x:v>
      </x:c>
      <x:c r="L55" s="154" t="n">
        <x:f>IFERROR(K55/D55,"")</x:f>
        <x:v>-0.2539567630484464</x:v>
      </x:c>
    </x:row>
    <x:row r="56">
      <x:c r="A56" s="141" t="str">
        <x:v>Gold</x:v>
      </x:c>
      <x:c r="B56" s="155" t="n">
        <x:v>42563</x:v>
      </x:c>
      <x:c r="C56" s="155" t="n">
        <x:v>42566</x:v>
      </x:c>
      <x:c r="D56" s="159" t="n">
        <x:v>633020</x:v>
      </x:c>
      <x:c r="E56" s="159" t="n">
        <x:v>296106</x:v>
      </x:c>
      <x:c r="F56" s="159" t="n">
        <x:v>36977</x:v>
      </x:c>
      <x:c r="G56" s="159" t="n">
        <x:f>E56-F56</x:f>
        <x:v>259129</x:v>
      </x:c>
      <x:c r="H56" s="154" t="n">
        <x:f>IFERROR(G56/D56,"")</x:f>
        <x:v>0.4093535749265426</x:v>
      </x:c>
      <x:c r="I56" s="159" t="n">
        <x:v>35210</x:v>
      </x:c>
      <x:c r="J56" s="159" t="n">
        <x:v>176993</x:v>
      </x:c>
      <x:c r="K56" s="159" t="n">
        <x:f>I56-J56</x:f>
        <x:v>-141783</x:v>
      </x:c>
      <x:c r="L56" s="154" t="n">
        <x:f>IFERROR(K56/D56,"")</x:f>
        <x:v>-0.22397870525417837</x:v>
      </x:c>
    </x:row>
    <x:row r="57">
      <x:c r="A57" s="141" t="str">
        <x:v>Silver</x:v>
      </x:c>
      <x:c r="B57" s="155" t="n">
        <x:v>42563</x:v>
      </x:c>
      <x:c r="C57" s="155" t="n">
        <x:v>42566</x:v>
      </x:c>
      <x:c r="D57" s="159" t="n">
        <x:v>214617</x:v>
      </x:c>
      <x:c r="E57" s="159" t="n">
        <x:v>92979</x:v>
      </x:c>
      <x:c r="F57" s="159" t="n">
        <x:v>7112</x:v>
      </x:c>
      <x:c r="G57" s="159" t="n">
        <x:f>E57-F57</x:f>
        <x:v>85867</x:v>
      </x:c>
      <x:c r="H57" s="154" t="n">
        <x:f>IFERROR(G57/D57,"")</x:f>
        <x:v>0.40009412115536047</x:v>
      </x:c>
      <x:c r="I57" s="159" t="n">
        <x:v>22783</x:v>
      </x:c>
      <x:c r="J57" s="159" t="n">
        <x:v>75820</x:v>
      </x:c>
      <x:c r="K57" s="159" t="n">
        <x:f>I57-J57</x:f>
        <x:v>-53037</x:v>
      </x:c>
      <x:c r="L57" s="154" t="n">
        <x:f>IFERROR(K57/D57,"")</x:f>
        <x:v>-0.24712394637889823</x:v>
      </x:c>
    </x:row>
    <x:row r="58">
      <x:c r="A58" s="141" t="str">
        <x:v>Gold</x:v>
      </x:c>
      <x:c r="B58" s="155" t="n">
        <x:v>42570</x:v>
      </x:c>
      <x:c r="C58" s="155" t="n">
        <x:v>42573</x:v>
      </x:c>
      <x:c r="D58" s="159" t="n">
        <x:v>617069</x:v>
      </x:c>
      <x:c r="E58" s="159" t="n">
        <x:v>287317</x:v>
      </x:c>
      <x:c r="F58" s="159" t="n">
        <x:v>34920</x:v>
      </x:c>
      <x:c r="G58" s="159" t="n">
        <x:f>E58-F58</x:f>
        <x:v>252397</x:v>
      </x:c>
      <x:c r="H58" s="154" t="n">
        <x:f>IFERROR(G58/D58,"")</x:f>
        <x:v>0.4090255708842933</x:v>
      </x:c>
      <x:c r="I58" s="159" t="n">
        <x:v>31861</x:v>
      </x:c>
      <x:c r="J58" s="159" t="n">
        <x:v>167764</x:v>
      </x:c>
      <x:c r="K58" s="159" t="n">
        <x:f>I58-J58</x:f>
        <x:v>-135903</x:v>
      </x:c>
      <x:c r="L58" s="154" t="n">
        <x:f>IFERROR(K58/D58,"")</x:f>
        <x:v>-0.22023955181673363</x:v>
      </x:c>
    </x:row>
    <x:row r="59">
      <x:c r="A59" s="141" t="str">
        <x:v>Silver</x:v>
      </x:c>
      <x:c r="B59" s="155" t="n">
        <x:v>42570</x:v>
      </x:c>
      <x:c r="C59" s="155" t="n">
        <x:v>42573</x:v>
      </x:c>
      <x:c r="D59" s="159" t="n">
        <x:v>219206</x:v>
      </x:c>
      <x:c r="E59" s="159" t="n">
        <x:v>98948</x:v>
      </x:c>
      <x:c r="F59" s="159" t="n">
        <x:v>7796</x:v>
      </x:c>
      <x:c r="G59" s="159" t="n">
        <x:f>E59-F59</x:f>
        <x:v>91152</x:v>
      </x:c>
      <x:c r="H59" s="154" t="n">
        <x:f>IFERROR(G59/D59,"")</x:f>
        <x:v>0.41582803390418144</x:v>
      </x:c>
      <x:c r="I59" s="159" t="n">
        <x:v>20779</x:v>
      </x:c>
      <x:c r="J59" s="159" t="n">
        <x:v>77425</x:v>
      </x:c>
      <x:c r="K59" s="159" t="n">
        <x:f>I59-J59</x:f>
        <x:v>-56646</x:v>
      </x:c>
      <x:c r="L59" s="154" t="n">
        <x:f>IFERROR(K59/D59,"")</x:f>
        <x:v>-0.2584144594582265</x:v>
      </x:c>
    </x:row>
    <x:row r="60">
      <x:c r="A60" s="141" t="str">
        <x:v>Gold</x:v>
      </x:c>
      <x:c r="B60" s="155" t="n">
        <x:v>42577</x:v>
      </x:c>
      <x:c r="C60" s="155" t="n">
        <x:v>42580</x:v>
      </x:c>
      <x:c r="D60" s="159" t="n">
        <x:v>576325</x:v>
      </x:c>
      <x:c r="E60" s="159" t="n">
        <x:v>278777</x:v>
      </x:c>
      <x:c r="F60" s="159" t="n">
        <x:v>31356</x:v>
      </x:c>
      <x:c r="G60" s="159" t="n">
        <x:f>E60-F60</x:f>
        <x:v>247421</x:v>
      </x:c>
      <x:c r="H60" s="154" t="n">
        <x:f>IFERROR(G60/D60,"")</x:f>
        <x:v>0.4293081160803366</x:v>
      </x:c>
      <x:c r="I60" s="159" t="n">
        <x:v>31448</x:v>
      </x:c>
      <x:c r="J60" s="159" t="n">
        <x:v>166649</x:v>
      </x:c>
      <x:c r="K60" s="159" t="n">
        <x:f>I60-J60</x:f>
        <x:v>-135201</x:v>
      </x:c>
      <x:c r="L60" s="154" t="n">
        <x:f>IFERROR(K60/D60,"")</x:f>
        <x:v>-0.2345915932850388</x:v>
      </x:c>
    </x:row>
    <x:row r="61">
      <x:c r="A61" s="141" t="str">
        <x:v>Silver</x:v>
      </x:c>
      <x:c r="B61" s="155" t="n">
        <x:v>42577</x:v>
      </x:c>
      <x:c r="C61" s="155" t="n">
        <x:v>42580</x:v>
      </x:c>
      <x:c r="D61" s="159" t="n">
        <x:v>218299</x:v>
      </x:c>
      <x:c r="E61" s="159" t="n">
        <x:v>104148</x:v>
      </x:c>
      <x:c r="F61" s="159" t="n">
        <x:v>8224</x:v>
      </x:c>
      <x:c r="G61" s="159" t="n">
        <x:f>E61-F61</x:f>
        <x:v>95924</x:v>
      </x:c>
      <x:c r="H61" s="154" t="n">
        <x:f>IFERROR(G61/D61,"")</x:f>
        <x:v>0.4394156638372141</x:v>
      </x:c>
      <x:c r="I61" s="159" t="n">
        <x:v>19019</x:v>
      </x:c>
      <x:c r="J61" s="159" t="n">
        <x:v>76841</x:v>
      </x:c>
      <x:c r="K61" s="159" t="n">
        <x:f>I61-J61</x:f>
        <x:v>-57822</x:v>
      </x:c>
      <x:c r="L61" s="154" t="n">
        <x:f>IFERROR(K61/D61,"")</x:f>
        <x:v>-0.2648752399232246</x:v>
      </x:c>
    </x:row>
    <x:row r="62">
      <x:c r="A62" s="141" t="str">
        <x:v>Gold</x:v>
      </x:c>
      <x:c r="B62" s="155" t="n">
        <x:v>42584</x:v>
      </x:c>
      <x:c r="C62" s="155" t="n">
        <x:v>42587</x:v>
      </x:c>
      <x:c r="D62" s="159" t="n">
        <x:v>582211</x:v>
      </x:c>
      <x:c r="E62" s="159" t="n">
        <x:v>288542</x:v>
      </x:c>
      <x:c r="F62" s="159" t="n">
        <x:v>33813</x:v>
      </x:c>
      <x:c r="G62" s="159" t="n">
        <x:f>E62-F62</x:f>
        <x:v>254729</x:v>
      </x:c>
      <x:c r="H62" s="154" t="n">
        <x:f>IFERROR(G62/D62,"")</x:f>
        <x:v>0.4375200743373107</x:v>
      </x:c>
      <x:c r="I62" s="159" t="n">
        <x:v>29097</x:v>
      </x:c>
      <x:c r="J62" s="159" t="n">
        <x:v>175971</x:v>
      </x:c>
      <x:c r="K62" s="159" t="n">
        <x:f>I62-J62</x:f>
        <x:v>-146874</x:v>
      </x:c>
      <x:c r="L62" s="154" t="n">
        <x:f>IFERROR(K62/D62,"")</x:f>
        <x:v>-0.2522693662606856</x:v>
      </x:c>
    </x:row>
    <x:row r="63">
      <x:c r="A63" s="141" t="str">
        <x:v>Silver</x:v>
      </x:c>
      <x:c r="B63" s="155" t="n">
        <x:v>42584</x:v>
      </x:c>
      <x:c r="C63" s="155" t="n">
        <x:v>42587</x:v>
      </x:c>
      <x:c r="D63" s="159" t="n">
        <x:v>224540</x:v>
      </x:c>
      <x:c r="E63" s="159" t="n">
        <x:v>101438</x:v>
      </x:c>
      <x:c r="F63" s="159" t="n">
        <x:v>11505</x:v>
      </x:c>
      <x:c r="G63" s="159" t="n">
        <x:f>E63-F63</x:f>
        <x:v>89933</x:v>
      </x:c>
      <x:c r="H63" s="154" t="n">
        <x:f>IFERROR(G63/D63,"")</x:f>
        <x:v>0.40052106528903536</x:v>
      </x:c>
      <x:c r="I63" s="159" t="n">
        <x:v>17400</x:v>
      </x:c>
      <x:c r="J63" s="159" t="n">
        <x:v>77301</x:v>
      </x:c>
      <x:c r="K63" s="159" t="n">
        <x:f>I63-J63</x:f>
        <x:v>-59901</x:v>
      </x:c>
      <x:c r="L63" s="154" t="n">
        <x:f>IFERROR(K63/D63,"")</x:f>
        <x:v>-0.2667720673376681</x:v>
      </x:c>
    </x:row>
    <x:row r="64">
      <x:c r="A64" s="141" t="str">
        <x:v>Gold</x:v>
      </x:c>
      <x:c r="B64" s="155" t="n">
        <x:v>42591</x:v>
      </x:c>
      <x:c r="C64" s="155" t="n">
        <x:v>42594</x:v>
      </x:c>
      <x:c r="D64" s="159" t="n">
        <x:v>575399</x:v>
      </x:c>
      <x:c r="E64" s="159" t="n">
        <x:v>281496</x:v>
      </x:c>
      <x:c r="F64" s="159" t="n">
        <x:v>36244</x:v>
      </x:c>
      <x:c r="G64" s="159" t="n">
        <x:f>E64-F64</x:f>
        <x:v>245252</x:v>
      </x:c>
      <x:c r="H64" s="154" t="n">
        <x:f>IFERROR(G64/D64,"")</x:f>
        <x:v>0.42622945121559125</x:v>
      </x:c>
      <x:c r="I64" s="159" t="n">
        <x:v>29067</x:v>
      </x:c>
      <x:c r="J64" s="159" t="n">
        <x:v>165875</x:v>
      </x:c>
      <x:c r="K64" s="159" t="n">
        <x:f>I64-J64</x:f>
        <x:v>-136808</x:v>
      </x:c>
      <x:c r="L64" s="154" t="n">
        <x:f>IFERROR(K64/D64,"")</x:f>
        <x:v>-0.23776197038924293</x:v>
      </x:c>
    </x:row>
    <x:row r="65">
      <x:c r="A65" s="141" t="str">
        <x:v>Silver</x:v>
      </x:c>
      <x:c r="B65" s="155" t="n">
        <x:v>42591</x:v>
      </x:c>
      <x:c r="C65" s="155" t="n">
        <x:v>42594</x:v>
      </x:c>
      <x:c r="D65" s="159" t="n">
        <x:v>210647</x:v>
      </x:c>
      <x:c r="E65" s="159" t="n">
        <x:v>101341</x:v>
      </x:c>
      <x:c r="F65" s="159" t="n">
        <x:v>14860</x:v>
      </x:c>
      <x:c r="G65" s="159" t="n">
        <x:f>E65-F65</x:f>
        <x:v>86481</x:v>
      </x:c>
      <x:c r="H65" s="154" t="n">
        <x:f>IFERROR(G65/D65,"")</x:f>
        <x:v>0.41054940255498534</x:v>
      </x:c>
      <x:c r="I65" s="159" t="n">
        <x:v>16291</x:v>
      </x:c>
      <x:c r="J65" s="159" t="n">
        <x:v>73549</x:v>
      </x:c>
      <x:c r="K65" s="159" t="n">
        <x:f>I65-J65</x:f>
        <x:v>-57258</x:v>
      </x:c>
      <x:c r="L65" s="154" t="n">
        <x:f>IFERROR(K65/D65,"")</x:f>
        <x:v>-0.27181967936880186</x:v>
      </x:c>
    </x:row>
    <x:row r="66">
      <x:c r="A66" s="141" t="str">
        <x:v>Gold</x:v>
      </x:c>
      <x:c r="B66" s="155" t="n">
        <x:v>42598</x:v>
      </x:c>
      <x:c r="C66" s="155" t="n">
        <x:v>42601</x:v>
      </x:c>
      <x:c r="D66" s="159" t="n">
        <x:v>572496</x:v>
      </x:c>
      <x:c r="E66" s="159" t="n">
        <x:v>277152</x:v>
      </x:c>
      <x:c r="F66" s="159" t="n">
        <x:v>34425</x:v>
      </x:c>
      <x:c r="G66" s="159" t="n">
        <x:f>E66-F66</x:f>
        <x:v>242727</x:v>
      </x:c>
      <x:c r="H66" s="154" t="n">
        <x:f>IFERROR(G66/D66,"")</x:f>
        <x:v>0.4239802548838769</x:v>
      </x:c>
      <x:c r="I66" s="159" t="n">
        <x:v>30091</x:v>
      </x:c>
      <x:c r="J66" s="159" t="n">
        <x:v>169299</x:v>
      </x:c>
      <x:c r="K66" s="159" t="n">
        <x:f>I66-J66</x:f>
        <x:v>-139208</x:v>
      </x:c>
      <x:c r="L66" s="154" t="n">
        <x:f>IFERROR(K66/D66,"")</x:f>
        <x:v>-0.24315977753556356</x:v>
      </x:c>
    </x:row>
    <x:row r="67">
      <x:c r="A67" s="141" t="str">
        <x:v>Silver</x:v>
      </x:c>
      <x:c r="B67" s="155" t="n">
        <x:v>42598</x:v>
      </x:c>
      <x:c r="C67" s="155" t="n">
        <x:v>42601</x:v>
      </x:c>
      <x:c r="D67" s="159" t="n">
        <x:v>205905</x:v>
      </x:c>
      <x:c r="E67" s="159" t="n">
        <x:v>98767</x:v>
      </x:c>
      <x:c r="F67" s="159" t="n">
        <x:v>17311</x:v>
      </x:c>
      <x:c r="G67" s="159" t="n">
        <x:f>E67-F67</x:f>
        <x:v>81456</x:v>
      </x:c>
      <x:c r="H67" s="154" t="n">
        <x:f>IFERROR(G67/D67,"")</x:f>
        <x:v>0.39559991258104465</x:v>
      </x:c>
      <x:c r="I67" s="159" t="n">
        <x:v>15939</x:v>
      </x:c>
      <x:c r="J67" s="159" t="n">
        <x:v>72344</x:v>
      </x:c>
      <x:c r="K67" s="159" t="n">
        <x:f>I67-J67</x:f>
        <x:v>-56405</x:v>
      </x:c>
      <x:c r="L67" s="154" t="n">
        <x:f>IFERROR(K67/D67,"")</x:f>
        <x:v>-0.2739370097860664</x:v>
      </x:c>
    </x:row>
    <x:row r="68">
      <x:c r="A68" s="141" t="str">
        <x:v>Gold</x:v>
      </x:c>
      <x:c r="B68" s="155" t="n">
        <x:v>42605</x:v>
      </x:c>
      <x:c r="C68" s="155" t="n">
        <x:v>42608</x:v>
      </x:c>
      <x:c r="D68" s="159" t="n">
        <x:v>572973</x:v>
      </x:c>
      <x:c r="E68" s="159" t="n">
        <x:v>284550</x:v>
      </x:c>
      <x:c r="F68" s="159" t="n">
        <x:v>30866</x:v>
      </x:c>
      <x:c r="G68" s="159" t="n">
        <x:f>E68-F68</x:f>
        <x:v>253684</x:v>
      </x:c>
      <x:c r="H68" s="154" t="n">
        <x:f>IFERROR(G68/D68,"")</x:f>
        <x:v>0.44275035647403976</x:v>
      </x:c>
      <x:c r="I68" s="159" t="n">
        <x:v>23865</x:v>
      </x:c>
      <x:c r="J68" s="159" t="n">
        <x:v>163651</x:v>
      </x:c>
      <x:c r="K68" s="159" t="n">
        <x:f>I68-J68</x:f>
        <x:v>-139786</x:v>
      </x:c>
      <x:c r="L68" s="154" t="n">
        <x:f>IFERROR(K68/D68,"")</x:f>
        <x:v>-0.24396612056763584</x:v>
      </x:c>
    </x:row>
    <x:row r="69">
      <x:c r="A69" s="141" t="str">
        <x:v>Silver</x:v>
      </x:c>
      <x:c r="B69" s="155" t="n">
        <x:v>42605</x:v>
      </x:c>
      <x:c r="C69" s="155" t="n">
        <x:v>42608</x:v>
      </x:c>
      <x:c r="D69" s="159" t="n">
        <x:v>206264</x:v>
      </x:c>
      <x:c r="E69" s="159" t="n">
        <x:v>96876</x:v>
      </x:c>
      <x:c r="F69" s="159" t="n">
        <x:v>20489</x:v>
      </x:c>
      <x:c r="G69" s="159" t="n">
        <x:f>E69-F69</x:f>
        <x:v>76387</x:v>
      </x:c>
      <x:c r="H69" s="154" t="n">
        <x:f>IFERROR(G69/D69,"")</x:f>
        <x:v>0.3703360741573905</x:v>
      </x:c>
      <x:c r="I69" s="159" t="n">
        <x:v>14129</x:v>
      </x:c>
      <x:c r="J69" s="159" t="n">
        <x:v>70597</x:v>
      </x:c>
      <x:c r="K69" s="159" t="n">
        <x:f>I69-J69</x:f>
        <x:v>-56468</x:v>
      </x:c>
      <x:c r="L69" s="154" t="n">
        <x:f>IFERROR(K69/D69,"")</x:f>
        <x:v>-0.2737656595431098</x:v>
      </x:c>
    </x:row>
    <x:row r="70">
      <x:c r="A70" s="141" t="str">
        <x:v>Gold</x:v>
      </x:c>
      <x:c r="B70" s="155" t="n">
        <x:v>42612</x:v>
      </x:c>
      <x:c r="C70" s="155" t="n">
        <x:v>42615</x:v>
      </x:c>
      <x:c r="D70" s="159" t="n">
        <x:v>558398</x:v>
      </x:c>
      <x:c r="E70" s="159" t="n">
        <x:v>266680</x:v>
      </x:c>
      <x:c r="F70" s="159" t="n">
        <x:v>35086</x:v>
      </x:c>
      <x:c r="G70" s="159" t="n">
        <x:f>E70-F70</x:f>
        <x:v>231594</x:v>
      </x:c>
      <x:c r="H70" s="154" t="n">
        <x:f>IFERROR(G70/D70,"")</x:f>
        <x:v>0.41474718748992656</x:v>
      </x:c>
      <x:c r="I70" s="159" t="n">
        <x:v>22280</x:v>
      </x:c>
      <x:c r="J70" s="159" t="n">
        <x:v>158022</x:v>
      </x:c>
      <x:c r="K70" s="159" t="n">
        <x:f>I70-J70</x:f>
        <x:v>-135742</x:v>
      </x:c>
      <x:c r="L70" s="154" t="n">
        <x:f>IFERROR(K70/D70,"")</x:f>
        <x:v>-0.24309184488483124</x:v>
      </x:c>
    </x:row>
    <x:row r="71">
      <x:c r="A71" s="141" t="str">
        <x:v>Silver</x:v>
      </x:c>
      <x:c r="B71" s="155" t="n">
        <x:v>42612</x:v>
      </x:c>
      <x:c r="C71" s="155" t="n">
        <x:v>42615</x:v>
      </x:c>
      <x:c r="D71" s="159" t="n">
        <x:v>189416</x:v>
      </x:c>
      <x:c r="E71" s="159" t="n">
        <x:v>93040</x:v>
      </x:c>
      <x:c r="F71" s="159" t="n">
        <x:v>20542</x:v>
      </x:c>
      <x:c r="G71" s="159" t="n">
        <x:f>E71-F71</x:f>
        <x:v>72498</x:v>
      </x:c>
      <x:c r="H71" s="154" t="n">
        <x:f>IFERROR(G71/D71,"")</x:f>
        <x:v>0.38274485787895424</x:v>
      </x:c>
      <x:c r="I71" s="159" t="n">
        <x:v>13853</x:v>
      </x:c>
      <x:c r="J71" s="159" t="n">
        <x:v>69934</x:v>
      </x:c>
      <x:c r="K71" s="159" t="n">
        <x:f>I71-J71</x:f>
        <x:v>-56081</x:v>
      </x:c>
      <x:c r="L71" s="154" t="n">
        <x:f>IFERROR(K71/D71,"")</x:f>
        <x:v>-0.29607319339443344</x:v>
      </x:c>
    </x:row>
    <x:row r="72">
      <x:c r="A72" s="141" t="str">
        <x:v>Gold</x:v>
      </x:c>
      <x:c r="B72" s="155" t="n">
        <x:v>42619</x:v>
      </x:c>
      <x:c r="C72" s="155" t="n">
        <x:v>42622</x:v>
      </x:c>
      <x:c r="D72" s="159" t="n">
        <x:v>590656</x:v>
      </x:c>
      <x:c r="E72" s="159" t="n">
        <x:v>291692</x:v>
      </x:c>
      <x:c r="F72" s="159" t="n">
        <x:v>22157</x:v>
      </x:c>
      <x:c r="G72" s="159" t="n">
        <x:f>E72-F72</x:f>
        <x:v>269535</x:v>
      </x:c>
      <x:c r="H72" s="154" t="n">
        <x:f>IFERROR(G72/D72,"")</x:f>
        <x:v>0.4563316041824683</x:v>
      </x:c>
      <x:c r="I72" s="159" t="n">
        <x:v>22474</x:v>
      </x:c>
      <x:c r="J72" s="159" t="n">
        <x:v>176277</x:v>
      </x:c>
      <x:c r="K72" s="159" t="n">
        <x:f>I72-J72</x:f>
        <x:v>-153803</x:v>
      </x:c>
      <x:c r="L72" s="154" t="n">
        <x:f>IFERROR(K72/D72,"")</x:f>
        <x:v>-0.26039352855130565</x:v>
      </x:c>
    </x:row>
    <x:row r="73">
      <x:c r="A73" s="141" t="str">
        <x:v>Silver</x:v>
      </x:c>
      <x:c r="B73" s="155" t="n">
        <x:v>42619</x:v>
      </x:c>
      <x:c r="C73" s="155" t="n">
        <x:v>42622</x:v>
      </x:c>
      <x:c r="D73" s="159" t="n">
        <x:v>199197</x:v>
      </x:c>
      <x:c r="E73" s="159" t="n">
        <x:v>98888</x:v>
      </x:c>
      <x:c r="F73" s="159" t="n">
        <x:v>19001</x:v>
      </x:c>
      <x:c r="G73" s="159" t="n">
        <x:f>E73-F73</x:f>
        <x:v>79887</x:v>
      </x:c>
      <x:c r="H73" s="154" t="n">
        <x:f>IFERROR(G73/D73,"")</x:f>
        <x:v>0.40104519646380216</x:v>
      </x:c>
      <x:c r="I73" s="159" t="n">
        <x:v>13490</x:v>
      </x:c>
      <x:c r="J73" s="159" t="n">
        <x:v>72123</x:v>
      </x:c>
      <x:c r="K73" s="159" t="n">
        <x:f>I73-J73</x:f>
        <x:v>-58633</x:v>
      </x:c>
      <x:c r="L73" s="154" t="n">
        <x:f>IFERROR(K73/D73,"")</x:f>
        <x:v>-0.29434680241168293</x:v>
      </x:c>
    </x:row>
    <x:row r="74">
      <x:c r="A74" s="141" t="str">
        <x:v>Gold</x:v>
      </x:c>
      <x:c r="B74" s="155" t="n">
        <x:v>42626</x:v>
      </x:c>
      <x:c r="C74" s="155" t="n">
        <x:v>42629</x:v>
      </x:c>
      <x:c r="D74" s="159" t="n">
        <x:v>575002</x:v>
      </x:c>
      <x:c r="E74" s="159" t="n">
        <x:v>271631</x:v>
      </x:c>
      <x:c r="F74" s="159" t="n">
        <x:v>28654</x:v>
      </x:c>
      <x:c r="G74" s="159" t="n">
        <x:f>E74-F74</x:f>
        <x:v>242977</x:v>
      </x:c>
      <x:c r="H74" s="154" t="n">
        <x:f>IFERROR(G74/D74,"")</x:f>
        <x:v>0.42256722585312745</x:v>
      </x:c>
      <x:c r="I74" s="159" t="n">
        <x:v>24700</x:v>
      </x:c>
      <x:c r="J74" s="159" t="n">
        <x:v>173534</x:v>
      </x:c>
      <x:c r="K74" s="159" t="n">
        <x:f>I74-J74</x:f>
        <x:v>-148834</x:v>
      </x:c>
      <x:c r="L74" s="154" t="n">
        <x:f>IFERROR(K74/D74,"")</x:f>
        <x:v>-0.2588408388144737</x:v>
      </x:c>
    </x:row>
    <x:row r="75">
      <x:c r="A75" s="141" t="str">
        <x:v>Silver</x:v>
      </x:c>
      <x:c r="B75" s="155" t="n">
        <x:v>42626</x:v>
      </x:c>
      <x:c r="C75" s="155" t="n">
        <x:v>42629</x:v>
      </x:c>
      <x:c r="D75" s="159" t="n">
        <x:v>193953</x:v>
      </x:c>
      <x:c r="E75" s="159" t="n">
        <x:v>93682</x:v>
      </x:c>
      <x:c r="F75" s="159" t="n">
        <x:v>22929</x:v>
      </x:c>
      <x:c r="G75" s="159" t="n">
        <x:f>E75-F75</x:f>
        <x:v>70753</x:v>
      </x:c>
      <x:c r="H75" s="154" t="n">
        <x:f>IFERROR(G75/D75,"")</x:f>
        <x:v>0.36479456363139523</x:v>
      </x:c>
      <x:c r="I75" s="159" t="n">
        <x:v>13495</x:v>
      </x:c>
      <x:c r="J75" s="159" t="n">
        <x:v>72426</x:v>
      </x:c>
      <x:c r="K75" s="159" t="n">
        <x:f>I75-J75</x:f>
        <x:v>-58931</x:v>
      </x:c>
      <x:c r="L75" s="154" t="n">
        <x:f>IFERROR(K75/D75,"")</x:f>
        <x:v>-0.3038416523590767</x:v>
      </x:c>
    </x:row>
    <x:row r="76">
      <x:c r="A76" s="141" t="str">
        <x:v>Gold</x:v>
      </x:c>
      <x:c r="B76" s="155" t="n">
        <x:v>42633</x:v>
      </x:c>
      <x:c r="C76" s="155" t="n">
        <x:v>42636</x:v>
      </x:c>
      <x:c r="D76" s="159" t="n">
        <x:v>558791</x:v>
      </x:c>
      <x:c r="E76" s="159" t="n">
        <x:v>246119</x:v>
      </x:c>
      <x:c r="F76" s="159" t="n">
        <x:v>32972</x:v>
      </x:c>
      <x:c r="G76" s="159" t="n">
        <x:f>E76-F76</x:f>
        <x:v>213147</x:v>
      </x:c>
      <x:c r="H76" s="154" t="n">
        <x:f>IFERROR(G76/D76,"")</x:f>
        <x:v>0.38144315137502216</x:v>
      </x:c>
      <x:c r="I76" s="159" t="n">
        <x:v>25040</x:v>
      </x:c>
      <x:c r="J76" s="159" t="n">
        <x:v>163063</x:v>
      </x:c>
      <x:c r="K76" s="159" t="n">
        <x:f>I76-J76</x:f>
        <x:v>-138023</x:v>
      </x:c>
      <x:c r="L76" s="154" t="n">
        <x:f>IFERROR(K76/D76,"")</x:f>
        <x:v>-0.24700290448486106</x:v>
      </x:c>
    </x:row>
    <x:row r="77">
      <x:c r="A77" s="141" t="str">
        <x:v>Silver</x:v>
      </x:c>
      <x:c r="B77" s="155" t="n">
        <x:v>42633</x:v>
      </x:c>
      <x:c r="C77" s="155" t="n">
        <x:v>42636</x:v>
      </x:c>
      <x:c r="D77" s="159" t="n">
        <x:v>193501</x:v>
      </x:c>
      <x:c r="E77" s="159" t="n">
        <x:v>93440</x:v>
      </x:c>
      <x:c r="F77" s="159" t="n">
        <x:v>22320</x:v>
      </x:c>
      <x:c r="G77" s="159" t="n">
        <x:f>E77-F77</x:f>
        <x:v>71120</x:v>
      </x:c>
      <x:c r="H77" s="154" t="n">
        <x:f>IFERROR(G77/D77,"")</x:f>
        <x:v>0.36754332018955976</x:v>
      </x:c>
      <x:c r="I77" s="159" t="n">
        <x:v>13918</x:v>
      </x:c>
      <x:c r="J77" s="159" t="n">
        <x:v>72901</x:v>
      </x:c>
      <x:c r="K77" s="159" t="n">
        <x:f>I77-J77</x:f>
        <x:v>-58983</x:v>
      </x:c>
      <x:c r="L77" s="154" t="n">
        <x:f>IFERROR(K77/D77,"")</x:f>
        <x:v>-0.3048201301285265</x:v>
      </x:c>
    </x:row>
    <x:row r="78">
      <x:c r="A78" s="141" t="str">
        <x:v>Gold</x:v>
      </x:c>
      <x:c r="B78" s="155" t="n">
        <x:v>42640</x:v>
      </x:c>
      <x:c r="C78" s="155" t="n">
        <x:v>42643</x:v>
      </x:c>
      <x:c r="D78" s="159" t="n">
        <x:v>583161</x:v>
      </x:c>
      <x:c r="E78" s="159" t="n">
        <x:v>282151</x:v>
      </x:c>
      <x:c r="F78" s="159" t="n">
        <x:v>26974</x:v>
      </x:c>
      <x:c r="G78" s="159" t="n">
        <x:f>E78-F78</x:f>
        <x:v>255177</x:v>
      </x:c>
      <x:c r="H78" s="154" t="n">
        <x:f>IFERROR(G78/D78,"")</x:f>
        <x:v>0.43757555803628845</x:v>
      </x:c>
      <x:c r="I78" s="159" t="n">
        <x:v>26681</x:v>
      </x:c>
      <x:c r="J78" s="159" t="n">
        <x:v>176013</x:v>
      </x:c>
      <x:c r="K78" s="159" t="n">
        <x:f>I78-J78</x:f>
        <x:v>-149332</x:v>
      </x:c>
      <x:c r="L78" s="154" t="n">
        <x:f>IFERROR(K78/D78,"")</x:f>
        <x:v>-0.2560733656743164</x:v>
      </x:c>
    </x:row>
    <x:row r="79">
      <x:c r="A79" s="141" t="str">
        <x:v>Silver</x:v>
      </x:c>
      <x:c r="B79" s="155" t="n">
        <x:v>42640</x:v>
      </x:c>
      <x:c r="C79" s="155" t="n">
        <x:v>42643</x:v>
      </x:c>
      <x:c r="D79" s="159" t="n">
        <x:v>201486</x:v>
      </x:c>
      <x:c r="E79" s="159" t="n">
        <x:v>97185</x:v>
      </x:c>
      <x:c r="F79" s="159" t="n">
        <x:v>20494</x:v>
      </x:c>
      <x:c r="G79" s="159" t="n">
        <x:f>E79-F79</x:f>
        <x:v>76691</x:v>
      </x:c>
      <x:c r="H79" s="154" t="n">
        <x:f>IFERROR(G79/D79,"")</x:f>
        <x:v>0.3806269418222606</x:v>
      </x:c>
      <x:c r="I79" s="159" t="n">
        <x:v>12925</x:v>
      </x:c>
      <x:c r="J79" s="159" t="n">
        <x:v>75989</x:v>
      </x:c>
      <x:c r="K79" s="159" t="n">
        <x:f>I79-J79</x:f>
        <x:v>-63064</x:v>
      </x:c>
      <x:c r="L79" s="154" t="n">
        <x:f>IFERROR(K79/D79,"")</x:f>
        <x:v>-0.31299445122738057</x:v>
      </x:c>
    </x:row>
    <x:row r="80">
      <x:c r="A80" s="141" t="str">
        <x:v>Gold</x:v>
      </x:c>
      <x:c r="B80" s="155" t="n">
        <x:v>42647</x:v>
      </x:c>
      <x:c r="C80" s="155" t="n">
        <x:v>42650</x:v>
      </x:c>
      <x:c r="D80" s="159" t="n">
        <x:v>544824</x:v>
      </x:c>
      <x:c r="E80" s="159" t="n">
        <x:v>244765</x:v>
      </x:c>
      <x:c r="F80" s="159" t="n">
        <x:v>44649</x:v>
      </x:c>
      <x:c r="G80" s="159" t="n">
        <x:f>E80-F80</x:f>
        <x:v>200116</x:v>
      </x:c>
      <x:c r="H80" s="154" t="n">
        <x:f>IFERROR(G80/D80,"")</x:f>
        <x:v>0.3673039366841402</x:v>
      </x:c>
      <x:c r="I80" s="159" t="n">
        <x:v>27604</x:v>
      </x:c>
      <x:c r="J80" s="159" t="n">
        <x:v>155278</x:v>
      </x:c>
      <x:c r="K80" s="159" t="n">
        <x:f>I80-J80</x:f>
        <x:v>-127674</x:v>
      </x:c>
      <x:c r="L80" s="154" t="n">
        <x:f>IFERROR(K80/D80,"")</x:f>
        <x:v>-0.23433989692084048</x:v>
      </x:c>
    </x:row>
    <x:row r="81">
      <x:c r="A81" s="141" t="str">
        <x:v>Silver</x:v>
      </x:c>
      <x:c r="B81" s="155" t="n">
        <x:v>42647</x:v>
      </x:c>
      <x:c r="C81" s="155" t="n">
        <x:v>42650</x:v>
      </x:c>
      <x:c r="D81" s="159" t="n">
        <x:v>198747</x:v>
      </x:c>
      <x:c r="E81" s="159" t="n">
        <x:v>88384</x:v>
      </x:c>
      <x:c r="F81" s="159" t="n">
        <x:v>23877</x:v>
      </x:c>
      <x:c r="G81" s="159" t="n">
        <x:f>E81-F81</x:f>
        <x:v>64507</x:v>
      </x:c>
      <x:c r="H81" s="154" t="n">
        <x:f>IFERROR(G81/D81,"")</x:f>
        <x:v>0.3245684211585584</x:v>
      </x:c>
      <x:c r="I81" s="159" t="n">
        <x:v>13874</x:v>
      </x:c>
      <x:c r="J81" s="159" t="n">
        <x:v>68618</x:v>
      </x:c>
      <x:c r="K81" s="159" t="n">
        <x:f>I81-J81</x:f>
        <x:v>-54744</x:v>
      </x:c>
      <x:c r="L81" s="154" t="n">
        <x:f>IFERROR(K81/D81,"")</x:f>
        <x:v>-0.2754456671044091</x:v>
      </x:c>
    </x:row>
    <x:row r="82">
      <x:c r="A82" s="141" t="str">
        <x:v>Gold</x:v>
      </x:c>
      <x:c r="B82" s="155" t="n">
        <x:v>42654</x:v>
      </x:c>
      <x:c r="C82" s="155" t="n">
        <x:v>42657</x:v>
      </x:c>
      <x:c r="D82" s="159" t="n">
        <x:v>500328</x:v>
      </x:c>
      <x:c r="E82" s="159" t="n">
        <x:v>203033</x:v>
      </x:c>
      <x:c r="F82" s="159" t="n">
        <x:v>54240</x:v>
      </x:c>
      <x:c r="G82" s="159" t="n">
        <x:f>E82-F82</x:f>
        <x:v>148793</x:v>
      </x:c>
      <x:c r="H82" s="154" t="n">
        <x:f>IFERROR(G82/D82,"")</x:f>
        <x:v>0.2973909115620153</x:v>
      </x:c>
      <x:c r="I82" s="159" t="n">
        <x:v>28660</x:v>
      </x:c>
      <x:c r="J82" s="159" t="n">
        <x:v>143233</x:v>
      </x:c>
      <x:c r="K82" s="159" t="n">
        <x:f>I82-J82</x:f>
        <x:v>-114573</x:v>
      </x:c>
      <x:c r="L82" s="154" t="n">
        <x:f>IFERROR(K82/D82,"")</x:f>
        <x:v>-0.22899577876912744</x:v>
      </x:c>
    </x:row>
    <x:row r="83">
      <x:c r="A83" s="141" t="str">
        <x:v>Silver</x:v>
      </x:c>
      <x:c r="B83" s="155" t="n">
        <x:v>42654</x:v>
      </x:c>
      <x:c r="C83" s="155" t="n">
        <x:v>42657</x:v>
      </x:c>
      <x:c r="D83" s="159" t="n">
        <x:v>187469</x:v>
      </x:c>
      <x:c r="E83" s="159" t="n">
        <x:v>72048</x:v>
      </x:c>
      <x:c r="F83" s="159" t="n">
        <x:v>26502</x:v>
      </x:c>
      <x:c r="G83" s="159" t="n">
        <x:f>E83-F83</x:f>
        <x:v>45546</x:v>
      </x:c>
      <x:c r="H83" s="154" t="n">
        <x:f>IFERROR(G83/D83,"")</x:f>
        <x:v>0.24295216809179118</x:v>
      </x:c>
      <x:c r="I83" s="159" t="n">
        <x:v>15209</x:v>
      </x:c>
      <x:c r="J83" s="159" t="n">
        <x:v>65445</x:v>
      </x:c>
      <x:c r="K83" s="159" t="n">
        <x:f>I83-J83</x:f>
        <x:v>-50236</x:v>
      </x:c>
      <x:c r="L83" s="154" t="n">
        <x:f>IFERROR(K83/D83,"")</x:f>
        <x:v>-0.2679696376467576</x:v>
      </x:c>
    </x:row>
    <x:row r="84">
      <x:c r="A84" s="141" t="str">
        <x:v>Gold</x:v>
      </x:c>
      <x:c r="B84" s="155" t="n">
        <x:v>42661</x:v>
      </x:c>
      <x:c r="C84" s="155" t="n">
        <x:v>42664</x:v>
      </x:c>
      <x:c r="D84" s="159" t="n">
        <x:v>497061</x:v>
      </x:c>
      <x:c r="E84" s="159" t="n">
        <x:v>190008</x:v>
      </x:c>
      <x:c r="F84" s="159" t="n">
        <x:v>59054</x:v>
      </x:c>
      <x:c r="G84" s="159" t="n">
        <x:f>E84-F84</x:f>
        <x:v>130954</x:v>
      </x:c>
      <x:c r="H84" s="154" t="n">
        <x:f>IFERROR(G84/D84,"")</x:f>
        <x:v>0.2634565978823525</x:v>
      </x:c>
      <x:c r="I84" s="159" t="n">
        <x:v>30322</x:v>
      </x:c>
      <x:c r="J84" s="159" t="n">
        <x:v>136610</x:v>
      </x:c>
      <x:c r="K84" s="159" t="n">
        <x:f>I84-J84</x:f>
        <x:v>-106288</x:v>
      </x:c>
      <x:c r="L84" s="154" t="n">
        <x:f>IFERROR(K84/D84,"")</x:f>
        <x:v>-0.21383290984406342</x:v>
      </x:c>
    </x:row>
    <x:row r="85">
      <x:c r="A85" s="141" t="str">
        <x:v>Silver</x:v>
      </x:c>
      <x:c r="B85" s="155" t="n">
        <x:v>42661</x:v>
      </x:c>
      <x:c r="C85" s="155" t="n">
        <x:v>42664</x:v>
      </x:c>
      <x:c r="D85" s="159" t="n">
        <x:v>189229</x:v>
      </x:c>
      <x:c r="E85" s="159" t="n">
        <x:v>68579</x:v>
      </x:c>
      <x:c r="F85" s="159" t="n">
        <x:v>27513</x:v>
      </x:c>
      <x:c r="G85" s="159" t="n">
        <x:f>E85-F85</x:f>
        <x:v>41066</x:v>
      </x:c>
      <x:c r="H85" s="154" t="n">
        <x:f>IFERROR(G85/D85,"")</x:f>
        <x:v>0.21701747617965533</x:v>
      </x:c>
      <x:c r="I85" s="159" t="n">
        <x:v>15080</x:v>
      </x:c>
      <x:c r="J85" s="159" t="n">
        <x:v>64050</x:v>
      </x:c>
      <x:c r="K85" s="159" t="n">
        <x:f>I85-J85</x:f>
        <x:v>-48970</x:v>
      </x:c>
      <x:c r="L85" s="154" t="n">
        <x:f>IFERROR(K85/D85,"")</x:f>
        <x:v>-0.25878697239852244</x:v>
      </x:c>
    </x:row>
    <x:row r="86">
      <x:c r="A86" s="141" t="str">
        <x:v>Gold</x:v>
      </x:c>
      <x:c r="B86" s="155" t="n">
        <x:v>42668</x:v>
      </x:c>
      <x:c r="C86" s="155" t="n">
        <x:v>42671</x:v>
      </x:c>
      <x:c r="D86" s="159" t="n">
        <x:v>507617</x:v>
      </x:c>
      <x:c r="E86" s="159" t="n">
        <x:v>199094</x:v>
      </x:c>
      <x:c r="F86" s="159" t="n">
        <x:v>55184</x:v>
      </x:c>
      <x:c r="G86" s="159" t="n">
        <x:f>E86-F86</x:f>
        <x:v>143910</x:v>
      </x:c>
      <x:c r="H86" s="154" t="n">
        <x:f>IFERROR(G86/D86,"")</x:f>
        <x:v>0.28350114357872175</x:v>
      </x:c>
      <x:c r="I86" s="159" t="n">
        <x:v>29237</x:v>
      </x:c>
      <x:c r="J86" s="159" t="n">
        <x:v>140772</x:v>
      </x:c>
      <x:c r="K86" s="159" t="n">
        <x:f>I86-J86</x:f>
        <x:v>-111535</x:v>
      </x:c>
      <x:c r="L86" s="154" t="n">
        <x:f>IFERROR(K86/D86,"")</x:f>
        <x:v>-0.21972274372213696</x:v>
      </x:c>
    </x:row>
    <x:row r="87">
      <x:c r="A87" s="141" t="str">
        <x:v>Silver</x:v>
      </x:c>
      <x:c r="B87" s="155" t="n">
        <x:v>42668</x:v>
      </x:c>
      <x:c r="C87" s="155" t="n">
        <x:v>42671</x:v>
      </x:c>
      <x:c r="D87" s="159" t="n">
        <x:v>196311</x:v>
      </x:c>
      <x:c r="E87" s="159" t="n">
        <x:v>65956</x:v>
      </x:c>
      <x:c r="F87" s="159" t="n">
        <x:v>27555</x:v>
      </x:c>
      <x:c r="G87" s="159" t="n">
        <x:f>E87-F87</x:f>
        <x:v>38401</x:v>
      </x:c>
      <x:c r="H87" s="154" t="n">
        <x:f>IFERROR(G87/D87,"")</x:f>
        <x:v>0.19561308332187194</x:v>
      </x:c>
      <x:c r="I87" s="159" t="n">
        <x:v>15396</x:v>
      </x:c>
      <x:c r="J87" s="159" t="n">
        <x:v>62881</x:v>
      </x:c>
      <x:c r="K87" s="159" t="n">
        <x:f>I87-J87</x:f>
        <x:v>-47485</x:v>
      </x:c>
      <x:c r="L87" s="154" t="n">
        <x:f>IFERROR(K87/D87,"")</x:f>
        <x:v>-0.24188659830574955</x:v>
      </x:c>
    </x:row>
    <x:row r="88">
      <x:c r="A88" s="141" t="str">
        <x:v>Gold</x:v>
      </x:c>
      <x:c r="B88" s="155" t="n">
        <x:v>42675</x:v>
      </x:c>
      <x:c r="C88" s="155" t="n">
        <x:v>42678</x:v>
      </x:c>
      <x:c r="D88" s="159" t="n">
        <x:v>521506</x:v>
      </x:c>
      <x:c r="E88" s="159" t="n">
        <x:v>203670</x:v>
      </x:c>
      <x:c r="F88" s="159" t="n">
        <x:v>37403</x:v>
      </x:c>
      <x:c r="G88" s="159" t="n">
        <x:f>E88-F88</x:f>
        <x:v>166267</x:v>
      </x:c>
      <x:c r="H88" s="154" t="n">
        <x:f>IFERROR(G88/D88,"")</x:f>
        <x:v>0.31882087646163226</x:v>
      </x:c>
      <x:c r="I88" s="159" t="n">
        <x:v>27666</x:v>
      </x:c>
      <x:c r="J88" s="159" t="n">
        <x:v>153593</x:v>
      </x:c>
      <x:c r="K88" s="159" t="n">
        <x:f>I88-J88</x:f>
        <x:v>-125927</x:v>
      </x:c>
      <x:c r="L88" s="154" t="n">
        <x:f>IFERROR(K88/D88,"")</x:f>
        <x:v>-0.24146797927540622</x:v>
      </x:c>
    </x:row>
    <x:row r="89">
      <x:c r="A89" s="141" t="str">
        <x:v>Silver</x:v>
      </x:c>
      <x:c r="B89" s="155" t="n">
        <x:v>42675</x:v>
      </x:c>
      <x:c r="C89" s="155" t="n">
        <x:v>42678</x:v>
      </x:c>
      <x:c r="D89" s="159" t="n">
        <x:v>196912</x:v>
      </x:c>
      <x:c r="E89" s="159" t="n">
        <x:v>66733</x:v>
      </x:c>
      <x:c r="F89" s="159" t="n">
        <x:v>19066</x:v>
      </x:c>
      <x:c r="G89" s="159" t="n">
        <x:f>E89-F89</x:f>
        <x:v>47667</x:v>
      </x:c>
      <x:c r="H89" s="154" t="n">
        <x:f>IFERROR(G89/D89,"")</x:f>
        <x:v>0.24207260095880392</x:v>
      </x:c>
      <x:c r="I89" s="159" t="n">
        <x:v>14459</x:v>
      </x:c>
      <x:c r="J89" s="159" t="n">
        <x:v>64401</x:v>
      </x:c>
      <x:c r="K89" s="159" t="n">
        <x:f>I89-J89</x:f>
        <x:v>-49942</x:v>
      </x:c>
      <x:c r="L89" s="154" t="n">
        <x:f>IFERROR(K89/D89,"")</x:f>
        <x:v>-0.2536259852116682</x:v>
      </x:c>
    </x:row>
    <x:row r="90">
      <x:c r="A90" s="141" t="str">
        <x:v>Gold</x:v>
      </x:c>
      <x:c r="B90" s="155" t="n">
        <x:v>42682</x:v>
      </x:c>
      <x:c r="C90" s="155" t="n">
        <x:v>42685</x:v>
      </x:c>
      <x:c r="D90" s="159" t="n">
        <x:v>528203</x:v>
      </x:c>
      <x:c r="E90" s="159" t="n">
        <x:v>211670</x:v>
      </x:c>
      <x:c r="F90" s="159" t="n">
        <x:v>38033</x:v>
      </x:c>
      <x:c r="G90" s="159" t="n">
        <x:f>E90-F90</x:f>
        <x:v>173637</x:v>
      </x:c>
      <x:c r="H90" s="154" t="n">
        <x:f>IFERROR(G90/D90,"")</x:f>
        <x:v>0.3287315672194213</x:v>
      </x:c>
      <x:c r="I90" s="159" t="n">
        <x:v>27597</x:v>
      </x:c>
      <x:c r="J90" s="159" t="n">
        <x:v>158095</x:v>
      </x:c>
      <x:c r="K90" s="159" t="n">
        <x:f>I90-J90</x:f>
        <x:v>-130498</x:v>
      </x:c>
      <x:c r="L90" s="154" t="n">
        <x:f>IFERROR(K90/D90,"")</x:f>
        <x:v>-0.24706031582554436</x:v>
      </x:c>
    </x:row>
    <x:row r="91">
      <x:c r="A91" s="141" t="str">
        <x:v>Silver</x:v>
      </x:c>
      <x:c r="B91" s="155" t="n">
        <x:v>42682</x:v>
      </x:c>
      <x:c r="C91" s="155" t="n">
        <x:v>42685</x:v>
      </x:c>
      <x:c r="D91" s="159" t="n">
        <x:v>188265</x:v>
      </x:c>
      <x:c r="E91" s="159" t="n">
        <x:v>71989</x:v>
      </x:c>
      <x:c r="F91" s="159" t="n">
        <x:v>15852</x:v>
      </x:c>
      <x:c r="G91" s="159" t="n">
        <x:f>E91-F91</x:f>
        <x:v>56137</x:v>
      </x:c>
      <x:c r="H91" s="154" t="n">
        <x:f>IFERROR(G91/D91,"")</x:f>
        <x:v>0.2981807558494675</x:v>
      </x:c>
      <x:c r="I91" s="159" t="n">
        <x:v>11925</x:v>
      </x:c>
      <x:c r="J91" s="159" t="n">
        <x:v>65645</x:v>
      </x:c>
      <x:c r="K91" s="159" t="n">
        <x:f>I91-J91</x:f>
        <x:v>-53720</x:v>
      </x:c>
      <x:c r="L91" s="154" t="n">
        <x:f>IFERROR(K91/D91,"")</x:f>
        <x:v>-0.28534246939154917</x:v>
      </x:c>
    </x:row>
    <x:row r="92">
      <x:c r="A92" s="141" t="str">
        <x:v>Gold</x:v>
      </x:c>
      <x:c r="B92" s="155" t="n">
        <x:v>42689</x:v>
      </x:c>
      <x:c r="C92" s="155" t="n">
        <x:v>42692</x:v>
      </x:c>
      <x:c r="D92" s="159" t="n">
        <x:v>479237</x:v>
      </x:c>
      <x:c r="E92" s="159" t="n">
        <x:v>178132</x:v>
      </x:c>
      <x:c r="F92" s="159" t="n">
        <x:v>43452</x:v>
      </x:c>
      <x:c r="G92" s="159" t="n">
        <x:f>E92-F92</x:f>
        <x:v>134680</x:v>
      </x:c>
      <x:c r="H92" s="154" t="n">
        <x:f>IFERROR(G92/D92,"")</x:f>
        <x:v>0.28103005402337466</x:v>
      </x:c>
      <x:c r="I92" s="159" t="n">
        <x:v>27283</x:v>
      </x:c>
      <x:c r="J92" s="159" t="n">
        <x:v>134182</x:v>
      </x:c>
      <x:c r="K92" s="159" t="n">
        <x:f>I92-J92</x:f>
        <x:v>-106899</x:v>
      </x:c>
      <x:c r="L92" s="154" t="n">
        <x:f>IFERROR(K92/D92,"")</x:f>
        <x:v>-0.22306082376778086</x:v>
      </x:c>
    </x:row>
    <x:row r="93">
      <x:c r="A93" s="141" t="str">
        <x:v>Silver</x:v>
      </x:c>
      <x:c r="B93" s="155" t="n">
        <x:v>42689</x:v>
      </x:c>
      <x:c r="C93" s="155" t="n">
        <x:v>42692</x:v>
      </x:c>
      <x:c r="D93" s="159" t="n">
        <x:v>174831</x:v>
      </x:c>
      <x:c r="E93" s="159" t="n">
        <x:v>64016</x:v>
      </x:c>
      <x:c r="F93" s="159" t="n">
        <x:v>16177</x:v>
      </x:c>
      <x:c r="G93" s="159" t="n">
        <x:f>E93-F93</x:f>
        <x:v>47839</x:v>
      </x:c>
      <x:c r="H93" s="154" t="n">
        <x:f>IFERROR(G93/D93,"")</x:f>
        <x:v>0.2736299626496445</x:v>
      </x:c>
      <x:c r="I93" s="159" t="n">
        <x:v>12337</x:v>
      </x:c>
      <x:c r="J93" s="159" t="n">
        <x:v>62149</x:v>
      </x:c>
      <x:c r="K93" s="159" t="n">
        <x:f>I93-J93</x:f>
        <x:v>-49812</x:v>
      </x:c>
      <x:c r="L93" s="154" t="n">
        <x:f>IFERROR(K93/D93,"")</x:f>
        <x:v>-0.2849151466273144</x:v>
      </x:c>
    </x:row>
    <x:row r="94">
      <x:c r="A94" s="141" t="str">
        <x:v>Gold</x:v>
      </x:c>
      <x:c r="B94" s="155" t="n">
        <x:v>42696</x:v>
      </x:c>
      <x:c r="C94" s="155" t="n">
        <x:v>42699</x:v>
      </x:c>
      <x:c r="D94" s="159" t="n">
        <x:v>461062</x:v>
      </x:c>
      <x:c r="E94" s="159" t="n">
        <x:v>171864</x:v>
      </x:c>
      <x:c r="F94" s="159" t="n">
        <x:v>47475</x:v>
      </x:c>
      <x:c r="G94" s="159" t="n">
        <x:f>E94-F94</x:f>
        <x:v>124389</x:v>
      </x:c>
      <x:c r="H94" s="154" t="n">
        <x:f>IFERROR(G94/D94,"")</x:f>
        <x:v>0.2697880111568509</x:v>
      </x:c>
      <x:c r="I94" s="159" t="n">
        <x:v>20805</x:v>
      </x:c>
      <x:c r="J94" s="159" t="n">
        <x:v>119000</x:v>
      </x:c>
      <x:c r="K94" s="159" t="n">
        <x:f>I94-J94</x:f>
        <x:v>-98195</x:v>
      </x:c>
      <x:c r="L94" s="154" t="n">
        <x:f>IFERROR(K94/D94,"")</x:f>
        <x:v>-0.21297569524272222</x:v>
      </x:c>
    </x:row>
    <x:row r="95">
      <x:c r="A95" s="141" t="str">
        <x:v>Silver</x:v>
      </x:c>
      <x:c r="B95" s="155" t="n">
        <x:v>42696</x:v>
      </x:c>
      <x:c r="C95" s="155" t="n">
        <x:v>42699</x:v>
      </x:c>
      <x:c r="D95" s="159" t="n">
        <x:v>169661</x:v>
      </x:c>
      <x:c r="E95" s="159" t="n">
        <x:v>57931</x:v>
      </x:c>
      <x:c r="F95" s="159" t="n">
        <x:v>15412</x:v>
      </x:c>
      <x:c r="G95" s="159" t="n">
        <x:f>E95-F95</x:f>
        <x:v>42519</x:v>
      </x:c>
      <x:c r="H95" s="154" t="n">
        <x:f>IFERROR(G95/D95,"")</x:f>
        <x:v>0.25061151354760375</x:v>
      </x:c>
      <x:c r="I95" s="159" t="n">
        <x:v>11951</x:v>
      </x:c>
      <x:c r="J95" s="159" t="n">
        <x:v>62477</x:v>
      </x:c>
      <x:c r="K95" s="159" t="n">
        <x:f>I95-J95</x:f>
        <x:v>-50526</x:v>
      </x:c>
      <x:c r="L95" s="154" t="n">
        <x:f>IFERROR(K95/D95,"")</x:f>
        <x:v>-0.297805624156406</x:v>
      </x:c>
    </x:row>
    <x:row r="96">
      <x:c r="A96" s="141" t="str">
        <x:v>Gold</x:v>
      </x:c>
      <x:c r="B96" s="155" t="n">
        <x:v>42703</x:v>
      </x:c>
      <x:c r="C96" s="155" t="n">
        <x:v>42706</x:v>
      </x:c>
      <x:c r="D96" s="159" t="n">
        <x:v>405661</x:v>
      </x:c>
      <x:c r="E96" s="159" t="n">
        <x:v>162086</x:v>
      </x:c>
      <x:c r="F96" s="159" t="n">
        <x:v>55145</x:v>
      </x:c>
      <x:c r="G96" s="159" t="n">
        <x:f>E96-F96</x:f>
        <x:v>106941</x:v>
      </x:c>
      <x:c r="H96" s="154" t="n">
        <x:f>IFERROR(G96/D96,"")</x:f>
        <x:v>0.26362159537150476</x:v>
      </x:c>
      <x:c r="I96" s="159" t="n">
        <x:v>24102</x:v>
      </x:c>
      <x:c r="J96" s="159" t="n">
        <x:v>114690</x:v>
      </x:c>
      <x:c r="K96" s="159" t="n">
        <x:f>I96-J96</x:f>
        <x:v>-90588</x:v>
      </x:c>
      <x:c r="L96" s="154" t="n">
        <x:f>IFERROR(K96/D96,"")</x:f>
        <x:v>-0.22330961073408584</x:v>
      </x:c>
    </x:row>
    <x:row r="97">
      <x:c r="A97" s="141" t="str">
        <x:v>Silver</x:v>
      </x:c>
      <x:c r="B97" s="155" t="n">
        <x:v>42703</x:v>
      </x:c>
      <x:c r="C97" s="155" t="n">
        <x:v>42706</x:v>
      </x:c>
      <x:c r="D97" s="159" t="n">
        <x:v>156626</x:v>
      </x:c>
      <x:c r="E97" s="159" t="n">
        <x:v>56969</x:v>
      </x:c>
      <x:c r="F97" s="159" t="n">
        <x:v>14327</x:v>
      </x:c>
      <x:c r="G97" s="159" t="n">
        <x:f>E97-F97</x:f>
        <x:v>42642</x:v>
      </x:c>
      <x:c r="H97" s="154" t="n">
        <x:f>IFERROR(G97/D97,"")</x:f>
        <x:v>0.2722536488194808</x:v>
      </x:c>
      <x:c r="I97" s="159" t="n">
        <x:v>11371</x:v>
      </x:c>
      <x:c r="J97" s="159" t="n">
        <x:v>59897</x:v>
      </x:c>
      <x:c r="K97" s="159" t="n">
        <x:f>I97-J97</x:f>
        <x:v>-48526</x:v>
      </x:c>
      <x:c r="L97" s="154" t="n">
        <x:f>IFERROR(K97/D97,"")</x:f>
        <x:v>-0.30982084711350605</x:v>
      </x:c>
    </x:row>
    <x:row r="98">
      <x:c r="A98" s="141" t="str">
        <x:v>Gold</x:v>
      </x:c>
      <x:c r="B98" s="155" t="n">
        <x:v>42710</x:v>
      </x:c>
      <x:c r="C98" s="155" t="n">
        <x:v>42713</x:v>
      </x:c>
      <x:c r="D98" s="159" t="n">
        <x:v>393524</x:v>
      </x:c>
      <x:c r="E98" s="159" t="n">
        <x:v>150856</x:v>
      </x:c>
      <x:c r="F98" s="159" t="n">
        <x:v>68538</x:v>
      </x:c>
      <x:c r="G98" s="159" t="n">
        <x:f>E98-F98</x:f>
        <x:v>82318</x:v>
      </x:c>
      <x:c r="H98" s="154" t="n">
        <x:f>IFERROR(G98/D98,"")</x:f>
        <x:v>0.20918165092853294</x:v>
      </x:c>
      <x:c r="I98" s="159" t="n">
        <x:v>21781</x:v>
      </x:c>
      <x:c r="J98" s="159" t="n">
        <x:v>105209</x:v>
      </x:c>
      <x:c r="K98" s="159" t="n">
        <x:f>I98-J98</x:f>
        <x:v>-83428</x:v>
      </x:c>
      <x:c r="L98" s="154" t="n">
        <x:f>IFERROR(K98/D98,"")</x:f>
        <x:v>-0.21200231752065948</x:v>
      </x:c>
    </x:row>
    <x:row r="99">
      <x:c r="A99" s="141" t="str">
        <x:v>Silver</x:v>
      </x:c>
      <x:c r="B99" s="155" t="n">
        <x:v>42710</x:v>
      </x:c>
      <x:c r="C99" s="155" t="n">
        <x:v>42713</x:v>
      </x:c>
      <x:c r="D99" s="159" t="n">
        <x:v>159337</x:v>
      </x:c>
      <x:c r="E99" s="159" t="n">
        <x:v>56166</x:v>
      </x:c>
      <x:c r="F99" s="159" t="n">
        <x:v>15591</x:v>
      </x:c>
      <x:c r="G99" s="159" t="n">
        <x:f>E99-F99</x:f>
        <x:v>40575</x:v>
      </x:c>
      <x:c r="H99" s="154" t="n">
        <x:f>IFERROR(G99/D99,"")</x:f>
        <x:v>0.2546489515931642</x:v>
      </x:c>
      <x:c r="I99" s="159" t="n">
        <x:v>11878</x:v>
      </x:c>
      <x:c r="J99" s="159" t="n">
        <x:v>60095</x:v>
      </x:c>
      <x:c r="K99" s="159" t="n">
        <x:f>I99-J99</x:f>
        <x:v>-48217</x:v>
      </x:c>
      <x:c r="L99" s="154" t="n">
        <x:f>IFERROR(K99/D99,"")</x:f>
        <x:v>-0.3026101909788687</x:v>
      </x:c>
    </x:row>
    <x:row r="100">
      <x:c r="A100" s="141" t="str">
        <x:v>Gold</x:v>
      </x:c>
      <x:c r="B100" s="155" t="n">
        <x:v>42717</x:v>
      </x:c>
      <x:c r="C100" s="155" t="n">
        <x:v>42720</x:v>
      </x:c>
      <x:c r="D100" s="159" t="n">
        <x:v>397034</x:v>
      </x:c>
      <x:c r="E100" s="159" t="n">
        <x:v>146150</x:v>
      </x:c>
      <x:c r="F100" s="159" t="n">
        <x:v>77432</x:v>
      </x:c>
      <x:c r="G100" s="159" t="n">
        <x:f>E100-F100</x:f>
        <x:v>68718</x:v>
      </x:c>
      <x:c r="H100" s="154" t="n">
        <x:f>IFERROR(G100/D100,"")</x:f>
        <x:v>0.17307837615922061</x:v>
      </x:c>
      <x:c r="I100" s="159" t="n">
        <x:v>22199</x:v>
      </x:c>
      <x:c r="J100" s="159" t="n">
        <x:v>103372</x:v>
      </x:c>
      <x:c r="K100" s="159" t="n">
        <x:f>I100-J100</x:f>
        <x:v>-81173</x:v>
      </x:c>
      <x:c r="L100" s="154" t="n">
        <x:f>IFERROR(K100/D100,"")</x:f>
        <x:v>-0.20444848552013178</x:v>
      </x:c>
    </x:row>
    <x:row r="101">
      <x:c r="A101" s="141" t="str">
        <x:v>Silver</x:v>
      </x:c>
      <x:c r="B101" s="155" t="n">
        <x:v>42717</x:v>
      </x:c>
      <x:c r="C101" s="155" t="n">
        <x:v>42720</x:v>
      </x:c>
      <x:c r="D101" s="159" t="n">
        <x:v>163556</x:v>
      </x:c>
      <x:c r="E101" s="159" t="n">
        <x:v>59636</x:v>
      </x:c>
      <x:c r="F101" s="159" t="n">
        <x:v>13701</x:v>
      </x:c>
      <x:c r="G101" s="159" t="n">
        <x:f>E101-F101</x:f>
        <x:v>45935</x:v>
      </x:c>
      <x:c r="H101" s="154" t="n">
        <x:f>IFERROR(G101/D101,"")</x:f>
        <x:v>0.28085181833745015</x:v>
      </x:c>
      <x:c r="I101" s="159" t="n">
        <x:v>10677</x:v>
      </x:c>
      <x:c r="J101" s="159" t="n">
        <x:v>62887</x:v>
      </x:c>
      <x:c r="K101" s="159" t="n">
        <x:f>I101-J101</x:f>
        <x:v>-52210</x:v>
      </x:c>
      <x:c r="L101" s="154" t="n">
        <x:f>IFERROR(K101/D101,"")</x:f>
        <x:v>-0.31921788256010175</x:v>
      </x:c>
    </x:row>
    <x:row r="102">
      <x:c r="A102" s="141" t="str">
        <x:v>Gold</x:v>
      </x:c>
      <x:c r="B102" s="155" t="n">
        <x:v>42724</x:v>
      </x:c>
      <x:c r="C102" s="155" t="n">
        <x:v>42727</x:v>
      </x:c>
      <x:c r="D102" s="159" t="n">
        <x:v>398661</x:v>
      </x:c>
      <x:c r="E102" s="159" t="n">
        <x:v>137588</x:v>
      </x:c>
      <x:c r="F102" s="159" t="n">
        <x:v>83783</x:v>
      </x:c>
      <x:c r="G102" s="159" t="n">
        <x:f>E102-F102</x:f>
        <x:v>53805</x:v>
      </x:c>
      <x:c r="H102" s="154" t="n">
        <x:f>IFERROR(G102/D102,"")</x:f>
        <x:v>0.1349642929707195</x:v>
      </x:c>
      <x:c r="I102" s="159" t="n">
        <x:v>22130</x:v>
      </x:c>
      <x:c r="J102" s="159" t="n">
        <x:v>101474</x:v>
      </x:c>
      <x:c r="K102" s="159" t="n">
        <x:f>I102-J102</x:f>
        <x:v>-79344</x:v>
      </x:c>
      <x:c r="L102" s="154" t="n">
        <x:f>IFERROR(K102/D102,"")</x:f>
        <x:v>-0.1990262403395366</x:v>
      </x:c>
    </x:row>
    <x:row r="103">
      <x:c r="A103" s="141" t="str">
        <x:v>Silver</x:v>
      </x:c>
      <x:c r="B103" s="155" t="n">
        <x:v>42724</x:v>
      </x:c>
      <x:c r="C103" s="155" t="n">
        <x:v>42727</x:v>
      </x:c>
      <x:c r="D103" s="159" t="n">
        <x:v>159697</x:v>
      </x:c>
      <x:c r="E103" s="159" t="n">
        <x:v>59215</x:v>
      </x:c>
      <x:c r="F103" s="159" t="n">
        <x:v>16139</x:v>
      </x:c>
      <x:c r="G103" s="159" t="n">
        <x:f>E103-F103</x:f>
        <x:v>43076</x:v>
      </x:c>
      <x:c r="H103" s="154" t="n">
        <x:f>IFERROR(G103/D103,"")</x:f>
        <x:v>0.26973581219434306</x:v>
      </x:c>
      <x:c r="I103" s="159" t="n">
        <x:v>10859</x:v>
      </x:c>
      <x:c r="J103" s="159" t="n">
        <x:v>58920</x:v>
      </x:c>
      <x:c r="K103" s="159" t="n">
        <x:f>I103-J103</x:f>
        <x:v>-48061</x:v>
      </x:c>
      <x:c r="L103" s="154" t="n">
        <x:f>IFERROR(K103/D103,"")</x:f>
        <x:v>-0.3009511762900994</x:v>
      </x:c>
    </x:row>
    <x:row r="104">
      <x:c r="A104" s="141" t="str">
        <x:v>Gold</x:v>
      </x:c>
      <x:c r="B104" s="155" t="n">
        <x:v>42731</x:v>
      </x:c>
      <x:c r="C104" s="155" t="n">
        <x:v>42734</x:v>
      </x:c>
      <x:c r="D104" s="159" t="n">
        <x:v>401513</x:v>
      </x:c>
      <x:c r="E104" s="159" t="n">
        <x:v>130595</x:v>
      </x:c>
      <x:c r="F104" s="159" t="n">
        <x:v>87229</x:v>
      </x:c>
      <x:c r="G104" s="159" t="n">
        <x:f>E104-F104</x:f>
        <x:v>43366</x:v>
      </x:c>
      <x:c r="H104" s="154" t="n">
        <x:f>IFERROR(G104/D104,"")</x:f>
        <x:v>0.10800646554407951</x:v>
      </x:c>
      <x:c r="I104" s="159" t="n">
        <x:v>23547</x:v>
      </x:c>
      <x:c r="J104" s="159" t="n">
        <x:v>97994</x:v>
      </x:c>
      <x:c r="K104" s="159" t="n">
        <x:f>I104-J104</x:f>
        <x:v>-74447</x:v>
      </x:c>
      <x:c r="L104" s="154" t="n">
        <x:f>IFERROR(K104/D104,"")</x:f>
        <x:v>-0.18541616336208291</x:v>
      </x:c>
    </x:row>
    <x:row r="105">
      <x:c r="A105" s="141" t="str">
        <x:v>Silver</x:v>
      </x:c>
      <x:c r="B105" s="155" t="n">
        <x:v>42731</x:v>
      </x:c>
      <x:c r="C105" s="155" t="n">
        <x:v>42734</x:v>
      </x:c>
      <x:c r="D105" s="159" t="n">
        <x:v>163097</x:v>
      </x:c>
      <x:c r="E105" s="159" t="n">
        <x:v>58183</x:v>
      </x:c>
      <x:c r="F105" s="159" t="n">
        <x:v>18967</x:v>
      </x:c>
      <x:c r="G105" s="159" t="n">
        <x:f>E105-F105</x:f>
        <x:v>39216</x:v>
      </x:c>
      <x:c r="H105" s="154" t="n">
        <x:f>IFERROR(G105/D105,"")</x:f>
        <x:v>0.24044586963586087</x:v>
      </x:c>
      <x:c r="I105" s="159" t="n">
        <x:v>10496</x:v>
      </x:c>
      <x:c r="J105" s="159" t="n">
        <x:v>58612</x:v>
      </x:c>
      <x:c r="K105" s="159" t="n">
        <x:f>I105-J105</x:f>
        <x:v>-48116</x:v>
      </x:c>
      <x:c r="L105" s="154" t="n">
        <x:f>IFERROR(K105/D105,"")</x:f>
        <x:v>-0.29501462319969096</x:v>
      </x:c>
    </x:row>
    <x:row r="106">
      <x:c r="A106" s="141" t="str">
        <x:v>Gold</x:v>
      </x:c>
      <x:c r="B106" s="155" t="n">
        <x:v>42738</x:v>
      </x:c>
      <x:c r="C106" s="155" t="n">
        <x:v>42741</x:v>
      </x:c>
      <x:c r="D106" s="159" t="n">
        <x:v>424673</x:v>
      </x:c>
      <x:c r="E106" s="159" t="n">
        <x:v>127786</x:v>
      </x:c>
      <x:c r="F106" s="159" t="n">
        <x:v>91229</x:v>
      </x:c>
      <x:c r="G106" s="159" t="n">
        <x:f>E106-F106</x:f>
        <x:v>36557</x:v>
      </x:c>
      <x:c r="H106" s="154" t="n">
        <x:f>IFERROR(G106/D106,"")</x:f>
        <x:v>0.08608270363314832</x:v>
      </x:c>
      <x:c r="I106" s="159" t="n">
        <x:v>24768</x:v>
      </x:c>
      <x:c r="J106" s="159" t="n">
        <x:v>97997</x:v>
      </x:c>
      <x:c r="K106" s="159" t="n">
        <x:f>I106-J106</x:f>
        <x:v>-73229</x:v>
      </x:c>
      <x:c r="L106" s="154" t="n">
        <x:f>IFERROR(K106/D106,"")</x:f>
        <x:v>-0.1724362038556725</x:v>
      </x:c>
    </x:row>
    <x:row r="107">
      <x:c r="A107" s="141" t="str">
        <x:v>Silver</x:v>
      </x:c>
      <x:c r="B107" s="155" t="n">
        <x:v>42738</x:v>
      </x:c>
      <x:c r="C107" s="155" t="n">
        <x:v>42741</x:v>
      </x:c>
      <x:c r="D107" s="159" t="n">
        <x:v>163812</x:v>
      </x:c>
      <x:c r="E107" s="159" t="n">
        <x:v>61676</x:v>
      </x:c>
      <x:c r="F107" s="159" t="n">
        <x:v>19343</x:v>
      </x:c>
      <x:c r="G107" s="159" t="n">
        <x:f>E107-F107</x:f>
        <x:v>42333</x:v>
      </x:c>
      <x:c r="H107" s="154" t="n">
        <x:f>IFERROR(G107/D107,"")</x:f>
        <x:v>0.2584242912607135</x:v>
      </x:c>
      <x:c r="I107" s="159" t="n">
        <x:v>10781</x:v>
      </x:c>
      <x:c r="J107" s="159" t="n">
        <x:v>59939</x:v>
      </x:c>
      <x:c r="K107" s="159" t="n">
        <x:f>I107-J107</x:f>
        <x:v>-49158</x:v>
      </x:c>
      <x:c r="L107" s="154" t="n">
        <x:f>IFERROR(K107/D107,"")</x:f>
        <x:v>-0.30008790564793786</x:v>
      </x:c>
    </x:row>
    <x:row r="108">
      <x:c r="A108" s="141" t="str">
        <x:v>Gold</x:v>
      </x:c>
      <x:c r="B108" s="155" t="n">
        <x:v>42745</x:v>
      </x:c>
      <x:c r="C108" s="155" t="n">
        <x:v>42748</x:v>
      </x:c>
      <x:c r="D108" s="159" t="n">
        <x:v>444001</x:v>
      </x:c>
      <x:c r="E108" s="159" t="n">
        <x:v>135563</x:v>
      </x:c>
      <x:c r="F108" s="159" t="n">
        <x:v>79884</x:v>
      </x:c>
      <x:c r="G108" s="159" t="n">
        <x:f>E108-F108</x:f>
        <x:v>55679</x:v>
      </x:c>
      <x:c r="H108" s="154" t="n">
        <x:f>IFERROR(G108/D108,"")</x:f>
        <x:v>0.12540287071425515</x:v>
      </x:c>
      <x:c r="I108" s="159" t="n">
        <x:v>24588</x:v>
      </x:c>
      <x:c r="J108" s="159" t="n">
        <x:v>96661</x:v>
      </x:c>
      <x:c r="K108" s="159" t="n">
        <x:f>I108-J108</x:f>
        <x:v>-72073</x:v>
      </x:c>
      <x:c r="L108" s="154" t="n">
        <x:f>IFERROR(K108/D108,"")</x:f>
        <x:v>-0.1623262109770023</x:v>
      </x:c>
    </x:row>
    <x:row r="109">
      <x:c r="A109" s="141" t="str">
        <x:v>Silver</x:v>
      </x:c>
      <x:c r="B109" s="155" t="n">
        <x:v>42745</x:v>
      </x:c>
      <x:c r="C109" s="155" t="n">
        <x:v>42748</x:v>
      </x:c>
      <x:c r="D109" s="159" t="n">
        <x:v>165040</x:v>
      </x:c>
      <x:c r="E109" s="159" t="n">
        <x:v>64671</x:v>
      </x:c>
      <x:c r="F109" s="159" t="n">
        <x:v>17897</x:v>
      </x:c>
      <x:c r="G109" s="159" t="n">
        <x:f>E109-F109</x:f>
        <x:v>46774</x:v>
      </x:c>
      <x:c r="H109" s="154" t="n">
        <x:f>IFERROR(G109/D109,"")</x:f>
        <x:v>0.28341008240426563</x:v>
      </x:c>
      <x:c r="I109" s="159" t="n">
        <x:v>9915</x:v>
      </x:c>
      <x:c r="J109" s="159" t="n">
        <x:v>58682</x:v>
      </x:c>
      <x:c r="K109" s="159" t="n">
        <x:f>I109-J109</x:f>
        <x:v>-48767</x:v>
      </x:c>
      <x:c r="L109" s="154" t="n">
        <x:f>IFERROR(K109/D109,"")</x:f>
        <x:v>-0.295485942801745</x:v>
      </x:c>
    </x:row>
    <x:row r="110">
      <x:c r="A110" s="141" t="str">
        <x:v>Gold</x:v>
      </x:c>
      <x:c r="B110" s="155" t="n">
        <x:v>42752</x:v>
      </x:c>
      <x:c r="C110" s="155" t="n">
        <x:v>42755</x:v>
      </x:c>
      <x:c r="D110" s="159" t="n">
        <x:v>467937</x:v>
      </x:c>
      <x:c r="E110" s="159" t="n">
        <x:v>141566</x:v>
      </x:c>
      <x:c r="F110" s="159" t="n">
        <x:v>82931</x:v>
      </x:c>
      <x:c r="G110" s="159" t="n">
        <x:f>E110-F110</x:f>
        <x:v>58635</x:v>
      </x:c>
      <x:c r="H110" s="154" t="n">
        <x:f>IFERROR(G110/D110,"")</x:f>
        <x:v>0.1253053295635951</x:v>
      </x:c>
      <x:c r="I110" s="159" t="n">
        <x:v>23844</x:v>
      </x:c>
      <x:c r="J110" s="159" t="n">
        <x:v>99443</x:v>
      </x:c>
      <x:c r="K110" s="159" t="n">
        <x:f>I110-J110</x:f>
        <x:v>-75599</x:v>
      </x:c>
      <x:c r="L110" s="154" t="n">
        <x:f>IFERROR(K110/D110,"")</x:f>
        <x:v>-0.16155807298845784</x:v>
      </x:c>
    </x:row>
    <x:row r="111">
      <x:c r="A111" s="141" t="str">
        <x:v>Silver</x:v>
      </x:c>
      <x:c r="B111" s="155" t="n">
        <x:v>42752</x:v>
      </x:c>
      <x:c r="C111" s="155" t="n">
        <x:v>42755</x:v>
      </x:c>
      <x:c r="D111" s="159" t="n">
        <x:v>172056</x:v>
      </x:c>
      <x:c r="E111" s="159" t="n">
        <x:v>67215</x:v>
      </x:c>
      <x:c r="F111" s="159" t="n">
        <x:v>15438</x:v>
      </x:c>
      <x:c r="G111" s="159" t="n">
        <x:f>E111-F111</x:f>
        <x:v>51777</x:v>
      </x:c>
      <x:c r="H111" s="154" t="n">
        <x:f>IFERROR(G111/D111,"")</x:f>
        <x:v>0.3009310922025387</x:v>
      </x:c>
      <x:c r="I111" s="159" t="n">
        <x:v>11209</x:v>
      </x:c>
      <x:c r="J111" s="159" t="n">
        <x:v>62574</x:v>
      </x:c>
      <x:c r="K111" s="159" t="n">
        <x:f>I111-J111</x:f>
        <x:v>-51365</x:v>
      </x:c>
      <x:c r="L111" s="154" t="n">
        <x:f>IFERROR(K111/D111,"")</x:f>
        <x:v>-0.29853652299251404</x:v>
      </x:c>
    </x:row>
    <x:row r="112">
      <x:c r="A112" s="141" t="str">
        <x:v>Gold</x:v>
      </x:c>
      <x:c r="B112" s="155" t="n">
        <x:v>42759</x:v>
      </x:c>
      <x:c r="C112" s="155" t="n">
        <x:v>42762</x:v>
      </x:c>
      <x:c r="D112" s="159" t="n">
        <x:v>482374</x:v>
      </x:c>
      <x:c r="E112" s="159" t="n">
        <x:v>135159</x:v>
      </x:c>
      <x:c r="F112" s="159" t="n">
        <x:v>75405</x:v>
      </x:c>
      <x:c r="G112" s="159" t="n">
        <x:f>E112-F112</x:f>
        <x:v>59754</x:v>
      </x:c>
      <x:c r="H112" s="154" t="n">
        <x:f>IFERROR(G112/D112,"")</x:f>
        <x:v>0.12387483570839225</x:v>
      </x:c>
      <x:c r="I112" s="159" t="n">
        <x:v>23117</x:v>
      </x:c>
      <x:c r="J112" s="159" t="n">
        <x:v>108482</x:v>
      </x:c>
      <x:c r="K112" s="159" t="n">
        <x:f>I112-J112</x:f>
        <x:v>-85365</x:v>
      </x:c>
      <x:c r="L112" s="154" t="n">
        <x:f>IFERROR(K112/D112,"")</x:f>
        <x:v>-0.17696849332675477</x:v>
      </x:c>
    </x:row>
    <x:row r="113">
      <x:c r="A113" s="141" t="str">
        <x:v>Silver</x:v>
      </x:c>
      <x:c r="B113" s="155" t="n">
        <x:v>42759</x:v>
      </x:c>
      <x:c r="C113" s="155" t="n">
        <x:v>42762</x:v>
      </x:c>
      <x:c r="D113" s="159" t="n">
        <x:v>177601</x:v>
      </x:c>
      <x:c r="E113" s="159" t="n">
        <x:v>71727</x:v>
      </x:c>
      <x:c r="F113" s="159" t="n">
        <x:v>15625</x:v>
      </x:c>
      <x:c r="G113" s="159" t="n">
        <x:f>E113-F113</x:f>
        <x:v>56102</x:v>
      </x:c>
      <x:c r="H113" s="154" t="n">
        <x:f>IFERROR(G113/D113,"")</x:f>
        <x:v>0.3158878609917737</x:v>
      </x:c>
      <x:c r="I113" s="159" t="n">
        <x:v>11387</x:v>
      </x:c>
      <x:c r="J113" s="159" t="n">
        <x:v>65079</x:v>
      </x:c>
      <x:c r="K113" s="159" t="n">
        <x:f>I113-J113</x:f>
        <x:v>-53692</x:v>
      </x:c>
      <x:c r="L113" s="154" t="n">
        <x:f>IFERROR(K113/D113,"")</x:f>
        <x:v>-0.3023181175781668</x:v>
      </x:c>
    </x:row>
    <x:row r="114">
      <x:c r="A114" s="141" t="str">
        <x:v>Gold</x:v>
      </x:c>
      <x:c r="B114" s="155" t="n">
        <x:v>42766</x:v>
      </x:c>
      <x:c r="C114" s="155" t="n">
        <x:v>42769</x:v>
      </x:c>
      <x:c r="D114" s="159" t="n">
        <x:v>398433</x:v>
      </x:c>
      <x:c r="E114" s="159" t="n">
        <x:v>140663</x:v>
      </x:c>
      <x:c r="F114" s="159" t="n">
        <x:v>70826</x:v>
      </x:c>
      <x:c r="G114" s="159" t="n">
        <x:f>E114-F114</x:f>
        <x:v>69837</x:v>
      </x:c>
      <x:c r="H114" s="154" t="n">
        <x:f>IFERROR(G114/D114,"")</x:f>
        <x:v>0.17527915609399825</x:v>
      </x:c>
      <x:c r="I114" s="159" t="n">
        <x:v>20746</x:v>
      </x:c>
      <x:c r="J114" s="159" t="n">
        <x:v>110568</x:v>
      </x:c>
      <x:c r="K114" s="159" t="n">
        <x:f>I114-J114</x:f>
        <x:v>-89822</x:v>
      </x:c>
      <x:c r="L114" s="154" t="n">
        <x:f>IFERROR(K114/D114,"")</x:f>
        <x:v>-0.2254381539681703</x:v>
      </x:c>
    </x:row>
    <x:row r="115">
      <x:c r="A115" s="141" t="str">
        <x:v>Silver</x:v>
      </x:c>
      <x:c r="B115" s="155" t="n">
        <x:v>42766</x:v>
      </x:c>
      <x:c r="C115" s="155" t="n">
        <x:v>42769</x:v>
      </x:c>
      <x:c r="D115" s="159" t="n">
        <x:v>186839</x:v>
      </x:c>
      <x:c r="E115" s="159" t="n">
        <x:v>76808</x:v>
      </x:c>
      <x:c r="F115" s="159" t="n">
        <x:v>12844</x:v>
      </x:c>
      <x:c r="G115" s="159" t="n">
        <x:f>E115-F115</x:f>
        <x:v>63964</x:v>
      </x:c>
      <x:c r="H115" s="154" t="n">
        <x:f>IFERROR(G115/D115,"")</x:f>
        <x:v>0.34234822494233</x:v>
      </x:c>
      <x:c r="I115" s="159" t="n">
        <x:v>12146</x:v>
      </x:c>
      <x:c r="J115" s="159" t="n">
        <x:v>71140</x:v>
      </x:c>
      <x:c r="K115" s="159" t="n">
        <x:f>I115-J115</x:f>
        <x:v>-58994</x:v>
      </x:c>
      <x:c r="L115" s="154" t="n">
        <x:f>IFERROR(K115/D115,"")</x:f>
        <x:v>-0.31574778285047556</x:v>
      </x:c>
    </x:row>
    <x:row r="116">
      <x:c r="A116" s="141" t="str">
        <x:v>Gold</x:v>
      </x:c>
      <x:c r="B116" s="155" t="n">
        <x:v>42773</x:v>
      </x:c>
      <x:c r="C116" s="155" t="n">
        <x:v>42776</x:v>
      </x:c>
      <x:c r="D116" s="159" t="n">
        <x:v>415543</x:v>
      </x:c>
      <x:c r="E116" s="159" t="n">
        <x:v>142542</x:v>
      </x:c>
      <x:c r="F116" s="159" t="n">
        <x:v>72393</x:v>
      </x:c>
      <x:c r="G116" s="159" t="n">
        <x:f>E116-F116</x:f>
        <x:v>70149</x:v>
      </x:c>
      <x:c r="H116" s="154" t="n">
        <x:f>IFERROR(G116/D116,"")</x:f>
        <x:v>0.16881285450603187</x:v>
      </x:c>
      <x:c r="I116" s="159" t="n">
        <x:v>22551</x:v>
      </x:c>
      <x:c r="J116" s="159" t="n">
        <x:v>115774</x:v>
      </x:c>
      <x:c r="K116" s="159" t="n">
        <x:f>I116-J116</x:f>
        <x:v>-93223</x:v>
      </x:c>
      <x:c r="L116" s="154" t="n">
        <x:f>IFERROR(K116/D116,"")</x:f>
        <x:v>-0.22434020065312132</x:v>
      </x:c>
    </x:row>
    <x:row r="117">
      <x:c r="A117" s="141" t="str">
        <x:v>Silver</x:v>
      </x:c>
      <x:c r="B117" s="155" t="n">
        <x:v>42773</x:v>
      </x:c>
      <x:c r="C117" s="155" t="n">
        <x:v>42776</x:v>
      </x:c>
      <x:c r="D117" s="159" t="n">
        <x:v>193936</x:v>
      </x:c>
      <x:c r="E117" s="159" t="n">
        <x:v>77999</x:v>
      </x:c>
      <x:c r="F117" s="159" t="n">
        <x:v>12338</x:v>
      </x:c>
      <x:c r="G117" s="159" t="n">
        <x:f>E117-F117</x:f>
        <x:v>65661</x:v>
      </x:c>
      <x:c r="H117" s="154" t="n">
        <x:f>IFERROR(G117/D117,"")</x:f>
        <x:v>0.3385704562329841</x:v>
      </x:c>
      <x:c r="I117" s="159" t="n">
        <x:v>12572</x:v>
      </x:c>
      <x:c r="J117" s="159" t="n">
        <x:v>72338</x:v>
      </x:c>
      <x:c r="K117" s="159" t="n">
        <x:f>I117-J117</x:f>
        <x:v>-59766</x:v>
      </x:c>
      <x:c r="L117" s="154" t="n">
        <x:f>IFERROR(K117/D117,"")</x:f>
        <x:v>-0.3081738305420345</x:v>
      </x:c>
    </x:row>
    <x:row r="118">
      <x:c r="A118" s="141" t="str">
        <x:v>Gold</x:v>
      </x:c>
      <x:c r="B118" s="155" t="n">
        <x:v>42780</x:v>
      </x:c>
      <x:c r="C118" s="155" t="n">
        <x:v>42783</x:v>
      </x:c>
      <x:c r="D118" s="159" t="n">
        <x:v>415128</x:v>
      </x:c>
      <x:c r="E118" s="159" t="n">
        <x:v>135739</x:v>
      </x:c>
      <x:c r="F118" s="159" t="n">
        <x:v>72114</x:v>
      </x:c>
      <x:c r="G118" s="159" t="n">
        <x:f>E118-F118</x:f>
        <x:v>63625</x:v>
      </x:c>
      <x:c r="H118" s="154" t="n">
        <x:f>IFERROR(G118/D118,"")</x:f>
        <x:v>0.15326598061320845</x:v>
      </x:c>
      <x:c r="I118" s="159" t="n">
        <x:v>20992</x:v>
      </x:c>
      <x:c r="J118" s="159" t="n">
        <x:v>113422</x:v>
      </x:c>
      <x:c r="K118" s="159" t="n">
        <x:f>I118-J118</x:f>
        <x:v>-92430</x:v>
      </x:c>
      <x:c r="L118" s="154" t="n">
        <x:f>IFERROR(K118/D118,"")</x:f>
        <x:v>-0.22265421749436318</x:v>
      </x:c>
    </x:row>
    <x:row r="119">
      <x:c r="A119" s="141" t="str">
        <x:v>Silver</x:v>
      </x:c>
      <x:c r="B119" s="155" t="n">
        <x:v>42780</x:v>
      </x:c>
      <x:c r="C119" s="155" t="n">
        <x:v>42783</x:v>
      </x:c>
      <x:c r="D119" s="159" t="n">
        <x:v>195338</x:v>
      </x:c>
      <x:c r="E119" s="159" t="n">
        <x:v>84040</x:v>
      </x:c>
      <x:c r="F119" s="159" t="n">
        <x:v>11874</x:v>
      </x:c>
      <x:c r="G119" s="159" t="n">
        <x:f>E119-F119</x:f>
        <x:v>72166</x:v>
      </x:c>
      <x:c r="H119" s="154" t="n">
        <x:f>IFERROR(G119/D119,"")</x:f>
        <x:v>0.3694416856935159</x:v>
      </x:c>
      <x:c r="I119" s="159" t="n">
        <x:v>12956</x:v>
      </x:c>
      <x:c r="J119" s="159" t="n">
        <x:v>74670</x:v>
      </x:c>
      <x:c r="K119" s="159" t="n">
        <x:f>I119-J119</x:f>
        <x:v>-61714</x:v>
      </x:c>
      <x:c r="L119" s="154" t="n">
        <x:f>IFERROR(K119/D119,"")</x:f>
        <x:v>-0.31593443160061024</x:v>
      </x:c>
    </x:row>
    <x:row r="120">
      <x:c r="A120" s="141" t="str">
        <x:v>Gold</x:v>
      </x:c>
      <x:c r="B120" s="155" t="n">
        <x:v>42787</x:v>
      </x:c>
      <x:c r="C120" s="155" t="n">
        <x:v>42790</x:v>
      </x:c>
      <x:c r="D120" s="159" t="n">
        <x:v>427168</x:v>
      </x:c>
      <x:c r="E120" s="159" t="n">
        <x:v>142639</x:v>
      </x:c>
      <x:c r="F120" s="159" t="n">
        <x:v>64597</x:v>
      </x:c>
      <x:c r="G120" s="159" t="n">
        <x:f>E120-F120</x:f>
        <x:v>78042</x:v>
      </x:c>
      <x:c r="H120" s="154" t="n">
        <x:f>IFERROR(G120/D120,"")</x:f>
        <x:v>0.1826962693834744</x:v>
      </x:c>
      <x:c r="I120" s="159" t="n">
        <x:v>20557</x:v>
      </x:c>
      <x:c r="J120" s="159" t="n">
        <x:v>116326</x:v>
      </x:c>
      <x:c r="K120" s="159" t="n">
        <x:f>I120-J120</x:f>
        <x:v>-95769</x:v>
      </x:c>
      <x:c r="L120" s="154" t="n">
        <x:f>IFERROR(K120/D120,"")</x:f>
        <x:v>-0.22419516443179263</x:v>
      </x:c>
    </x:row>
    <x:row r="121">
      <x:c r="A121" s="141" t="str">
        <x:v>Silver</x:v>
      </x:c>
      <x:c r="B121" s="155" t="n">
        <x:v>42787</x:v>
      </x:c>
      <x:c r="C121" s="155" t="n">
        <x:v>42790</x:v>
      </x:c>
      <x:c r="D121" s="159" t="n">
        <x:v>208147</x:v>
      </x:c>
      <x:c r="E121" s="159" t="n">
        <x:v>89710</x:v>
      </x:c>
      <x:c r="F121" s="159" t="n">
        <x:v>12278</x:v>
      </x:c>
      <x:c r="G121" s="159" t="n">
        <x:f>E121-F121</x:f>
        <x:v>77432</x:v>
      </x:c>
      <x:c r="H121" s="154" t="n">
        <x:f>IFERROR(G121/D121,"")</x:f>
        <x:v>0.3720063224548036</x:v>
      </x:c>
      <x:c r="I121" s="159" t="n">
        <x:v>13968</x:v>
      </x:c>
      <x:c r="J121" s="159" t="n">
        <x:v>77309</x:v>
      </x:c>
      <x:c r="K121" s="159" t="n">
        <x:f>I121-J121</x:f>
        <x:v>-63341</x:v>
      </x:c>
      <x:c r="L121" s="154" t="n">
        <x:f>IFERROR(K121/D121,"")</x:f>
        <x:v>-0.3043089739462976</x:v>
      </x:c>
    </x:row>
    <x:row r="122">
      <x:c r="A122" s="141" t="str">
        <x:v>Gold</x:v>
      </x:c>
      <x:c r="B122" s="155" t="n">
        <x:v>42794</x:v>
      </x:c>
      <x:c r="C122" s="155" t="n">
        <x:v>42797</x:v>
      </x:c>
      <x:c r="D122" s="159" t="n">
        <x:v>446081</x:v>
      </x:c>
      <x:c r="E122" s="159" t="n">
        <x:v>166437</x:v>
      </x:c>
      <x:c r="F122" s="159" t="n">
        <x:v>52191</x:v>
      </x:c>
      <x:c r="G122" s="159" t="n">
        <x:f>E122-F122</x:f>
        <x:v>114246</x:v>
      </x:c>
      <x:c r="H122" s="154" t="n">
        <x:f>IFERROR(G122/D122,"")</x:f>
        <x:v>0.25611043734209704</x:v>
      </x:c>
      <x:c r="I122" s="159" t="n">
        <x:v>19559</x:v>
      </x:c>
      <x:c r="J122" s="159" t="n">
        <x:v>126908</x:v>
      </x:c>
      <x:c r="K122" s="159" t="n">
        <x:f>I122-J122</x:f>
        <x:v>-107349</x:v>
      </x:c>
      <x:c r="L122" s="154" t="n">
        <x:f>IFERROR(K122/D122,"")</x:f>
        <x:v>-0.2406491197786949</x:v>
      </x:c>
    </x:row>
    <x:row r="123">
      <x:c r="A123" s="141" t="str">
        <x:v>Silver</x:v>
      </x:c>
      <x:c r="B123" s="155" t="n">
        <x:v>42794</x:v>
      </x:c>
      <x:c r="C123" s="155" t="n">
        <x:v>42797</x:v>
      </x:c>
      <x:c r="D123" s="159" t="n">
        <x:v>197629</x:v>
      </x:c>
      <x:c r="E123" s="159" t="n">
        <x:v>96033</x:v>
      </x:c>
      <x:c r="F123" s="159" t="n">
        <x:v>11188</x:v>
      </x:c>
      <x:c r="G123" s="159" t="n">
        <x:f>E123-F123</x:f>
        <x:v>84845</x:v>
      </x:c>
      <x:c r="H123" s="154" t="n">
        <x:f>IFERROR(G123/D123,"")</x:f>
        <x:v>0.4293145236782051</x:v>
      </x:c>
      <x:c r="I123" s="159" t="n">
        <x:v>15836</x:v>
      </x:c>
      <x:c r="J123" s="159" t="n">
        <x:v>81023</x:v>
      </x:c>
      <x:c r="K123" s="159" t="n">
        <x:f>I123-J123</x:f>
        <x:v>-65187</x:v>
      </x:c>
      <x:c r="L123" s="154" t="n">
        <x:f>IFERROR(K123/D123,"")</x:f>
        <x:v>-0.32984531622383356</x:v>
      </x:c>
    </x:row>
    <x:row r="124">
      <x:c r="A124" s="141" t="str">
        <x:v>Gold</x:v>
      </x:c>
      <x:c r="B124" s="155" t="n">
        <x:v>42801</x:v>
      </x:c>
      <x:c r="C124" s="155" t="n">
        <x:v>42804</x:v>
      </x:c>
      <x:c r="D124" s="159" t="n">
        <x:v>434401</x:v>
      </x:c>
      <x:c r="E124" s="159" t="n">
        <x:v>150277</x:v>
      </x:c>
      <x:c r="F124" s="159" t="n">
        <x:v>60030</x:v>
      </x:c>
      <x:c r="G124" s="159" t="n">
        <x:f>E124-F124</x:f>
        <x:v>90247</x:v>
      </x:c>
      <x:c r="H124" s="154" t="n">
        <x:f>IFERROR(G124/D124,"")</x:f>
        <x:v>0.20775044256343794</x:v>
      </x:c>
      <x:c r="I124" s="159" t="n">
        <x:v>20164</x:v>
      </x:c>
      <x:c r="J124" s="159" t="n">
        <x:v>118027</x:v>
      </x:c>
      <x:c r="K124" s="159" t="n">
        <x:f>I124-J124</x:f>
        <x:v>-97863</x:v>
      </x:c>
      <x:c r="L124" s="154" t="n">
        <x:f>IFERROR(K124/D124,"")</x:f>
        <x:v>-0.22528263056484676</x:v>
      </x:c>
    </x:row>
    <x:row r="125">
      <x:c r="A125" s="141" t="str">
        <x:v>Silver</x:v>
      </x:c>
      <x:c r="B125" s="155" t="n">
        <x:v>42801</x:v>
      </x:c>
      <x:c r="C125" s="155" t="n">
        <x:v>42804</x:v>
      </x:c>
      <x:c r="D125" s="159" t="n">
        <x:v>192398</x:v>
      </x:c>
      <x:c r="E125" s="159" t="n">
        <x:v>94487</x:v>
      </x:c>
      <x:c r="F125" s="159" t="n">
        <x:v>11086</x:v>
      </x:c>
      <x:c r="G125" s="159" t="n">
        <x:f>E125-F125</x:f>
        <x:v>83401</x:v>
      </x:c>
      <x:c r="H125" s="154" t="n">
        <x:f>IFERROR(G125/D125,"")</x:f>
        <x:v>0.4334816370232539</x:v>
      </x:c>
      <x:c r="I125" s="159" t="n">
        <x:v>14081</x:v>
      </x:c>
      <x:c r="J125" s="159" t="n">
        <x:v>78848</x:v>
      </x:c>
      <x:c r="K125" s="159" t="n">
        <x:f>I125-J125</x:f>
        <x:v>-64767</x:v>
      </x:c>
      <x:c r="L125" s="154" t="n">
        <x:f>IFERROR(K125/D125,"")</x:f>
        <x:v>-0.3366303184024782</x:v>
      </x:c>
    </x:row>
    <x:row r="126">
      <x:c r="A126" s="141" t="str">
        <x:v>Gold</x:v>
      </x:c>
      <x:c r="B126" s="155" t="n">
        <x:v>42808</x:v>
      </x:c>
      <x:c r="C126" s="155" t="n">
        <x:v>42811</x:v>
      </x:c>
      <x:c r="D126" s="159" t="n">
        <x:v>426170</x:v>
      </x:c>
      <x:c r="E126" s="159" t="n">
        <x:v>121179</x:v>
      </x:c>
      <x:c r="F126" s="159" t="n">
        <x:v>74805</x:v>
      </x:c>
      <x:c r="G126" s="159" t="n">
        <x:f>E126-F126</x:f>
        <x:v>46374</x:v>
      </x:c>
      <x:c r="H126" s="154" t="n">
        <x:f>IFERROR(G126/D126,"")</x:f>
        <x:v>0.10881573081164793</x:v>
      </x:c>
      <x:c r="I126" s="159" t="n">
        <x:v>20937</x:v>
      </x:c>
      <x:c r="J126" s="159" t="n">
        <x:v>109327</x:v>
      </x:c>
      <x:c r="K126" s="159" t="n">
        <x:f>I126-J126</x:f>
        <x:v>-88390</x:v>
      </x:c>
      <x:c r="L126" s="154" t="n">
        <x:f>IFERROR(K126/D126,"")</x:f>
        <x:v>-0.2074054954595584</x:v>
      </x:c>
    </x:row>
    <x:row r="127">
      <x:c r="A127" s="141" t="str">
        <x:v>Silver</x:v>
      </x:c>
      <x:c r="B127" s="155" t="n">
        <x:v>42808</x:v>
      </x:c>
      <x:c r="C127" s="155" t="n">
        <x:v>42811</x:v>
      </x:c>
      <x:c r="D127" s="159" t="n">
        <x:v>186936</x:v>
      </x:c>
      <x:c r="E127" s="159" t="n">
        <x:v>80582</x:v>
      </x:c>
      <x:c r="F127" s="159" t="n">
        <x:v>13066</x:v>
      </x:c>
      <x:c r="G127" s="159" t="n">
        <x:f>E127-F127</x:f>
        <x:v>67516</x:v>
      </x:c>
      <x:c r="H127" s="154" t="n">
        <x:f>IFERROR(G127/D127,"")</x:f>
        <x:v>0.3611717379209997</x:v>
      </x:c>
      <x:c r="I127" s="159" t="n">
        <x:v>13482</x:v>
      </x:c>
      <x:c r="J127" s="159" t="n">
        <x:v>74057</x:v>
      </x:c>
      <x:c r="K127" s="159" t="n">
        <x:f>I127-J127</x:f>
        <x:v>-60575</x:v>
      </x:c>
      <x:c r="L127" s="154" t="n">
        <x:f>IFERROR(K127/D127,"")</x:f>
        <x:v>-0.32404138314717335</x:v>
      </x:c>
    </x:row>
    <x:row r="128">
      <x:c r="A128" s="141" t="str">
        <x:v>Gold</x:v>
      </x:c>
      <x:c r="B128" s="155" t="n">
        <x:v>42815</x:v>
      </x:c>
      <x:c r="C128" s="155" t="n">
        <x:v>42818</x:v>
      </x:c>
      <x:c r="D128" s="159" t="n">
        <x:v>446880</x:v>
      </x:c>
      <x:c r="E128" s="159" t="n">
        <x:v>130259</x:v>
      </x:c>
      <x:c r="F128" s="159" t="n">
        <x:v>74064</x:v>
      </x:c>
      <x:c r="G128" s="159" t="n">
        <x:f>E128-F128</x:f>
        <x:v>56195</x:v>
      </x:c>
      <x:c r="H128" s="154" t="n">
        <x:f>IFERROR(G128/D128,"")</x:f>
        <x:v>0.12574964196204796</x:v>
      </x:c>
      <x:c r="I128" s="159" t="n">
        <x:v>18872</x:v>
      </x:c>
      <x:c r="J128" s="159" t="n">
        <x:v>117388</x:v>
      </x:c>
      <x:c r="K128" s="159" t="n">
        <x:f>I128-J128</x:f>
        <x:v>-98516</x:v>
      </x:c>
      <x:c r="L128" s="154" t="n">
        <x:f>IFERROR(K128/D128,"")</x:f>
        <x:v>-0.220452918009309</x:v>
      </x:c>
    </x:row>
    <x:row r="129">
      <x:c r="A129" s="141" t="str">
        <x:v>Silver</x:v>
      </x:c>
      <x:c r="B129" s="155" t="n">
        <x:v>42815</x:v>
      </x:c>
      <x:c r="C129" s="155" t="n">
        <x:v>42818</x:v>
      </x:c>
      <x:c r="D129" s="159" t="n">
        <x:v>190819</x:v>
      </x:c>
      <x:c r="E129" s="159" t="n">
        <x:v>78914</x:v>
      </x:c>
      <x:c r="F129" s="159" t="n">
        <x:v>14129</x:v>
      </x:c>
      <x:c r="G129" s="159" t="n">
        <x:f>E129-F129</x:f>
        <x:v>64785</x:v>
      </x:c>
      <x:c r="H129" s="154" t="n">
        <x:f>IFERROR(G129/D129,"")</x:f>
        <x:v>0.33951021648787594</x:v>
      </x:c>
      <x:c r="I129" s="159" t="n">
        <x:v>13613</x:v>
      </x:c>
      <x:c r="J129" s="159" t="n">
        <x:v>74274</x:v>
      </x:c>
      <x:c r="K129" s="159" t="n">
        <x:f>I129-J129</x:f>
        <x:v>-60661</x:v>
      </x:c>
      <x:c r="L129" s="154" t="n">
        <x:f>IFERROR(K129/D129,"")</x:f>
        <x:v>-0.3178981128713598</x:v>
      </x:c>
    </x:row>
    <x:row r="130">
      <x:c r="A130" s="141" t="str">
        <x:v>Gold</x:v>
      </x:c>
      <x:c r="B130" s="155" t="n">
        <x:v>42822</x:v>
      </x:c>
      <x:c r="C130" s="155" t="n">
        <x:v>42825</x:v>
      </x:c>
      <x:c r="D130" s="159" t="n">
        <x:v>449418</x:v>
      </x:c>
      <x:c r="E130" s="159" t="n">
        <x:v>150879</x:v>
      </x:c>
      <x:c r="F130" s="159" t="n">
        <x:v>59836</x:v>
      </x:c>
      <x:c r="G130" s="159" t="n">
        <x:f>E130-F130</x:f>
        <x:v>91043</x:v>
      </x:c>
      <x:c r="H130" s="154" t="n">
        <x:f>IFERROR(G130/D130,"")</x:f>
        <x:v>0.2025797809611542</x:v>
      </x:c>
      <x:c r="I130" s="159" t="n">
        <x:v>17857</x:v>
      </x:c>
      <x:c r="J130" s="159" t="n">
        <x:v>131503</x:v>
      </x:c>
      <x:c r="K130" s="159" t="n">
        <x:f>I130-J130</x:f>
        <x:v>-113646</x:v>
      </x:c>
      <x:c r="L130" s="154" t="n">
        <x:f>IFERROR(K130/D130,"")</x:f>
        <x:v>-0.25287371667356445</x:v>
      </x:c>
    </x:row>
    <x:row r="131">
      <x:c r="A131" s="141" t="str">
        <x:v>Silver</x:v>
      </x:c>
      <x:c r="B131" s="155" t="n">
        <x:v>42822</x:v>
      </x:c>
      <x:c r="C131" s="155" t="n">
        <x:v>42825</x:v>
      </x:c>
      <x:c r="D131" s="159" t="n">
        <x:v>201829</x:v>
      </x:c>
      <x:c r="E131" s="159" t="n">
        <x:v>93000</x:v>
      </x:c>
      <x:c r="F131" s="159" t="n">
        <x:v>11830</x:v>
      </x:c>
      <x:c r="G131" s="159" t="n">
        <x:f>E131-F131</x:f>
        <x:v>81170</x:v>
      </x:c>
      <x:c r="H131" s="154" t="n">
        <x:f>IFERROR(G131/D131,"")</x:f>
        <x:v>0.4021721358179449</x:v>
      </x:c>
      <x:c r="I131" s="159" t="n">
        <x:v>12889</x:v>
      </x:c>
      <x:c r="J131" s="159" t="n">
        <x:v>78660</x:v>
      </x:c>
      <x:c r="K131" s="159" t="n">
        <x:f>I131-J131</x:f>
        <x:v>-65771</x:v>
      </x:c>
      <x:c r="L131" s="154" t="n">
        <x:f>IFERROR(K131/D131,"")</x:f>
        <x:v>-0.32587487427475736</x:v>
      </x:c>
    </x:row>
    <x:row r="132">
      <x:c r="A132" s="141" t="str">
        <x:v>Gold</x:v>
      </x:c>
      <x:c r="B132" s="155" t="n">
        <x:v>42829</x:v>
      </x:c>
      <x:c r="C132" s="155" t="n">
        <x:v>42832</x:v>
      </x:c>
      <x:c r="D132" s="159" t="n">
        <x:v>427808</x:v>
      </x:c>
      <x:c r="E132" s="159" t="n">
        <x:v>163428</x:v>
      </x:c>
      <x:c r="F132" s="159" t="n">
        <x:v>54302</x:v>
      </x:c>
      <x:c r="G132" s="159" t="n">
        <x:f>E132-F132</x:f>
        <x:v>109126</x:v>
      </x:c>
      <x:c r="H132" s="154" t="n">
        <x:f>IFERROR(G132/D132,"")</x:f>
        <x:v>0.2550817189019373</x:v>
      </x:c>
      <x:c r="I132" s="159" t="n">
        <x:v>16834</x:v>
      </x:c>
      <x:c r="J132" s="159" t="n">
        <x:v>139711</x:v>
      </x:c>
      <x:c r="K132" s="159" t="n">
        <x:f>I132-J132</x:f>
        <x:v>-122877</x:v>
      </x:c>
      <x:c r="L132" s="154" t="n">
        <x:f>IFERROR(K132/D132,"")</x:f>
        <x:v>-0.2872246428304286</x:v>
      </x:c>
    </x:row>
    <x:row r="133">
      <x:c r="A133" s="141" t="str">
        <x:v>Silver</x:v>
      </x:c>
      <x:c r="B133" s="155" t="n">
        <x:v>42829</x:v>
      </x:c>
      <x:c r="C133" s="155" t="n">
        <x:v>42832</x:v>
      </x:c>
      <x:c r="D133" s="159" t="n">
        <x:v>219160</x:v>
      </x:c>
      <x:c r="E133" s="159" t="n">
        <x:v>107825</x:v>
      </x:c>
      <x:c r="F133" s="159" t="n">
        <x:v>14751</x:v>
      </x:c>
      <x:c r="G133" s="159" t="n">
        <x:f>E133-F133</x:f>
        <x:v>93074</x:v>
      </x:c>
      <x:c r="H133" s="154" t="n">
        <x:f>IFERROR(G133/D133,"")</x:f>
        <x:v>0.42468516152582586</x:v>
      </x:c>
      <x:c r="I133" s="159" t="n">
        <x:v>13241</x:v>
      </x:c>
      <x:c r="J133" s="159" t="n">
        <x:v>84388</x:v>
      </x:c>
      <x:c r="K133" s="159" t="n">
        <x:f>I133-J133</x:f>
        <x:v>-71147</x:v>
      </x:c>
      <x:c r="L133" s="154" t="n">
        <x:f>IFERROR(K133/D133,"")</x:f>
        <x:v>-0.3246349698850155</x:v>
      </x:c>
    </x:row>
    <x:row r="134">
      <x:c r="A134" s="141" t="str">
        <x:v>Gold</x:v>
      </x:c>
      <x:c r="B134" s="155" t="n">
        <x:v>42836</x:v>
      </x:c>
      <x:c r="C134" s="155" t="n">
        <x:v>42839</x:v>
      </x:c>
      <x:c r="D134" s="159" t="n">
        <x:v>456131</x:v>
      </x:c>
      <x:c r="E134" s="159" t="n">
        <x:v>179841</x:v>
      </x:c>
      <x:c r="F134" s="159" t="n">
        <x:v>46830</x:v>
      </x:c>
      <x:c r="G134" s="159" t="n">
        <x:f>E134-F134</x:f>
        <x:v>133011</x:v>
      </x:c>
      <x:c r="H134" s="154" t="n">
        <x:f>IFERROR(G134/D134,"")</x:f>
        <x:v>0.2916070164053748</x:v>
      </x:c>
      <x:c r="I134" s="159" t="n">
        <x:v>17653</x:v>
      </x:c>
      <x:c r="J134" s="159" t="n">
        <x:v>153297</x:v>
      </x:c>
      <x:c r="K134" s="159" t="n">
        <x:f>I134-J134</x:f>
        <x:v>-135644</x:v>
      </x:c>
      <x:c r="L134" s="154" t="n">
        <x:f>IFERROR(K134/D134,"")</x:f>
        <x:v>-0.297379480894743</x:v>
      </x:c>
    </x:row>
    <x:row r="135">
      <x:c r="A135" s="141" t="str">
        <x:v>Silver</x:v>
      </x:c>
      <x:c r="B135" s="155" t="n">
        <x:v>42836</x:v>
      </x:c>
      <x:c r="C135" s="155" t="n">
        <x:v>42839</x:v>
      </x:c>
      <x:c r="D135" s="159" t="n">
        <x:v>220172</x:v>
      </x:c>
      <x:c r="E135" s="159" t="n">
        <x:v>114249</x:v>
      </x:c>
      <x:c r="F135" s="159" t="n">
        <x:v>15685</x:v>
      </x:c>
      <x:c r="G135" s="159" t="n">
        <x:f>E135-F135</x:f>
        <x:v>98564</x:v>
      </x:c>
      <x:c r="H135" s="154" t="n">
        <x:f>IFERROR(G135/D135,"")</x:f>
        <x:v>0.4476681866904057</x:v>
      </x:c>
      <x:c r="I135" s="159" t="n">
        <x:v>12030</x:v>
      </x:c>
      <x:c r="J135" s="159" t="n">
        <x:v>84890</x:v>
      </x:c>
      <x:c r="K135" s="159" t="n">
        <x:f>I135-J135</x:f>
        <x:v>-72860</x:v>
      </x:c>
      <x:c r="L135" s="154" t="n">
        <x:f>IFERROR(K135/D135,"")</x:f>
        <x:v>-0.3309230964882001</x:v>
      </x:c>
    </x:row>
    <x:row r="136">
      <x:c r="A136" s="141" t="str">
        <x:v>Gold</x:v>
      </x:c>
      <x:c r="B136" s="155" t="n">
        <x:v>42843</x:v>
      </x:c>
      <x:c r="C136" s="155" t="n">
        <x:v>42846</x:v>
      </x:c>
      <x:c r="D136" s="159" t="n">
        <x:v>472263</x:v>
      </x:c>
      <x:c r="E136" s="159" t="n">
        <x:v>199001</x:v>
      </x:c>
      <x:c r="F136" s="159" t="n">
        <x:v>47765</x:v>
      </x:c>
      <x:c r="G136" s="159" t="n">
        <x:f>E136-F136</x:f>
        <x:v>151236</x:v>
      </x:c>
      <x:c r="H136" s="154" t="n">
        <x:f>IFERROR(G136/D136,"")</x:f>
        <x:v>0.3202368171971973</x:v>
      </x:c>
      <x:c r="I136" s="159" t="n">
        <x:v>17577</x:v>
      </x:c>
      <x:c r="J136" s="159" t="n">
        <x:v>167357</x:v>
      </x:c>
      <x:c r="K136" s="159" t="n">
        <x:f>I136-J136</x:f>
        <x:v>-149780</x:v>
      </x:c>
      <x:c r="L136" s="154" t="n">
        <x:f>IFERROR(K136/D136,"")</x:f>
        <x:v>-0.3171537893080762</x:v>
      </x:c>
    </x:row>
    <x:row r="137">
      <x:c r="A137" s="141" t="str">
        <x:v>Silver</x:v>
      </x:c>
      <x:c r="B137" s="155" t="n">
        <x:v>42843</x:v>
      </x:c>
      <x:c r="C137" s="155" t="n">
        <x:v>42846</x:v>
      </x:c>
      <x:c r="D137" s="159" t="n">
        <x:v>227984</x:v>
      </x:c>
      <x:c r="E137" s="159" t="n">
        <x:v>110289</x:v>
      </x:c>
      <x:c r="F137" s="159" t="n">
        <x:v>13983</x:v>
      </x:c>
      <x:c r="G137" s="159" t="n">
        <x:f>E137-F137</x:f>
        <x:v>96306</x:v>
      </x:c>
      <x:c r="H137" s="154" t="n">
        <x:f>IFERROR(G137/D137,"")</x:f>
        <x:v>0.4224243806582918</x:v>
      </x:c>
      <x:c r="I137" s="159" t="n">
        <x:v>10563</x:v>
      </x:c>
      <x:c r="J137" s="159" t="n">
        <x:v>85466</x:v>
      </x:c>
      <x:c r="K137" s="159" t="n">
        <x:f>I137-J137</x:f>
        <x:v>-74903</x:v>
      </x:c>
      <x:c r="L137" s="154" t="n">
        <x:f>IFERROR(K137/D137,"")</x:f>
        <x:v>-0.3285449856130255</x:v>
      </x:c>
    </x:row>
    <x:row r="138">
      <x:c r="A138" s="141" t="str">
        <x:v>Gold</x:v>
      </x:c>
      <x:c r="B138" s="155" t="n">
        <x:v>42850</x:v>
      </x:c>
      <x:c r="C138" s="155" t="n">
        <x:v>42853</x:v>
      </x:c>
      <x:c r="D138" s="159" t="n">
        <x:v>475985</x:v>
      </x:c>
      <x:c r="E138" s="159" t="n">
        <x:v>207394</x:v>
      </x:c>
      <x:c r="F138" s="159" t="n">
        <x:v>47014</x:v>
      </x:c>
      <x:c r="G138" s="159" t="n">
        <x:f>E138-F138</x:f>
        <x:v>160380</x:v>
      </x:c>
      <x:c r="H138" s="154" t="n">
        <x:f>IFERROR(G138/D138,"")</x:f>
        <x:v>0.3369433910732481</x:v>
      </x:c>
      <x:c r="I138" s="159" t="n">
        <x:v>17618</x:v>
      </x:c>
      <x:c r="J138" s="159" t="n">
        <x:v>169292</x:v>
      </x:c>
      <x:c r="K138" s="159" t="n">
        <x:f>I138-J138</x:f>
        <x:v>-151674</x:v>
      </x:c>
      <x:c r="L138" s="154" t="n">
        <x:f>IFERROR(K138/D138,"")</x:f>
        <x:v>-0.31865289872580016</x:v>
      </x:c>
    </x:row>
    <x:row r="139">
      <x:c r="A139" s="141" t="str">
        <x:v>Silver</x:v>
      </x:c>
      <x:c r="B139" s="155" t="n">
        <x:v>42850</x:v>
      </x:c>
      <x:c r="C139" s="155" t="n">
        <x:v>42853</x:v>
      </x:c>
      <x:c r="D139" s="159" t="n">
        <x:v>214782</x:v>
      </x:c>
      <x:c r="E139" s="159" t="n">
        <x:v>99509</x:v>
      </x:c>
      <x:c r="F139" s="159" t="n">
        <x:v>19298</x:v>
      </x:c>
      <x:c r="G139" s="159" t="n">
        <x:f>E139-F139</x:f>
        <x:v>80211</x:v>
      </x:c>
      <x:c r="H139" s="154" t="n">
        <x:f>IFERROR(G139/D139,"")</x:f>
        <x:v>0.37345308266055816</x:v>
      </x:c>
      <x:c r="I139" s="159" t="n">
        <x:v>9817</x:v>
      </x:c>
      <x:c r="J139" s="159" t="n">
        <x:v>79079</x:v>
      </x:c>
      <x:c r="K139" s="159" t="n">
        <x:f>I139-J139</x:f>
        <x:v>-69262</x:v>
      </x:c>
      <x:c r="L139" s="154" t="n">
        <x:f>IFERROR(K139/D139,"")</x:f>
        <x:v>-0.3224758126844894</x:v>
      </x:c>
    </x:row>
    <x:row r="140">
      <x:c r="A140" s="141" t="str">
        <x:v>Gold</x:v>
      </x:c>
      <x:c r="B140" s="155" t="n">
        <x:v>42857</x:v>
      </x:c>
      <x:c r="C140" s="155" t="n">
        <x:v>42860</x:v>
      </x:c>
      <x:c r="D140" s="159" t="n">
        <x:v>461905</x:v>
      </x:c>
      <x:c r="E140" s="159" t="n">
        <x:v>195331</x:v>
      </x:c>
      <x:c r="F140" s="159" t="n">
        <x:v>51720</x:v>
      </x:c>
      <x:c r="G140" s="159" t="n">
        <x:f>E140-F140</x:f>
        <x:v>143611</x:v>
      </x:c>
      <x:c r="H140" s="154" t="n">
        <x:f>IFERROR(G140/D140,"")</x:f>
        <x:v>0.31091025210811746</x:v>
      </x:c>
      <x:c r="I140" s="159" t="n">
        <x:v>17427</x:v>
      </x:c>
      <x:c r="J140" s="159" t="n">
        <x:v>170723</x:v>
      </x:c>
      <x:c r="K140" s="159" t="n">
        <x:f>I140-J140</x:f>
        <x:v>-153296</x:v>
      </x:c>
      <x:c r="L140" s="154" t="n">
        <x:f>IFERROR(K140/D140,"")</x:f>
        <x:v>-0.33187776707331595</x:v>
      </x:c>
    </x:row>
    <x:row r="141">
      <x:c r="A141" s="141" t="str">
        <x:v>Silver</x:v>
      </x:c>
      <x:c r="B141" s="155" t="n">
        <x:v>42857</x:v>
      </x:c>
      <x:c r="C141" s="155" t="n">
        <x:v>42860</x:v>
      </x:c>
      <x:c r="D141" s="159" t="n">
        <x:v>189240</x:v>
      </x:c>
      <x:c r="E141" s="159" t="n">
        <x:v>78203</x:v>
      </x:c>
      <x:c r="F141" s="159" t="n">
        <x:v>23827</x:v>
      </x:c>
      <x:c r="G141" s="159" t="n">
        <x:f>E141-F141</x:f>
        <x:v>54376</x:v>
      </x:c>
      <x:c r="H141" s="154" t="n">
        <x:f>IFERROR(G141/D141,"")</x:f>
        <x:v>0.28733882900021135</x:v>
      </x:c>
      <x:c r="I141" s="159" t="n">
        <x:v>10800</x:v>
      </x:c>
      <x:c r="J141" s="159" t="n">
        <x:v>66819</x:v>
      </x:c>
      <x:c r="K141" s="159" t="n">
        <x:f>I141-J141</x:f>
        <x:v>-56019</x:v>
      </x:c>
      <x:c r="L141" s="154" t="n">
        <x:f>IFERROR(K141/D141,"")</x:f>
        <x:v>-0.29602092580849715</x:v>
      </x:c>
    </x:row>
    <x:row r="142">
      <x:c r="A142" s="141" t="str">
        <x:v>Gold</x:v>
      </x:c>
      <x:c r="B142" s="155" t="n">
        <x:v>42864</x:v>
      </x:c>
      <x:c r="C142" s="155" t="n">
        <x:v>42867</x:v>
      </x:c>
      <x:c r="D142" s="159" t="n">
        <x:v>433033</x:v>
      </x:c>
      <x:c r="E142" s="159" t="n">
        <x:v>151419</x:v>
      </x:c>
      <x:c r="F142" s="159" t="n">
        <x:v>55457</x:v>
      </x:c>
      <x:c r="G142" s="159" t="n">
        <x:f>E142-F142</x:f>
        <x:v>95962</x:v>
      </x:c>
      <x:c r="H142" s="154" t="n">
        <x:f>IFERROR(G142/D142,"")</x:f>
        <x:v>0.22160435809741982</x:v>
      </x:c>
      <x:c r="I142" s="159" t="n">
        <x:v>17259</x:v>
      </x:c>
      <x:c r="J142" s="159" t="n">
        <x:v>155245</x:v>
      </x:c>
      <x:c r="K142" s="159" t="n">
        <x:f>I142-J142</x:f>
        <x:v>-137986</x:v>
      </x:c>
      <x:c r="L142" s="154" t="n">
        <x:f>IFERROR(K142/D142,"")</x:f>
        <x:v>-0.31865007978606713</x:v>
      </x:c>
    </x:row>
    <x:row r="143">
      <x:c r="A143" s="141" t="str">
        <x:v>Silver</x:v>
      </x:c>
      <x:c r="B143" s="155" t="n">
        <x:v>42864</x:v>
      </x:c>
      <x:c r="C143" s="155" t="n">
        <x:v>42867</x:v>
      </x:c>
      <x:c r="D143" s="159" t="n">
        <x:v>196083</x:v>
      </x:c>
      <x:c r="E143" s="159" t="n">
        <x:v>67963</x:v>
      </x:c>
      <x:c r="F143" s="159" t="n">
        <x:v>34862</x:v>
      </x:c>
      <x:c r="G143" s="159" t="n">
        <x:f>E143-F143</x:f>
        <x:v>33101</x:v>
      </x:c>
      <x:c r="H143" s="154" t="n">
        <x:f>IFERROR(G143/D143,"")</x:f>
        <x:v>0.16881116669981588</x:v>
      </x:c>
      <x:c r="I143" s="159" t="n">
        <x:v>12415</x:v>
      </x:c>
      <x:c r="J143" s="159" t="n">
        <x:v>59509</x:v>
      </x:c>
      <x:c r="K143" s="159" t="n">
        <x:f>I143-J143</x:f>
        <x:v>-47094</x:v>
      </x:c>
      <x:c r="L143" s="154" t="n">
        <x:f>IFERROR(K143/D143,"")</x:f>
        <x:v>-0.24017380395036797</x:v>
      </x:c>
    </x:row>
    <x:row r="144">
      <x:c r="A144" s="141" t="str">
        <x:v>Gold</x:v>
      </x:c>
      <x:c r="B144" s="155" t="n">
        <x:v>42871</x:v>
      </x:c>
      <x:c r="C144" s="155" t="n">
        <x:v>42874</x:v>
      </x:c>
      <x:c r="D144" s="159" t="n">
        <x:v>435021</x:v>
      </x:c>
      <x:c r="E144" s="159" t="n">
        <x:v>132094</x:v>
      </x:c>
      <x:c r="F144" s="159" t="n">
        <x:v>66226</x:v>
      </x:c>
      <x:c r="G144" s="159" t="n">
        <x:f>E144-F144</x:f>
        <x:v>65868</x:v>
      </x:c>
      <x:c r="H144" s="154" t="n">
        <x:f>IFERROR(G144/D144,"")</x:f>
        <x:v>0.15141338004372204</x:v>
      </x:c>
      <x:c r="I144" s="159" t="n">
        <x:v>20336</x:v>
      </x:c>
      <x:c r="J144" s="159" t="n">
        <x:v>148925</x:v>
      </x:c>
      <x:c r="K144" s="159" t="n">
        <x:f>I144-J144</x:f>
        <x:v>-128589</x:v>
      </x:c>
      <x:c r="L144" s="154" t="n">
        <x:f>IFERROR(K144/D144,"")</x:f>
        <x:v>-0.29559262656285556</x:v>
      </x:c>
    </x:row>
    <x:row r="145">
      <x:c r="A145" s="141" t="str">
        <x:v>Silver</x:v>
      </x:c>
      <x:c r="B145" s="155" t="n">
        <x:v>42871</x:v>
      </x:c>
      <x:c r="C145" s="155" t="n">
        <x:v>42874</x:v>
      </x:c>
      <x:c r="D145" s="159" t="n">
        <x:v>215127</x:v>
      </x:c>
      <x:c r="E145" s="159" t="n">
        <x:v>68867</x:v>
      </x:c>
      <x:c r="F145" s="159" t="n">
        <x:v>51020</x:v>
      </x:c>
      <x:c r="G145" s="159" t="n">
        <x:f>E145-F145</x:f>
        <x:v>17847</x:v>
      </x:c>
      <x:c r="H145" s="154" t="n">
        <x:f>IFERROR(G145/D145,"")</x:f>
        <x:v>0.08296029787056018</x:v>
      </x:c>
      <x:c r="I145" s="159" t="n">
        <x:v>13952</x:v>
      </x:c>
      <x:c r="J145" s="159" t="n">
        <x:v>56681</x:v>
      </x:c>
      <x:c r="K145" s="159" t="n">
        <x:f>I145-J145</x:f>
        <x:v>-42729</x:v>
      </x:c>
      <x:c r="L145" s="154" t="n">
        <x:f>IFERROR(K145/D145,"")</x:f>
        <x:v>-0.1986222092066547</x:v>
      </x:c>
    </x:row>
    <x:row r="146">
      <x:c r="A146" s="141" t="str">
        <x:v>Gold</x:v>
      </x:c>
      <x:c r="B146" s="155" t="n">
        <x:v>42878</x:v>
      </x:c>
      <x:c r="C146" s="155" t="n">
        <x:v>42881</x:v>
      </x:c>
      <x:c r="D146" s="159" t="n">
        <x:v>462572</x:v>
      </x:c>
      <x:c r="E146" s="159" t="n">
        <x:v>161893</x:v>
      </x:c>
      <x:c r="F146" s="159" t="n">
        <x:v>50845</x:v>
      </x:c>
      <x:c r="G146" s="159" t="n">
        <x:f>E146-F146</x:f>
        <x:v>111048</x:v>
      </x:c>
      <x:c r="H146" s="154" t="n">
        <x:f>IFERROR(G146/D146,"")</x:f>
        <x:v>0.24006641128300027</x:v>
      </x:c>
      <x:c r="I146" s="159" t="n">
        <x:v>19274</x:v>
      </x:c>
      <x:c r="J146" s="159" t="n">
        <x:v>166109</x:v>
      </x:c>
      <x:c r="K146" s="159" t="n">
        <x:f>I146-J146</x:f>
        <x:v>-146835</x:v>
      </x:c>
      <x:c r="L146" s="154" t="n">
        <x:f>IFERROR(K146/D146,"")</x:f>
        <x:v>-0.31743166469219924</x:v>
      </x:c>
    </x:row>
    <x:row r="147">
      <x:c r="A147" s="141" t="str">
        <x:v>Silver</x:v>
      </x:c>
      <x:c r="B147" s="155" t="n">
        <x:v>42878</x:v>
      </x:c>
      <x:c r="C147" s="155" t="n">
        <x:v>42881</x:v>
      </x:c>
      <x:c r="D147" s="159" t="n">
        <x:v>203459</x:v>
      </x:c>
      <x:c r="E147" s="159" t="n">
        <x:v>68477</x:v>
      </x:c>
      <x:c r="F147" s="159" t="n">
        <x:v>38617</x:v>
      </x:c>
      <x:c r="G147" s="159" t="n">
        <x:f>E147-F147</x:f>
        <x:v>29860</x:v>
      </x:c>
      <x:c r="H147" s="154" t="n">
        <x:f>IFERROR(G147/D147,"")</x:f>
        <x:v>0.1467617554396709</x:v>
      </x:c>
      <x:c r="I147" s="159" t="n">
        <x:v>12998</x:v>
      </x:c>
      <x:c r="J147" s="159" t="n">
        <x:v>60749</x:v>
      </x:c>
      <x:c r="K147" s="159" t="n">
        <x:f>I147-J147</x:f>
        <x:v>-47751</x:v>
      </x:c>
      <x:c r="L147" s="154" t="n">
        <x:f>IFERROR(K147/D147,"")</x:f>
        <x:v>-0.23469593382450518</x:v>
      </x:c>
    </x:row>
    <x:row r="148">
      <x:c r="A148" s="141" t="str">
        <x:v>Gold</x:v>
      </x:c>
      <x:c r="B148" s="155" t="n">
        <x:v>42885</x:v>
      </x:c>
      <x:c r="C148" s="155" t="n">
        <x:v>42888</x:v>
      </x:c>
      <x:c r="D148" s="159" t="n">
        <x:v>434246</x:v>
      </x:c>
      <x:c r="E148" s="159" t="n">
        <x:v>175304</x:v>
      </x:c>
      <x:c r="F148" s="159" t="n">
        <x:v>51171</x:v>
      </x:c>
      <x:c r="G148" s="159" t="n">
        <x:f>E148-F148</x:f>
        <x:v>124133</x:v>
      </x:c>
      <x:c r="H148" s="154" t="n">
        <x:f>IFERROR(G148/D148,"")</x:f>
        <x:v>0.28585870681595227</x:v>
      </x:c>
      <x:c r="I148" s="159" t="n">
        <x:v>21570</x:v>
      </x:c>
      <x:c r="J148" s="159" t="n">
        <x:v>177812</x:v>
      </x:c>
      <x:c r="K148" s="159" t="n">
        <x:f>I148-J148</x:f>
        <x:v>-156242</x:v>
      </x:c>
      <x:c r="L148" s="154" t="n">
        <x:f>IFERROR(K148/D148,"")</x:f>
        <x:v>-0.3598006659819549</x:v>
      </x:c>
    </x:row>
    <x:row r="149">
      <x:c r="A149" s="141" t="str">
        <x:v>Silver</x:v>
      </x:c>
      <x:c r="B149" s="155" t="n">
        <x:v>42885</x:v>
      </x:c>
      <x:c r="C149" s="155" t="n">
        <x:v>42888</x:v>
      </x:c>
      <x:c r="D149" s="159" t="n">
        <x:v>205235</x:v>
      </x:c>
      <x:c r="E149" s="159" t="n">
        <x:v>70790</x:v>
      </x:c>
      <x:c r="F149" s="159" t="n">
        <x:v>28714</x:v>
      </x:c>
      <x:c r="G149" s="159" t="n">
        <x:f>E149-F149</x:f>
        <x:v>42076</x:v>
      </x:c>
      <x:c r="H149" s="154" t="n">
        <x:f>IFERROR(G149/D149,"")</x:f>
        <x:v>0.20501376470874852</x:v>
      </x:c>
      <x:c r="I149" s="159" t="n">
        <x:v>13438</x:v>
      </x:c>
      <x:c r="J149" s="159" t="n">
        <x:v>66909</x:v>
      </x:c>
      <x:c r="K149" s="159" t="n">
        <x:f>I149-J149</x:f>
        <x:v>-53471</x:v>
      </x:c>
      <x:c r="L149" s="154" t="n">
        <x:f>IFERROR(K149/D149,"")</x:f>
        <x:v>-0.2605354837137915</x:v>
      </x:c>
    </x:row>
    <x:row r="150">
      <x:c r="A150" s="141" t="str">
        <x:v>Gold</x:v>
      </x:c>
      <x:c r="B150" s="155" t="n">
        <x:v>42892</x:v>
      </x:c>
      <x:c r="C150" s="155" t="n">
        <x:v>42895</x:v>
      </x:c>
      <x:c r="D150" s="159" t="n">
        <x:v>494041</x:v>
      </x:c>
      <x:c r="E150" s="159" t="n">
        <x:v>229476</x:v>
      </x:c>
      <x:c r="F150" s="159" t="n">
        <x:v>63427</x:v>
      </x:c>
      <x:c r="G150" s="159" t="n">
        <x:f>E150-F150</x:f>
        <x:v>166049</x:v>
      </x:c>
      <x:c r="H150" s="154" t="n">
        <x:f>IFERROR(G150/D150,"")</x:f>
        <x:v>0.33610368370236476</x:v>
      </x:c>
      <x:c r="I150" s="159" t="n">
        <x:v>18528</x:v>
      </x:c>
      <x:c r="J150" s="159" t="n">
        <x:v>192484</x:v>
      </x:c>
      <x:c r="K150" s="159" t="n">
        <x:f>I150-J150</x:f>
        <x:v>-173956</x:v>
      </x:c>
      <x:c r="L150" s="154" t="n">
        <x:f>IFERROR(K150/D150,"")</x:f>
        <x:v>-0.352108428247858</x:v>
      </x:c>
    </x:row>
    <x:row r="151">
      <x:c r="A151" s="141" t="str">
        <x:v>Silver</x:v>
      </x:c>
      <x:c r="B151" s="155" t="n">
        <x:v>42892</x:v>
      </x:c>
      <x:c r="C151" s="155" t="n">
        <x:v>42895</x:v>
      </x:c>
      <x:c r="D151" s="159" t="n">
        <x:v>208967</x:v>
      </x:c>
      <x:c r="E151" s="159" t="n">
        <x:v>78394</x:v>
      </x:c>
      <x:c r="F151" s="159" t="n">
        <x:v>28168</x:v>
      </x:c>
      <x:c r="G151" s="159" t="n">
        <x:f>E151-F151</x:f>
        <x:v>50226</x:v>
      </x:c>
      <x:c r="H151" s="154" t="n">
        <x:f>IFERROR(G151/D151,"")</x:f>
        <x:v>0.24035374006422067</x:v>
      </x:c>
      <x:c r="I151" s="159" t="n">
        <x:v>13522</x:v>
      </x:c>
      <x:c r="J151" s="159" t="n">
        <x:v>71161</x:v>
      </x:c>
      <x:c r="K151" s="159" t="n">
        <x:f>I151-J151</x:f>
        <x:v>-57639</x:v>
      </x:c>
      <x:c r="L151" s="154" t="n">
        <x:f>IFERROR(K151/D151,"")</x:f>
        <x:v>-0.2758282408227136</x:v>
      </x:c>
    </x:row>
    <x:row r="152">
      <x:c r="A152" s="141" t="str">
        <x:v>Gold</x:v>
      </x:c>
      <x:c r="B152" s="155" t="n">
        <x:v>42899</x:v>
      </x:c>
      <x:c r="C152" s="155" t="n">
        <x:v>42902</x:v>
      </x:c>
      <x:c r="D152" s="159" t="n">
        <x:v>471134</x:v>
      </x:c>
      <x:c r="E152" s="159" t="n">
        <x:v>214955</x:v>
      </x:c>
      <x:c r="F152" s="159" t="n">
        <x:v>67459</x:v>
      </x:c>
      <x:c r="G152" s="159" t="n">
        <x:f>E152-F152</x:f>
        <x:v>147496</x:v>
      </x:c>
      <x:c r="H152" s="154" t="n">
        <x:f>IFERROR(G152/D152,"")</x:f>
        <x:v>0.3130659217971957</x:v>
      </x:c>
      <x:c r="I152" s="159" t="n">
        <x:v>16856</x:v>
      </x:c>
      <x:c r="J152" s="159" t="n">
        <x:v>183073</x:v>
      </x:c>
      <x:c r="K152" s="159" t="n">
        <x:f>I152-J152</x:f>
        <x:v>-166217</x:v>
      </x:c>
      <x:c r="L152" s="154" t="n">
        <x:f>IFERROR(K152/D152,"")</x:f>
        <x:v>-0.35280196292349947</x:v>
      </x:c>
    </x:row>
    <x:row r="153">
      <x:c r="A153" s="141" t="str">
        <x:v>Silver</x:v>
      </x:c>
      <x:c r="B153" s="155" t="n">
        <x:v>42899</x:v>
      </x:c>
      <x:c r="C153" s="155" t="n">
        <x:v>42902</x:v>
      </x:c>
      <x:c r="D153" s="159" t="n">
        <x:v>201214</x:v>
      </x:c>
      <x:c r="E153" s="159" t="n">
        <x:v>77308</x:v>
      </x:c>
      <x:c r="F153" s="159" t="n">
        <x:v>33378</x:v>
      </x:c>
      <x:c r="G153" s="159" t="n">
        <x:f>E153-F153</x:f>
        <x:v>43930</x:v>
      </x:c>
      <x:c r="H153" s="154" t="n">
        <x:f>IFERROR(G153/D153,"")</x:f>
        <x:v>0.2183247686542686</x:v>
      </x:c>
      <x:c r="I153" s="159" t="n">
        <x:v>13383</x:v>
      </x:c>
      <x:c r="J153" s="159" t="n">
        <x:v>68151</x:v>
      </x:c>
      <x:c r="K153" s="159" t="n">
        <x:f>I153-J153</x:f>
        <x:v>-54768</x:v>
      </x:c>
      <x:c r="L153" s="154" t="n">
        <x:f>IFERROR(K153/D153,"")</x:f>
        <x:v>-0.27218781993300667</x:v>
      </x:c>
    </x:row>
    <x:row r="154">
      <x:c r="A154" s="141" t="str">
        <x:v>Gold</x:v>
      </x:c>
      <x:c r="B154" s="155" t="n">
        <x:v>42906</x:v>
      </x:c>
      <x:c r="C154" s="155" t="n">
        <x:v>42909</x:v>
      </x:c>
      <x:c r="D154" s="159" t="n">
        <x:v>445841</x:v>
      </x:c>
      <x:c r="E154" s="159" t="n">
        <x:v>165035</x:v>
      </x:c>
      <x:c r="F154" s="159" t="n">
        <x:v>65659</x:v>
      </x:c>
      <x:c r="G154" s="159" t="n">
        <x:f>E154-F154</x:f>
        <x:v>99376</x:v>
      </x:c>
      <x:c r="H154" s="154" t="n">
        <x:f>IFERROR(G154/D154,"")</x:f>
        <x:v>0.222895606281163</x:v>
      </x:c>
      <x:c r="I154" s="159" t="n">
        <x:v>16301</x:v>
      </x:c>
      <x:c r="J154" s="159" t="n">
        <x:v>164235</x:v>
      </x:c>
      <x:c r="K154" s="159" t="n">
        <x:f>I154-J154</x:f>
        <x:v>-147934</x:v>
      </x:c>
      <x:c r="L154" s="154" t="n">
        <x:f>IFERROR(K154/D154,"")</x:f>
        <x:v>-0.331808873567034</x:v>
      </x:c>
    </x:row>
    <x:row r="155">
      <x:c r="A155" s="141" t="str">
        <x:v>Silver</x:v>
      </x:c>
      <x:c r="B155" s="155" t="n">
        <x:v>42906</x:v>
      </x:c>
      <x:c r="C155" s="155" t="n">
        <x:v>42909</x:v>
      </x:c>
      <x:c r="D155" s="159" t="n">
        <x:v>199929</x:v>
      </x:c>
      <x:c r="E155" s="159" t="n">
        <x:v>68683</x:v>
      </x:c>
      <x:c r="F155" s="159" t="n">
        <x:v>42364</x:v>
      </x:c>
      <x:c r="G155" s="159" t="n">
        <x:f>E155-F155</x:f>
        <x:v>26319</x:v>
      </x:c>
      <x:c r="H155" s="154" t="n">
        <x:f>IFERROR(G155/D155,"")</x:f>
        <x:v>0.13164173281514938</x:v>
      </x:c>
      <x:c r="I155" s="159" t="n">
        <x:v>15743</x:v>
      </x:c>
      <x:c r="J155" s="159" t="n">
        <x:v>63142</x:v>
      </x:c>
      <x:c r="K155" s="159" t="n">
        <x:f>I155-J155</x:f>
        <x:v>-47399</x:v>
      </x:c>
      <x:c r="L155" s="154" t="n">
        <x:f>IFERROR(K155/D155,"")</x:f>
        <x:v>-0.23707916310290153</x:v>
      </x:c>
    </x:row>
    <x:row r="156">
      <x:c r="A156" s="141" t="str">
        <x:v>Gold</x:v>
      </x:c>
      <x:c r="B156" s="155" t="n">
        <x:v>42913</x:v>
      </x:c>
      <x:c r="C156" s="155" t="n">
        <x:v>42916</x:v>
      </x:c>
      <x:c r="D156" s="159" t="n">
        <x:v>453144</x:v>
      </x:c>
      <x:c r="E156" s="159" t="n">
        <x:v>144515</x:v>
      </x:c>
      <x:c r="F156" s="159" t="n">
        <x:v>71860</x:v>
      </x:c>
      <x:c r="G156" s="159" t="n">
        <x:f>E156-F156</x:f>
        <x:v>72655</x:v>
      </x:c>
      <x:c r="H156" s="154" t="n">
        <x:f>IFERROR(G156/D156,"")</x:f>
        <x:v>0.16033534593859788</x:v>
      </x:c>
      <x:c r="I156" s="159" t="n">
        <x:v>16646</x:v>
      </x:c>
      <x:c r="J156" s="159" t="n">
        <x:v>156631</x:v>
      </x:c>
      <x:c r="K156" s="159" t="n">
        <x:f>I156-J156</x:f>
        <x:v>-139985</x:v>
      </x:c>
      <x:c r="L156" s="154" t="n">
        <x:f>IFERROR(K156/D156,"")</x:f>
        <x:v>-0.30891946048055363</x:v>
      </x:c>
    </x:row>
    <x:row r="157">
      <x:c r="A157" s="141" t="str">
        <x:v>Silver</x:v>
      </x:c>
      <x:c r="B157" s="155" t="n">
        <x:v>42913</x:v>
      </x:c>
      <x:c r="C157" s="155" t="n">
        <x:v>42916</x:v>
      </x:c>
      <x:c r="D157" s="159" t="n">
        <x:v>204637</x:v>
      </x:c>
      <x:c r="E157" s="159" t="n">
        <x:v>64435</x:v>
      </x:c>
      <x:c r="F157" s="159" t="n">
        <x:v>52602</x:v>
      </x:c>
      <x:c r="G157" s="159" t="n">
        <x:f>E157-F157</x:f>
        <x:v>11833</x:v>
      </x:c>
      <x:c r="H157" s="154" t="n">
        <x:f>IFERROR(G157/D157,"")</x:f>
        <x:v>0.05782434261643789</x:v>
      </x:c>
      <x:c r="I157" s="159" t="n">
        <x:v>16161</x:v>
      </x:c>
      <x:c r="J157" s="159" t="n">
        <x:v>58520</x:v>
      </x:c>
      <x:c r="K157" s="159" t="n">
        <x:f>I157-J157</x:f>
        <x:v>-42359</x:v>
      </x:c>
      <x:c r="L157" s="154" t="n">
        <x:f>IFERROR(K157/D157,"")</x:f>
        <x:v>-0.20699580232313805</x:v>
      </x:c>
    </x:row>
    <x:row r="158">
      <x:c r="A158" s="141" t="str">
        <x:v>Gold</x:v>
      </x:c>
      <x:c r="B158" s="155" t="n">
        <x:v>42919</x:v>
      </x:c>
      <x:c r="C158" s="155" t="n">
        <x:v>42922</x:v>
      </x:c>
      <x:c r="D158" s="159" t="n">
        <x:v>457201</x:v>
      </x:c>
      <x:c r="E158" s="159" t="n">
        <x:v>129780</x:v>
      </x:c>
      <x:c r="F158" s="159" t="n">
        <x:v>96091</x:v>
      </x:c>
      <x:c r="G158" s="159" t="n">
        <x:f>E158-F158</x:f>
        <x:v>33689</x:v>
      </x:c>
      <x:c r="H158" s="154" t="n">
        <x:f>IFERROR(G158/D158,"")</x:f>
        <x:v>0.07368531564891591</x:v>
      </x:c>
      <x:c r="I158" s="159" t="n">
        <x:v>18166</x:v>
      </x:c>
      <x:c r="J158" s="159" t="n">
        <x:v>146455</x:v>
      </x:c>
      <x:c r="K158" s="159" t="n">
        <x:f>I158-J158</x:f>
        <x:v>-128289</x:v>
      </x:c>
      <x:c r="L158" s="154" t="n">
        <x:f>IFERROR(K158/D158,"")</x:f>
        <x:v>-0.2805964991327666</x:v>
      </x:c>
    </x:row>
    <x:row r="159">
      <x:c r="A159" s="141" t="str">
        <x:v>Silver</x:v>
      </x:c>
      <x:c r="B159" s="155" t="n">
        <x:v>42919</x:v>
      </x:c>
      <x:c r="C159" s="155" t="n">
        <x:v>42922</x:v>
      </x:c>
      <x:c r="D159" s="159" t="n">
        <x:v>203541</x:v>
      </x:c>
      <x:c r="E159" s="159" t="n">
        <x:v>59796</x:v>
      </x:c>
      <x:c r="F159" s="159" t="n">
        <x:v>58630</x:v>
      </x:c>
      <x:c r="G159" s="159" t="n">
        <x:f>E159-F159</x:f>
        <x:v>1166</x:v>
      </x:c>
      <x:c r="H159" s="154" t="n">
        <x:f>IFERROR(G159/D159,"")</x:f>
        <x:v>0.005728575569541271</x:v>
      </x:c>
      <x:c r="I159" s="159" t="n">
        <x:v>16485</x:v>
      </x:c>
      <x:c r="J159" s="159" t="n">
        <x:v>55588</x:v>
      </x:c>
      <x:c r="K159" s="159" t="n">
        <x:f>I159-J159</x:f>
        <x:v>-39103</x:v>
      </x:c>
      <x:c r="L159" s="154" t="n">
        <x:f>IFERROR(K159/D159,"")</x:f>
        <x:v>-0.19211362821249772</x:v>
      </x:c>
    </x:row>
    <x:row r="160">
      <x:c r="A160" s="141" t="str">
        <x:v>Gold</x:v>
      </x:c>
      <x:c r="B160" s="155" t="n">
        <x:v>42927</x:v>
      </x:c>
      <x:c r="C160" s="155" t="n">
        <x:v>42930</x:v>
      </x:c>
      <x:c r="D160" s="159" t="n">
        <x:v>475669</x:v>
      </x:c>
      <x:c r="E160" s="159" t="n">
        <x:v>123619</x:v>
      </x:c>
      <x:c r="F160" s="159" t="n">
        <x:v>100397</x:v>
      </x:c>
      <x:c r="G160" s="159" t="n">
        <x:f>E160-F160</x:f>
        <x:v>23222</x:v>
      </x:c>
      <x:c r="H160" s="154" t="n">
        <x:f>IFERROR(G160/D160,"")</x:f>
        <x:v>0.048819662412307716</x:v>
      </x:c>
      <x:c r="I160" s="159" t="n">
        <x:v>24005</x:v>
      </x:c>
      <x:c r="J160" s="159" t="n">
        <x:v>141642</x:v>
      </x:c>
      <x:c r="K160" s="159" t="n">
        <x:f>I160-J160</x:f>
        <x:v>-117637</x:v>
      </x:c>
      <x:c r="L160" s="154" t="n">
        <x:f>IFERROR(K160/D160,"")</x:f>
        <x:v>-0.2473085275685403</x:v>
      </x:c>
    </x:row>
    <x:row r="161">
      <x:c r="A161" s="141" t="str">
        <x:v>Silver</x:v>
      </x:c>
      <x:c r="B161" s="155" t="n">
        <x:v>42927</x:v>
      </x:c>
      <x:c r="C161" s="155" t="n">
        <x:v>42930</x:v>
      </x:c>
      <x:c r="D161" s="159" t="n">
        <x:v>207592</x:v>
      </x:c>
      <x:c r="E161" s="159" t="n">
        <x:v>55697</x:v>
      </x:c>
      <x:c r="F161" s="159" t="n">
        <x:v>62058</x:v>
      </x:c>
      <x:c r="G161" s="159" t="n">
        <x:f>E161-F161</x:f>
        <x:v>-6361</x:v>
      </x:c>
      <x:c r="H161" s="154" t="n">
        <x:f>IFERROR(G161/D161,"")</x:f>
        <x:v>-0.030641835908898223</x:v>
      </x:c>
      <x:c r="I161" s="159" t="n">
        <x:v>16641</x:v>
      </x:c>
      <x:c r="J161" s="159" t="n">
        <x:v>49957</x:v>
      </x:c>
      <x:c r="K161" s="159" t="n">
        <x:f>I161-J161</x:f>
        <x:v>-33316</x:v>
      </x:c>
      <x:c r="L161" s="154" t="n">
        <x:f>IFERROR(K161/D161,"")</x:f>
        <x:v>-0.1604878800724498</x:v>
      </x:c>
    </x:row>
    <x:row r="162">
      <x:c r="A162" s="141" t="str">
        <x:v>Gold</x:v>
      </x:c>
      <x:c r="B162" s="155" t="n">
        <x:v>42934</x:v>
      </x:c>
      <x:c r="C162" s="155" t="n">
        <x:v>42937</x:v>
      </x:c>
      <x:c r="D162" s="159" t="n">
        <x:v>484204</x:v>
      </x:c>
      <x:c r="E162" s="159" t="n">
        <x:v>127028</x:v>
      </x:c>
      <x:c r="F162" s="159" t="n">
        <x:v>98115</x:v>
      </x:c>
      <x:c r="G162" s="159" t="n">
        <x:f>E162-F162</x:f>
        <x:v>28913</x:v>
      </x:c>
      <x:c r="H162" s="154" t="n">
        <x:f>IFERROR(G162/D162,"")</x:f>
        <x:v>0.05971243525456213</x:v>
      </x:c>
      <x:c r="I162" s="159" t="n">
        <x:v>24116</x:v>
      </x:c>
      <x:c r="J162" s="159" t="n">
        <x:v>144914</x:v>
      </x:c>
      <x:c r="K162" s="159" t="n">
        <x:f>I162-J162</x:f>
        <x:v>-120798</x:v>
      </x:c>
      <x:c r="L162" s="154" t="n">
        <x:f>IFERROR(K162/D162,"")</x:f>
        <x:v>-0.24947749295751379</x:v>
      </x:c>
    </x:row>
    <x:row r="163">
      <x:c r="A163" s="141" t="str">
        <x:v>Silver</x:v>
      </x:c>
      <x:c r="B163" s="155" t="n">
        <x:v>42934</x:v>
      </x:c>
      <x:c r="C163" s="155" t="n">
        <x:v>42937</x:v>
      </x:c>
      <x:c r="D163" s="159" t="n">
        <x:v>209689</x:v>
      </x:c>
      <x:c r="E163" s="159" t="n">
        <x:v>58827</x:v>
      </x:c>
      <x:c r="F163" s="159" t="n">
        <x:v>65913</x:v>
      </x:c>
      <x:c r="G163" s="159" t="n">
        <x:f>E163-F163</x:f>
        <x:v>-7086</x:v>
      </x:c>
      <x:c r="H163" s="154" t="n">
        <x:f>IFERROR(G163/D163,"")</x:f>
        <x:v>-0.03379290282275179</x:v>
      </x:c>
      <x:c r="I163" s="159" t="n">
        <x:v>16100</x:v>
      </x:c>
      <x:c r="J163" s="159" t="n">
        <x:v>49048</x:v>
      </x:c>
      <x:c r="K163" s="159" t="n">
        <x:f>I163-J163</x:f>
        <x:v>-32948</x:v>
      </x:c>
      <x:c r="L163" s="154" t="n">
        <x:f>IFERROR(K163/D163,"")</x:f>
        <x:v>-0.1571279370877824</x:v>
      </x:c>
    </x:row>
    <x:row r="164">
      <x:c r="A164" s="141" t="str">
        <x:v>Gold</x:v>
      </x:c>
      <x:c r="B164" s="155" t="n">
        <x:v>42941</x:v>
      </x:c>
      <x:c r="C164" s="155" t="n">
        <x:v>42944</x:v>
      </x:c>
      <x:c r="D164" s="159" t="n">
        <x:v>463827</x:v>
      </x:c>
      <x:c r="E164" s="159" t="n">
        <x:v>136359</x:v>
      </x:c>
      <x:c r="F164" s="159" t="n">
        <x:v>62735</x:v>
      </x:c>
      <x:c r="G164" s="159" t="n">
        <x:f>E164-F164</x:f>
        <x:v>73624</x:v>
      </x:c>
      <x:c r="H164" s="154" t="n">
        <x:f>IFERROR(G164/D164,"")</x:f>
        <x:v>0.15873159604766432</x:v>
      </x:c>
      <x:c r="I164" s="159" t="n">
        <x:v>21746</x:v>
      </x:c>
      <x:c r="J164" s="159" t="n">
        <x:v>159307</x:v>
      </x:c>
      <x:c r="K164" s="159" t="n">
        <x:f>I164-J164</x:f>
        <x:v>-137561</x:v>
      </x:c>
      <x:c r="L164" s="154" t="n">
        <x:f>IFERROR(K164/D164,"")</x:f>
        <x:v>-0.29657825008031014</x:v>
      </x:c>
    </x:row>
    <x:row r="165">
      <x:c r="A165" s="141" t="str">
        <x:v>Silver</x:v>
      </x:c>
      <x:c r="B165" s="155" t="n">
        <x:v>42941</x:v>
      </x:c>
      <x:c r="C165" s="155" t="n">
        <x:v>42944</x:v>
      </x:c>
      <x:c r="D165" s="159" t="n">
        <x:v>206347</x:v>
      </x:c>
      <x:c r="E165" s="159" t="n">
        <x:v>61965</x:v>
      </x:c>
      <x:c r="F165" s="159" t="n">
        <x:v>53745</x:v>
      </x:c>
      <x:c r="G165" s="159" t="n">
        <x:f>E165-F165</x:f>
        <x:v>8220</x:v>
      </x:c>
      <x:c r="H165" s="154" t="n">
        <x:f>IFERROR(G165/D165,"")</x:f>
        <x:v>0.03983581055212821</x:v>
      </x:c>
      <x:c r="I165" s="159" t="n">
        <x:v>15464</x:v>
      </x:c>
      <x:c r="J165" s="159" t="n">
        <x:v>52455</x:v>
      </x:c>
      <x:c r="K165" s="159" t="n">
        <x:f>I165-J165</x:f>
        <x:v>-36991</x:v>
      </x:c>
      <x:c r="L165" s="154" t="n">
        <x:f>IFERROR(K165/D165,"")</x:f>
        <x:v>-0.17926599369024024</x:v>
      </x:c>
    </x:row>
    <x:row r="166">
      <x:c r="A166" s="141" t="str">
        <x:v>Gold</x:v>
      </x:c>
      <x:c r="B166" s="155" t="n">
        <x:v>42948</x:v>
      </x:c>
      <x:c r="C166" s="155" t="n">
        <x:v>42951</x:v>
      </x:c>
      <x:c r="D166" s="159" t="n">
        <x:v>448709</x:v>
      </x:c>
      <x:c r="E166" s="159" t="n">
        <x:v>158082</x:v>
      </x:c>
      <x:c r="F166" s="159" t="n">
        <x:v>39624</x:v>
      </x:c>
      <x:c r="G166" s="159" t="n">
        <x:f>E166-F166</x:f>
        <x:v>118458</x:v>
      </x:c>
      <x:c r="H166" s="154" t="n">
        <x:f>IFERROR(G166/D166,"")</x:f>
        <x:v>0.2639973791477327</x:v>
      </x:c>
      <x:c r="I166" s="159" t="n">
        <x:v>19082</x:v>
      </x:c>
      <x:c r="J166" s="159" t="n">
        <x:v>167618</x:v>
      </x:c>
      <x:c r="K166" s="159" t="n">
        <x:f>I166-J166</x:f>
        <x:v>-148536</x:v>
      </x:c>
      <x:c r="L166" s="154" t="n">
        <x:f>IFERROR(K166/D166,"")</x:f>
        <x:v>-0.3310296873920514</x:v>
      </x:c>
    </x:row>
    <x:row r="167">
      <x:c r="A167" s="141" t="str">
        <x:v>Silver</x:v>
      </x:c>
      <x:c r="B167" s="155" t="n">
        <x:v>42948</x:v>
      </x:c>
      <x:c r="C167" s="155" t="n">
        <x:v>42951</x:v>
      </x:c>
      <x:c r="D167" s="159" t="n">
        <x:v>207258</x:v>
      </x:c>
      <x:c r="E167" s="159" t="n">
        <x:v>66461</x:v>
      </x:c>
      <x:c r="F167" s="159" t="n">
        <x:v>43427</x:v>
      </x:c>
      <x:c r="G167" s="159" t="n">
        <x:f>E167-F167</x:f>
        <x:v>23034</x:v>
      </x:c>
      <x:c r="H167" s="154" t="n">
        <x:f>IFERROR(G167/D167,"")</x:f>
        <x:v>0.11113684393364792</x:v>
      </x:c>
      <x:c r="I167" s="159" t="n">
        <x:v>14834</x:v>
      </x:c>
      <x:c r="J167" s="159" t="n">
        <x:v>55303</x:v>
      </x:c>
      <x:c r="K167" s="159" t="n">
        <x:f>I167-J167</x:f>
        <x:v>-40469</x:v>
      </x:c>
      <x:c r="L167" s="154" t="n">
        <x:f>IFERROR(K167/D167,"")</x:f>
        <x:v>-0.1952590491078752</x:v>
      </x:c>
    </x:row>
    <x:row r="168">
      <x:c r="A168" s="141" t="str">
        <x:v>Gold</x:v>
      </x:c>
      <x:c r="B168" s="155" t="n">
        <x:v>42955</x:v>
      </x:c>
      <x:c r="C168" s="155" t="n">
        <x:v>42958</x:v>
      </x:c>
      <x:c r="D168" s="159" t="n">
        <x:v>448727</x:v>
      </x:c>
      <x:c r="E168" s="159" t="n">
        <x:v>164828</x:v>
      </x:c>
      <x:c r="F168" s="159" t="n">
        <x:v>28843</x:v>
      </x:c>
      <x:c r="G168" s="159" t="n">
        <x:f>E168-F168</x:f>
        <x:v>135985</x:v>
      </x:c>
      <x:c r="H168" s="154" t="n">
        <x:f>IFERROR(G168/D168,"")</x:f>
        <x:v>0.3030461728400564</x:v>
      </x:c>
      <x:c r="I168" s="159" t="n">
        <x:v>19019</x:v>
      </x:c>
      <x:c r="J168" s="159" t="n">
        <x:v>168329</x:v>
      </x:c>
      <x:c r="K168" s="159" t="n">
        <x:f>I168-J168</x:f>
        <x:v>-149310</x:v>
      </x:c>
      <x:c r="L168" s="154" t="n">
        <x:f>IFERROR(K168/D168,"")</x:f>
        <x:v>-0.3327412881328737</x:v>
      </x:c>
    </x:row>
    <x:row r="169">
      <x:c r="A169" s="141" t="str">
        <x:v>Silver</x:v>
      </x:c>
      <x:c r="B169" s="155" t="n">
        <x:v>42955</x:v>
      </x:c>
      <x:c r="C169" s="155" t="n">
        <x:v>42958</x:v>
      </x:c>
      <x:c r="D169" s="159" t="n">
        <x:v>195163</x:v>
      </x:c>
      <x:c r="E169" s="159" t="n">
        <x:v>66456</x:v>
      </x:c>
      <x:c r="F169" s="159" t="n">
        <x:v>38936</x:v>
      </x:c>
      <x:c r="G169" s="159" t="n">
        <x:f>E169-F169</x:f>
        <x:v>27520</x:v>
      </x:c>
      <x:c r="H169" s="154" t="n">
        <x:f>IFERROR(G169/D169,"")</x:f>
        <x:v>0.14101033495078472</x:v>
      </x:c>
      <x:c r="I169" s="159" t="n">
        <x:v>14615</x:v>
      </x:c>
      <x:c r="J169" s="159" t="n">
        <x:v>55792</x:v>
      </x:c>
      <x:c r="K169" s="159" t="n">
        <x:f>I169-J169</x:f>
        <x:v>-41177</x:v>
      </x:c>
      <x:c r="L169" s="154" t="n">
        <x:f>IFERROR(K169/D169,"")</x:f>
        <x:v>-0.21098773845452262</x:v>
      </x:c>
    </x:row>
    <x:row r="170">
      <x:c r="A170" s="141" t="str">
        <x:v>Gold</x:v>
      </x:c>
      <x:c r="B170" s="155" t="n">
        <x:v>42962</x:v>
      </x:c>
      <x:c r="C170" s="155" t="n">
        <x:v>42965</x:v>
      </x:c>
      <x:c r="D170" s="159" t="n">
        <x:v>477921</x:v>
      </x:c>
      <x:c r="E170" s="159" t="n">
        <x:v>195433</x:v>
      </x:c>
      <x:c r="F170" s="159" t="n">
        <x:v>18877</x:v>
      </x:c>
      <x:c r="G170" s="159" t="n">
        <x:f>E170-F170</x:f>
        <x:v>176556</x:v>
      </x:c>
      <x:c r="H170" s="154" t="n">
        <x:f>IFERROR(G170/D170,"")</x:f>
        <x:v>0.36942507234459254</x:v>
      </x:c>
      <x:c r="I170" s="159" t="n">
        <x:v>16379</x:v>
      </x:c>
      <x:c r="J170" s="159" t="n">
        <x:v>179160</x:v>
      </x:c>
      <x:c r="K170" s="159" t="n">
        <x:f>I170-J170</x:f>
        <x:v>-162781</x:v>
      </x:c>
      <x:c r="L170" s="154" t="n">
        <x:f>IFERROR(K170/D170,"")</x:f>
        <x:v>-0.34060231711935657</x:v>
      </x:c>
    </x:row>
    <x:row r="171">
      <x:c r="A171" s="141" t="str">
        <x:v>Silver</x:v>
      </x:c>
      <x:c r="B171" s="155" t="n">
        <x:v>42962</x:v>
      </x:c>
      <x:c r="C171" s="155" t="n">
        <x:v>42965</x:v>
      </x:c>
      <x:c r="D171" s="159" t="n">
        <x:v>187955</x:v>
      </x:c>
      <x:c r="E171" s="159" t="n">
        <x:v>68024</x:v>
      </x:c>
      <x:c r="F171" s="159" t="n">
        <x:v>31064</x:v>
      </x:c>
      <x:c r="G171" s="159" t="n">
        <x:f>E171-F171</x:f>
        <x:v>36960</x:v>
      </x:c>
      <x:c r="H171" s="154" t="n">
        <x:f>IFERROR(G171/D171,"")</x:f>
        <x:v>0.19664281343938708</x:v>
      </x:c>
      <x:c r="I171" s="159" t="n">
        <x:v>12072</x:v>
      </x:c>
      <x:c r="J171" s="159" t="n">
        <x:v>59186</x:v>
      </x:c>
      <x:c r="K171" s="159" t="n">
        <x:f>I171-J171</x:f>
        <x:v>-47114</x:v>
      </x:c>
      <x:c r="L171" s="154" t="n">
        <x:f>IFERROR(K171/D171,"")</x:f>
        <x:v>-0.2506663829108031</x:v>
      </x:c>
    </x:row>
    <x:row r="172">
      <x:c r="A172" s="141" t="str">
        <x:v>Gold</x:v>
      </x:c>
      <x:c r="B172" s="155" t="n">
        <x:v>42969</x:v>
      </x:c>
      <x:c r="C172" s="155" t="n">
        <x:v>42972</x:v>
      </x:c>
      <x:c r="D172" s="159" t="n">
        <x:v>500443</x:v>
      </x:c>
      <x:c r="E172" s="159" t="n">
        <x:v>209717</x:v>
      </x:c>
      <x:c r="F172" s="159" t="n">
        <x:v>15638</x:v>
      </x:c>
      <x:c r="G172" s="159" t="n">
        <x:f>E172-F172</x:f>
        <x:v>194079</x:v>
      </x:c>
      <x:c r="H172" s="154" t="n">
        <x:f>IFERROR(G172/D172,"")</x:f>
        <x:v>0.38781439644474996</x:v>
      </x:c>
      <x:c r="I172" s="159" t="n">
        <x:v>15981</x:v>
      </x:c>
      <x:c r="J172" s="159" t="n">
        <x:v>195128</x:v>
      </x:c>
      <x:c r="K172" s="159" t="n">
        <x:f>I172-J172</x:f>
        <x:v>-179147</x:v>
      </x:c>
      <x:c r="L172" s="154" t="n">
        <x:f>IFERROR(K172/D172,"")</x:f>
        <x:v>-0.3579768325263816</x:v>
      </x:c>
    </x:row>
    <x:row r="173">
      <x:c r="A173" s="141" t="str">
        <x:v>Silver</x:v>
      </x:c>
      <x:c r="B173" s="155" t="n">
        <x:v>42969</x:v>
      </x:c>
      <x:c r="C173" s="155" t="n">
        <x:v>42972</x:v>
      </x:c>
      <x:c r="D173" s="159" t="n">
        <x:v>187227</x:v>
      </x:c>
      <x:c r="E173" s="159" t="n">
        <x:v>68740</x:v>
      </x:c>
      <x:c r="F173" s="159" t="n">
        <x:v>24493</x:v>
      </x:c>
      <x:c r="G173" s="159" t="n">
        <x:f>E173-F173</x:f>
        <x:v>44247</x:v>
      </x:c>
      <x:c r="H173" s="154" t="n">
        <x:f>IFERROR(G173/D173,"")</x:f>
        <x:v>0.23632809370443367</x:v>
      </x:c>
      <x:c r="I173" s="159" t="n">
        <x:v>10775</x:v>
      </x:c>
      <x:c r="J173" s="159" t="n">
        <x:v>62011</x:v>
      </x:c>
      <x:c r="K173" s="159" t="n">
        <x:f>I173-J173</x:f>
        <x:v>-51236</x:v>
      </x:c>
      <x:c r="L173" s="154" t="n">
        <x:f>IFERROR(K173/D173,"")</x:f>
        <x:v>-0.2736571114208955</x:v>
      </x:c>
    </x:row>
    <x:row r="174">
      <x:c r="A174" s="141" t="str">
        <x:v>Gold</x:v>
      </x:c>
      <x:c r="B174" s="155" t="n">
        <x:v>42976</x:v>
      </x:c>
      <x:c r="C174" s="155" t="n">
        <x:v>42979</x:v>
      </x:c>
      <x:c r="D174" s="159" t="n">
        <x:v>538875</x:v>
      </x:c>
      <x:c r="E174" s="159" t="n">
        <x:v>235065</x:v>
      </x:c>
      <x:c r="F174" s="159" t="n">
        <x:v>13939</x:v>
      </x:c>
      <x:c r="G174" s="159" t="n">
        <x:f>E174-F174</x:f>
        <x:v>221126</x:v>
      </x:c>
      <x:c r="H174" s="154" t="n">
        <x:f>IFERROR(G174/D174,"")</x:f>
        <x:v>0.41034748318255626</x:v>
      </x:c>
      <x:c r="I174" s="159" t="n">
        <x:v>17352</x:v>
      </x:c>
      <x:c r="J174" s="159" t="n">
        <x:v>205953</x:v>
      </x:c>
      <x:c r="K174" s="159" t="n">
        <x:f>I174-J174</x:f>
        <x:v>-188601</x:v>
      </x:c>
      <x:c r="L174" s="154" t="n">
        <x:f>IFERROR(K174/D174,"")</x:f>
        <x:v>-0.34999025748086293</x:v>
      </x:c>
    </x:row>
    <x:row r="175">
      <x:c r="A175" s="141" t="str">
        <x:v>Silver</x:v>
      </x:c>
      <x:c r="B175" s="155" t="n">
        <x:v>42976</x:v>
      </x:c>
      <x:c r="C175" s="155" t="n">
        <x:v>42979</x:v>
      </x:c>
      <x:c r="D175" s="159" t="n">
        <x:v>182823</x:v>
      </x:c>
      <x:c r="E175" s="159" t="n">
        <x:v>70525</x:v>
      </x:c>
      <x:c r="F175" s="159" t="n">
        <x:v>18096</x:v>
      </x:c>
      <x:c r="G175" s="159" t="n">
        <x:f>E175-F175</x:f>
        <x:v>52429</x:v>
      </x:c>
      <x:c r="H175" s="154" t="n">
        <x:f>IFERROR(G175/D175,"")</x:f>
        <x:v>0.28677463995230357</x:v>
      </x:c>
      <x:c r="I175" s="159" t="n">
        <x:v>8538</x:v>
      </x:c>
      <x:c r="J175" s="159" t="n">
        <x:v>66275</x:v>
      </x:c>
      <x:c r="K175" s="159" t="n">
        <x:f>I175-J175</x:f>
        <x:v>-57737</x:v>
      </x:c>
      <x:c r="L175" s="154" t="n">
        <x:f>IFERROR(K175/D175,"")</x:f>
        <x:v>-0.31580818605974087</x:v>
      </x:c>
    </x:row>
    <x:row r="176">
      <x:c r="A176" s="141" t="str">
        <x:v>Gold</x:v>
      </x:c>
      <x:c r="B176" s="155" t="n">
        <x:v>42983</x:v>
      </x:c>
      <x:c r="C176" s="155" t="n">
        <x:v>42986</x:v>
      </x:c>
      <x:c r="D176" s="159" t="n">
        <x:v>566817</x:v>
      </x:c>
      <x:c r="E176" s="159" t="n">
        <x:v>251489</x:v>
      </x:c>
      <x:c r="F176" s="159" t="n">
        <x:v>14301</x:v>
      </x:c>
      <x:c r="G176" s="159" t="n">
        <x:f>E176-F176</x:f>
        <x:v>237188</x:v>
      </x:c>
      <x:c r="H176" s="154" t="n">
        <x:f>IFERROR(G176/D176,"")</x:f>
        <x:v>0.41845604489632454</x:v>
      </x:c>
      <x:c r="I176" s="159" t="n">
        <x:v>18473</x:v>
      </x:c>
      <x:c r="J176" s="159" t="n">
        <x:v>212267</x:v>
      </x:c>
      <x:c r="K176" s="159" t="n">
        <x:f>I176-J176</x:f>
        <x:v>-193794</x:v>
      </x:c>
      <x:c r="L176" s="154" t="n">
        <x:f>IFERROR(K176/D176,"")</x:f>
        <x:v>-0.34189870804862943</x:v>
      </x:c>
    </x:row>
    <x:row r="177">
      <x:c r="A177" s="141" t="str">
        <x:v>Silver</x:v>
      </x:c>
      <x:c r="B177" s="155" t="n">
        <x:v>42983</x:v>
      </x:c>
      <x:c r="C177" s="155" t="n">
        <x:v>42986</x:v>
      </x:c>
      <x:c r="D177" s="159" t="n">
        <x:v>183276</x:v>
      </x:c>
      <x:c r="E177" s="159" t="n">
        <x:v>73395</x:v>
      </x:c>
      <x:c r="F177" s="159" t="n">
        <x:v>11217</x:v>
      </x:c>
      <x:c r="G177" s="159" t="n">
        <x:f>E177-F177</x:f>
        <x:v>62178</x:v>
      </x:c>
      <x:c r="H177" s="154" t="n">
        <x:f>IFERROR(G177/D177,"")</x:f>
        <x:v>0.3392588227591174</x:v>
      </x:c>
      <x:c r="I177" s="159" t="n">
        <x:v>8452</x:v>
      </x:c>
      <x:c r="J177" s="159" t="n">
        <x:v>72439</x:v>
      </x:c>
      <x:c r="K177" s="159" t="n">
        <x:f>I177-J177</x:f>
        <x:v>-63987</x:v>
      </x:c>
      <x:c r="L177" s="154" t="n">
        <x:f>IFERROR(K177/D177,"")</x:f>
        <x:v>-0.34912918221698425</x:v>
      </x:c>
    </x:row>
    <x:row r="178">
      <x:c r="A178" s="141" t="str">
        <x:v>Gold</x:v>
      </x:c>
      <x:c r="B178" s="155" t="n">
        <x:v>42990</x:v>
      </x:c>
      <x:c r="C178" s="155" t="n">
        <x:v>42993</x:v>
      </x:c>
      <x:c r="D178" s="159" t="n">
        <x:v>580606</x:v>
      </x:c>
      <x:c r="E178" s="159" t="n">
        <x:v>270413</x:v>
      </x:c>
      <x:c r="F178" s="159" t="n">
        <x:v>16896</x:v>
      </x:c>
      <x:c r="G178" s="159" t="n">
        <x:f>E178-F178</x:f>
        <x:v>253517</x:v>
      </x:c>
      <x:c r="H178" s="154" t="n">
        <x:f>IFERROR(G178/D178,"")</x:f>
        <x:v>0.43664206019228186</x:v>
      </x:c>
      <x:c r="I178" s="159" t="n">
        <x:v>17582</x:v>
      </x:c>
      <x:c r="J178" s="159" t="n">
        <x:v>209237</x:v>
      </x:c>
      <x:c r="K178" s="159" t="n">
        <x:f>I178-J178</x:f>
        <x:v>-191655</x:v>
      </x:c>
      <x:c r="L178" s="154" t="n">
        <x:f>IFERROR(K178/D178,"")</x:f>
        <x:v>-0.33009476305790847</x:v>
      </x:c>
    </x:row>
    <x:row r="179">
      <x:c r="A179" s="141" t="str">
        <x:v>Silver</x:v>
      </x:c>
      <x:c r="B179" s="155" t="n">
        <x:v>42990</x:v>
      </x:c>
      <x:c r="C179" s="155" t="n">
        <x:v>42993</x:v>
      </x:c>
      <x:c r="D179" s="159" t="n">
        <x:v>188207</x:v>
      </x:c>
      <x:c r="E179" s="159" t="n">
        <x:v>82044</x:v>
      </x:c>
      <x:c r="F179" s="159" t="n">
        <x:v>5978</x:v>
      </x:c>
      <x:c r="G179" s="159" t="n">
        <x:f>E179-F179</x:f>
        <x:v>76066</x:v>
      </x:c>
      <x:c r="H179" s="154" t="n">
        <x:f>IFERROR(G179/D179,"")</x:f>
        <x:v>0.40416137550675585</x:v>
      </x:c>
      <x:c r="I179" s="159" t="n">
        <x:v>8696</x:v>
      </x:c>
      <x:c r="J179" s="159" t="n">
        <x:v>75437</x:v>
      </x:c>
      <x:c r="K179" s="159" t="n">
        <x:f>I179-J179</x:f>
        <x:v>-66741</x:v>
      </x:c>
      <x:c r="L179" s="154" t="n">
        <x:f>IFERROR(K179/D179,"")</x:f>
        <x:v>-0.3546148655469775</x:v>
      </x:c>
    </x:row>
    <x:row r="180">
      <x:c r="A180" s="141" t="str">
        <x:v>Gold</x:v>
      </x:c>
      <x:c r="B180" s="155" t="n">
        <x:v>42997</x:v>
      </x:c>
      <x:c r="C180" s="155" t="n">
        <x:v>43000</x:v>
      </x:c>
      <x:c r="D180" s="159" t="n">
        <x:v>570096</x:v>
      </x:c>
      <x:c r="E180" s="159" t="n">
        <x:v>251735</x:v>
      </x:c>
      <x:c r="F180" s="159" t="n">
        <x:v>18353</x:v>
      </x:c>
      <x:c r="G180" s="159" t="n">
        <x:f>E180-F180</x:f>
        <x:v>233382</x:v>
      </x:c>
      <x:c r="H180" s="154" t="n">
        <x:f>IFERROR(G180/D180,"")</x:f>
        <x:v>0.4093731582049339</x:v>
      </x:c>
      <x:c r="I180" s="159" t="n">
        <x:v>17562</x:v>
      </x:c>
      <x:c r="J180" s="159" t="n">
        <x:v>207442</x:v>
      </x:c>
      <x:c r="K180" s="159" t="n">
        <x:f>I180-J180</x:f>
        <x:v>-189880</x:v>
      </x:c>
      <x:c r="L180" s="154" t="n">
        <x:f>IFERROR(K180/D180,"")</x:f>
        <x:v>-0.33306671157138446</x:v>
      </x:c>
    </x:row>
    <x:row r="181">
      <x:c r="A181" s="141" t="str">
        <x:v>Silver</x:v>
      </x:c>
      <x:c r="B181" s="155" t="n">
        <x:v>42997</x:v>
      </x:c>
      <x:c r="C181" s="155" t="n">
        <x:v>43000</x:v>
      </x:c>
      <x:c r="D181" s="159" t="n">
        <x:v>192994</x:v>
      </x:c>
      <x:c r="E181" s="159" t="n">
        <x:v>78296</x:v>
      </x:c>
      <x:c r="F181" s="159" t="n">
        <x:v>10585</x:v>
      </x:c>
      <x:c r="G181" s="159" t="n">
        <x:f>E181-F181</x:f>
        <x:v>67711</x:v>
      </x:c>
      <x:c r="H181" s="154" t="n">
        <x:f>IFERROR(G181/D181,"")</x:f>
        <x:v>0.3508451039928702</x:v>
      </x:c>
      <x:c r="I181" s="159" t="n">
        <x:v>9326</x:v>
      </x:c>
      <x:c r="J181" s="159" t="n">
        <x:v>72800</x:v>
      </x:c>
      <x:c r="K181" s="159" t="n">
        <x:f>I181-J181</x:f>
        <x:v>-63474</x:v>
      </x:c>
      <x:c r="L181" s="154" t="n">
        <x:f>IFERROR(K181/D181,"")</x:f>
        <x:v>-0.3288910536078842</x:v>
      </x:c>
    </x:row>
    <x:row r="182">
      <x:c r="A182" s="141" t="str">
        <x:v>Gold</x:v>
      </x:c>
      <x:c r="B182" s="155" t="n">
        <x:v>43004</x:v>
      </x:c>
      <x:c r="C182" s="155" t="n">
        <x:v>43007</x:v>
      </x:c>
      <x:c r="D182" s="159" t="n">
        <x:v>549637</x:v>
      </x:c>
      <x:c r="E182" s="159" t="n">
        <x:v>219134</x:v>
      </x:c>
      <x:c r="F182" s="159" t="n">
        <x:v>23158</x:v>
      </x:c>
      <x:c r="G182" s="159" t="n">
        <x:f>E182-F182</x:f>
        <x:v>195976</x:v>
      </x:c>
      <x:c r="H182" s="154" t="n">
        <x:f>IFERROR(G182/D182,"")</x:f>
        <x:v>0.3565553265155002</x:v>
      </x:c>
      <x:c r="I182" s="159" t="n">
        <x:v>18923</x:v>
      </x:c>
      <x:c r="J182" s="159" t="n">
        <x:v>208745</x:v>
      </x:c>
      <x:c r="K182" s="159" t="n">
        <x:f>I182-J182</x:f>
        <x:v>-189822</x:v>
      </x:c>
      <x:c r="L182" s="154" t="n">
        <x:f>IFERROR(K182/D182,"")</x:f>
        <x:v>-0.3453588459292224</x:v>
      </x:c>
    </x:row>
    <x:row r="183">
      <x:c r="A183" s="141" t="str">
        <x:v>Silver</x:v>
      </x:c>
      <x:c r="B183" s="155" t="n">
        <x:v>43004</x:v>
      </x:c>
      <x:c r="C183" s="155" t="n">
        <x:v>43007</x:v>
      </x:c>
      <x:c r="D183" s="159" t="n">
        <x:v>186906</x:v>
      </x:c>
      <x:c r="E183" s="159" t="n">
        <x:v>69523</x:v>
      </x:c>
      <x:c r="F183" s="159" t="n">
        <x:v>11657</x:v>
      </x:c>
      <x:c r="G183" s="159" t="n">
        <x:f>E183-F183</x:f>
        <x:v>57866</x:v>
      </x:c>
      <x:c r="H183" s="154" t="n">
        <x:f>IFERROR(G183/D183,"")</x:f>
        <x:v>0.3095994778123763</x:v>
      </x:c>
      <x:c r="I183" s="159" t="n">
        <x:v>10080</x:v>
      </x:c>
      <x:c r="J183" s="159" t="n">
        <x:v>69963</x:v>
      </x:c>
      <x:c r="K183" s="159" t="n">
        <x:f>I183-J183</x:f>
        <x:v>-59883</x:v>
      </x:c>
      <x:c r="L183" s="154" t="n">
        <x:f>IFERROR(K183/D183,"")</x:f>
        <x:v>-0.32039099868383036</x:v>
      </x:c>
    </x:row>
    <x:row r="184">
      <x:c r="A184" s="141" t="str">
        <x:v>Gold</x:v>
      </x:c>
      <x:c r="B184" s="155" t="n">
        <x:v>43011</x:v>
      </x:c>
      <x:c r="C184" s="155" t="n">
        <x:v>43014</x:v>
      </x:c>
      <x:c r="D184" s="159" t="n">
        <x:v>525127</x:v>
      </x:c>
      <x:c r="E184" s="159" t="n">
        <x:v>204361</x:v>
      </x:c>
      <x:c r="F184" s="159" t="n">
        <x:v>24917</x:v>
      </x:c>
      <x:c r="G184" s="159" t="n">
        <x:f>E184-F184</x:f>
        <x:v>179444</x:v>
      </x:c>
      <x:c r="H184" s="154" t="n">
        <x:f>IFERROR(G184/D184,"")</x:f>
        <x:v>0.3417154326477214</x:v>
      </x:c>
      <x:c r="I184" s="159" t="n">
        <x:v>17710</x:v>
      </x:c>
      <x:c r="J184" s="159" t="n">
        <x:v>203648</x:v>
      </x:c>
      <x:c r="K184" s="159" t="n">
        <x:f>I184-J184</x:f>
        <x:v>-185938</x:v>
      </x:c>
      <x:c r="L184" s="154" t="n">
        <x:f>IFERROR(K184/D184,"")</x:f>
        <x:v>-0.35408196493419686</x:v>
      </x:c>
    </x:row>
    <x:row r="185">
      <x:c r="A185" s="141" t="str">
        <x:v>Silver</x:v>
      </x:c>
      <x:c r="B185" s="155" t="n">
        <x:v>43011</x:v>
      </x:c>
      <x:c r="C185" s="155" t="n">
        <x:v>43014</x:v>
      </x:c>
      <x:c r="D185" s="159" t="n">
        <x:v>183494</x:v>
      </x:c>
      <x:c r="E185" s="159" t="n">
        <x:v>68382</x:v>
      </x:c>
      <x:c r="F185" s="159" t="n">
        <x:v>12935</x:v>
      </x:c>
      <x:c r="G185" s="159" t="n">
        <x:f>E185-F185</x:f>
        <x:v>55447</x:v>
      </x:c>
      <x:c r="H185" s="154" t="n">
        <x:f>IFERROR(G185/D185,"")</x:f>
        <x:v>0.3021733680665308</x:v>
      </x:c>
      <x:c r="I185" s="159" t="n">
        <x:v>9402</x:v>
      </x:c>
      <x:c r="J185" s="159" t="n">
        <x:v>66046</x:v>
      </x:c>
      <x:c r="K185" s="159" t="n">
        <x:f>I185-J185</x:f>
        <x:v>-56644</x:v>
      </x:c>
      <x:c r="L185" s="154" t="n">
        <x:f>IFERROR(K185/D185,"")</x:f>
        <x:v>-0.308696742127808</x:v>
      </x:c>
    </x:row>
    <x:row r="186">
      <x:c r="A186" s="141" t="str">
        <x:v>Gold</x:v>
      </x:c>
      <x:c r="B186" s="155" t="n">
        <x:v>43018</x:v>
      </x:c>
      <x:c r="C186" s="155" t="n">
        <x:v>43021</x:v>
      </x:c>
      <x:c r="D186" s="159" t="n">
        <x:v>520005</x:v>
      </x:c>
      <x:c r="E186" s="159" t="n">
        <x:v>193154</x:v>
      </x:c>
      <x:c r="F186" s="159" t="n">
        <x:v>21824</x:v>
      </x:c>
      <x:c r="G186" s="159" t="n">
        <x:f>E186-F186</x:f>
        <x:v>171330</x:v>
      </x:c>
      <x:c r="H186" s="154" t="n">
        <x:f>IFERROR(G186/D186,"")</x:f>
        <x:v>0.32947760117691177</x:v>
      </x:c>
      <x:c r="I186" s="159" t="n">
        <x:v>18662</x:v>
      </x:c>
      <x:c r="J186" s="159" t="n">
        <x:v>201414</x:v>
      </x:c>
      <x:c r="K186" s="159" t="n">
        <x:f>I186-J186</x:f>
        <x:v>-182752</x:v>
      </x:c>
      <x:c r="L186" s="154" t="n">
        <x:f>IFERROR(K186/D186,"")</x:f>
        <x:v>-0.3514427745887059</x:v>
      </x:c>
    </x:row>
    <x:row r="187">
      <x:c r="A187" s="141" t="str">
        <x:v>Silver</x:v>
      </x:c>
      <x:c r="B187" s="155" t="n">
        <x:v>43018</x:v>
      </x:c>
      <x:c r="C187" s="155" t="n">
        <x:v>43021</x:v>
      </x:c>
      <x:c r="D187" s="159" t="n">
        <x:v>188258</x:v>
      </x:c>
      <x:c r="E187" s="159" t="n">
        <x:v>70384</x:v>
      </x:c>
      <x:c r="F187" s="159" t="n">
        <x:v>14110</x:v>
      </x:c>
      <x:c r="G187" s="159" t="n">
        <x:f>E187-F187</x:f>
        <x:v>56274</x:v>
      </x:c>
      <x:c r="H187" s="154" t="n">
        <x:f>IFERROR(G187/D187,"")</x:f>
        <x:v>0.29891956782713086</x:v>
      </x:c>
      <x:c r="I187" s="159" t="n">
        <x:v>9069</x:v>
      </x:c>
      <x:c r="J187" s="159" t="n">
        <x:v>66425</x:v>
      </x:c>
      <x:c r="K187" s="159" t="n">
        <x:f>I187-J187</x:f>
        <x:v>-57356</x:v>
      </x:c>
      <x:c r="L187" s="154" t="n">
        <x:f>IFERROR(K187/D187,"")</x:f>
        <x:v>-0.3046669995431801</x:v>
      </x:c>
    </x:row>
    <x:row r="188">
      <x:c r="A188" s="141" t="str">
        <x:v>Gold</x:v>
      </x:c>
      <x:c r="B188" s="155" t="n">
        <x:v>43025</x:v>
      </x:c>
      <x:c r="C188" s="155" t="n">
        <x:v>43028</x:v>
      </x:c>
      <x:c r="D188" s="159" t="n">
        <x:v>528800</x:v>
      </x:c>
      <x:c r="E188" s="159" t="n">
        <x:v>196555</x:v>
      </x:c>
      <x:c r="F188" s="159" t="n">
        <x:v>27040</x:v>
      </x:c>
      <x:c r="G188" s="159" t="n">
        <x:f>E188-F188</x:f>
        <x:v>169515</x:v>
      </x:c>
      <x:c r="H188" s="154" t="n">
        <x:f>IFERROR(G188/D188,"")</x:f>
        <x:v>0.32056543116490166</x:v>
      </x:c>
      <x:c r="I188" s="159" t="n">
        <x:v>18809</x:v>
      </x:c>
      <x:c r="J188" s="159" t="n">
        <x:v>206035</x:v>
      </x:c>
      <x:c r="K188" s="159" t="n">
        <x:f>I188-J188</x:f>
        <x:v>-187226</x:v>
      </x:c>
      <x:c r="L188" s="154" t="n">
        <x:f>IFERROR(K188/D188,"")</x:f>
        <x:v>-0.35405824508320727</x:v>
      </x:c>
    </x:row>
    <x:row r="189">
      <x:c r="A189" s="141" t="str">
        <x:v>Silver</x:v>
      </x:c>
      <x:c r="B189" s="155" t="n">
        <x:v>43025</x:v>
      </x:c>
      <x:c r="C189" s="155" t="n">
        <x:v>43028</x:v>
      </x:c>
      <x:c r="D189" s="159" t="n">
        <x:v>191928</x:v>
      </x:c>
      <x:c r="E189" s="159" t="n">
        <x:v>73874</x:v>
      </x:c>
      <x:c r="F189" s="159" t="n">
        <x:v>10774</x:v>
      </x:c>
      <x:c r="G189" s="159" t="n">
        <x:f>E189-F189</x:f>
        <x:v>63100</x:v>
      </x:c>
      <x:c r="H189" s="154" t="n">
        <x:f>IFERROR(G189/D189,"")</x:f>
        <x:v>0.3287691217539911</x:v>
      </x:c>
      <x:c r="I189" s="159" t="n">
        <x:v>9316</x:v>
      </x:c>
      <x:c r="J189" s="159" t="n">
        <x:v>69774</x:v>
      </x:c>
      <x:c r="K189" s="159" t="n">
        <x:f>I189-J189</x:f>
        <x:v>-60458</x:v>
      </x:c>
      <x:c r="L189" s="154" t="n">
        <x:f>IFERROR(K189/D189,"")</x:f>
        <x:v>-0.3150035429952899</x:v>
      </x:c>
    </x:row>
    <x:row r="190">
      <x:c r="A190" s="141" t="str">
        <x:v>Gold</x:v>
      </x:c>
      <x:c r="B190" s="155" t="n">
        <x:v>43032</x:v>
      </x:c>
      <x:c r="C190" s="155" t="n">
        <x:v>43035</x:v>
      </x:c>
      <x:c r="D190" s="159" t="n">
        <x:v>526674</x:v>
      </x:c>
      <x:c r="E190" s="159" t="n">
        <x:v>192701</x:v>
      </x:c>
      <x:c r="F190" s="159" t="n">
        <x:v>24333</x:v>
      </x:c>
      <x:c r="G190" s="159" t="n">
        <x:f>E190-F190</x:f>
        <x:v>168368</x:v>
      </x:c>
      <x:c r="H190" s="154" t="n">
        <x:f>IFERROR(G190/D190,"")</x:f>
        <x:v>0.31968162468623856</x:v>
      </x:c>
      <x:c r="I190" s="159" t="n">
        <x:v>18360</x:v>
      </x:c>
      <x:c r="J190" s="159" t="n">
        <x:v>201023</x:v>
      </x:c>
      <x:c r="K190" s="159" t="n">
        <x:f>I190-J190</x:f>
        <x:v>-182663</x:v>
      </x:c>
      <x:c r="L190" s="154" t="n">
        <x:f>IFERROR(K190/D190,"")</x:f>
        <x:v>-0.3468236518225696</x:v>
      </x:c>
    </x:row>
    <x:row r="191">
      <x:c r="A191" s="141" t="str">
        <x:v>Silver</x:v>
      </x:c>
      <x:c r="B191" s="155" t="n">
        <x:v>43032</x:v>
      </x:c>
      <x:c r="C191" s="155" t="n">
        <x:v>43035</x:v>
      </x:c>
      <x:c r="D191" s="159" t="n">
        <x:v>193899</x:v>
      </x:c>
      <x:c r="E191" s="159" t="n">
        <x:v>74898</x:v>
      </x:c>
      <x:c r="F191" s="159" t="n">
        <x:v>10560</x:v>
      </x:c>
      <x:c r="G191" s="159" t="n">
        <x:f>E191-F191</x:f>
        <x:v>64338</x:v>
      </x:c>
      <x:c r="H191" s="154" t="n">
        <x:f>IFERROR(G191/D191,"")</x:f>
        <x:v>0.3318119227020253</x:v>
      </x:c>
      <x:c r="I191" s="159" t="n">
        <x:v>8047</x:v>
      </x:c>
      <x:c r="J191" s="159" t="n">
        <x:v>71113</x:v>
      </x:c>
      <x:c r="K191" s="159" t="n">
        <x:f>I191-J191</x:f>
        <x:v>-63066</x:v>
      </x:c>
      <x:c r="L191" s="154" t="n">
        <x:f>IFERROR(K191/D191,"")</x:f>
        <x:v>-0.32525180635279194</x:v>
      </x:c>
    </x:row>
    <x:row r="192">
      <x:c r="A192" s="141" t="str">
        <x:v>Gold</x:v>
      </x:c>
      <x:c r="B192" s="155" t="n">
        <x:v>43039</x:v>
      </x:c>
      <x:c r="C192" s="155" t="n">
        <x:v>43042</x:v>
      </x:c>
      <x:c r="D192" s="159" t="n">
        <x:v>531918</x:v>
      </x:c>
      <x:c r="E192" s="159" t="n">
        <x:v>182652</x:v>
      </x:c>
      <x:c r="F192" s="159" t="n">
        <x:v>16687</x:v>
      </x:c>
      <x:c r="G192" s="159" t="n">
        <x:f>E192-F192</x:f>
        <x:v>165965</x:v>
      </x:c>
      <x:c r="H192" s="154" t="n">
        <x:f>IFERROR(G192/D192,"")</x:f>
        <x:v>0.31201237784771335</x:v>
      </x:c>
      <x:c r="I192" s="159" t="n">
        <x:v>17081</x:v>
      </x:c>
      <x:c r="J192" s="159" t="n">
        <x:v>200789</x:v>
      </x:c>
      <x:c r="K192" s="159" t="n">
        <x:f>I192-J192</x:f>
        <x:v>-183708</x:v>
      </x:c>
      <x:c r="L192" s="154" t="n">
        <x:f>IFERROR(K192/D192,"")</x:f>
        <x:v>-0.3453690230449054</x:v>
      </x:c>
    </x:row>
    <x:row r="193">
      <x:c r="A193" s="141" t="str">
        <x:v>Silver</x:v>
      </x:c>
      <x:c r="B193" s="155" t="n">
        <x:v>43039</x:v>
      </x:c>
      <x:c r="C193" s="155" t="n">
        <x:v>43042</x:v>
      </x:c>
      <x:c r="D193" s="159" t="n">
        <x:v>198853</x:v>
      </x:c>
      <x:c r="E193" s="159" t="n">
        <x:v>73090</x:v>
      </x:c>
      <x:c r="F193" s="159" t="n">
        <x:v>15357</x:v>
      </x:c>
      <x:c r="G193" s="159" t="n">
        <x:f>E193-F193</x:f>
        <x:v>57733</x:v>
      </x:c>
      <x:c r="H193" s="154" t="n">
        <x:f>IFERROR(G193/D193,"")</x:f>
        <x:v>0.2903300427954318</x:v>
      </x:c>
      <x:c r="I193" s="159" t="n">
        <x:v>10258</x:v>
      </x:c>
      <x:c r="J193" s="159" t="n">
        <x:v>69113</x:v>
      </x:c>
      <x:c r="K193" s="159" t="n">
        <x:f>I193-J193</x:f>
        <x:v>-58855</x:v>
      </x:c>
      <x:c r="L193" s="154" t="n">
        <x:f>IFERROR(K193/D193,"")</x:f>
        <x:v>-0.2959724017238865</x:v>
      </x:c>
    </x:row>
    <x:row r="194">
      <x:c r="A194" s="141" t="str">
        <x:v>Gold</x:v>
      </x:c>
      <x:c r="B194" s="155" t="n">
        <x:v>43046</x:v>
      </x:c>
      <x:c r="C194" s="155" t="n">
        <x:v>43049</x:v>
      </x:c>
      <x:c r="D194" s="159" t="n">
        <x:v>536843</x:v>
      </x:c>
      <x:c r="E194" s="159" t="n">
        <x:v>187782</x:v>
      </x:c>
      <x:c r="F194" s="159" t="n">
        <x:v>17070</x:v>
      </x:c>
      <x:c r="G194" s="159" t="n">
        <x:f>E194-F194</x:f>
        <x:v>170712</x:v>
      </x:c>
      <x:c r="H194" s="154" t="n">
        <x:f>IFERROR(G194/D194,"")</x:f>
        <x:v>0.3179924111891186</x:v>
      </x:c>
      <x:c r="I194" s="159" t="n">
        <x:v>17307</x:v>
      </x:c>
      <x:c r="J194" s="159" t="n">
        <x:v>198381</x:v>
      </x:c>
      <x:c r="K194" s="159" t="n">
        <x:f>I194-J194</x:f>
        <x:v>-181074</x:v>
      </x:c>
      <x:c r="L194" s="154" t="n">
        <x:f>IFERROR(K194/D194,"")</x:f>
        <x:v>-0.33729414372544675</x:v>
      </x:c>
    </x:row>
    <x:row r="195">
      <x:c r="A195" s="141" t="str">
        <x:v>Silver</x:v>
      </x:c>
      <x:c r="B195" s="155" t="n">
        <x:v>43046</x:v>
      </x:c>
      <x:c r="C195" s="155" t="n">
        <x:v>43049</x:v>
      </x:c>
      <x:c r="D195" s="159" t="n">
        <x:v>203330</x:v>
      </x:c>
      <x:c r="E195" s="159" t="n">
        <x:v>77372</x:v>
      </x:c>
      <x:c r="F195" s="159" t="n">
        <x:v>11616</x:v>
      </x:c>
      <x:c r="G195" s="159" t="n">
        <x:f>E195-F195</x:f>
        <x:v>65756</x:v>
      </x:c>
      <x:c r="H195" s="154" t="n">
        <x:f>IFERROR(G195/D195,"")</x:f>
        <x:v>0.32339546549943443</x:v>
      </x:c>
      <x:c r="I195" s="159" t="n">
        <x:v>10794</x:v>
      </x:c>
      <x:c r="J195" s="159" t="n">
        <x:v>73156</x:v>
      </x:c>
      <x:c r="K195" s="159" t="n">
        <x:f>I195-J195</x:f>
        <x:v>-62362</x:v>
      </x:c>
      <x:c r="L195" s="154" t="n">
        <x:f>IFERROR(K195/D195,"")</x:f>
        <x:v>-0.3067033885801407</x:v>
      </x:c>
    </x:row>
    <x:row r="196">
      <x:c r="A196" s="141" t="str">
        <x:v>Gold</x:v>
      </x:c>
      <x:c r="B196" s="155" t="n">
        <x:v>43053</x:v>
      </x:c>
      <x:c r="C196" s="155" t="n">
        <x:v>43056</x:v>
      </x:c>
      <x:c r="D196" s="159" t="n">
        <x:v>533054</x:v>
      </x:c>
      <x:c r="E196" s="159" t="n">
        <x:v>190657</x:v>
      </x:c>
      <x:c r="F196" s="159" t="n">
        <x:v>14559</x:v>
      </x:c>
      <x:c r="G196" s="159" t="n">
        <x:f>E196-F196</x:f>
        <x:v>176098</x:v>
      </x:c>
      <x:c r="H196" s="154" t="n">
        <x:f>IFERROR(G196/D196,"")</x:f>
        <x:v>0.33035677436057137</x:v>
      </x:c>
      <x:c r="I196" s="159" t="n">
        <x:v>18323</x:v>
      </x:c>
      <x:c r="J196" s="159" t="n">
        <x:v>202533</x:v>
      </x:c>
      <x:c r="K196" s="159" t="n">
        <x:f>I196-J196</x:f>
        <x:v>-184210</x:v>
      </x:c>
      <x:c r="L196" s="154" t="n">
        <x:f>IFERROR(K196/D196,"")</x:f>
        <x:v>-0.34557474477257466</x:v>
      </x:c>
    </x:row>
    <x:row r="197">
      <x:c r="A197" s="141" t="str">
        <x:v>Silver</x:v>
      </x:c>
      <x:c r="B197" s="155" t="n">
        <x:v>43053</x:v>
      </x:c>
      <x:c r="C197" s="155" t="n">
        <x:v>43056</x:v>
      </x:c>
      <x:c r="D197" s="159" t="n">
        <x:v>199899</x:v>
      </x:c>
      <x:c r="E197" s="159" t="n">
        <x:v>78464</x:v>
      </x:c>
      <x:c r="F197" s="159" t="n">
        <x:v>10274</x:v>
      </x:c>
      <x:c r="G197" s="159" t="n">
        <x:f>E197-F197</x:f>
        <x:v>68190</x:v>
      </x:c>
      <x:c r="H197" s="154" t="n">
        <x:f>IFERROR(G197/D197,"")</x:f>
        <x:v>0.3411222667447061</x:v>
      </x:c>
      <x:c r="I197" s="159" t="n">
        <x:v>11071</x:v>
      </x:c>
      <x:c r="J197" s="159" t="n">
        <x:v>74556</x:v>
      </x:c>
      <x:c r="K197" s="159" t="n">
        <x:f>I197-J197</x:f>
        <x:v>-63485</x:v>
      </x:c>
      <x:c r="L197" s="154" t="n">
        <x:f>IFERROR(K197/D197,"")</x:f>
        <x:v>-0.3175853806172117</x:v>
      </x:c>
    </x:row>
    <x:row r="198">
      <x:c r="A198" s="141" t="str">
        <x:v>Gold</x:v>
      </x:c>
      <x:c r="B198" s="155" t="n">
        <x:v>43060</x:v>
      </x:c>
      <x:c r="C198" s="155" t="n">
        <x:v>43063</x:v>
      </x:c>
      <x:c r="D198" s="159" t="n">
        <x:v>531612</x:v>
      </x:c>
      <x:c r="E198" s="159" t="n">
        <x:v>187292</x:v>
      </x:c>
      <x:c r="F198" s="159" t="n">
        <x:v>14137</x:v>
      </x:c>
      <x:c r="G198" s="159" t="n">
        <x:f>E198-F198</x:f>
        <x:v>173155</x:v>
      </x:c>
      <x:c r="H198" s="154" t="n">
        <x:f>IFERROR(G198/D198,"")</x:f>
        <x:v>0.32571687621799356</x:v>
      </x:c>
      <x:c r="I198" s="159" t="n">
        <x:v>19514</x:v>
      </x:c>
      <x:c r="J198" s="159" t="n">
        <x:v>204896</x:v>
      </x:c>
      <x:c r="K198" s="159" t="n">
        <x:f>I198-J198</x:f>
        <x:v>-185382</x:v>
      </x:c>
      <x:c r="L198" s="154" t="n">
        <x:f>IFERROR(K198/D198,"")</x:f>
        <x:v>-0.34871673325658564</x:v>
      </x:c>
    </x:row>
    <x:row r="199">
      <x:c r="A199" s="141" t="str">
        <x:v>Silver</x:v>
      </x:c>
      <x:c r="B199" s="155" t="n">
        <x:v>43060</x:v>
      </x:c>
      <x:c r="C199" s="155" t="n">
        <x:v>43063</x:v>
      </x:c>
      <x:c r="D199" s="159" t="n">
        <x:v>199402</x:v>
      </x:c>
      <x:c r="E199" s="159" t="n">
        <x:v>77147</x:v>
      </x:c>
      <x:c r="F199" s="159" t="n">
        <x:v>12562</x:v>
      </x:c>
      <x:c r="G199" s="159" t="n">
        <x:f>E199-F199</x:f>
        <x:v>64585</x:v>
      </x:c>
      <x:c r="H199" s="154" t="n">
        <x:f>IFERROR(G199/D199,"")</x:f>
        <x:v>0.32389344138975534</x:v>
      </x:c>
      <x:c r="I199" s="159" t="n">
        <x:v>12467</x:v>
      </x:c>
      <x:c r="J199" s="159" t="n">
        <x:v>76196</x:v>
      </x:c>
      <x:c r="K199" s="159" t="n">
        <x:f>I199-J199</x:f>
        <x:v>-63729</x:v>
      </x:c>
      <x:c r="L199" s="154" t="n">
        <x:f>IFERROR(K199/D199,"")</x:f>
        <x:v>-0.319600605811376</x:v>
      </x:c>
    </x:row>
    <x:row r="200">
      <x:c r="A200" s="141" t="str">
        <x:v>Gold</x:v>
      </x:c>
      <x:c r="B200" s="155" t="n">
        <x:v>43067</x:v>
      </x:c>
      <x:c r="C200" s="155" t="n">
        <x:v>43070</x:v>
      </x:c>
      <x:c r="D200" s="159" t="n">
        <x:v>503810</x:v>
      </x:c>
      <x:c r="E200" s="159" t="n">
        <x:v>208518</x:v>
      </x:c>
      <x:c r="F200" s="159" t="n">
        <x:v>9978</x:v>
      </x:c>
      <x:c r="G200" s="159" t="n">
        <x:f>E200-F200</x:f>
        <x:v>198540</x:v>
      </x:c>
      <x:c r="H200" s="154" t="n">
        <x:f>IFERROR(G200/D200,"")</x:f>
        <x:v>0.39407713225223795</x:v>
      </x:c>
      <x:c r="I200" s="159" t="n">
        <x:v>17891</x:v>
      </x:c>
      <x:c r="J200" s="159" t="n">
        <x:v>202648</x:v>
      </x:c>
      <x:c r="K200" s="159" t="n">
        <x:f>I200-J200</x:f>
        <x:v>-184757</x:v>
      </x:c>
      <x:c r="L200" s="154" t="n">
        <x:f>IFERROR(K200/D200,"")</x:f>
        <x:v>-0.3667195966733491</x:v>
      </x:c>
    </x:row>
    <x:row r="201">
      <x:c r="A201" s="141" t="str">
        <x:v>Silver</x:v>
      </x:c>
      <x:c r="B201" s="155" t="n">
        <x:v>43067</x:v>
      </x:c>
      <x:c r="C201" s="155" t="n">
        <x:v>43070</x:v>
      </x:c>
      <x:c r="D201" s="159" t="n">
        <x:v>186272</x:v>
      </x:c>
      <x:c r="E201" s="159" t="n">
        <x:v>69785</x:v>
      </x:c>
      <x:c r="F201" s="159" t="n">
        <x:v>13238</x:v>
      </x:c>
      <x:c r="G201" s="159" t="n">
        <x:f>E201-F201</x:f>
        <x:v>56547</x:v>
      </x:c>
      <x:c r="H201" s="154" t="n">
        <x:f>IFERROR(G201/D201,"")</x:f>
        <x:v>0.3035721954990551</x:v>
      </x:c>
      <x:c r="I201" s="159" t="n">
        <x:v>13233</x:v>
      </x:c>
      <x:c r="J201" s="159" t="n">
        <x:v>70221</x:v>
      </x:c>
      <x:c r="K201" s="159" t="n">
        <x:f>I201-J201</x:f>
        <x:v>-56988</x:v>
      </x:c>
      <x:c r="L201" s="154" t="n">
        <x:f>IFERROR(K201/D201,"")</x:f>
        <x:v>-0.30593970108228824</x:v>
      </x:c>
    </x:row>
    <x:row r="202">
      <x:c r="A202" s="141" t="str">
        <x:v>Gold</x:v>
      </x:c>
      <x:c r="B202" s="155" t="n">
        <x:v>43074</x:v>
      </x:c>
      <x:c r="C202" s="155" t="n">
        <x:v>43077</x:v>
      </x:c>
      <x:c r="D202" s="159" t="n">
        <x:v>472795</x:v>
      </x:c>
      <x:c r="E202" s="159" t="n">
        <x:v>167174</x:v>
      </x:c>
      <x:c r="F202" s="159" t="n">
        <x:v>32664</x:v>
      </x:c>
      <x:c r="G202" s="159" t="n">
        <x:f>E202-F202</x:f>
        <x:v>134510</x:v>
      </x:c>
      <x:c r="H202" s="154" t="n">
        <x:f>IFERROR(G202/D202,"")</x:f>
        <x:v>0.2844996245730179</x:v>
      </x:c>
      <x:c r="I202" s="159" t="n">
        <x:v>20819</x:v>
      </x:c>
      <x:c r="J202" s="159" t="n">
        <x:v>179239</x:v>
      </x:c>
      <x:c r="K202" s="159" t="n">
        <x:f>I202-J202</x:f>
        <x:v>-158420</x:v>
      </x:c>
      <x:c r="L202" s="154" t="n">
        <x:f>IFERROR(K202/D202,"")</x:f>
        <x:v>-0.33507122537251877</x:v>
      </x:c>
    </x:row>
    <x:row r="203">
      <x:c r="A203" s="141" t="str">
        <x:v>Silver</x:v>
      </x:c>
      <x:c r="B203" s="155" t="n">
        <x:v>43074</x:v>
      </x:c>
      <x:c r="C203" s="155" t="n">
        <x:v>43077</x:v>
      </x:c>
      <x:c r="D203" s="159" t="n">
        <x:v>192970</x:v>
      </x:c>
      <x:c r="E203" s="159" t="n">
        <x:v>57446</x:v>
      </x:c>
      <x:c r="F203" s="159" t="n">
        <x:v>35814</x:v>
      </x:c>
      <x:c r="G203" s="159" t="n">
        <x:f>E203-F203</x:f>
        <x:v>21632</x:v>
      </x:c>
      <x:c r="H203" s="154" t="n">
        <x:f>IFERROR(G203/D203,"")</x:f>
        <x:v>0.11210032647561798</x:v>
      </x:c>
      <x:c r="I203" s="159" t="n">
        <x:v>15232</x:v>
      </x:c>
      <x:c r="J203" s="159" t="n">
        <x:v>57403</x:v>
      </x:c>
      <x:c r="K203" s="159" t="n">
        <x:f>I203-J203</x:f>
        <x:v>-42171</x:v>
      </x:c>
      <x:c r="L203" s="154" t="n">
        <x:f>IFERROR(K203/D203,"")</x:f>
        <x:v>-0.21853656008706016</x:v>
      </x:c>
    </x:row>
    <x:row r="204">
      <x:c r="A204" s="141" t="str">
        <x:v>Gold</x:v>
      </x:c>
      <x:c r="B204" s="155" t="n">
        <x:v>43081</x:v>
      </x:c>
      <x:c r="C204" s="155" t="n">
        <x:v>43084</x:v>
      </x:c>
      <x:c r="D204" s="159" t="n">
        <x:v>446618</x:v>
      </x:c>
      <x:c r="E204" s="159" t="n">
        <x:v>123139</x:v>
      </x:c>
      <x:c r="F204" s="159" t="n">
        <x:v>46913</x:v>
      </x:c>
      <x:c r="G204" s="159" t="n">
        <x:f>E204-F204</x:f>
        <x:v>76226</x:v>
      </x:c>
      <x:c r="H204" s="154" t="n">
        <x:f>IFERROR(G204/D204,"")</x:f>
        <x:v>0.17067381968483133</x:v>
      </x:c>
      <x:c r="I204" s="159" t="n">
        <x:v>19245</x:v>
      </x:c>
      <x:c r="J204" s="159" t="n">
        <x:v>150986</x:v>
      </x:c>
      <x:c r="K204" s="159" t="n">
        <x:f>I204-J204</x:f>
        <x:v>-131741</x:v>
      </x:c>
      <x:c r="L204" s="154" t="n">
        <x:f>IFERROR(K204/D204,"")</x:f>
        <x:v>-0.29497467634533314</x:v>
      </x:c>
    </x:row>
    <x:row r="205">
      <x:c r="A205" s="141" t="str">
        <x:v>Silver</x:v>
      </x:c>
      <x:c r="B205" s="155" t="n">
        <x:v>43081</x:v>
      </x:c>
      <x:c r="C205" s="155" t="n">
        <x:v>43084</x:v>
      </x:c>
      <x:c r="D205" s="159" t="n">
        <x:v>202797</x:v>
      </x:c>
      <x:c r="E205" s="159" t="n">
        <x:v>47275</x:v>
      </x:c>
      <x:c r="F205" s="159" t="n">
        <x:v>52924</x:v>
      </x:c>
      <x:c r="G205" s="159" t="n">
        <x:f>E205-F205</x:f>
        <x:v>-5649</x:v>
      </x:c>
      <x:c r="H205" s="154" t="n">
        <x:f>IFERROR(G205/D205,"")</x:f>
        <x:v>-0.027855441648545098</x:v>
      </x:c>
      <x:c r="I205" s="159" t="n">
        <x:v>16461</x:v>
      </x:c>
      <x:c r="J205" s="159" t="n">
        <x:v>50167</x:v>
      </x:c>
      <x:c r="K205" s="159" t="n">
        <x:f>I205-J205</x:f>
        <x:v>-33706</x:v>
      </x:c>
      <x:c r="L205" s="154" t="n">
        <x:f>IFERROR(K205/D205,"")</x:f>
        <x:v>-0.16620561448147655</x:v>
      </x:c>
    </x:row>
    <x:row r="206">
      <x:c r="A206" s="141" t="str">
        <x:v>Gold</x:v>
      </x:c>
      <x:c r="B206" s="155" t="n">
        <x:v>43088</x:v>
      </x:c>
      <x:c r="C206" s="155" t="n">
        <x:v>43091</x:v>
      </x:c>
      <x:c r="D206" s="159" t="n">
        <x:v>453595</x:v>
      </x:c>
      <x:c r="E206" s="159" t="n">
        <x:v>116642</x:v>
      </x:c>
      <x:c r="F206" s="159" t="n">
        <x:v>35397</x:v>
      </x:c>
      <x:c r="G206" s="159" t="n">
        <x:f>E206-F206</x:f>
        <x:v>81245</x:v>
      </x:c>
      <x:c r="H206" s="154" t="n">
        <x:f>IFERROR(G206/D206,"")</x:f>
        <x:v>0.17911352638366826</x:v>
      </x:c>
      <x:c r="I206" s="159" t="n">
        <x:v>17300</x:v>
      </x:c>
      <x:c r="J206" s="159" t="n">
        <x:v>148160</x:v>
      </x:c>
      <x:c r="K206" s="159" t="n">
        <x:f>I206-J206</x:f>
        <x:v>-130860</x:v>
      </x:c>
      <x:c r="L206" s="154" t="n">
        <x:f>IFERROR(K206/D206,"")</x:f>
        <x:v>-0.288495243554272</x:v>
      </x:c>
    </x:row>
    <x:row r="207">
      <x:c r="A207" s="141" t="str">
        <x:v>Silver</x:v>
      </x:c>
      <x:c r="B207" s="155" t="n">
        <x:v>43088</x:v>
      </x:c>
      <x:c r="C207" s="155" t="n">
        <x:v>43091</x:v>
      </x:c>
      <x:c r="D207" s="159" t="n">
        <x:v>203703</x:v>
      </x:c>
      <x:c r="E207" s="159" t="n">
        <x:v>46698</x:v>
      </x:c>
      <x:c r="F207" s="159" t="n">
        <x:v>61006</x:v>
      </x:c>
      <x:c r="G207" s="159" t="n">
        <x:f>E207-F207</x:f>
        <x:v>-14308</x:v>
      </x:c>
      <x:c r="H207" s="154" t="n">
        <x:f>IFERROR(G207/D207,"")</x:f>
        <x:v>-0.07023951537287129</x:v>
      </x:c>
      <x:c r="I207" s="159" t="n">
        <x:v>17007</x:v>
      </x:c>
      <x:c r="J207" s="159" t="n">
        <x:v>50388</x:v>
      </x:c>
      <x:c r="K207" s="159" t="n">
        <x:f>I207-J207</x:f>
        <x:v>-33381</x:v>
      </x:c>
      <x:c r="L207" s="154" t="n">
        <x:f>IFERROR(K207/D207,"")</x:f>
        <x:v>-0.16387092973593909</x:v>
      </x:c>
    </x:row>
    <x:row r="208">
      <x:c r="A208" s="141" t="str">
        <x:v>Gold</x:v>
      </x:c>
      <x:c r="B208" s="155" t="n">
        <x:v>43095</x:v>
      </x:c>
      <x:c r="C208" s="155" t="n">
        <x:v>43098</x:v>
      </x:c>
      <x:c r="D208" s="159" t="n">
        <x:v>456470</x:v>
      </x:c>
      <x:c r="E208" s="159" t="n">
        <x:v>127715</x:v>
      </x:c>
      <x:c r="F208" s="159" t="n">
        <x:v>19957</x:v>
      </x:c>
      <x:c r="G208" s="159" t="n">
        <x:f>E208-F208</x:f>
        <x:v>107758</x:v>
      </x:c>
      <x:c r="H208" s="154" t="n">
        <x:f>IFERROR(G208/D208,"")</x:f>
        <x:v>0.2360680877166079</x:v>
      </x:c>
      <x:c r="I208" s="159" t="n">
        <x:v>19715</x:v>
      </x:c>
      <x:c r="J208" s="159" t="n">
        <x:v>161264</x:v>
      </x:c>
      <x:c r="K208" s="159" t="n">
        <x:f>I208-J208</x:f>
        <x:v>-141549</x:v>
      </x:c>
      <x:c r="L208" s="154" t="n">
        <x:f>IFERROR(K208/D208,"")</x:f>
        <x:v>-0.31009485836966283</x:v>
      </x:c>
    </x:row>
    <x:row r="209">
      <x:c r="A209" s="141" t="str">
        <x:v>Silver</x:v>
      </x:c>
      <x:c r="B209" s="155" t="n">
        <x:v>43095</x:v>
      </x:c>
      <x:c r="C209" s="155" t="n">
        <x:v>43098</x:v>
      </x:c>
      <x:c r="D209" s="159" t="n">
        <x:v>200321</x:v>
      </x:c>
      <x:c r="E209" s="159" t="n">
        <x:v>48483</x:v>
      </x:c>
      <x:c r="F209" s="159" t="n">
        <x:v>55670</x:v>
      </x:c>
      <x:c r="G209" s="159" t="n">
        <x:f>E209-F209</x:f>
        <x:v>-7187</x:v>
      </x:c>
      <x:c r="H209" s="154" t="n">
        <x:f>IFERROR(G209/D209,"")</x:f>
        <x:v>-0.03587741674612247</x:v>
      </x:c>
      <x:c r="I209" s="159" t="n">
        <x:v>17373</x:v>
      </x:c>
      <x:c r="J209" s="159" t="n">
        <x:v>50432</x:v>
      </x:c>
      <x:c r="K209" s="159" t="n">
        <x:f>I209-J209</x:f>
        <x:v>-33059</x:v>
      </x:c>
      <x:c r="L209" s="154" t="n">
        <x:f>IFERROR(K209/D209,"")</x:f>
        <x:v>-0.165030126646732</x:v>
      </x:c>
    </x:row>
    <x:row r="210">
      <x:c r="A210" s="141" t="str">
        <x:v>Gold</x:v>
      </x:c>
      <x:c r="B210" s="155" t="n">
        <x:v>43102</x:v>
      </x:c>
      <x:c r="C210" s="155" t="n">
        <x:v>43105</x:v>
      </x:c>
      <x:c r="D210" s="159" t="n">
        <x:v>500731</x:v>
      </x:c>
      <x:c r="E210" s="159" t="n">
        <x:v>168423</x:v>
      </x:c>
      <x:c r="F210" s="159" t="n">
        <x:v>20249</x:v>
      </x:c>
      <x:c r="G210" s="159" t="n">
        <x:f>E210-F210</x:f>
        <x:v>148174</x:v>
      </x:c>
      <x:c r="H210" s="154" t="n">
        <x:f>IFERROR(G210/D210,"")</x:f>
        <x:v>0.2959153717265358</x:v>
      </x:c>
      <x:c r="I210" s="159" t="n">
        <x:v>22495</x:v>
      </x:c>
      <x:c r="J210" s="159" t="n">
        <x:v>180714</x:v>
      </x:c>
      <x:c r="K210" s="159" t="n">
        <x:f>I210-J210</x:f>
        <x:v>-158219</x:v>
      </x:c>
      <x:c r="L210" s="154" t="n">
        <x:f>IFERROR(K210/D210,"")</x:f>
        <x:v>-0.3159760430250973</x:v>
      </x:c>
    </x:row>
    <x:row r="211">
      <x:c r="A211" s="141" t="str">
        <x:v>Silver</x:v>
      </x:c>
      <x:c r="B211" s="155" t="n">
        <x:v>43102</x:v>
      </x:c>
      <x:c r="C211" s="155" t="n">
        <x:v>43105</x:v>
      </x:c>
      <x:c r="D211" s="159" t="n">
        <x:v>192423</x:v>
      </x:c>
      <x:c r="E211" s="159" t="n">
        <x:v>54304</x:v>
      </x:c>
      <x:c r="F211" s="159" t="n">
        <x:v>38501</x:v>
      </x:c>
      <x:c r="G211" s="159" t="n">
        <x:f>E211-F211</x:f>
        <x:v>15803</x:v>
      </x:c>
      <x:c r="H211" s="154" t="n">
        <x:f>IFERROR(G211/D211,"")</x:f>
        <x:v>0.08212635703632103</x:v>
      </x:c>
      <x:c r="I211" s="159" t="n">
        <x:v>16373</x:v>
      </x:c>
      <x:c r="J211" s="159" t="n">
        <x:v>57311</x:v>
      </x:c>
      <x:c r="K211" s="159" t="n">
        <x:f>I211-J211</x:f>
        <x:v>-40938</x:v>
      </x:c>
      <x:c r="L211" s="154" t="n">
        <x:f>IFERROR(K211/D211,"")</x:f>
        <x:v>-0.21275003507896664</x:v>
      </x:c>
    </x:row>
    <x:row r="212">
      <x:c r="A212" s="141" t="str">
        <x:v>Gold</x:v>
      </x:c>
      <x:c r="B212" s="155" t="n">
        <x:v>43109</x:v>
      </x:c>
      <x:c r="C212" s="155" t="n">
        <x:v>43112</x:v>
      </x:c>
      <x:c r="D212" s="159" t="n">
        <x:v>555455</x:v>
      </x:c>
      <x:c r="E212" s="159" t="n">
        <x:v>216115</x:v>
      </x:c>
      <x:c r="F212" s="159" t="n">
        <x:v>20065</x:v>
      </x:c>
      <x:c r="G212" s="159" t="n">
        <x:f>E212-F212</x:f>
        <x:v>196050</x:v>
      </x:c>
      <x:c r="H212" s="154" t="n">
        <x:f>IFERROR(G212/D212,"")</x:f>
        <x:v>0.3529538846531222</x:v>
      </x:c>
      <x:c r="I212" s="159" t="n">
        <x:v>21117</x:v>
      </x:c>
      <x:c r="J212" s="159" t="n">
        <x:v>198371</x:v>
      </x:c>
      <x:c r="K212" s="159" t="n">
        <x:f>I212-J212</x:f>
        <x:v>-177254</x:v>
      </x:c>
      <x:c r="L212" s="154" t="n">
        <x:f>IFERROR(K212/D212,"")</x:f>
        <x:v>-0.3191149598077252</x:v>
      </x:c>
    </x:row>
    <x:row r="213">
      <x:c r="A213" s="141" t="str">
        <x:v>Silver</x:v>
      </x:c>
      <x:c r="B213" s="155" t="n">
        <x:v>43109</x:v>
      </x:c>
      <x:c r="C213" s="155" t="n">
        <x:v>43112</x:v>
      </x:c>
      <x:c r="D213" s="159" t="n">
        <x:v>195009</x:v>
      </x:c>
      <x:c r="E213" s="159" t="n">
        <x:v>66224</x:v>
      </x:c>
      <x:c r="F213" s="159" t="n">
        <x:v>28122</x:v>
      </x:c>
      <x:c r="G213" s="159" t="n">
        <x:f>E213-F213</x:f>
        <x:v>38102</x:v>
      </x:c>
      <x:c r="H213" s="154" t="n">
        <x:f>IFERROR(G213/D213,"")</x:f>
        <x:v>0.19538585398622627</x:v>
      </x:c>
      <x:c r="I213" s="159" t="n">
        <x:v>16449</x:v>
      </x:c>
      <x:c r="J213" s="159" t="n">
        <x:v>61212</x:v>
      </x:c>
      <x:c r="K213" s="159" t="n">
        <x:f>I213-J213</x:f>
        <x:v>-44763</x:v>
      </x:c>
      <x:c r="L213" s="154" t="n">
        <x:f>IFERROR(K213/D213,"")</x:f>
        <x:v>-0.22954325184991461</x:v>
      </x:c>
    </x:row>
    <x:row r="214">
      <x:c r="A214" s="141" t="str">
        <x:v>Gold</x:v>
      </x:c>
      <x:c r="B214" s="155" t="n">
        <x:v>43116</x:v>
      </x:c>
      <x:c r="C214" s="155" t="n">
        <x:v>43119</x:v>
      </x:c>
      <x:c r="D214" s="159" t="n">
        <x:v>582333</x:v>
      </x:c>
      <x:c r="E214" s="159" t="n">
        <x:v>227373</x:v>
      </x:c>
      <x:c r="F214" s="159" t="n">
        <x:v>25841</x:v>
      </x:c>
      <x:c r="G214" s="159" t="n">
        <x:f>E214-F214</x:f>
        <x:v>201532</x:v>
      </x:c>
      <x:c r="H214" s="154" t="n">
        <x:f>IFERROR(G214/D214,"")</x:f>
        <x:v>0.34607690101711563</x:v>
      </x:c>
      <x:c r="I214" s="159" t="n">
        <x:v>22861</x:v>
      </x:c>
      <x:c r="J214" s="159" t="n">
        <x:v>212879</x:v>
      </x:c>
      <x:c r="K214" s="159" t="n">
        <x:f>I214-J214</x:f>
        <x:v>-190018</x:v>
      </x:c>
      <x:c r="L214" s="154" t="n">
        <x:f>IFERROR(K214/D214,"")</x:f>
        <x:v>-0.326304708817807</x:v>
      </x:c>
    </x:row>
    <x:row r="215">
      <x:c r="A215" s="141" t="str">
        <x:v>Silver</x:v>
      </x:c>
      <x:c r="B215" s="155" t="n">
        <x:v>43116</x:v>
      </x:c>
      <x:c r="C215" s="155" t="n">
        <x:v>43119</x:v>
      </x:c>
      <x:c r="D215" s="159" t="n">
        <x:v>196511</x:v>
      </x:c>
      <x:c r="E215" s="159" t="n">
        <x:v>59906</x:v>
      </x:c>
      <x:c r="F215" s="159" t="n">
        <x:v>26472</x:v>
      </x:c>
      <x:c r="G215" s="159" t="n">
        <x:f>E215-F215</x:f>
        <x:v>33434</x:v>
      </x:c>
      <x:c r="H215" s="154" t="n">
        <x:f>IFERROR(G215/D215,"")</x:f>
        <x:v>0.17013805842929913</x:v>
      </x:c>
      <x:c r="I215" s="159" t="n">
        <x:v>16309</x:v>
      </x:c>
      <x:c r="J215" s="159" t="n">
        <x:v>61319</x:v>
      </x:c>
      <x:c r="K215" s="159" t="n">
        <x:f>I215-J215</x:f>
        <x:v>-45010</x:v>
      </x:c>
      <x:c r="L215" s="154" t="n">
        <x:f>IFERROR(K215/D215,"")</x:f>
        <x:v>-0.22904570227620846</x:v>
      </x:c>
    </x:row>
    <x:row r="216">
      <x:c r="A216" s="141" t="str">
        <x:v>Gold</x:v>
      </x:c>
      <x:c r="B216" s="155" t="n">
        <x:v>43123</x:v>
      </x:c>
      <x:c r="C216" s="155" t="n">
        <x:v>43126</x:v>
      </x:c>
      <x:c r="D216" s="159" t="n">
        <x:v>582421</x:v>
      </x:c>
      <x:c r="E216" s="159" t="n">
        <x:v>236003</x:v>
      </x:c>
      <x:c r="F216" s="159" t="n">
        <x:v>26467</x:v>
      </x:c>
      <x:c r="G216" s="159" t="n">
        <x:f>E216-F216</x:f>
        <x:v>209536</x:v>
      </x:c>
      <x:c r="H216" s="154" t="n">
        <x:f>IFERROR(G216/D216,"")</x:f>
        <x:v>0.3597672474035105</x:v>
      </x:c>
      <x:c r="I216" s="159" t="n">
        <x:v>23933</x:v>
      </x:c>
      <x:c r="J216" s="159" t="n">
        <x:v>217184</x:v>
      </x:c>
      <x:c r="K216" s="159" t="n">
        <x:f>I216-J216</x:f>
        <x:v>-193251</x:v>
      </x:c>
      <x:c r="L216" s="154" t="n">
        <x:f>IFERROR(K216/D216,"")</x:f>
        <x:v>-0.33180637373995786</x:v>
      </x:c>
    </x:row>
    <x:row r="217">
      <x:c r="A217" s="141" t="str">
        <x:v>Silver</x:v>
      </x:c>
      <x:c r="B217" s="155" t="n">
        <x:v>43123</x:v>
      </x:c>
      <x:c r="C217" s="155" t="n">
        <x:v>43126</x:v>
      </x:c>
      <x:c r="D217" s="159" t="n">
        <x:v>199985</x:v>
      </x:c>
      <x:c r="E217" s="159" t="n">
        <x:v>53714</x:v>
      </x:c>
      <x:c r="F217" s="159" t="n">
        <x:v>30117</x:v>
      </x:c>
      <x:c r="G217" s="159" t="n">
        <x:f>E217-F217</x:f>
        <x:v>23597</x:v>
      </x:c>
      <x:c r="H217" s="154" t="n">
        <x:f>IFERROR(G217/D217,"")</x:f>
        <x:v>0.1179938495387154</x:v>
      </x:c>
      <x:c r="I217" s="159" t="n">
        <x:v>18796</x:v>
      </x:c>
      <x:c r="J217" s="159" t="n">
        <x:v>60912</x:v>
      </x:c>
      <x:c r="K217" s="159" t="n">
        <x:f>I217-J217</x:f>
        <x:v>-42116</x:v>
      </x:c>
      <x:c r="L217" s="154" t="n">
        <x:f>IFERROR(K217/D217,"")</x:f>
        <x:v>-0.21059579468460135</x:v>
      </x:c>
    </x:row>
    <x:row r="218">
      <x:c r="A218" s="141" t="str">
        <x:v>Gold</x:v>
      </x:c>
      <x:c r="B218" s="155" t="n">
        <x:v>43130</x:v>
      </x:c>
      <x:c r="C218" s="155" t="n">
        <x:v>43133</x:v>
      </x:c>
      <x:c r="D218" s="159" t="n">
        <x:v>559332</x:v>
      </x:c>
      <x:c r="E218" s="159" t="n">
        <x:v>230597</x:v>
      </x:c>
      <x:c r="F218" s="159" t="n">
        <x:v>23035</x:v>
      </x:c>
      <x:c r="G218" s="159" t="n">
        <x:f>E218-F218</x:f>
        <x:v>207562</x:v>
      </x:c>
      <x:c r="H218" s="154" t="n">
        <x:f>IFERROR(G218/D218,"")</x:f>
        <x:v>0.3710890848369126</x:v>
      </x:c>
      <x:c r="I218" s="159" t="n">
        <x:v>22684</x:v>
      </x:c>
      <x:c r="J218" s="159" t="n">
        <x:v>209619</x:v>
      </x:c>
      <x:c r="K218" s="159" t="n">
        <x:f>I218-J218</x:f>
        <x:v>-186935</x:v>
      </x:c>
      <x:c r="L218" s="154" t="n">
        <x:f>IFERROR(K218/D218,"")</x:f>
        <x:v>-0.3342111661767966</x:v>
      </x:c>
    </x:row>
    <x:row r="219">
      <x:c r="A219" s="141" t="str">
        <x:v>Silver</x:v>
      </x:c>
      <x:c r="B219" s="155" t="n">
        <x:v>43130</x:v>
      </x:c>
      <x:c r="C219" s="155" t="n">
        <x:v>43133</x:v>
      </x:c>
      <x:c r="D219" s="159" t="n">
        <x:v>198358</x:v>
      </x:c>
      <x:c r="E219" s="159" t="n">
        <x:v>49982</x:v>
      </x:c>
      <x:c r="F219" s="159" t="n">
        <x:v>23555</x:v>
      </x:c>
      <x:c r="G219" s="159" t="n">
        <x:f>E219-F219</x:f>
        <x:v>26427</x:v>
      </x:c>
      <x:c r="H219" s="154" t="n">
        <x:f>IFERROR(G219/D219,"")</x:f>
        <x:v>0.13322880851793223</x:v>
      </x:c>
      <x:c r="I219" s="159" t="n">
        <x:v>16784</x:v>
      </x:c>
      <x:c r="J219" s="159" t="n">
        <x:v>63552</x:v>
      </x:c>
      <x:c r="K219" s="159" t="n">
        <x:f>I219-J219</x:f>
        <x:v>-46768</x:v>
      </x:c>
      <x:c r="L219" s="154" t="n">
        <x:f>IFERROR(K219/D219,"")</x:f>
        <x:v>-0.23577571865011746</x:v>
      </x:c>
    </x:row>
    <x:row r="220">
      <x:c r="A220" s="141" t="str">
        <x:v>Gold</x:v>
      </x:c>
      <x:c r="B220" s="155" t="n">
        <x:v>43137</x:v>
      </x:c>
      <x:c r="C220" s="155" t="n">
        <x:v>43140</x:v>
      </x:c>
      <x:c r="D220" s="159" t="n">
        <x:v>535321</x:v>
      </x:c>
      <x:c r="E220" s="159" t="n">
        <x:v>206377</x:v>
      </x:c>
      <x:c r="F220" s="159" t="n">
        <x:v>23448</x:v>
      </x:c>
      <x:c r="G220" s="159" t="n">
        <x:f>E220-F220</x:f>
        <x:v>182929</x:v>
      </x:c>
      <x:c r="H220" s="154" t="n">
        <x:f>IFERROR(G220/D220,"")</x:f>
        <x:v>0.34171833348588976</x:v>
      </x:c>
      <x:c r="I220" s="159" t="n">
        <x:v>26595</x:v>
      </x:c>
      <x:c r="J220" s="159" t="n">
        <x:v>202225</x:v>
      </x:c>
      <x:c r="K220" s="159" t="n">
        <x:f>I220-J220</x:f>
        <x:v>-175630</x:v>
      </x:c>
      <x:c r="L220" s="154" t="n">
        <x:f>IFERROR(K220/D220,"")</x:f>
        <x:v>-0.3280835237175452</x:v>
      </x:c>
    </x:row>
    <x:row r="221">
      <x:c r="A221" s="141" t="str">
        <x:v>Silver</x:v>
      </x:c>
      <x:c r="B221" s="155" t="n">
        <x:v>43137</x:v>
      </x:c>
      <x:c r="C221" s="155" t="n">
        <x:v>43140</x:v>
      </x:c>
      <x:c r="D221" s="159" t="n">
        <x:v>205470</x:v>
      </x:c>
      <x:c r="E221" s="159" t="n">
        <x:v>38367</x:v>
      </x:c>
      <x:c r="F221" s="159" t="n">
        <x:v>35349</x:v>
      </x:c>
      <x:c r="G221" s="159" t="n">
        <x:f>E221-F221</x:f>
        <x:v>3018</x:v>
      </x:c>
      <x:c r="H221" s="154" t="n">
        <x:f>IFERROR(G221/D221,"")</x:f>
        <x:v>0.014688275660680391</x:v>
      </x:c>
      <x:c r="I221" s="159" t="n">
        <x:v>22167</x:v>
      </x:c>
      <x:c r="J221" s="159" t="n">
        <x:v>59436</x:v>
      </x:c>
      <x:c r="K221" s="159" t="n">
        <x:f>I221-J221</x:f>
        <x:v>-37269</x:v>
      </x:c>
      <x:c r="L221" s="154" t="n">
        <x:f>IFERROR(K221/D221,"")</x:f>
        <x:v>-0.18138414367060884</x:v>
      </x:c>
    </x:row>
    <x:row r="222">
      <x:c r="A222" s="141" t="str">
        <x:v>Gold</x:v>
      </x:c>
      <x:c r="B222" s="155" t="n">
        <x:v>43144</x:v>
      </x:c>
      <x:c r="C222" s="155" t="n">
        <x:v>43147</x:v>
      </x:c>
      <x:c r="D222" s="159" t="n">
        <x:v>511745</x:v>
      </x:c>
      <x:c r="E222" s="159" t="n">
        <x:v>186183</x:v>
      </x:c>
      <x:c r="F222" s="159" t="n">
        <x:v>16426</x:v>
      </x:c>
      <x:c r="G222" s="159" t="n">
        <x:f>E222-F222</x:f>
        <x:v>169757</x:v>
      </x:c>
      <x:c r="H222" s="154" t="n">
        <x:f>IFERROR(G222/D222,"")</x:f>
        <x:v>0.3317218536575834</x:v>
      </x:c>
      <x:c r="I222" s="159" t="n">
        <x:v>22749</x:v>
      </x:c>
      <x:c r="J222" s="159" t="n">
        <x:v>194149</x:v>
      </x:c>
      <x:c r="K222" s="159" t="n">
        <x:f>I222-J222</x:f>
        <x:v>-171400</x:v>
      </x:c>
      <x:c r="L222" s="154" t="n">
        <x:f>IFERROR(K222/D222,"")</x:f>
        <x:v>-0.3349324370536107</x:v>
      </x:c>
    </x:row>
    <x:row r="223">
      <x:c r="A223" s="141" t="str">
        <x:v>Silver</x:v>
      </x:c>
      <x:c r="B223" s="155" t="n">
        <x:v>43144</x:v>
      </x:c>
      <x:c r="C223" s="155" t="n">
        <x:v>43147</x:v>
      </x:c>
      <x:c r="D223" s="159" t="n">
        <x:v>194056</x:v>
      </x:c>
      <x:c r="E223" s="159" t="n">
        <x:v>37481</x:v>
      </x:c>
      <x:c r="F223" s="159" t="n">
        <x:v>45771</x:v>
      </x:c>
      <x:c r="G223" s="159" t="n">
        <x:f>E223-F223</x:f>
        <x:v>-8290</x:v>
      </x:c>
      <x:c r="H223" s="154" t="n">
        <x:f>IFERROR(G223/D223,"")</x:f>
        <x:v>-0.042719627324071405</x:v>
      </x:c>
      <x:c r="I223" s="159" t="n">
        <x:v>21245</x:v>
      </x:c>
      <x:c r="J223" s="159" t="n">
        <x:v>58386</x:v>
      </x:c>
      <x:c r="K223" s="159" t="n">
        <x:f>I223-J223</x:f>
        <x:v>-37141</x:v>
      </x:c>
      <x:c r="L223" s="154" t="n">
        <x:f>IFERROR(K223/D223,"")</x:f>
        <x:v>-0.19139320608484148</x:v>
      </x:c>
    </x:row>
    <x:row r="224">
      <x:c r="A224" s="141" t="str">
        <x:v>Gold</x:v>
      </x:c>
      <x:c r="B224" s="155" t="n">
        <x:v>43151</x:v>
      </x:c>
      <x:c r="C224" s="155" t="n">
        <x:v>43154</x:v>
      </x:c>
      <x:c r="D224" s="159" t="n">
        <x:v>528154</x:v>
      </x:c>
      <x:c r="E224" s="159" t="n">
        <x:v>190398</x:v>
      </x:c>
      <x:c r="F224" s="159" t="n">
        <x:v>14943</x:v>
      </x:c>
      <x:c r="G224" s="159" t="n">
        <x:f>E224-F224</x:f>
        <x:v>175455</x:v>
      </x:c>
      <x:c r="H224" s="154" t="n">
        <x:f>IFERROR(G224/D224,"")</x:f>
        <x:v>0.33220424345929406</x:v>
      </x:c>
      <x:c r="I224" s="159" t="n">
        <x:v>30967</x:v>
      </x:c>
      <x:c r="J224" s="159" t="n">
        <x:v>207285</x:v>
      </x:c>
      <x:c r="K224" s="159" t="n">
        <x:f>I224-J224</x:f>
        <x:v>-176318</x:v>
      </x:c>
      <x:c r="L224" s="154" t="n">
        <x:f>IFERROR(K224/D224,"")</x:f>
        <x:v>-0.3338382365749384</x:v>
      </x:c>
    </x:row>
    <x:row r="225">
      <x:c r="A225" s="141" t="str">
        <x:v>Silver</x:v>
      </x:c>
      <x:c r="B225" s="155" t="n">
        <x:v>43151</x:v>
      </x:c>
      <x:c r="C225" s="155" t="n">
        <x:v>43154</x:v>
      </x:c>
      <x:c r="D225" s="159" t="n">
        <x:v>203629</x:v>
      </x:c>
      <x:c r="E225" s="159" t="n">
        <x:v>36171</x:v>
      </x:c>
      <x:c r="F225" s="159" t="n">
        <x:v>46693</x:v>
      </x:c>
      <x:c r="G225" s="159" t="n">
        <x:f>E225-F225</x:f>
        <x:v>-10522</x:v>
      </x:c>
      <x:c r="H225" s="154" t="n">
        <x:f>IFERROR(G225/D225,"")</x:f>
        <x:v>-0.05167240422533136</x:v>
      </x:c>
      <x:c r="I225" s="159" t="n">
        <x:v>23088</x:v>
      </x:c>
      <x:c r="J225" s="159" t="n">
        <x:v>60874</x:v>
      </x:c>
      <x:c r="K225" s="159" t="n">
        <x:f>I225-J225</x:f>
        <x:v>-37786</x:v>
      </x:c>
      <x:c r="L225" s="154" t="n">
        <x:f>IFERROR(K225/D225,"")</x:f>
        <x:v>-0.1855629600891818</x:v>
      </x:c>
    </x:row>
    <x:row r="226">
      <x:c r="A226" s="141" t="str">
        <x:v>Gold</x:v>
      </x:c>
      <x:c r="B226" s="155" t="n">
        <x:v>43158</x:v>
      </x:c>
      <x:c r="C226" s="155" t="n">
        <x:v>43161</x:v>
      </x:c>
      <x:c r="D226" s="159" t="n">
        <x:v>532860</x:v>
      </x:c>
      <x:c r="E226" s="159" t="n">
        <x:v>177475</x:v>
      </x:c>
      <x:c r="F226" s="159" t="n">
        <x:v>27456</x:v>
      </x:c>
      <x:c r="G226" s="159" t="n">
        <x:f>E226-F226</x:f>
        <x:v>150019</x:v>
      </x:c>
      <x:c r="H226" s="154" t="n">
        <x:f>IFERROR(G226/D226,"")</x:f>
        <x:v>0.281535487745374</x:v>
      </x:c>
      <x:c r="I226" s="159" t="n">
        <x:v>30993</x:v>
      </x:c>
      <x:c r="J226" s="159" t="n">
        <x:v>206218</x:v>
      </x:c>
      <x:c r="K226" s="159" t="n">
        <x:f>I226-J226</x:f>
        <x:v>-175225</x:v>
      </x:c>
      <x:c r="L226" s="154" t="n">
        <x:f>IFERROR(K226/D226,"")</x:f>
        <x:v>-0.32883871936343506</x:v>
      </x:c>
    </x:row>
    <x:row r="227">
      <x:c r="A227" s="141" t="str">
        <x:v>Silver</x:v>
      </x:c>
      <x:c r="B227" s="155" t="n">
        <x:v>43158</x:v>
      </x:c>
      <x:c r="C227" s="155" t="n">
        <x:v>43161</x:v>
      </x:c>
      <x:c r="D227" s="159" t="n">
        <x:v>193343</x:v>
      </x:c>
      <x:c r="E227" s="159" t="n">
        <x:v>36647</x:v>
      </x:c>
      <x:c r="F227" s="159" t="n">
        <x:v>53082</x:v>
      </x:c>
      <x:c r="G227" s="159" t="n">
        <x:f>E227-F227</x:f>
        <x:v>-16435</x:v>
      </x:c>
      <x:c r="H227" s="154" t="n">
        <x:f>IFERROR(G227/D227,"")</x:f>
        <x:v>-0.08500437047113162</x:v>
      </x:c>
      <x:c r="I227" s="159" t="n">
        <x:v>21787</x:v>
      </x:c>
      <x:c r="J227" s="159" t="n">
        <x:v>58292</x:v>
      </x:c>
      <x:c r="K227" s="159" t="n">
        <x:f>I227-J227</x:f>
        <x:v>-36505</x:v>
      </x:c>
      <x:c r="L227" s="154" t="n">
        <x:f>IFERROR(K227/D227,"")</x:f>
        <x:v>-0.18880952504098933</x:v>
      </x:c>
    </x:row>
    <x:row r="228">
      <x:c r="A228" s="141" t="str">
        <x:v>Gold</x:v>
      </x:c>
      <x:c r="B228" s="155" t="n">
        <x:v>43165</x:v>
      </x:c>
      <x:c r="C228" s="155" t="n">
        <x:v>43168</x:v>
      </x:c>
      <x:c r="D228" s="159" t="n">
        <x:v>508100</x:v>
      </x:c>
      <x:c r="E228" s="159" t="n">
        <x:v>172492</x:v>
      </x:c>
      <x:c r="F228" s="159" t="n">
        <x:v>21786</x:v>
      </x:c>
      <x:c r="G228" s="159" t="n">
        <x:f>E228-F228</x:f>
        <x:v>150706</x:v>
      </x:c>
      <x:c r="H228" s="154" t="n">
        <x:f>IFERROR(G228/D228,"")</x:f>
        <x:v>0.29660696713245427</x:v>
      </x:c>
      <x:c r="I228" s="159" t="n">
        <x:v>25642</x:v>
      </x:c>
      <x:c r="J228" s="159" t="n">
        <x:v>199419</x:v>
      </x:c>
      <x:c r="K228" s="159" t="n">
        <x:f>I228-J228</x:f>
        <x:v>-173777</x:v>
      </x:c>
      <x:c r="L228" s="154" t="n">
        <x:f>IFERROR(K228/D228,"")</x:f>
        <x:v>-0.34201338319228497</x:v>
      </x:c>
    </x:row>
    <x:row r="229">
      <x:c r="A229" s="141" t="str">
        <x:v>Silver</x:v>
      </x:c>
      <x:c r="B229" s="155" t="n">
        <x:v>43165</x:v>
      </x:c>
      <x:c r="C229" s="155" t="n">
        <x:v>43168</x:v>
      </x:c>
      <x:c r="D229" s="159" t="n">
        <x:v>196590</x:v>
      </x:c>
      <x:c r="E229" s="159" t="n">
        <x:v>41036</x:v>
      </x:c>
      <x:c r="F229" s="159" t="n">
        <x:v>52114</x:v>
      </x:c>
      <x:c r="G229" s="159" t="n">
        <x:f>E229-F229</x:f>
        <x:v>-11078</x:v>
      </x:c>
      <x:c r="H229" s="154" t="n">
        <x:f>IFERROR(G229/D229,"")</x:f>
        <x:v>-0.05635078081285925</x:v>
      </x:c>
      <x:c r="I229" s="159" t="n">
        <x:v>19480</x:v>
      </x:c>
      <x:c r="J229" s="159" t="n">
        <x:v>56994</x:v>
      </x:c>
      <x:c r="K229" s="159" t="n">
        <x:f>I229-J229</x:f>
        <x:v>-37514</x:v>
      </x:c>
      <x:c r="L229" s="154" t="n">
        <x:f>IFERROR(K229/D229,"")</x:f>
        <x:v>-0.19082354138053817</x:v>
      </x:c>
    </x:row>
    <x:row r="230">
      <x:c r="A230" s="141" t="str">
        <x:v>Gold</x:v>
      </x:c>
      <x:c r="B230" s="155" t="n">
        <x:v>43172</x:v>
      </x:c>
      <x:c r="C230" s="155" t="n">
        <x:v>43175</x:v>
      </x:c>
      <x:c r="D230" s="159" t="n">
        <x:v>526762</x:v>
      </x:c>
      <x:c r="E230" s="159" t="n">
        <x:v>162337</x:v>
      </x:c>
      <x:c r="F230" s="159" t="n">
        <x:v>26472</x:v>
      </x:c>
      <x:c r="G230" s="159" t="n">
        <x:f>E230-F230</x:f>
        <x:v>135865</x:v>
      </x:c>
      <x:c r="H230" s="154" t="n">
        <x:f>IFERROR(G230/D230,"")</x:f>
        <x:v>0.25792483132800015</x:v>
      </x:c>
      <x:c r="I230" s="159" t="n">
        <x:v>25466</x:v>
      </x:c>
      <x:c r="J230" s="159" t="n">
        <x:v>195189</x:v>
      </x:c>
      <x:c r="K230" s="159" t="n">
        <x:f>I230-J230</x:f>
        <x:v>-169723</x:v>
      </x:c>
      <x:c r="L230" s="154" t="n">
        <x:f>IFERROR(K230/D230,"")</x:f>
        <x:v>-0.32220053838355844</x:v>
      </x:c>
    </x:row>
    <x:row r="231">
      <x:c r="A231" s="141" t="str">
        <x:v>Silver</x:v>
      </x:c>
      <x:c r="B231" s="155" t="n">
        <x:v>43172</x:v>
      </x:c>
      <x:c r="C231" s="155" t="n">
        <x:v>43175</x:v>
      </x:c>
      <x:c r="D231" s="159" t="n">
        <x:v>200094</x:v>
      </x:c>
      <x:c r="E231" s="159" t="n">
        <x:v>38265</x:v>
      </x:c>
      <x:c r="F231" s="159" t="n">
        <x:v>54680</x:v>
      </x:c>
      <x:c r="G231" s="159" t="n">
        <x:f>E231-F231</x:f>
        <x:v>-16415</x:v>
      </x:c>
      <x:c r="H231" s="154" t="n">
        <x:f>IFERROR(G231/D231,"")</x:f>
        <x:v>-0.08203644287185023</x:v>
      </x:c>
      <x:c r="I231" s="159" t="n">
        <x:v>19348</x:v>
      </x:c>
      <x:c r="J231" s="159" t="n">
        <x:v>54669</x:v>
      </x:c>
      <x:c r="K231" s="159" t="n">
        <x:f>I231-J231</x:f>
        <x:v>-35321</x:v>
      </x:c>
      <x:c r="L231" s="154" t="n">
        <x:f>IFERROR(K231/D231,"")</x:f>
        <x:v>-0.17652203464371746</x:v>
      </x:c>
    </x:row>
    <x:row r="232">
      <x:c r="A232" s="141" t="str">
        <x:v>Gold</x:v>
      </x:c>
      <x:c r="B232" s="155" t="n">
        <x:v>43179</x:v>
      </x:c>
      <x:c r="C232" s="155" t="n">
        <x:v>43182</x:v>
      </x:c>
      <x:c r="D232" s="159" t="n">
        <x:v>545499</x:v>
      </x:c>
      <x:c r="E232" s="159" t="n">
        <x:v>148152</x:v>
      </x:c>
      <x:c r="F232" s="159" t="n">
        <x:v>36345</x:v>
      </x:c>
      <x:c r="G232" s="159" t="n">
        <x:f>E232-F232</x:f>
        <x:v>111807</x:v>
      </x:c>
      <x:c r="H232" s="154" t="n">
        <x:f>IFERROR(G232/D232,"")</x:f>
        <x:v>0.20496279553216412</x:v>
      </x:c>
      <x:c r="I232" s="159" t="n">
        <x:v>25478</x:v>
      </x:c>
      <x:c r="J232" s="159" t="n">
        <x:v>182047</x:v>
      </x:c>
      <x:c r="K232" s="159" t="n">
        <x:f>I232-J232</x:f>
        <x:v>-156569</x:v>
      </x:c>
      <x:c r="L232" s="154" t="n">
        <x:f>IFERROR(K232/D232,"")</x:f>
        <x:v>-0.2870197745550404</x:v>
      </x:c>
    </x:row>
    <x:row r="233">
      <x:c r="A233" s="141" t="str">
        <x:v>Silver</x:v>
      </x:c>
      <x:c r="B233" s="155" t="n">
        <x:v>43179</x:v>
      </x:c>
      <x:c r="C233" s="155" t="n">
        <x:v>43182</x:v>
      </x:c>
      <x:c r="D233" s="159" t="n">
        <x:v>216042</x:v>
      </x:c>
      <x:c r="E233" s="159" t="n">
        <x:v>32599</x:v>
      </x:c>
      <x:c r="F233" s="159" t="n">
        <x:v>68432</x:v>
      </x:c>
      <x:c r="G233" s="159" t="n">
        <x:f>E233-F233</x:f>
        <x:v>-35833</x:v>
      </x:c>
      <x:c r="H233" s="154" t="n">
        <x:f>IFERROR(G233/D233,"")</x:f>
        <x:v>-0.16586126771646253</x:v>
      </x:c>
      <x:c r="I233" s="159" t="n">
        <x:v>24535</x:v>
      </x:c>
      <x:c r="J233" s="159" t="n">
        <x:v>49698</x:v>
      </x:c>
      <x:c r="K233" s="159" t="n">
        <x:f>I233-J233</x:f>
        <x:v>-25163</x:v>
      </x:c>
      <x:c r="L233" s="154" t="n">
        <x:f>IFERROR(K233/D233,"")</x:f>
        <x:v>-0.11647272289647384</x:v>
      </x:c>
    </x:row>
    <x:row r="234">
      <x:c r="A234" s="141" t="str">
        <x:v>Gold</x:v>
      </x:c>
      <x:c r="B234" s="155" t="n">
        <x:v>43186</x:v>
      </x:c>
      <x:c r="C234" s="155" t="n">
        <x:v>43189</x:v>
      </x:c>
      <x:c r="D234" s="159" t="n">
        <x:v>529690</x:v>
      </x:c>
      <x:c r="E234" s="159" t="n">
        <x:v>183080</x:v>
      </x:c>
      <x:c r="F234" s="159" t="n">
        <x:v>20917</x:v>
      </x:c>
      <x:c r="G234" s="159" t="n">
        <x:f>E234-F234</x:f>
        <x:v>162163</x:v>
      </x:c>
      <x:c r="H234" s="154" t="n">
        <x:f>IFERROR(G234/D234,"")</x:f>
        <x:v>0.3061469916366176</x:v>
      </x:c>
      <x:c r="I234" s="159" t="n">
        <x:v>25165</x:v>
      </x:c>
      <x:c r="J234" s="159" t="n">
        <x:v>204181</x:v>
      </x:c>
      <x:c r="K234" s="159" t="n">
        <x:f>I234-J234</x:f>
        <x:v>-179016</x:v>
      </x:c>
      <x:c r="L234" s="154" t="n">
        <x:f>IFERROR(K234/D234,"")</x:f>
        <x:v>-0.3379637146255357</x:v>
      </x:c>
    </x:row>
    <x:row r="235">
      <x:c r="A235" s="141" t="str">
        <x:v>Silver</x:v>
      </x:c>
      <x:c r="B235" s="155" t="n">
        <x:v>43186</x:v>
      </x:c>
      <x:c r="C235" s="155" t="n">
        <x:v>43189</x:v>
      </x:c>
      <x:c r="D235" s="159" t="n">
        <x:v>219518</x:v>
      </x:c>
      <x:c r="E235" s="159" t="n">
        <x:v>31988</x:v>
      </x:c>
      <x:c r="F235" s="159" t="n">
        <x:v>66252</x:v>
      </x:c>
      <x:c r="G235" s="159" t="n">
        <x:f>E235-F235</x:f>
        <x:v>-34264</x:v>
      </x:c>
      <x:c r="H235" s="154" t="n">
        <x:f>IFERROR(G235/D235,"")</x:f>
        <x:v>-0.15608742791023972</x:v>
      </x:c>
      <x:c r="I235" s="159" t="n">
        <x:v>23149</x:v>
      </x:c>
      <x:c r="J235" s="159" t="n">
        <x:v>50165</x:v>
      </x:c>
      <x:c r="K235" s="159" t="n">
        <x:f>I235-J235</x:f>
        <x:v>-27016</x:v>
      </x:c>
      <x:c r="L235" s="154" t="n">
        <x:f>IFERROR(K235/D235,"")</x:f>
        <x:v>-0.12306963438077971</x:v>
      </x:c>
    </x:row>
    <x:row r="236">
      <x:c r="A236" s="141" t="str">
        <x:v>Gold</x:v>
      </x:c>
      <x:c r="B236" s="155" t="n">
        <x:v>43193</x:v>
      </x:c>
      <x:c r="C236" s="155" t="n">
        <x:v>43196</x:v>
      </x:c>
      <x:c r="D236" s="159" t="n">
        <x:v>493141</x:v>
      </x:c>
      <x:c r="E236" s="159" t="n">
        <x:v>155590</x:v>
      </x:c>
      <x:c r="F236" s="159" t="n">
        <x:v>28948</x:v>
      </x:c>
      <x:c r="G236" s="159" t="n">
        <x:f>E236-F236</x:f>
        <x:v>126642</x:v>
      </x:c>
      <x:c r="H236" s="154" t="n">
        <x:f>IFERROR(G236/D236,"")</x:f>
        <x:v>0.2568068767350514</x:v>
      </x:c>
      <x:c r="I236" s="159" t="n">
        <x:v>30267</x:v>
      </x:c>
      <x:c r="J236" s="159" t="n">
        <x:v>197029</x:v>
      </x:c>
      <x:c r="K236" s="159" t="n">
        <x:f>I236-J236</x:f>
        <x:v>-166762</x:v>
      </x:c>
      <x:c r="L236" s="154" t="n">
        <x:f>IFERROR(K236/D236,"")</x:f>
        <x:v>-0.3381629189217688</x:v>
      </x:c>
    </x:row>
    <x:row r="237">
      <x:c r="A237" s="141" t="str">
        <x:v>Silver</x:v>
      </x:c>
      <x:c r="B237" s="155" t="n">
        <x:v>43193</x:v>
      </x:c>
      <x:c r="C237" s="155" t="n">
        <x:v>43196</x:v>
      </x:c>
      <x:c r="D237" s="159" t="n">
        <x:v>232682</x:v>
      </x:c>
      <x:c r="E237" s="159" t="n">
        <x:v>33494</x:v>
      </x:c>
      <x:c r="F237" s="159" t="n">
        <x:v>73832</x:v>
      </x:c>
      <x:c r="G237" s="159" t="n">
        <x:f>E237-F237</x:f>
        <x:v>-40338</x:v>
      </x:c>
      <x:c r="H237" s="154" t="n">
        <x:f>IFERROR(G237/D237,"")</x:f>
        <x:v>-0.173361067895239</x:v>
      </x:c>
      <x:c r="I237" s="159" t="n">
        <x:v>25866</x:v>
      </x:c>
      <x:c r="J237" s="159" t="n">
        <x:v>50300</x:v>
      </x:c>
      <x:c r="K237" s="159" t="n">
        <x:f>I237-J237</x:f>
        <x:v>-24434</x:v>
      </x:c>
      <x:c r="L237" s="154" t="n">
        <x:f>IFERROR(K237/D237,"")</x:f>
        <x:v>-0.10501027152938346</x:v>
      </x:c>
    </x:row>
    <x:row r="238">
      <x:c r="A238" s="141" t="str">
        <x:v>Gold</x:v>
      </x:c>
      <x:c r="B238" s="155" t="n">
        <x:v>43200</x:v>
      </x:c>
      <x:c r="C238" s="155" t="n">
        <x:v>43203</x:v>
      </x:c>
      <x:c r="D238" s="159" t="n">
        <x:v>499588</x:v>
      </x:c>
      <x:c r="E238" s="159" t="n">
        <x:v>154044</x:v>
      </x:c>
      <x:c r="F238" s="159" t="n">
        <x:v>28482</x:v>
      </x:c>
      <x:c r="G238" s="159" t="n">
        <x:f>E238-F238</x:f>
        <x:v>125562</x:v>
      </x:c>
      <x:c r="H238" s="154" t="n">
        <x:f>IFERROR(G238/D238,"")</x:f>
        <x:v>0.2513310968237828</x:v>
      </x:c>
      <x:c r="I238" s="159" t="n">
        <x:v>32193</x:v>
      </x:c>
      <x:c r="J238" s="159" t="n">
        <x:v>197288</x:v>
      </x:c>
      <x:c r="K238" s="159" t="n">
        <x:f>I238-J238</x:f>
        <x:v>-165095</x:v>
      </x:c>
      <x:c r="L238" s="154" t="n">
        <x:f>IFERROR(K238/D238,"")</x:f>
        <x:v>-0.33046230093597123</x:v>
      </x:c>
    </x:row>
    <x:row r="239">
      <x:c r="A239" s="141" t="str">
        <x:v>Silver</x:v>
      </x:c>
      <x:c r="B239" s="155" t="n">
        <x:v>43200</x:v>
      </x:c>
      <x:c r="C239" s="155" t="n">
        <x:v>43203</x:v>
      </x:c>
      <x:c r="D239" s="159" t="n">
        <x:v>227175</x:v>
      </x:c>
      <x:c r="E239" s="159" t="n">
        <x:v>33786</x:v>
      </x:c>
      <x:c r="F239" s="159" t="n">
        <x:v>70898</x:v>
      </x:c>
      <x:c r="G239" s="159" t="n">
        <x:f>E239-F239</x:f>
        <x:v>-37112</x:v>
      </x:c>
      <x:c r="H239" s="154" t="n">
        <x:f>IFERROR(G239/D239,"")</x:f>
        <x:v>-0.16336304610982721</x:v>
      </x:c>
      <x:c r="I239" s="159" t="n">
        <x:v>25279</x:v>
      </x:c>
      <x:c r="J239" s="159" t="n">
        <x:v>46334</x:v>
      </x:c>
      <x:c r="K239" s="159" t="n">
        <x:f>I239-J239</x:f>
        <x:v>-21055</x:v>
      </x:c>
      <x:c r="L239" s="154" t="n">
        <x:f>IFERROR(K239/D239,"")</x:f>
        <x:v>-0.09268185319687465</x:v>
      </x:c>
    </x:row>
    <x:row r="240">
      <x:c r="A240" s="141" t="str">
        <x:v>Gold</x:v>
      </x:c>
      <x:c r="B240" s="155" t="n">
        <x:v>43207</x:v>
      </x:c>
      <x:c r="C240" s="155" t="n">
        <x:v>43210</x:v>
      </x:c>
      <x:c r="D240" s="159" t="n">
        <x:v>510229</x:v>
      </x:c>
      <x:c r="E240" s="159" t="n">
        <x:v>157925</x:v>
      </x:c>
      <x:c r="F240" s="159" t="n">
        <x:v>25287</x:v>
      </x:c>
      <x:c r="G240" s="159" t="n">
        <x:f>E240-F240</x:f>
        <x:v>132638</x:v>
      </x:c>
      <x:c r="H240" s="154" t="n">
        <x:f>IFERROR(G240/D240,"")</x:f>
        <x:v>0.25995778366184596</x:v>
      </x:c>
      <x:c r="I240" s="159" t="n">
        <x:v>33041</x:v>
      </x:c>
      <x:c r="J240" s="159" t="n">
        <x:v>206888</x:v>
      </x:c>
      <x:c r="K240" s="159" t="n">
        <x:f>I240-J240</x:f>
        <x:v>-173847</x:v>
      </x:c>
      <x:c r="L240" s="154" t="n">
        <x:f>IFERROR(K240/D240,"")</x:f>
        <x:v>-0.34072347906528244</x:v>
      </x:c>
    </x:row>
    <x:row r="241">
      <x:c r="A241" s="141" t="str">
        <x:v>Silver</x:v>
      </x:c>
      <x:c r="B241" s="155" t="n">
        <x:v>43207</x:v>
      </x:c>
      <x:c r="C241" s="155" t="n">
        <x:v>43210</x:v>
      </x:c>
      <x:c r="D241" s="159" t="n">
        <x:v>214297</x:v>
      </x:c>
      <x:c r="E241" s="159" t="n">
        <x:v>39841</x:v>
      </x:c>
      <x:c r="F241" s="159" t="n">
        <x:v>54598</x:v>
      </x:c>
      <x:c r="G241" s="159" t="n">
        <x:f>E241-F241</x:f>
        <x:v>-14757</x:v>
      </x:c>
      <x:c r="H241" s="154" t="n">
        <x:f>IFERROR(G241/D241,"")</x:f>
        <x:v>-0.06886237324834225</x:v>
      </x:c>
      <x:c r="I241" s="159" t="n">
        <x:v>24358</x:v>
      </x:c>
      <x:c r="J241" s="159" t="n">
        <x:v>50468</x:v>
      </x:c>
      <x:c r="K241" s="159" t="n">
        <x:f>I241-J241</x:f>
        <x:v>-26110</x:v>
      </x:c>
      <x:c r="L241" s="154" t="n">
        <x:f>IFERROR(K241/D241,"")</x:f>
        <x:v>-0.12184024974684667</x:v>
      </x:c>
    </x:row>
    <x:row r="242">
      <x:c r="A242" s="141" t="str">
        <x:v>Gold</x:v>
      </x:c>
      <x:c r="B242" s="155" t="n">
        <x:v>43214</x:v>
      </x:c>
      <x:c r="C242" s="155" t="n">
        <x:v>43217</x:v>
      </x:c>
      <x:c r="D242" s="159" t="n">
        <x:v>506410</x:v>
      </x:c>
      <x:c r="E242" s="159" t="n">
        <x:v>143258</x:v>
      </x:c>
      <x:c r="F242" s="159" t="n">
        <x:v>43597</x:v>
      </x:c>
      <x:c r="G242" s="159" t="n">
        <x:f>E242-F242</x:f>
        <x:v>99661</x:v>
      </x:c>
      <x:c r="H242" s="154" t="n">
        <x:f>IFERROR(G242/D242,"")</x:f>
        <x:v>0.19679903635394247</x:v>
      </x:c>
      <x:c r="I242" s="159" t="n">
        <x:v>32696</x:v>
      </x:c>
      <x:c r="J242" s="159" t="n">
        <x:v>196159</x:v>
      </x:c>
      <x:c r="K242" s="159" t="n">
        <x:f>I242-J242</x:f>
        <x:v>-163463</x:v>
      </x:c>
      <x:c r="L242" s="154" t="n">
        <x:f>IFERROR(K242/D242,"")</x:f>
        <x:v>-0.3227878596394226</x:v>
      </x:c>
    </x:row>
    <x:row r="243">
      <x:c r="A243" s="141" t="str">
        <x:v>Silver</x:v>
      </x:c>
      <x:c r="B243" s="155" t="n">
        <x:v>43214</x:v>
      </x:c>
      <x:c r="C243" s="155" t="n">
        <x:v>43217</x:v>
      </x:c>
      <x:c r="D243" s="159" t="n">
        <x:v>201707</x:v>
      </x:c>
      <x:c r="E243" s="159" t="n">
        <x:v>46448</x:v>
      </x:c>
      <x:c r="F243" s="159" t="n">
        <x:v>42248</x:v>
      </x:c>
      <x:c r="G243" s="159" t="n">
        <x:f>E243-F243</x:f>
        <x:v>4200</x:v>
      </x:c>
      <x:c r="H243" s="154" t="n">
        <x:f>IFERROR(G243/D243,"")</x:f>
        <x:v>0.02082228182462681</x:v>
      </x:c>
      <x:c r="I243" s="159" t="n">
        <x:v>22539</x:v>
      </x:c>
      <x:c r="J243" s="159" t="n">
        <x:v>55015</x:v>
      </x:c>
      <x:c r="K243" s="159" t="n">
        <x:f>I243-J243</x:f>
        <x:v>-32476</x:v>
      </x:c>
      <x:c r="L243" s="154" t="n">
        <x:f>IFERROR(K243/D243,"")</x:f>
        <x:v>-0.16100581536585246</x:v>
      </x:c>
    </x:row>
    <x:row r="244">
      <x:c r="A244" s="141" t="str">
        <x:v>Gold</x:v>
      </x:c>
      <x:c r="B244" s="155" t="n">
        <x:v>43221</x:v>
      </x:c>
      <x:c r="C244" s="155" t="n">
        <x:v>43224</x:v>
      </x:c>
      <x:c r="D244" s="159" t="n">
        <x:v>507756</x:v>
      </x:c>
      <x:c r="E244" s="159" t="n">
        <x:v>119064</x:v>
      </x:c>
      <x:c r="F244" s="159" t="n">
        <x:v>79747</x:v>
      </x:c>
      <x:c r="G244" s="159" t="n">
        <x:f>E244-F244</x:f>
        <x:v>39317</x:v>
      </x:c>
      <x:c r="H244" s="154" t="n">
        <x:f>IFERROR(G244/D244,"")</x:f>
        <x:v>0.07743286145313891</x:v>
      </x:c>
      <x:c r="I244" s="159" t="n">
        <x:v>33204</x:v>
      </x:c>
      <x:c r="J244" s="159" t="n">
        <x:v>181259</x:v>
      </x:c>
      <x:c r="K244" s="159" t="n">
        <x:f>I244-J244</x:f>
        <x:v>-148055</x:v>
      </x:c>
      <x:c r="L244" s="154" t="n">
        <x:f>IFERROR(K244/D244,"")</x:f>
        <x:v>-0.2915869039459898</x:v>
      </x:c>
    </x:row>
    <x:row r="245">
      <x:c r="A245" s="141" t="str">
        <x:v>Silver</x:v>
      </x:c>
      <x:c r="B245" s="155" t="n">
        <x:v>43221</x:v>
      </x:c>
      <x:c r="C245" s="155" t="n">
        <x:v>43224</x:v>
      </x:c>
      <x:c r="D245" s="159" t="n">
        <x:v>194685</x:v>
      </x:c>
      <x:c r="E245" s="159" t="n">
        <x:v>43295</x:v>
      </x:c>
      <x:c r="F245" s="159" t="n">
        <x:v>67181</x:v>
      </x:c>
      <x:c r="G245" s="159" t="n">
        <x:f>E245-F245</x:f>
        <x:v>-23886</x:v>
      </x:c>
      <x:c r="H245" s="154" t="n">
        <x:f>IFERROR(G245/D245,"")</x:f>
        <x:v>-0.12269050003852378</x:v>
      </x:c>
      <x:c r="I245" s="159" t="n">
        <x:v>22689</x:v>
      </x:c>
      <x:c r="J245" s="159" t="n">
        <x:v>48232</x:v>
      </x:c>
      <x:c r="K245" s="159" t="n">
        <x:f>I245-J245</x:f>
        <x:v>-25543</x:v>
      </x:c>
      <x:c r="L245" s="154" t="n">
        <x:f>IFERROR(K245/D245,"")</x:f>
        <x:v>-0.13120168477283817</x:v>
      </x:c>
    </x:row>
    <x:row r="246">
      <x:c r="A246" s="141" t="str">
        <x:v>Gold</x:v>
      </x:c>
      <x:c r="B246" s="155" t="n">
        <x:v>43228</x:v>
      </x:c>
      <x:c r="C246" s="155" t="n">
        <x:v>43231</x:v>
      </x:c>
      <x:c r="D246" s="159" t="n">
        <x:v>491398</x:v>
      </x:c>
      <x:c r="E246" s="159" t="n">
        <x:v>109508</x:v>
      </x:c>
      <x:c r="F246" s="159" t="n">
        <x:v>67869</x:v>
      </x:c>
      <x:c r="G246" s="159" t="n">
        <x:f>E246-F246</x:f>
        <x:v>41639</x:v>
      </x:c>
      <x:c r="H246" s="154" t="n">
        <x:f>IFERROR(G246/D246,"")</x:f>
        <x:v>0.08473579461047867</x:v>
      </x:c>
      <x:c r="I246" s="159" t="n">
        <x:v>34195</x:v>
      </x:c>
      <x:c r="J246" s="159" t="n">
        <x:v>182428</x:v>
      </x:c>
      <x:c r="K246" s="159" t="n">
        <x:f>I246-J246</x:f>
        <x:v>-148233</x:v>
      </x:c>
      <x:c r="L246" s="154" t="n">
        <x:f>IFERROR(K246/D246,"")</x:f>
        <x:v>-0.3016556843943199</x:v>
      </x:c>
    </x:row>
    <x:row r="247">
      <x:c r="A247" s="141" t="str">
        <x:v>Silver</x:v>
      </x:c>
      <x:c r="B247" s="155" t="n">
        <x:v>43228</x:v>
      </x:c>
      <x:c r="C247" s="155" t="n">
        <x:v>43231</x:v>
      </x:c>
      <x:c r="D247" s="159" t="n">
        <x:v>195865</x:v>
      </x:c>
      <x:c r="E247" s="159" t="n">
        <x:v>47919</x:v>
      </x:c>
      <x:c r="F247" s="159" t="n">
        <x:v>67402</x:v>
      </x:c>
      <x:c r="G247" s="159" t="n">
        <x:f>E247-F247</x:f>
        <x:v>-19483</x:v>
      </x:c>
      <x:c r="H247" s="154" t="n">
        <x:f>IFERROR(G247/D247,"")</x:f>
        <x:v>-0.09947157480917979</x:v>
      </x:c>
      <x:c r="I247" s="159" t="n">
        <x:v>22099</x:v>
      </x:c>
      <x:c r="J247" s="159" t="n">
        <x:v>50210</x:v>
      </x:c>
      <x:c r="K247" s="159" t="n">
        <x:f>I247-J247</x:f>
        <x:v>-28111</x:v>
      </x:c>
      <x:c r="L247" s="154" t="n">
        <x:f>IFERROR(K247/D247,"")</x:f>
        <x:v>-0.14352232404972812</x:v>
      </x:c>
    </x:row>
    <x:row r="248">
      <x:c r="A248" s="141" t="str">
        <x:v>Gold</x:v>
      </x:c>
      <x:c r="B248" s="155" t="n">
        <x:v>43235</x:v>
      </x:c>
      <x:c r="C248" s="155" t="n">
        <x:v>43238</x:v>
      </x:c>
      <x:c r="D248" s="159" t="n">
        <x:v>519958</x:v>
      </x:c>
      <x:c r="E248" s="159" t="n">
        <x:v>103256</x:v>
      </x:c>
      <x:c r="F248" s="159" t="n">
        <x:v>84258</x:v>
      </x:c>
      <x:c r="G248" s="159" t="n">
        <x:f>E248-F248</x:f>
        <x:v>18998</x:v>
      </x:c>
      <x:c r="H248" s="154" t="n">
        <x:f>IFERROR(G248/D248,"")</x:f>
        <x:v>0.03653756649575542</x:v>
      </x:c>
      <x:c r="I248" s="159" t="n">
        <x:v>35688</x:v>
      </x:c>
      <x:c r="J248" s="159" t="n">
        <x:v>175548</x:v>
      </x:c>
      <x:c r="K248" s="159" t="n">
        <x:f>I248-J248</x:f>
        <x:v>-139860</x:v>
      </x:c>
      <x:c r="L248" s="154" t="n">
        <x:f>IFERROR(K248/D248,"")</x:f>
        <x:v>-0.2689832640328642</x:v>
      </x:c>
    </x:row>
    <x:row r="249">
      <x:c r="A249" s="141" t="str">
        <x:v>Silver</x:v>
      </x:c>
      <x:c r="B249" s="155" t="n">
        <x:v>43235</x:v>
      </x:c>
      <x:c r="C249" s="155" t="n">
        <x:v>43238</x:v>
      </x:c>
      <x:c r="D249" s="159" t="n">
        <x:v>198065</x:v>
      </x:c>
      <x:c r="E249" s="159" t="n">
        <x:v>49041</x:v>
      </x:c>
      <x:c r="F249" s="159" t="n">
        <x:v>65654</x:v>
      </x:c>
      <x:c r="G249" s="159" t="n">
        <x:f>E249-F249</x:f>
        <x:v>-16613</x:v>
      </x:c>
      <x:c r="H249" s="154" t="n">
        <x:f>IFERROR(G249/D249,"")</x:f>
        <x:v>-0.08387650518769091</x:v>
      </x:c>
      <x:c r="I249" s="159" t="n">
        <x:v>22727</x:v>
      </x:c>
      <x:c r="J249" s="159" t="n">
        <x:v>53642</x:v>
      </x:c>
      <x:c r="K249" s="159" t="n">
        <x:f>I249-J249</x:f>
        <x:v>-30915</x:v>
      </x:c>
      <x:c r="L249" s="154" t="n">
        <x:f>IFERROR(K249/D249,"")</x:f>
        <x:v>-0.15608512357054502</x:v>
      </x:c>
    </x:row>
    <x:row r="250">
      <x:c r="A250" s="141" t="str">
        <x:v>Gold</x:v>
      </x:c>
      <x:c r="B250" s="155" t="n">
        <x:v>43242</x:v>
      </x:c>
      <x:c r="C250" s="155" t="n">
        <x:v>43245</x:v>
      </x:c>
      <x:c r="D250" s="159" t="n">
        <x:v>502942</x:v>
      </x:c>
      <x:c r="E250" s="159" t="n">
        <x:v>91411</x:v>
      </x:c>
      <x:c r="F250" s="159" t="n">
        <x:v>74880</x:v>
      </x:c>
      <x:c r="G250" s="159" t="n">
        <x:f>E250-F250</x:f>
        <x:v>16531</x:v>
      </x:c>
      <x:c r="H250" s="154" t="n">
        <x:f>IFERROR(G250/D250,"")</x:f>
        <x:v>0.03286860115082853</x:v>
      </x:c>
      <x:c r="I250" s="159" t="n">
        <x:v>37972</x:v>
      </x:c>
      <x:c r="J250" s="159" t="n">
        <x:v>167276</x:v>
      </x:c>
      <x:c r="K250" s="159" t="n">
        <x:f>I250-J250</x:f>
        <x:v>-129304</x:v>
      </x:c>
      <x:c r="L250" s="154" t="n">
        <x:f>IFERROR(K250/D250,"")</x:f>
        <x:v>-0.257095251539939</x:v>
      </x:c>
    </x:row>
    <x:row r="251">
      <x:c r="A251" s="141" t="str">
        <x:v>Silver</x:v>
      </x:c>
      <x:c r="B251" s="155" t="n">
        <x:v>43242</x:v>
      </x:c>
      <x:c r="C251" s="155" t="n">
        <x:v>43245</x:v>
      </x:c>
      <x:c r="D251" s="159" t="n">
        <x:v>198248</x:v>
      </x:c>
      <x:c r="E251" s="159" t="n">
        <x:v>56388</x:v>
      </x:c>
      <x:c r="F251" s="159" t="n">
        <x:v>56978</x:v>
      </x:c>
      <x:c r="G251" s="159" t="n">
        <x:f>E251-F251</x:f>
        <x:v>-590</x:v>
      </x:c>
      <x:c r="H251" s="154" t="n">
        <x:f>IFERROR(G251/D251,"")</x:f>
        <x:v>-0.0029760703764981234</x:v>
      </x:c>
      <x:c r="I251" s="159" t="n">
        <x:v>23183</x:v>
      </x:c>
      <x:c r="J251" s="159" t="n">
        <x:v>60532</x:v>
      </x:c>
      <x:c r="K251" s="159" t="n">
        <x:f>I251-J251</x:f>
        <x:v>-37349</x:v>
      </x:c>
      <x:c r="L251" s="154" t="n">
        <x:f>IFERROR(K251/D251,"")</x:f>
        <x:v>-0.18839534320648885</x:v>
      </x:c>
    </x:row>
    <x:row r="252">
      <x:c r="A252" s="141" t="str">
        <x:v>Gold</x:v>
      </x:c>
      <x:c r="B252" s="155" t="n">
        <x:v>43249</x:v>
      </x:c>
      <x:c r="C252" s="155" t="n">
        <x:v>43252</x:v>
      </x:c>
      <x:c r="D252" s="159" t="n">
        <x:v>469382</x:v>
      </x:c>
      <x:c r="E252" s="159" t="n">
        <x:v>107882</x:v>
      </x:c>
      <x:c r="F252" s="159" t="n">
        <x:v>53881</x:v>
      </x:c>
      <x:c r="G252" s="159" t="n">
        <x:f>E252-F252</x:f>
        <x:v>54001</x:v>
      </x:c>
      <x:c r="H252" s="154" t="n">
        <x:f>IFERROR(G252/D252,"")</x:f>
        <x:v>0.11504701927214933</x:v>
      </x:c>
      <x:c r="I252" s="159" t="n">
        <x:v>33583</x:v>
      </x:c>
      <x:c r="J252" s="159" t="n">
        <x:v>170958</x:v>
      </x:c>
      <x:c r="K252" s="159" t="n">
        <x:f>I252-J252</x:f>
        <x:v>-137375</x:v>
      </x:c>
      <x:c r="L252" s="154" t="n">
        <x:f>IFERROR(K252/D252,"")</x:f>
        <x:v>-0.2926720666749045</x:v>
      </x:c>
    </x:row>
    <x:row r="253">
      <x:c r="A253" s="141" t="str">
        <x:v>Silver</x:v>
      </x:c>
      <x:c r="B253" s="155" t="n">
        <x:v>43249</x:v>
      </x:c>
      <x:c r="C253" s="155" t="n">
        <x:v>43252</x:v>
      </x:c>
      <x:c r="D253" s="159" t="n">
        <x:v>207610</x:v>
      </x:c>
      <x:c r="E253" s="159" t="n">
        <x:v>59999</x:v>
      </x:c>
      <x:c r="F253" s="159" t="n">
        <x:v>59208</x:v>
      </x:c>
      <x:c r="G253" s="159" t="n">
        <x:f>E253-F253</x:f>
        <x:v>791</x:v>
      </x:c>
      <x:c r="H253" s="154" t="n">
        <x:f>IFERROR(G253/D253,"")</x:f>
        <x:v>0.003810028418669621</x:v>
      </x:c>
      <x:c r="I253" s="159" t="n">
        <x:v>22047</x:v>
      </x:c>
      <x:c r="J253" s="159" t="n">
        <x:v>62781</x:v>
      </x:c>
      <x:c r="K253" s="159" t="n">
        <x:f>I253-J253</x:f>
        <x:v>-40734</x:v>
      </x:c>
      <x:c r="L253" s="154" t="n">
        <x:f>IFERROR(K253/D253,"")</x:f>
        <x:v>-0.19620442175232408</x:v>
      </x:c>
    </x:row>
    <x:row r="254">
      <x:c r="A254" s="141" t="str">
        <x:v>Gold</x:v>
      </x:c>
      <x:c r="B254" s="155" t="n">
        <x:v>43256</x:v>
      </x:c>
      <x:c r="C254" s="155" t="n">
        <x:v>43259</x:v>
      </x:c>
      <x:c r="D254" s="159" t="n">
        <x:v>450641</x:v>
      </x:c>
      <x:c r="E254" s="159" t="n">
        <x:v>100027</x:v>
      </x:c>
      <x:c r="F254" s="159" t="n">
        <x:v>49147</x:v>
      </x:c>
      <x:c r="G254" s="159" t="n">
        <x:f>E254-F254</x:f>
        <x:v>50880</x:v>
      </x:c>
      <x:c r="H254" s="154" t="n">
        <x:f>IFERROR(G254/D254,"")</x:f>
        <x:v>0.1129058385721672</x:v>
      </x:c>
      <x:c r="I254" s="159" t="n">
        <x:v>42172</x:v>
      </x:c>
      <x:c r="J254" s="159" t="n">
        <x:v>140296</x:v>
      </x:c>
      <x:c r="K254" s="159" t="n">
        <x:f>I254-J254</x:f>
        <x:v>-98124</x:v>
      </x:c>
      <x:c r="L254" s="154" t="n">
        <x:f>IFERROR(K254/D254,"")</x:f>
        <x:v>-0.21774317028410642</x:v>
      </x:c>
    </x:row>
    <x:row r="255">
      <x:c r="A255" s="141" t="str">
        <x:v>Silver</x:v>
      </x:c>
      <x:c r="B255" s="155" t="n">
        <x:v>43256</x:v>
      </x:c>
      <x:c r="C255" s="155" t="n">
        <x:v>43259</x:v>
      </x:c>
      <x:c r="D255" s="159" t="n">
        <x:v>211605</x:v>
      </x:c>
      <x:c r="E255" s="159" t="n">
        <x:v>63720</x:v>
      </x:c>
      <x:c r="F255" s="159" t="n">
        <x:v>59101</x:v>
      </x:c>
      <x:c r="G255" s="159" t="n">
        <x:f>E255-F255</x:f>
        <x:v>4619</x:v>
      </x:c>
      <x:c r="H255" s="154" t="n">
        <x:f>IFERROR(G255/D255,"")</x:f>
        <x:v>0.021828406701164906</x:v>
      </x:c>
      <x:c r="I255" s="159" t="n">
        <x:v>19853</x:v>
      </x:c>
      <x:c r="J255" s="159" t="n">
        <x:v>62443</x:v>
      </x:c>
      <x:c r="K255" s="159" t="n">
        <x:f>I255-J255</x:f>
        <x:v>-42590</x:v>
      </x:c>
      <x:c r="L255" s="154" t="n">
        <x:f>IFERROR(K255/D255,"")</x:f>
        <x:v>-0.201271236501973</x:v>
      </x:c>
    </x:row>
    <x:row r="256">
      <x:c r="A256" s="141" t="str">
        <x:v>Gold</x:v>
      </x:c>
      <x:c r="B256" s="155" t="n">
        <x:v>43263</x:v>
      </x:c>
      <x:c r="C256" s="155" t="n">
        <x:v>43266</x:v>
      </x:c>
      <x:c r="D256" s="159" t="n">
        <x:v>448695</x:v>
      </x:c>
      <x:c r="E256" s="159" t="n">
        <x:v>104313</x:v>
      </x:c>
      <x:c r="F256" s="159" t="n">
        <x:v>48809</x:v>
      </x:c>
      <x:c r="G256" s="159" t="n">
        <x:f>E256-F256</x:f>
        <x:v>55504</x:v>
      </x:c>
      <x:c r="H256" s="154" t="n">
        <x:f>IFERROR(G256/D256,"")</x:f>
        <x:v>0.12370095499169814</x:v>
      </x:c>
      <x:c r="I256" s="159" t="n">
        <x:v>43227</x:v>
      </x:c>
      <x:c r="J256" s="159" t="n">
        <x:v>138843</x:v>
      </x:c>
      <x:c r="K256" s="159" t="n">
        <x:f>I256-J256</x:f>
        <x:v>-95616</x:v>
      </x:c>
      <x:c r="L256" s="154" t="n">
        <x:f>IFERROR(K256/D256,"")</x:f>
        <x:v>-0.21309798415404674</x:v>
      </x:c>
    </x:row>
    <x:row r="257">
      <x:c r="A257" s="141" t="str">
        <x:v>Silver</x:v>
      </x:c>
      <x:c r="B257" s="155" t="n">
        <x:v>43263</x:v>
      </x:c>
      <x:c r="C257" s="155" t="n">
        <x:v>43266</x:v>
      </x:c>
      <x:c r="D257" s="159" t="n">
        <x:v>230163</x:v>
      </x:c>
      <x:c r="E257" s="159" t="n">
        <x:v>83823</x:v>
      </x:c>
      <x:c r="F257" s="159" t="n">
        <x:v>43079</x:v>
      </x:c>
      <x:c r="G257" s="159" t="n">
        <x:f>E257-F257</x:f>
        <x:v>40744</x:v>
      </x:c>
      <x:c r="H257" s="154" t="n">
        <x:f>IFERROR(G257/D257,"")</x:f>
        <x:v>0.17702237110221886</x:v>
      </x:c>
      <x:c r="I257" s="159" t="n">
        <x:v>16525</x:v>
      </x:c>
      <x:c r="J257" s="159" t="n">
        <x:v>70453</x:v>
      </x:c>
      <x:c r="K257" s="159" t="n">
        <x:f>I257-J257</x:f>
        <x:v>-53928</x:v>
      </x:c>
      <x:c r="L257" s="154" t="n">
        <x:f>IFERROR(K257/D257,"")</x:f>
        <x:v>-0.23430351533478447</x:v>
      </x:c>
    </x:row>
    <x:row r="258">
      <x:c r="A258" s="141" t="str">
        <x:v>Gold</x:v>
      </x:c>
      <x:c r="B258" s="155" t="n">
        <x:v>43270</x:v>
      </x:c>
      <x:c r="C258" s="155" t="n">
        <x:v>43273</x:v>
      </x:c>
      <x:c r="D258" s="159" t="n">
        <x:v>468345</x:v>
      </x:c>
      <x:c r="E258" s="159" t="n">
        <x:v>94297</x:v>
      </x:c>
      <x:c r="F258" s="159" t="n">
        <x:v>83769</x:v>
      </x:c>
      <x:c r="G258" s="159" t="n">
        <x:f>E258-F258</x:f>
        <x:v>10528</x:v>
      </x:c>
      <x:c r="H258" s="154" t="n">
        <x:f>IFERROR(G258/D258,"")</x:f>
        <x:v>0.022479155323532864</x:v>
      </x:c>
      <x:c r="I258" s="159" t="n">
        <x:v>45041</x:v>
      </x:c>
      <x:c r="J258" s="159" t="n">
        <x:v>116231</x:v>
      </x:c>
      <x:c r="K258" s="159" t="n">
        <x:f>I258-J258</x:f>
        <x:v>-71190</x:v>
      </x:c>
      <x:c r="L258" s="154" t="n">
        <x:f>IFERROR(K258/D258,"")</x:f>
        <x:v>-0.15200333087787848</x:v>
      </x:c>
    </x:row>
    <x:row r="259">
      <x:c r="A259" s="141" t="str">
        <x:v>Silver</x:v>
      </x:c>
      <x:c r="B259" s="155" t="n">
        <x:v>43270</x:v>
      </x:c>
      <x:c r="C259" s="155" t="n">
        <x:v>43273</x:v>
      </x:c>
      <x:c r="D259" s="159" t="n">
        <x:v>218814</x:v>
      </x:c>
      <x:c r="E259" s="159" t="n">
        <x:v>75158</x:v>
      </x:c>
      <x:c r="F259" s="159" t="n">
        <x:v>47422</x:v>
      </x:c>
      <x:c r="G259" s="159" t="n">
        <x:f>E259-F259</x:f>
        <x:v>27736</x:v>
      </x:c>
      <x:c r="H259" s="154" t="n">
        <x:f>IFERROR(G259/D259,"")</x:f>
        <x:v>0.1267560576562743</x:v>
      </x:c>
      <x:c r="I259" s="159" t="n">
        <x:v>16957</x:v>
      </x:c>
      <x:c r="J259" s="159" t="n">
        <x:v>62816</x:v>
      </x:c>
      <x:c r="K259" s="159" t="n">
        <x:f>I259-J259</x:f>
        <x:v>-45859</x:v>
      </x:c>
      <x:c r="L259" s="154" t="n">
        <x:f>IFERROR(K259/D259,"")</x:f>
        <x:v>-0.20957982578811227</x:v>
      </x:c>
    </x:row>
    <x:row r="260">
      <x:c r="A260" s="141" t="str">
        <x:v>Gold</x:v>
      </x:c>
      <x:c r="B260" s="155" t="n">
        <x:v>43277</x:v>
      </x:c>
      <x:c r="C260" s="155" t="n">
        <x:v>43280</x:v>
      </x:c>
      <x:c r="D260" s="159" t="n">
        <x:v>468573</x:v>
      </x:c>
      <x:c r="E260" s="159" t="n">
        <x:v>94845</x:v>
      </x:c>
      <x:c r="F260" s="159" t="n">
        <x:v>94869</x:v>
      </x:c>
      <x:c r="G260" s="159" t="n">
        <x:f>E260-F260</x:f>
        <x:v>-24</x:v>
      </x:c>
      <x:c r="H260" s="154" t="n">
        <x:f>IFERROR(G260/D260,"")</x:f>
        <x:v>-0.000051219340422943705</x:v>
      </x:c>
      <x:c r="I260" s="159" t="n">
        <x:v>45108</x:v>
      </x:c>
      <x:c r="J260" s="159" t="n">
        <x:v>116919</x:v>
      </x:c>
      <x:c r="K260" s="159" t="n">
        <x:f>I260-J260</x:f>
        <x:v>-71811</x:v>
      </x:c>
      <x:c r="L260" s="154" t="n">
        <x:f>IFERROR(K260/D260,"")</x:f>
        <x:v>-0.15325466896300044</x:v>
      </x:c>
    </x:row>
    <x:row r="261">
      <x:c r="A261" s="141" t="str">
        <x:v>Silver</x:v>
      </x:c>
      <x:c r="B261" s="155" t="n">
        <x:v>43277</x:v>
      </x:c>
      <x:c r="C261" s="155" t="n">
        <x:v>43280</x:v>
      </x:c>
      <x:c r="D261" s="159" t="n">
        <x:v>218492</x:v>
      </x:c>
      <x:c r="E261" s="159" t="n">
        <x:v>74273</x:v>
      </x:c>
      <x:c r="F261" s="159" t="n">
        <x:v>52212</x:v>
      </x:c>
      <x:c r="G261" s="159" t="n">
        <x:f>E261-F261</x:f>
        <x:v>22061</x:v>
      </x:c>
      <x:c r="H261" s="154" t="n">
        <x:f>IFERROR(G261/D261,"")</x:f>
        <x:v>0.10096937187631584</x:v>
      </x:c>
      <x:c r="I261" s="159" t="n">
        <x:v>16088</x:v>
      </x:c>
      <x:c r="J261" s="159" t="n">
        <x:v>58127</x:v>
      </x:c>
      <x:c r="K261" s="159" t="n">
        <x:f>I261-J261</x:f>
        <x:v>-42039</x:v>
      </x:c>
      <x:c r="L261" s="154" t="n">
        <x:f>IFERROR(K261/D261,"")</x:f>
        <x:v>-0.1924052139208758</x:v>
      </x:c>
    </x:row>
    <x:row r="262">
      <x:c r="A262" s="141" t="str">
        <x:v>Gold</x:v>
      </x:c>
      <x:c r="B262" s="155" t="n">
        <x:v>43284</x:v>
      </x:c>
      <x:c r="C262" s="155" t="n">
        <x:v>43287</x:v>
      </x:c>
      <x:c r="D262" s="159" t="n">
        <x:v>494164</x:v>
      </x:c>
      <x:c r="E262" s="159" t="n">
        <x:v>104275</x:v>
      </x:c>
      <x:c r="F262" s="159" t="n">
        <x:v>105529</x:v>
      </x:c>
      <x:c r="G262" s="159" t="n">
        <x:f>E262-F262</x:f>
        <x:v>-1254</x:v>
      </x:c>
      <x:c r="H262" s="154" t="n">
        <x:f>IFERROR(G262/D262,"")</x:f>
        <x:v>-0.0025376190900186983</x:v>
      </x:c>
      <x:c r="I262" s="159" t="n">
        <x:v>40794</x:v>
      </x:c>
      <x:c r="J262" s="159" t="n">
        <x:v>112038</x:v>
      </x:c>
      <x:c r="K262" s="159" t="n">
        <x:f>I262-J262</x:f>
        <x:v>-71244</x:v>
      </x:c>
      <x:c r="L262" s="154" t="n">
        <x:f>IFERROR(K262/D262,"")</x:f>
        <x:v>-0.14417076112383742</x:v>
      </x:c>
    </x:row>
    <x:row r="263">
      <x:c r="A263" s="141" t="str">
        <x:v>Silver</x:v>
      </x:c>
      <x:c r="B263" s="155" t="n">
        <x:v>43284</x:v>
      </x:c>
      <x:c r="C263" s="155" t="n">
        <x:v>43287</x:v>
      </x:c>
      <x:c r="D263" s="159" t="n">
        <x:v>205622</x:v>
      </x:c>
      <x:c r="E263" s="159" t="n">
        <x:v>72263</x:v>
      </x:c>
      <x:c r="F263" s="159" t="n">
        <x:v>62242</x:v>
      </x:c>
      <x:c r="G263" s="159" t="n">
        <x:f>E263-F263</x:f>
        <x:v>10021</x:v>
      </x:c>
      <x:c r="H263" s="154" t="n">
        <x:f>IFERROR(G263/D263,"")</x:f>
        <x:v>0.048735057532754276</x:v>
      </x:c>
      <x:c r="I263" s="159" t="n">
        <x:v>17205</x:v>
      </x:c>
      <x:c r="J263" s="159" t="n">
        <x:v>54928</x:v>
      </x:c>
      <x:c r="K263" s="159" t="n">
        <x:f>I263-J263</x:f>
        <x:v>-37723</x:v>
      </x:c>
      <x:c r="L263" s="154" t="n">
        <x:f>IFERROR(K263/D263,"")</x:f>
        <x:v>-0.18345799573975546</x:v>
      </x:c>
    </x:row>
    <x:row r="264">
      <x:c r="A264" s="141" t="str">
        <x:v>Gold</x:v>
      </x:c>
      <x:c r="B264" s="155" t="n">
        <x:v>43291</x:v>
      </x:c>
      <x:c r="C264" s="155" t="n">
        <x:v>43294</x:v>
      </x:c>
      <x:c r="D264" s="159" t="n">
        <x:v>503593</x:v>
      </x:c>
      <x:c r="E264" s="159" t="n">
        <x:v>107402</x:v>
      </x:c>
      <x:c r="F264" s="159" t="n">
        <x:v>109929</x:v>
      </x:c>
      <x:c r="G264" s="159" t="n">
        <x:f>E264-F264</x:f>
        <x:v>-2527</x:v>
      </x:c>
      <x:c r="H264" s="154" t="n">
        <x:f>IFERROR(G264/D264,"")</x:f>
        <x:v>-0.005017941075431946</x:v>
      </x:c>
      <x:c r="I264" s="159" t="n">
        <x:v>34107</x:v>
      </x:c>
      <x:c r="J264" s="159" t="n">
        <x:v>103749</x:v>
      </x:c>
      <x:c r="K264" s="159" t="n">
        <x:f>I264-J264</x:f>
        <x:v>-69642</x:v>
      </x:c>
      <x:c r="L264" s="154" t="n">
        <x:f>IFERROR(K264/D264,"")</x:f>
        <x:v>-0.13829024629015893</x:v>
      </x:c>
    </x:row>
    <x:row r="265">
      <x:c r="A265" s="141" t="str">
        <x:v>Silver</x:v>
      </x:c>
      <x:c r="B265" s="155" t="n">
        <x:v>43291</x:v>
      </x:c>
      <x:c r="C265" s="155" t="n">
        <x:v>43294</x:v>
      </x:c>
      <x:c r="D265" s="159" t="n">
        <x:v>207701</x:v>
      </x:c>
      <x:c r="E265" s="159" t="n">
        <x:v>68829</x:v>
      </x:c>
      <x:c r="F265" s="159" t="n">
        <x:v>61002</x:v>
      </x:c>
      <x:c r="G265" s="159" t="n">
        <x:f>E265-F265</x:f>
        <x:v>7827</x:v>
      </x:c>
      <x:c r="H265" s="154" t="n">
        <x:f>IFERROR(G265/D265,"")</x:f>
        <x:v>0.0376839784112739</x:v>
      </x:c>
      <x:c r="I265" s="159" t="n">
        <x:v>17054</x:v>
      </x:c>
      <x:c r="J265" s="159" t="n">
        <x:v>54485</x:v>
      </x:c>
      <x:c r="K265" s="159" t="n">
        <x:f>I265-J265</x:f>
        <x:v>-37431</x:v>
      </x:c>
      <x:c r="L265" s="154" t="n">
        <x:f>IFERROR(K265/D265,"")</x:f>
        <x:v>-0.18021579096874835</x:v>
      </x:c>
    </x:row>
    <x:row r="266">
      <x:c r="A266" s="141" t="str">
        <x:v>Gold</x:v>
      </x:c>
      <x:c r="B266" s="155" t="n">
        <x:v>43298</x:v>
      </x:c>
      <x:c r="C266" s="155" t="n">
        <x:v>43301</x:v>
      </x:c>
      <x:c r="D266" s="159" t="n">
        <x:v>528278</x:v>
      </x:c>
      <x:c r="E266" s="159" t="n">
        <x:v>107775</x:v>
      </x:c>
      <x:c r="F266" s="159" t="n">
        <x:v>134224</x:v>
      </x:c>
      <x:c r="G266" s="159" t="n">
        <x:f>E266-F266</x:f>
        <x:v>-26449</x:v>
      </x:c>
      <x:c r="H266" s="154" t="n">
        <x:f>IFERROR(G266/D266,"")</x:f>
        <x:v>-0.05006644228985496</x:v>
      </x:c>
      <x:c r="I266" s="159" t="n">
        <x:v>29729</x:v>
      </x:c>
      <x:c r="J266" s="159" t="n">
        <x:v>101723</x:v>
      </x:c>
      <x:c r="K266" s="159" t="n">
        <x:f>I266-J266</x:f>
        <x:v>-71994</x:v>
      </x:c>
      <x:c r="L266" s="154" t="n">
        <x:f>IFERROR(K266/D266,"")</x:f>
        <x:v>-0.13628051896917912</x:v>
      </x:c>
    </x:row>
    <x:row r="267">
      <x:c r="A267" s="141" t="str">
        <x:v>Silver</x:v>
      </x:c>
      <x:c r="B267" s="155" t="n">
        <x:v>43298</x:v>
      </x:c>
      <x:c r="C267" s="155" t="n">
        <x:v>43301</x:v>
      </x:c>
      <x:c r="D267" s="159" t="n">
        <x:v>212527</x:v>
      </x:c>
      <x:c r="E267" s="159" t="n">
        <x:v>62439</x:v>
      </x:c>
      <x:c r="F267" s="159" t="n">
        <x:v>71249</x:v>
      </x:c>
      <x:c r="G267" s="159" t="n">
        <x:f>E267-F267</x:f>
        <x:v>-8810</x:v>
      </x:c>
      <x:c r="H267" s="154" t="n">
        <x:f>IFERROR(G267/D267,"")</x:f>
        <x:v>-0.04145355648929312</x:v>
      </x:c>
      <x:c r="I267" s="159" t="n">
        <x:v>16466</x:v>
      </x:c>
      <x:c r="J267" s="159" t="n">
        <x:v>51279</x:v>
      </x:c>
      <x:c r="K267" s="159" t="n">
        <x:f>I267-J267</x:f>
        <x:v>-34813</x:v>
      </x:c>
      <x:c r="L267" s="154" t="n">
        <x:f>IFERROR(K267/D267,"")</x:f>
        <x:v>-0.16380506947352572</x:v>
      </x:c>
    </x:row>
    <x:row r="268">
      <x:c r="A268" s="141" t="str">
        <x:v>Gold</x:v>
      </x:c>
      <x:c r="B268" s="155" t="n">
        <x:v>43305</x:v>
      </x:c>
      <x:c r="C268" s="155" t="n">
        <x:v>43308</x:v>
      </x:c>
      <x:c r="D268" s="159" t="n">
        <x:v>496620</x:v>
      </x:c>
      <x:c r="E268" s="159" t="n">
        <x:v>110249</x:v>
      </x:c>
      <x:c r="F268" s="159" t="n">
        <x:v>146671</x:v>
      </x:c>
      <x:c r="G268" s="159" t="n">
        <x:f>E268-F268</x:f>
        <x:v>-36422</x:v>
      </x:c>
      <x:c r="H268" s="154" t="n">
        <x:f>IFERROR(G268/D268,"")</x:f>
        <x:v>-0.07333977689178849</x:v>
      </x:c>
      <x:c r="I268" s="159" t="n">
        <x:v>27066</x:v>
      </x:c>
      <x:c r="J268" s="159" t="n">
        <x:v>84366</x:v>
      </x:c>
      <x:c r="K268" s="159" t="n">
        <x:f>I268-J268</x:f>
        <x:v>-57300</x:v>
      </x:c>
      <x:c r="L268" s="154" t="n">
        <x:f>IFERROR(K268/D268,"")</x:f>
        <x:v>-0.11537996858765254</x:v>
      </x:c>
    </x:row>
    <x:row r="269">
      <x:c r="A269" s="141" t="str">
        <x:v>Silver</x:v>
      </x:c>
      <x:c r="B269" s="155" t="n">
        <x:v>43305</x:v>
      </x:c>
      <x:c r="C269" s="155" t="n">
        <x:v>43308</x:v>
      </x:c>
      <x:c r="D269" s="159" t="n">
        <x:v>214596</x:v>
      </x:c>
      <x:c r="E269" s="159" t="n">
        <x:v>64542</x:v>
      </x:c>
      <x:c r="F269" s="159" t="n">
        <x:v>77176</x:v>
      </x:c>
      <x:c r="G269" s="159" t="n">
        <x:f>E269-F269</x:f>
        <x:v>-12634</x:v>
      </x:c>
      <x:c r="H269" s="154" t="n">
        <x:f>IFERROR(G269/D269,"")</x:f>
        <x:v>-0.05887341795746426</x:v>
      </x:c>
      <x:c r="I269" s="159" t="n">
        <x:v>16169</x:v>
      </x:c>
      <x:c r="J269" s="159" t="n">
        <x:v>48285</x:v>
      </x:c>
      <x:c r="K269" s="159" t="n">
        <x:f>I269-J269</x:f>
        <x:v>-32116</x:v>
      </x:c>
      <x:c r="L269" s="154" t="n">
        <x:f>IFERROR(K269/D269,"")</x:f>
        <x:v>-0.14965796193778075</x:v>
      </x:c>
    </x:row>
    <x:row r="270">
      <x:c r="A270" s="141" t="str">
        <x:v>Gold</x:v>
      </x:c>
      <x:c r="B270" s="155" t="n">
        <x:v>43312</x:v>
      </x:c>
      <x:c r="C270" s="155" t="n">
        <x:v>43315</x:v>
      </x:c>
      <x:c r="D270" s="159" t="n">
        <x:v>452655</x:v>
      </x:c>
      <x:c r="E270" s="159" t="n">
        <x:v>110580</x:v>
      </x:c>
      <x:c r="F270" s="159" t="n">
        <x:v>153108</x:v>
      </x:c>
      <x:c r="G270" s="159" t="n">
        <x:f>E270-F270</x:f>
        <x:v>-42528</x:v>
      </x:c>
      <x:c r="H270" s="154" t="n">
        <x:f>IFERROR(G270/D270,"")</x:f>
        <x:v>-0.09395234781456076</x:v>
      </x:c>
      <x:c r="I270" s="159" t="n">
        <x:v>26485</x:v>
      </x:c>
      <x:c r="J270" s="159" t="n">
        <x:v>79249</x:v>
      </x:c>
      <x:c r="K270" s="159" t="n">
        <x:f>I270-J270</x:f>
        <x:v>-52764</x:v>
      </x:c>
      <x:c r="L270" s="154" t="n">
        <x:f>IFERROR(K270/D270,"")</x:f>
        <x:v>-0.11656559631507439</x:v>
      </x:c>
    </x:row>
    <x:row r="271">
      <x:c r="A271" s="141" t="str">
        <x:v>Silver</x:v>
      </x:c>
      <x:c r="B271" s="155" t="n">
        <x:v>43312</x:v>
      </x:c>
      <x:c r="C271" s="155" t="n">
        <x:v>43315</x:v>
      </x:c>
      <x:c r="D271" s="159" t="n">
        <x:v>226512</x:v>
      </x:c>
      <x:c r="E271" s="159" t="n">
        <x:v>68210</x:v>
      </x:c>
      <x:c r="F271" s="159" t="n">
        <x:v>76152</x:v>
      </x:c>
      <x:c r="G271" s="159" t="n">
        <x:f>E271-F271</x:f>
        <x:v>-7942</x:v>
      </x:c>
      <x:c r="H271" s="154" t="n">
        <x:f>IFERROR(G271/D271,"")</x:f>
        <x:v>-0.035062160062160064</x:v>
      </x:c>
      <x:c r="I271" s="159" t="n">
        <x:v>15590</x:v>
      </x:c>
      <x:c r="J271" s="159" t="n">
        <x:v>48778</x:v>
      </x:c>
      <x:c r="K271" s="159" t="n">
        <x:f>I271-J271</x:f>
        <x:v>-33188</x:v>
      </x:c>
      <x:c r="L271" s="154" t="n">
        <x:f>IFERROR(K271/D271,"")</x:f>
        <x:v>-0.14651762379035108</x:v>
      </x:c>
    </x:row>
    <x:row r="272">
      <x:c r="A272" s="141" t="str">
        <x:v>Gold</x:v>
      </x:c>
      <x:c r="B272" s="155" t="n">
        <x:v>43319</x:v>
      </x:c>
      <x:c r="C272" s="155" t="n">
        <x:v>43322</x:v>
      </x:c>
      <x:c r="D272" s="159" t="n">
        <x:v>459474</x:v>
      </x:c>
      <x:c r="E272" s="159" t="n">
        <x:v>105849</x:v>
      </x:c>
      <x:c r="F272" s="159" t="n">
        <x:v>171965</x:v>
      </x:c>
      <x:c r="G272" s="159" t="n">
        <x:f>E272-F272</x:f>
        <x:v>-66116</x:v>
      </x:c>
      <x:c r="H272" s="154" t="n">
        <x:f>IFERROR(G272/D272,"")</x:f>
        <x:v>-0.1438949755590088</x:v>
      </x:c>
      <x:c r="I272" s="159" t="n">
        <x:v>24692</x:v>
      </x:c>
      <x:c r="J272" s="159" t="n">
        <x:v>72357</x:v>
      </x:c>
      <x:c r="K272" s="159" t="n">
        <x:f>I272-J272</x:f>
        <x:v>-47665</x:v>
      </x:c>
      <x:c r="L272" s="154" t="n">
        <x:f>IFERROR(K272/D272,"")</x:f>
        <x:v>-0.10373818757971072</x:v>
      </x:c>
    </x:row>
    <x:row r="273">
      <x:c r="A273" s="141" t="str">
        <x:v>Silver</x:v>
      </x:c>
      <x:c r="B273" s="155" t="n">
        <x:v>43319</x:v>
      </x:c>
      <x:c r="C273" s="155" t="n">
        <x:v>43322</x:v>
      </x:c>
      <x:c r="D273" s="159" t="n">
        <x:v>235440</x:v>
      </x:c>
      <x:c r="E273" s="159" t="n">
        <x:v>67467</x:v>
      </x:c>
      <x:c r="F273" s="159" t="n">
        <x:v>81445</x:v>
      </x:c>
      <x:c r="G273" s="159" t="n">
        <x:f>E273-F273</x:f>
        <x:v>-13978</x:v>
      </x:c>
      <x:c r="H273" s="154" t="n">
        <x:f>IFERROR(G273/D273,"")</x:f>
        <x:v>-0.05936969079170914</x:v>
      </x:c>
      <x:c r="I273" s="159" t="n">
        <x:v>18838</x:v>
      </x:c>
      <x:c r="J273" s="159" t="n">
        <x:v>50492</x:v>
      </x:c>
      <x:c r="K273" s="159" t="n">
        <x:f>I273-J273</x:f>
        <x:v>-31654</x:v>
      </x:c>
      <x:c r="L273" s="154" t="n">
        <x:f>IFERROR(K273/D273,"")</x:f>
        <x:v>-0.1344461433910975</x:v>
      </x:c>
    </x:row>
    <x:row r="274">
      <x:c r="A274" s="141" t="str">
        <x:v>Gold</x:v>
      </x:c>
      <x:c r="B274" s="155" t="n">
        <x:v>43326</x:v>
      </x:c>
      <x:c r="C274" s="155" t="n">
        <x:v>43329</x:v>
      </x:c>
      <x:c r="D274" s="159" t="n">
        <x:v>476739</x:v>
      </x:c>
      <x:c r="E274" s="159" t="n">
        <x:v>104803</x:v>
      </x:c>
      <x:c r="F274" s="159" t="n">
        <x:v>188127</x:v>
      </x:c>
      <x:c r="G274" s="159" t="n">
        <x:f>E274-F274</x:f>
        <x:v>-83324</x:v>
      </x:c>
      <x:c r="H274" s="154" t="n">
        <x:f>IFERROR(G274/D274,"")</x:f>
        <x:v>-0.1747790719869782</x:v>
      </x:c>
      <x:c r="I274" s="159" t="n">
        <x:v>27574</x:v>
      </x:c>
      <x:c r="J274" s="159" t="n">
        <x:v>66183</x:v>
      </x:c>
      <x:c r="K274" s="159" t="n">
        <x:f>I274-J274</x:f>
        <x:v>-38609</x:v>
      </x:c>
      <x:c r="L274" s="154" t="n">
        <x:f>IFERROR(K274/D274,"")</x:f>
        <x:v>-0.08098561267276225</x:v>
      </x:c>
    </x:row>
    <x:row r="275">
      <x:c r="A275" s="141" t="str">
        <x:v>Silver</x:v>
      </x:c>
      <x:c r="B275" s="155" t="n">
        <x:v>43326</x:v>
      </x:c>
      <x:c r="C275" s="155" t="n">
        <x:v>43329</x:v>
      </x:c>
      <x:c r="D275" s="159" t="n">
        <x:v>240038</x:v>
      </x:c>
      <x:c r="E275" s="159" t="n">
        <x:v>66537</x:v>
      </x:c>
      <x:c r="F275" s="159" t="n">
        <x:v>88828</x:v>
      </x:c>
      <x:c r="G275" s="159" t="n">
        <x:f>E275-F275</x:f>
        <x:v>-22291</x:v>
      </x:c>
      <x:c r="H275" s="154" t="n">
        <x:f>IFERROR(G275/D275,"")</x:f>
        <x:v>-0.09286446312667161</x:v>
      </x:c>
      <x:c r="I275" s="159" t="n">
        <x:v>21250</x:v>
      </x:c>
      <x:c r="J275" s="159" t="n">
        <x:v>48121</x:v>
      </x:c>
      <x:c r="K275" s="159" t="n">
        <x:f>I275-J275</x:f>
        <x:v>-26871</x:v>
      </x:c>
      <x:c r="L275" s="154" t="n">
        <x:f>IFERROR(K275/D275,"")</x:f>
        <x:v>-0.11194477541056</x:v>
      </x:c>
    </x:row>
    <x:row r="276">
      <x:c r="A276" s="141" t="str">
        <x:v>Gold</x:v>
      </x:c>
      <x:c r="B276" s="155" t="n">
        <x:v>43333</x:v>
      </x:c>
      <x:c r="C276" s="155" t="n">
        <x:v>43336</x:v>
      </x:c>
      <x:c r="D276" s="159" t="n">
        <x:v>483730</x:v>
      </x:c>
      <x:c r="E276" s="159" t="n">
        <x:v>107143</x:v>
      </x:c>
      <x:c r="F276" s="159" t="n">
        <x:v>197171</x:v>
      </x:c>
      <x:c r="G276" s="159" t="n">
        <x:f>E276-F276</x:f>
        <x:v>-90028</x:v>
      </x:c>
      <x:c r="H276" s="154" t="n">
        <x:f>IFERROR(G276/D276,"")</x:f>
        <x:v>-0.18611208732143963</x:v>
      </x:c>
      <x:c r="I276" s="159" t="n">
        <x:v>26516</x:v>
      </x:c>
      <x:c r="J276" s="159" t="n">
        <x:v>63915</x:v>
      </x:c>
      <x:c r="K276" s="159" t="n">
        <x:f>I276-J276</x:f>
        <x:v>-37399</x:v>
      </x:c>
      <x:c r="L276" s="154" t="n">
        <x:f>IFERROR(K276/D276,"")</x:f>
        <x:v>-0.07731379075103881</x:v>
      </x:c>
    </x:row>
    <x:row r="277">
      <x:c r="A277" s="141" t="str">
        <x:v>Silver</x:v>
      </x:c>
      <x:c r="B277" s="155" t="n">
        <x:v>43333</x:v>
      </x:c>
      <x:c r="C277" s="155" t="n">
        <x:v>43336</x:v>
      </x:c>
      <x:c r="D277" s="159" t="n">
        <x:v>244196</x:v>
      </x:c>
      <x:c r="E277" s="159" t="n">
        <x:v>63210</x:v>
      </x:c>
      <x:c r="F277" s="159" t="n">
        <x:v>90927</x:v>
      </x:c>
      <x:c r="G277" s="159" t="n">
        <x:f>E277-F277</x:f>
        <x:v>-27717</x:v>
      </x:c>
      <x:c r="H277" s="154" t="n">
        <x:f>IFERROR(G277/D277,"")</x:f>
        <x:v>-0.11350308768366395</x:v>
      </x:c>
      <x:c r="I277" s="159" t="n">
        <x:v>20803</x:v>
      </x:c>
      <x:c r="J277" s="159" t="n">
        <x:v>42982</x:v>
      </x:c>
      <x:c r="K277" s="159" t="n">
        <x:f>I277-J277</x:f>
        <x:v>-22179</x:v>
      </x:c>
      <x:c r="L277" s="154" t="n">
        <x:f>IFERROR(K277/D277,"")</x:f>
        <x:v>-0.09082458353126177</x:v>
      </x:c>
    </x:row>
    <x:row r="278">
      <x:c r="A278" s="141" t="str">
        <x:v>Gold</x:v>
      </x:c>
      <x:c r="B278" s="155" t="n">
        <x:v>43340</x:v>
      </x:c>
      <x:c r="C278" s="155" t="n">
        <x:v>43343</x:v>
      </x:c>
      <x:c r="D278" s="159" t="n">
        <x:v>479283</x:v>
      </x:c>
      <x:c r="E278" s="159" t="n">
        <x:v>105971</x:v>
      </x:c>
      <x:c r="F278" s="159" t="n">
        <x:v>181743</x:v>
      </x:c>
      <x:c r="G278" s="159" t="n">
        <x:f>E278-F278</x:f>
        <x:v>-75772</x:v>
      </x:c>
      <x:c r="H278" s="154" t="n">
        <x:f>IFERROR(G278/D278,"")</x:f>
        <x:v>-0.15809448697324963</x:v>
      </x:c>
      <x:c r="I278" s="159" t="n">
        <x:v>26507</x:v>
      </x:c>
      <x:c r="J278" s="159" t="n">
        <x:v>67699</x:v>
      </x:c>
      <x:c r="K278" s="159" t="n">
        <x:f>I278-J278</x:f>
        <x:v>-41192</x:v>
      </x:c>
      <x:c r="L278" s="154" t="n">
        <x:f>IFERROR(K278/D278,"")</x:f>
        <x:v>-0.08594504708074353</x:v>
      </x:c>
    </x:row>
    <x:row r="279">
      <x:c r="A279" s="141" t="str">
        <x:v>Silver</x:v>
      </x:c>
      <x:c r="B279" s="155" t="n">
        <x:v>43340</x:v>
      </x:c>
      <x:c r="C279" s="155" t="n">
        <x:v>43343</x:v>
      </x:c>
      <x:c r="D279" s="159" t="n">
        <x:v>227329</x:v>
      </x:c>
      <x:c r="E279" s="159" t="n">
        <x:v>60430</x:v>
      </x:c>
      <x:c r="F279" s="159" t="n">
        <x:v>96135</x:v>
      </x:c>
      <x:c r="G279" s="159" t="n">
        <x:f>E279-F279</x:f>
        <x:v>-35705</x:v>
      </x:c>
      <x:c r="H279" s="154" t="n">
        <x:f>IFERROR(G279/D279,"")</x:f>
        <x:v>-0.1570631111736734</x:v>
      </x:c>
      <x:c r="I279" s="159" t="n">
        <x:v>22526</x:v>
      </x:c>
      <x:c r="J279" s="159" t="n">
        <x:v>41538</x:v>
      </x:c>
      <x:c r="K279" s="159" t="n">
        <x:f>I279-J279</x:f>
        <x:v>-19012</x:v>
      </x:c>
      <x:c r="L279" s="154" t="n">
        <x:f>IFERROR(K279/D279,"")</x:f>
        <x:v>-0.083632092693849</x:v>
      </x:c>
    </x:row>
    <x:row r="280">
      <x:c r="A280" s="141" t="str">
        <x:v>Gold</x:v>
      </x:c>
      <x:c r="B280" s="155" t="n">
        <x:v>43347</x:v>
      </x:c>
      <x:c r="C280" s="155" t="n">
        <x:v>43350</x:v>
      </x:c>
      <x:c r="D280" s="159" t="n">
        <x:v>473118</x:v>
      </x:c>
      <x:c r="E280" s="159" t="n">
        <x:v>101651</x:v>
      </x:c>
      <x:c r="F280" s="159" t="n">
        <x:v>184373</x:v>
      </x:c>
      <x:c r="G280" s="159" t="n">
        <x:f>E280-F280</x:f>
        <x:v>-82722</x:v>
      </x:c>
      <x:c r="H280" s="154" t="n">
        <x:f>IFERROR(G280/D280,"")</x:f>
        <x:v>-0.1748443305898317</x:v>
      </x:c>
      <x:c r="I280" s="159" t="n">
        <x:v>27115</x:v>
      </x:c>
      <x:c r="J280" s="159" t="n">
        <x:v>65731</x:v>
      </x:c>
      <x:c r="K280" s="159" t="n">
        <x:f>I280-J280</x:f>
        <x:v>-38616</x:v>
      </x:c>
      <x:c r="L280" s="154" t="n">
        <x:f>IFERROR(K280/D280,"")</x:f>
        <x:v>-0.08162023004831775</x:v>
      </x:c>
    </x:row>
    <x:row r="281">
      <x:c r="A281" s="141" t="str">
        <x:v>Silver</x:v>
      </x:c>
      <x:c r="B281" s="155" t="n">
        <x:v>43347</x:v>
      </x:c>
      <x:c r="C281" s="155" t="n">
        <x:v>43350</x:v>
      </x:c>
      <x:c r="D281" s="159" t="n">
        <x:v>212391</x:v>
      </x:c>
      <x:c r="E281" s="159" t="n">
        <x:v>55559</x:v>
      </x:c>
      <x:c r="F281" s="159" t="n">
        <x:v>104482</x:v>
      </x:c>
      <x:c r="G281" s="159" t="n">
        <x:f>E281-F281</x:f>
        <x:v>-48923</x:v>
      </x:c>
      <x:c r="H281" s="154" t="n">
        <x:f>IFERROR(G281/D281,"")</x:f>
        <x:v>-0.23034403529339756</x:v>
      </x:c>
      <x:c r="I281" s="159" t="n">
        <x:v>22368</x:v>
      </x:c>
      <x:c r="J281" s="159" t="n">
        <x:v>33018</x:v>
      </x:c>
      <x:c r="K281" s="159" t="n">
        <x:f>I281-J281</x:f>
        <x:v>-10650</x:v>
      </x:c>
      <x:c r="L281" s="154" t="n">
        <x:f>IFERROR(K281/D281,"")</x:f>
        <x:v>-0.05014336765682162</x:v>
      </x:c>
    </x:row>
    <x:row r="282">
      <x:c r="A282" s="141" t="str">
        <x:v>Gold</x:v>
      </x:c>
      <x:c r="B282" s="155" t="n">
        <x:v>43354</x:v>
      </x:c>
      <x:c r="C282" s="155" t="n">
        <x:v>43357</x:v>
      </x:c>
      <x:c r="D282" s="159" t="n">
        <x:v>469450</x:v>
      </x:c>
      <x:c r="E282" s="159" t="n">
        <x:v>100593</x:v>
      </x:c>
      <x:c r="F282" s="159" t="n">
        <x:v>175812</x:v>
      </x:c>
      <x:c r="G282" s="159" t="n">
        <x:f>E282-F282</x:f>
        <x:v>-75219</x:v>
      </x:c>
      <x:c r="H282" s="154" t="n">
        <x:f>IFERROR(G282/D282,"")</x:f>
        <x:v>-0.16022792629673022</x:v>
      </x:c>
      <x:c r="I282" s="159" t="n">
        <x:v>28256</x:v>
      </x:c>
      <x:c r="J282" s="159" t="n">
        <x:v>68613</x:v>
      </x:c>
      <x:c r="K282" s="159" t="n">
        <x:f>I282-J282</x:f>
        <x:v>-40357</x:v>
      </x:c>
      <x:c r="L282" s="154" t="n">
        <x:f>IFERROR(K282/D282,"")</x:f>
        <x:v>-0.08596655660879753</x:v>
      </x:c>
    </x:row>
    <x:row r="283">
      <x:c r="A283" s="141" t="str">
        <x:v>Silver</x:v>
      </x:c>
      <x:c r="B283" s="155" t="n">
        <x:v>43354</x:v>
      </x:c>
      <x:c r="C283" s="155" t="n">
        <x:v>43357</x:v>
      </x:c>
      <x:c r="D283" s="159" t="n">
        <x:v>208969</x:v>
      </x:c>
      <x:c r="E283" s="159" t="n">
        <x:v>53034</x:v>
      </x:c>
      <x:c r="F283" s="159" t="n">
        <x:v>101109</x:v>
      </x:c>
      <x:c r="G283" s="159" t="n">
        <x:f>E283-F283</x:f>
        <x:v>-48075</x:v>
      </x:c>
      <x:c r="H283" s="154" t="n">
        <x:f>IFERROR(G283/D283,"")</x:f>
        <x:v>-0.23005804688733736</x:v>
      </x:c>
      <x:c r="I283" s="159" t="n">
        <x:v>20639</x:v>
      </x:c>
      <x:c r="J283" s="159" t="n">
        <x:v>30296</x:v>
      </x:c>
      <x:c r="K283" s="159" t="n">
        <x:f>I283-J283</x:f>
        <x:v>-9657</x:v>
      </x:c>
      <x:c r="L283" s="154" t="n">
        <x:f>IFERROR(K283/D283,"")</x:f>
        <x:v>-0.046212596126698216</x:v>
      </x:c>
    </x:row>
    <x:row r="284">
      <x:c r="A284" s="141" t="str">
        <x:v>Gold</x:v>
      </x:c>
      <x:c r="B284" s="155" t="n">
        <x:v>43361</x:v>
      </x:c>
      <x:c r="C284" s="155" t="n">
        <x:v>43364</x:v>
      </x:c>
      <x:c r="D284" s="159" t="n">
        <x:v>469436</x:v>
      </x:c>
      <x:c r="E284" s="159" t="n">
        <x:v>97904</x:v>
      </x:c>
      <x:c r="F284" s="159" t="n">
        <x:v>180367</x:v>
      </x:c>
      <x:c r="G284" s="159" t="n">
        <x:f>E284-F284</x:f>
        <x:v>-82463</x:v>
      </x:c>
      <x:c r="H284" s="154" t="n">
        <x:f>IFERROR(G284/D284,"")</x:f>
        <x:v>-0.17566398827529206</x:v>
      </x:c>
      <x:c r="I284" s="159" t="n">
        <x:v>29357</x:v>
      </x:c>
      <x:c r="J284" s="159" t="n">
        <x:v>68328</x:v>
      </x:c>
      <x:c r="K284" s="159" t="n">
        <x:f>I284-J284</x:f>
        <x:v>-38971</x:v>
      </x:c>
      <x:c r="L284" s="154" t="n">
        <x:f>IFERROR(K284/D284,"")</x:f>
        <x:v>-0.08301664124609105</x:v>
      </x:c>
    </x:row>
    <x:row r="285">
      <x:c r="A285" s="141" t="str">
        <x:v>Silver</x:v>
      </x:c>
      <x:c r="B285" s="155" t="n">
        <x:v>43361</x:v>
      </x:c>
      <x:c r="C285" s="155" t="n">
        <x:v>43364</x:v>
      </x:c>
      <x:c r="D285" s="159" t="n">
        <x:v>205469</x:v>
      </x:c>
      <x:c r="E285" s="159" t="n">
        <x:v>52296</x:v>
      </x:c>
      <x:c r="F285" s="159" t="n">
        <x:v>99047</x:v>
      </x:c>
      <x:c r="G285" s="159" t="n">
        <x:f>E285-F285</x:f>
        <x:v>-46751</x:v>
      </x:c>
      <x:c r="H285" s="154" t="n">
        <x:f>IFERROR(G285/D285,"")</x:f>
        <x:v>-0.2275331071840521</x:v>
      </x:c>
      <x:c r="I285" s="159" t="n">
        <x:v>21956</x:v>
      </x:c>
      <x:c r="J285" s="159" t="n">
        <x:v>32279</x:v>
      </x:c>
      <x:c r="K285" s="159" t="n">
        <x:f>I285-J285</x:f>
        <x:v>-10323</x:v>
      </x:c>
      <x:c r="L285" s="154" t="n">
        <x:f>IFERROR(K285/D285,"")</x:f>
        <x:v>-0.050241155600114856</x:v>
      </x:c>
    </x:row>
    <x:row r="286">
      <x:c r="A286" s="141" t="str">
        <x:v>Gold</x:v>
      </x:c>
      <x:c r="B286" s="155" t="n">
        <x:v>43368</x:v>
      </x:c>
      <x:c r="C286" s="155" t="n">
        <x:v>43371</x:v>
      </x:c>
      <x:c r="D286" s="159" t="n">
        <x:v>460279</x:v>
      </x:c>
      <x:c r="E286" s="159" t="n">
        <x:v>98513</x:v>
      </x:c>
      <x:c r="F286" s="159" t="n">
        <x:v>182190</x:v>
      </x:c>
      <x:c r="G286" s="159" t="n">
        <x:f>E286-F286</x:f>
        <x:v>-83677</x:v>
      </x:c>
      <x:c r="H286" s="154" t="n">
        <x:f>IFERROR(G286/D286,"")</x:f>
        <x:v>-0.18179625835634475</x:v>
      </x:c>
      <x:c r="I286" s="159" t="n">
        <x:v>27277</x:v>
      </x:c>
      <x:c r="J286" s="159" t="n">
        <x:v>67802</x:v>
      </x:c>
      <x:c r="K286" s="159" t="n">
        <x:f>I286-J286</x:f>
        <x:v>-40525</x:v>
      </x:c>
      <x:c r="L286" s="154" t="n">
        <x:f>IFERROR(K286/D286,"")</x:f>
        <x:v>-0.08804442522904586</x:v>
      </x:c>
    </x:row>
    <x:row r="287">
      <x:c r="A287" s="141" t="str">
        <x:v>Silver</x:v>
      </x:c>
      <x:c r="B287" s="155" t="n">
        <x:v>43368</x:v>
      </x:c>
      <x:c r="C287" s="155" t="n">
        <x:v>43371</x:v>
      </x:c>
      <x:c r="D287" s="159" t="n">
        <x:v>204508</x:v>
      </x:c>
      <x:c r="E287" s="159" t="n">
        <x:v>52672</x:v>
      </x:c>
      <x:c r="F287" s="159" t="n">
        <x:v>95355</x:v>
      </x:c>
      <x:c r="G287" s="159" t="n">
        <x:f>E287-F287</x:f>
        <x:v>-42683</x:v>
      </x:c>
      <x:c r="H287" s="154" t="n">
        <x:f>IFERROR(G287/D287,"")</x:f>
        <x:v>-0.20871066168560642</x:v>
      </x:c>
      <x:c r="I287" s="159" t="n">
        <x:v>18532</x:v>
      </x:c>
      <x:c r="J287" s="159" t="n">
        <x:v>33704</x:v>
      </x:c>
      <x:c r="K287" s="159" t="n">
        <x:f>I287-J287</x:f>
        <x:v>-15172</x:v>
      </x:c>
      <x:c r="L287" s="154" t="n">
        <x:f>IFERROR(K287/D287,"")</x:f>
        <x:v>-0.07418780683396249</x:v>
      </x:c>
    </x:row>
    <x:row r="288">
      <x:c r="A288" s="141" t="str">
        <x:v>Gold</x:v>
      </x:c>
      <x:c r="B288" s="155" t="n">
        <x:v>43375</x:v>
      </x:c>
      <x:c r="C288" s="155" t="n">
        <x:v>43378</x:v>
      </x:c>
      <x:c r="D288" s="159" t="n">
        <x:v>459776</x:v>
      </x:c>
      <x:c r="E288" s="159" t="n">
        <x:v>100671</x:v>
      </x:c>
      <x:c r="F288" s="159" t="n">
        <x:v>180274</x:v>
      </x:c>
      <x:c r="G288" s="159" t="n">
        <x:f>E288-F288</x:f>
        <x:v>-79603</x:v>
      </x:c>
      <x:c r="H288" s="154" t="n">
        <x:f>IFERROR(G288/D288,"")</x:f>
        <x:v>-0.17313430888084633</x:v>
      </x:c>
      <x:c r="I288" s="159" t="n">
        <x:v>31567</x:v>
      </x:c>
      <x:c r="J288" s="159" t="n">
        <x:v>70177</x:v>
      </x:c>
      <x:c r="K288" s="159" t="n">
        <x:f>I288-J288</x:f>
        <x:v>-38610</x:v>
      </x:c>
      <x:c r="L288" s="154" t="n">
        <x:f>IFERROR(K288/D288,"")</x:f>
        <x:v>-0.08397567511135857</x:v>
      </x:c>
    </x:row>
    <x:row r="289">
      <x:c r="A289" s="141" t="str">
        <x:v>Silver</x:v>
      </x:c>
      <x:c r="B289" s="155" t="n">
        <x:v>43375</x:v>
      </x:c>
      <x:c r="C289" s="155" t="n">
        <x:v>43378</x:v>
      </x:c>
      <x:c r="D289" s="159" t="n">
        <x:v>200173</x:v>
      </x:c>
      <x:c r="E289" s="159" t="n">
        <x:v>50674</x:v>
      </x:c>
      <x:c r="F289" s="159" t="n">
        <x:v>86744</x:v>
      </x:c>
      <x:c r="G289" s="159" t="n">
        <x:f>E289-F289</x:f>
        <x:v>-36070</x:v>
      </x:c>
      <x:c r="H289" s="154" t="n">
        <x:f>IFERROR(G289/D289,"")</x:f>
        <x:v>-0.18019413207575447</x:v>
      </x:c>
      <x:c r="I289" s="159" t="n">
        <x:v>16784</x:v>
      </x:c>
      <x:c r="J289" s="159" t="n">
        <x:v>36795</x:v>
      </x:c>
      <x:c r="K289" s="159" t="n">
        <x:f>I289-J289</x:f>
        <x:v>-20011</x:v>
      </x:c>
      <x:c r="L289" s="154" t="n">
        <x:f>IFERROR(K289/D289,"")</x:f>
        <x:v>-0.09996852722395128</x:v>
      </x:c>
    </x:row>
    <x:row r="290">
      <x:c r="A290" s="141" t="str">
        <x:v>Gold</x:v>
      </x:c>
      <x:c r="B290" s="155" t="n">
        <x:v>43382</x:v>
      </x:c>
      <x:c r="C290" s="155" t="n">
        <x:v>43385</x:v>
      </x:c>
      <x:c r="D290" s="159" t="n">
        <x:v>465253</x:v>
      </x:c>
      <x:c r="E290" s="159" t="n">
        <x:v>82218</x:v>
      </x:c>
      <x:c r="F290" s="159" t="n">
        <x:v>191672</x:v>
      </x:c>
      <x:c r="G290" s="159" t="n">
        <x:f>E290-F290</x:f>
        <x:v>-109454</x:v>
      </x:c>
      <x:c r="H290" s="154" t="n">
        <x:f>IFERROR(G290/D290,"")</x:f>
        <x:v>-0.23525694622065843</x:v>
      </x:c>
      <x:c r="I290" s="159" t="n">
        <x:v>35501</x:v>
      </x:c>
      <x:c r="J290" s="159" t="n">
        <x:v>69634</x:v>
      </x:c>
      <x:c r="K290" s="159" t="n">
        <x:f>I290-J290</x:f>
        <x:v>-34133</x:v>
      </x:c>
      <x:c r="L290" s="154" t="n">
        <x:f>IFERROR(K290/D290,"")</x:f>
        <x:v>-0.07336438453916472</x:v>
      </x:c>
    </x:row>
    <x:row r="291">
      <x:c r="A291" s="141" t="str">
        <x:v>Silver</x:v>
      </x:c>
      <x:c r="B291" s="155" t="n">
        <x:v>43382</x:v>
      </x:c>
      <x:c r="C291" s="155" t="n">
        <x:v>43385</x:v>
      </x:c>
      <x:c r="D291" s="159" t="n">
        <x:v>199853</x:v>
      </x:c>
      <x:c r="E291" s="159" t="n">
        <x:v>45587</x:v>
      </x:c>
      <x:c r="F291" s="159" t="n">
        <x:v>86851</x:v>
      </x:c>
      <x:c r="G291" s="159" t="n">
        <x:f>E291-F291</x:f>
        <x:v>-41264</x:v>
      </x:c>
      <x:c r="H291" s="154" t="n">
        <x:f>IFERROR(G291/D291,"")</x:f>
        <x:v>-0.2064717567412048</x:v>
      </x:c>
      <x:c r="I291" s="159" t="n">
        <x:v>16026</x:v>
      </x:c>
      <x:c r="J291" s="159" t="n">
        <x:v>35721</x:v>
      </x:c>
      <x:c r="K291" s="159" t="n">
        <x:f>I291-J291</x:f>
        <x:v>-19695</x:v>
      </x:c>
      <x:c r="L291" s="154" t="n">
        <x:f>IFERROR(K291/D291,"")</x:f>
        <x:v>-0.09854743236278665</x:v>
      </x:c>
    </x:row>
    <x:row r="292">
      <x:c r="A292" s="141" t="str">
        <x:v>Gold</x:v>
      </x:c>
      <x:c r="B292" s="155" t="n">
        <x:v>43389</x:v>
      </x:c>
      <x:c r="C292" s="155" t="n">
        <x:v>43392</x:v>
      </x:c>
      <x:c r="D292" s="159" t="n">
        <x:v>474418</x:v>
      </x:c>
      <x:c r="E292" s="159" t="n">
        <x:v>95333</x:v>
      </x:c>
      <x:c r="F292" s="159" t="n">
        <x:v>144715</x:v>
      </x:c>
      <x:c r="G292" s="159" t="n">
        <x:f>E292-F292</x:f>
        <x:v>-49382</x:v>
      </x:c>
      <x:c r="H292" s="154" t="n">
        <x:f>IFERROR(G292/D292,"")</x:f>
        <x:v>-0.10408964246719138</x:v>
      </x:c>
      <x:c r="I292" s="159" t="n">
        <x:v>36197</x:v>
      </x:c>
      <x:c r="J292" s="159" t="n">
        <x:v>98154</x:v>
      </x:c>
      <x:c r="K292" s="159" t="n">
        <x:f>I292-J292</x:f>
        <x:v>-61957</x:v>
      </x:c>
      <x:c r="L292" s="154" t="n">
        <x:f>IFERROR(K292/D292,"")</x:f>
        <x:v>-0.13059580370053414</x:v>
      </x:c>
    </x:row>
    <x:row r="293">
      <x:c r="A293" s="141" t="str">
        <x:v>Silver</x:v>
      </x:c>
      <x:c r="B293" s="155" t="n">
        <x:v>43389</x:v>
      </x:c>
      <x:c r="C293" s="155" t="n">
        <x:v>43392</x:v>
      </x:c>
      <x:c r="D293" s="159" t="n">
        <x:v>199398</x:v>
      </x:c>
      <x:c r="E293" s="159" t="n">
        <x:v>45792</x:v>
      </x:c>
      <x:c r="F293" s="159" t="n">
        <x:v>79191</x:v>
      </x:c>
      <x:c r="G293" s="159" t="n">
        <x:f>E293-F293</x:f>
        <x:v>-33399</x:v>
      </x:c>
      <x:c r="H293" s="154" t="n">
        <x:f>IFERROR(G293/D293,"")</x:f>
        <x:v>-0.16749917250925286</x:v>
      </x:c>
      <x:c r="I293" s="159" t="n">
        <x:v>14625</x:v>
      </x:c>
      <x:c r="J293" s="159" t="n">
        <x:v>39416</x:v>
      </x:c>
      <x:c r="K293" s="159" t="n">
        <x:f>I293-J293</x:f>
        <x:v>-24791</x:v>
      </x:c>
      <x:c r="L293" s="154" t="n">
        <x:f>IFERROR(K293/D293,"")</x:f>
        <x:v>-0.12432923098526565</x:v>
      </x:c>
    </x:row>
    <x:row r="294">
      <x:c r="A294" s="141" t="str">
        <x:v>Gold</x:v>
      </x:c>
      <x:c r="B294" s="155" t="n">
        <x:v>43396</x:v>
      </x:c>
      <x:c r="C294" s="155" t="n">
        <x:v>43399</x:v>
      </x:c>
      <x:c r="D294" s="159" t="n">
        <x:v>477832</x:v>
      </x:c>
      <x:c r="E294" s="159" t="n">
        <x:v>99368</x:v>
      </x:c>
      <x:c r="F294" s="159" t="n">
        <x:v>137484</x:v>
      </x:c>
      <x:c r="G294" s="159" t="n">
        <x:f>E294-F294</x:f>
        <x:v>-38116</x:v>
      </x:c>
      <x:c r="H294" s="154" t="n">
        <x:f>IFERROR(G294/D294,"")</x:f>
        <x:v>-0.0797686216075943</x:v>
      </x:c>
      <x:c r="I294" s="159" t="n">
        <x:v>34663</x:v>
      </x:c>
      <x:c r="J294" s="159" t="n">
        <x:v>102587</x:v>
      </x:c>
      <x:c r="K294" s="159" t="n">
        <x:f>I294-J294</x:f>
        <x:v>-67924</x:v>
      </x:c>
      <x:c r="L294" s="154" t="n">
        <x:f>IFERROR(K294/D294,"")</x:f>
        <x:v>-0.1421503792127777</x:v>
      </x:c>
    </x:row>
    <x:row r="295">
      <x:c r="A295" s="141" t="str">
        <x:v>Silver</x:v>
      </x:c>
      <x:c r="B295" s="155" t="n">
        <x:v>43396</x:v>
      </x:c>
      <x:c r="C295" s="155" t="n">
        <x:v>43399</x:v>
      </x:c>
      <x:c r="D295" s="159" t="n">
        <x:v>199746</x:v>
      </x:c>
      <x:c r="E295" s="159" t="n">
        <x:v>50611</x:v>
      </x:c>
      <x:c r="F295" s="159" t="n">
        <x:v>71636</x:v>
      </x:c>
      <x:c r="G295" s="159" t="n">
        <x:f>E295-F295</x:f>
        <x:v>-21025</x:v>
      </x:c>
      <x:c r="H295" s="154" t="n">
        <x:f>IFERROR(G295/D295,"")</x:f>
        <x:v>-0.10525867852172259</x:v>
      </x:c>
      <x:c r="I295" s="159" t="n">
        <x:v>14163</x:v>
      </x:c>
      <x:c r="J295" s="159" t="n">
        <x:v>44389</x:v>
      </x:c>
      <x:c r="K295" s="159" t="n">
        <x:f>I295-J295</x:f>
        <x:v>-30226</x:v>
      </x:c>
      <x:c r="L295" s="154" t="n">
        <x:f>IFERROR(K295/D295,"")</x:f>
        <x:v>-0.1513221791675428</x:v>
      </x:c>
    </x:row>
    <x:row r="296">
      <x:c r="A296" s="141" t="str">
        <x:v>Gold</x:v>
      </x:c>
      <x:c r="B296" s="155" t="n">
        <x:v>43403</x:v>
      </x:c>
      <x:c r="C296" s="155" t="n">
        <x:v>43406</x:v>
      </x:c>
      <x:c r="D296" s="159" t="n">
        <x:v>474941</x:v>
      </x:c>
      <x:c r="E296" s="159" t="n">
        <x:v>80105</x:v>
      </x:c>
      <x:c r="F296" s="159" t="n">
        <x:v>135628</x:v>
      </x:c>
      <x:c r="G296" s="159" t="n">
        <x:f>E296-F296</x:f>
        <x:v>-55523</x:v>
      </x:c>
      <x:c r="H296" s="154" t="n">
        <x:f>IFERROR(G296/D296,"")</x:f>
        <x:v>-0.11690504715322535</x:v>
      </x:c>
      <x:c r="I296" s="159" t="n">
        <x:v>36057</x:v>
      </x:c>
      <x:c r="J296" s="159" t="n">
        <x:v>97111</x:v>
      </x:c>
      <x:c r="K296" s="159" t="n">
        <x:f>I296-J296</x:f>
        <x:v>-61054</x:v>
      </x:c>
      <x:c r="L296" s="154" t="n">
        <x:f>IFERROR(K296/D296,"")</x:f>
        <x:v>-0.12855070419273132</x:v>
      </x:c>
    </x:row>
    <x:row r="297">
      <x:c r="A297" s="141" t="str">
        <x:v>Silver</x:v>
      </x:c>
      <x:c r="B297" s="155" t="n">
        <x:v>43403</x:v>
      </x:c>
      <x:c r="C297" s="155" t="n">
        <x:v>43406</x:v>
      </x:c>
      <x:c r="D297" s="159" t="n">
        <x:v>208976</x:v>
      </x:c>
      <x:c r="E297" s="159" t="n">
        <x:v>50387</x:v>
      </x:c>
      <x:c r="F297" s="159" t="n">
        <x:v>75563</x:v>
      </x:c>
      <x:c r="G297" s="159" t="n">
        <x:f>E297-F297</x:f>
        <x:v>-25176</x:v>
      </x:c>
      <x:c r="H297" s="154" t="n">
        <x:f>IFERROR(G297/D297,"")</x:f>
        <x:v>-0.12047316438251282</x:v>
      </x:c>
      <x:c r="I297" s="159" t="n">
        <x:v>16058</x:v>
      </x:c>
      <x:c r="J297" s="159" t="n">
        <x:v>45872</x:v>
      </x:c>
      <x:c r="K297" s="159" t="n">
        <x:f>I297-J297</x:f>
        <x:v>-29814</x:v>
      </x:c>
      <x:c r="L297" s="154" t="n">
        <x:f>IFERROR(K297/D297,"")</x:f>
        <x:v>-0.14266710052829032</x:v>
      </x:c>
    </x:row>
    <x:row r="298">
      <x:c r="A298" s="141" t="str">
        <x:v>Gold</x:v>
      </x:c>
      <x:c r="B298" s="155" t="n">
        <x:v>43410</x:v>
      </x:c>
      <x:c r="C298" s="155" t="n">
        <x:v>43413</x:v>
      </x:c>
      <x:c r="D298" s="159" t="n">
        <x:v>494911</x:v>
      </x:c>
      <x:c r="E298" s="159" t="n">
        <x:v>82188</x:v>
      </x:c>
      <x:c r="F298" s="159" t="n">
        <x:v>129634</x:v>
      </x:c>
      <x:c r="G298" s="159" t="n">
        <x:f>E298-F298</x:f>
        <x:v>-47446</x:v>
      </x:c>
      <x:c r="H298" s="154" t="n">
        <x:f>IFERROR(G298/D298,"")</x:f>
        <x:v>-0.0958677418768223</x:v>
      </x:c>
      <x:c r="I298" s="159" t="n">
        <x:v>37023</x:v>
      </x:c>
      <x:c r="J298" s="159" t="n">
        <x:v>99334</x:v>
      </x:c>
      <x:c r="K298" s="159" t="n">
        <x:f>I298-J298</x:f>
        <x:v>-62311</x:v>
      </x:c>
      <x:c r="L298" s="154" t="n">
        <x:f>IFERROR(K298/D298,"")</x:f>
        <x:v>-0.12590344526591649</x:v>
      </x:c>
    </x:row>
    <x:row r="299">
      <x:c r="A299" s="141" t="str">
        <x:v>Silver</x:v>
      </x:c>
      <x:c r="B299" s="155" t="n">
        <x:v>43410</x:v>
      </x:c>
      <x:c r="C299" s="155" t="n">
        <x:v>43413</x:v>
      </x:c>
      <x:c r="D299" s="159" t="n">
        <x:v>213566</x:v>
      </x:c>
      <x:c r="E299" s="159" t="n">
        <x:v>47496</x:v>
      </x:c>
      <x:c r="F299" s="159" t="n">
        <x:v>68344</x:v>
      </x:c>
      <x:c r="G299" s="159" t="n">
        <x:f>E299-F299</x:f>
        <x:v>-20848</x:v>
      </x:c>
      <x:c r="H299" s="154" t="n">
        <x:f>IFERROR(G299/D299,"")</x:f>
        <x:v>-0.09761853478549956</x:v>
      </x:c>
      <x:c r="I299" s="159" t="n">
        <x:v>16677</x:v>
      </x:c>
      <x:c r="J299" s="159" t="n">
        <x:v>49875</x:v>
      </x:c>
      <x:c r="K299" s="159" t="n">
        <x:f>I299-J299</x:f>
        <x:v>-33198</x:v>
      </x:c>
      <x:c r="L299" s="154" t="n">
        <x:f>IFERROR(K299/D299,"")</x:f>
        <x:v>-0.15544609160634185</x:v>
      </x:c>
    </x:row>
    <x:row r="300">
      <x:c r="A300" s="141" t="str">
        <x:v>Gold</x:v>
      </x:c>
      <x:c r="B300" s="155" t="n">
        <x:v>43417</x:v>
      </x:c>
      <x:c r="C300" s="155" t="n">
        <x:v>43420</x:v>
      </x:c>
      <x:c r="D300" s="159" t="n">
        <x:v>539520</x:v>
      </x:c>
      <x:c r="E300" s="159" t="n">
        <x:v>79529</x:v>
      </x:c>
      <x:c r="F300" s="159" t="n">
        <x:v>158723</x:v>
      </x:c>
      <x:c r="G300" s="159" t="n">
        <x:f>E300-F300</x:f>
        <x:v>-79194</x:v>
      </x:c>
      <x:c r="H300" s="154" t="n">
        <x:f>IFERROR(G300/D300,"")</x:f>
        <x:v>-0.14678603202846974</x:v>
      </x:c>
      <x:c r="I300" s="159" t="n">
        <x:v>47551</x:v>
      </x:c>
      <x:c r="J300" s="159" t="n">
        <x:v>89514</x:v>
      </x:c>
      <x:c r="K300" s="159" t="n">
        <x:f>I300-J300</x:f>
        <x:v>-41963</x:v>
      </x:c>
      <x:c r="L300" s="154" t="n">
        <x:f>IFERROR(K300/D300,"")</x:f>
        <x:v>-0.0777783956109134</x:v>
      </x:c>
    </x:row>
    <x:row r="301">
      <x:c r="A301" s="141" t="str">
        <x:v>Silver</x:v>
      </x:c>
      <x:c r="B301" s="155" t="n">
        <x:v>43417</x:v>
      </x:c>
      <x:c r="C301" s="155" t="n">
        <x:v>43420</x:v>
      </x:c>
      <x:c r="D301" s="159" t="n">
        <x:v>224346</x:v>
      </x:c>
      <x:c r="E301" s="159" t="n">
        <x:v>43546</x:v>
      </x:c>
      <x:c r="F301" s="159" t="n">
        <x:v>84379</x:v>
      </x:c>
      <x:c r="G301" s="159" t="n">
        <x:f>E301-F301</x:f>
        <x:v>-40833</x:v>
      </x:c>
      <x:c r="H301" s="154" t="n">
        <x:f>IFERROR(G301/D301,"")</x:f>
        <x:v>-0.18200903960846193</x:v>
      </x:c>
      <x:c r="I301" s="159" t="n">
        <x:v>17388</x:v>
      </x:c>
      <x:c r="J301" s="159" t="n">
        <x:v>39560</x:v>
      </x:c>
      <x:c r="K301" s="159" t="n">
        <x:f>I301-J301</x:f>
        <x:v>-22172</x:v>
      </x:c>
      <x:c r="L301" s="154" t="n">
        <x:f>IFERROR(K301/D301,"")</x:f>
        <x:v>-0.09882948659659632</x:v>
      </x:c>
    </x:row>
    <x:row r="302">
      <x:c r="A302" s="141" t="str">
        <x:v>Gold</x:v>
      </x:c>
      <x:c r="B302" s="155" t="n">
        <x:v>43424</x:v>
      </x:c>
      <x:c r="C302" s="155" t="n">
        <x:v>43427</x:v>
      </x:c>
      <x:c r="D302" s="159" t="n">
        <x:v>525940</x:v>
      </x:c>
      <x:c r="E302" s="159" t="n">
        <x:v>84356</x:v>
      </x:c>
      <x:c r="F302" s="159" t="n">
        <x:v>136207</x:v>
      </x:c>
      <x:c r="G302" s="159" t="n">
        <x:f>E302-F302</x:f>
        <x:v>-51851</x:v>
      </x:c>
      <x:c r="H302" s="154" t="n">
        <x:f>IFERROR(G302/D302,"")</x:f>
        <x:v>-0.09858729132600677</x:v>
      </x:c>
      <x:c r="I302" s="159" t="n">
        <x:v>47454</x:v>
      </x:c>
      <x:c r="J302" s="159" t="n">
        <x:v>93564</x:v>
      </x:c>
      <x:c r="K302" s="159" t="n">
        <x:f>I302-J302</x:f>
        <x:v>-46110</x:v>
      </x:c>
      <x:c r="L302" s="154" t="n">
        <x:f>IFERROR(K302/D302,"")</x:f>
        <x:v>-0.08767159752062972</x:v>
      </x:c>
    </x:row>
    <x:row r="303">
      <x:c r="A303" s="141" t="str">
        <x:v>Silver</x:v>
      </x:c>
      <x:c r="B303" s="155" t="n">
        <x:v>43424</x:v>
      </x:c>
      <x:c r="C303" s="155" t="n">
        <x:v>43427</x:v>
      </x:c>
      <x:c r="D303" s="159" t="n">
        <x:v>223049</x:v>
      </x:c>
      <x:c r="E303" s="159" t="n">
        <x:v>42665</x:v>
      </x:c>
      <x:c r="F303" s="159" t="n">
        <x:v>75379</x:v>
      </x:c>
      <x:c r="G303" s="159" t="n">
        <x:f>E303-F303</x:f>
        <x:v>-32714</x:v>
      </x:c>
      <x:c r="H303" s="154" t="n">
        <x:f>IFERROR(G303/D303,"")</x:f>
        <x:v>-0.1466673242202386</x:v>
      </x:c>
      <x:c r="I303" s="159" t="n">
        <x:v>16405</x:v>
      </x:c>
      <x:c r="J303" s="159" t="n">
        <x:v>34343</x:v>
      </x:c>
      <x:c r="K303" s="159" t="n">
        <x:f>I303-J303</x:f>
        <x:v>-17938</x:v>
      </x:c>
      <x:c r="L303" s="154" t="n">
        <x:f>IFERROR(K303/D303,"")</x:f>
        <x:v>-0.08042179072759797</x:v>
      </x:c>
    </x:row>
    <x:row r="304">
      <x:c r="A304" s="141" t="str">
        <x:v>Gold</x:v>
      </x:c>
      <x:c r="B304" s="155" t="n">
        <x:v>43431</x:v>
      </x:c>
      <x:c r="C304" s="155" t="n">
        <x:v>43434</x:v>
      </x:c>
      <x:c r="D304" s="159" t="n">
        <x:v>442801</x:v>
      </x:c>
      <x:c r="E304" s="159" t="n">
        <x:v>79992</x:v>
      </x:c>
      <x:c r="F304" s="159" t="n">
        <x:v>138382</x:v>
      </x:c>
      <x:c r="G304" s="159" t="n">
        <x:f>E304-F304</x:f>
        <x:v>-58390</x:v>
      </x:c>
      <x:c r="H304" s="154" t="n">
        <x:f>IFERROR(G304/D304,"")</x:f>
        <x:v>-0.13186510418901493</x:v>
      </x:c>
      <x:c r="I304" s="159" t="n">
        <x:v>35196</x:v>
      </x:c>
      <x:c r="J304" s="159" t="n">
        <x:v>76210</x:v>
      </x:c>
      <x:c r="K304" s="159" t="n">
        <x:f>I304-J304</x:f>
        <x:v>-41014</x:v>
      </x:c>
      <x:c r="L304" s="154" t="n">
        <x:f>IFERROR(K304/D304,"")</x:f>
        <x:v>-0.09262400039746975</x:v>
      </x:c>
    </x:row>
    <x:row r="305">
      <x:c r="A305" s="141" t="str">
        <x:v>Silver</x:v>
      </x:c>
      <x:c r="B305" s="155" t="n">
        <x:v>43431</x:v>
      </x:c>
      <x:c r="C305" s="155" t="n">
        <x:v>43434</x:v>
      </x:c>
      <x:c r="D305" s="159" t="n">
        <x:v>199783</x:v>
      </x:c>
      <x:c r="E305" s="159" t="n">
        <x:v>40021</x:v>
      </x:c>
      <x:c r="F305" s="159" t="n">
        <x:v>71659</x:v>
      </x:c>
      <x:c r="G305" s="159" t="n">
        <x:f>E305-F305</x:f>
        <x:v>-31638</x:v>
      </x:c>
      <x:c r="H305" s="154" t="n">
        <x:f>IFERROR(G305/D305,"")</x:f>
        <x:v>-0.1583618225774966</x:v>
      </x:c>
      <x:c r="I305" s="159" t="n">
        <x:v>14614</x:v>
      </x:c>
      <x:c r="J305" s="159" t="n">
        <x:v>35902</x:v>
      </x:c>
      <x:c r="K305" s="159" t="n">
        <x:f>I305-J305</x:f>
        <x:v>-21288</x:v>
      </x:c>
      <x:c r="L305" s="154" t="n">
        <x:f>IFERROR(K305/D305,"")</x:f>
        <x:v>-0.10655561283993133</x:v>
      </x:c>
    </x:row>
    <x:row r="306">
      <x:c r="A306" s="141" t="str">
        <x:v>Gold</x:v>
      </x:c>
      <x:c r="B306" s="155" t="n">
        <x:v>43438</x:v>
      </x:c>
      <x:c r="C306" s="155" t="n">
        <x:v>43441</x:v>
      </x:c>
      <x:c r="D306" s="159" t="n">
        <x:v>399919</x:v>
      </x:c>
      <x:c r="E306" s="159" t="n">
        <x:v>99414</x:v>
      </x:c>
      <x:c r="F306" s="159" t="n">
        <x:v>109201</x:v>
      </x:c>
      <x:c r="G306" s="159" t="n">
        <x:f>E306-F306</x:f>
        <x:v>-9787</x:v>
      </x:c>
      <x:c r="H306" s="154" t="n">
        <x:f>IFERROR(G306/D306,"")</x:f>
        <x:v>-0.024472455672273637</x:v>
      </x:c>
      <x:c r="I306" s="159" t="n">
        <x:v>19212</x:v>
      </x:c>
      <x:c r="J306" s="159" t="n">
        <x:v>74759</x:v>
      </x:c>
      <x:c r="K306" s="159" t="n">
        <x:f>I306-J306</x:f>
        <x:v>-55547</x:v>
      </x:c>
      <x:c r="L306" s="154" t="n">
        <x:f>IFERROR(K306/D306,"")</x:f>
        <x:v>-0.13889562636433878</x:v>
      </x:c>
    </x:row>
    <x:row r="307">
      <x:c r="A307" s="141" t="str">
        <x:v>Silver</x:v>
      </x:c>
      <x:c r="B307" s="155" t="n">
        <x:v>43438</x:v>
      </x:c>
      <x:c r="C307" s="155" t="n">
        <x:v>43441</x:v>
      </x:c>
      <x:c r="D307" s="159" t="n">
        <x:v>179909</x:v>
      </x:c>
      <x:c r="E307" s="159" t="n">
        <x:v>41303</x:v>
      </x:c>
      <x:c r="F307" s="159" t="n">
        <x:v>63580</x:v>
      </x:c>
      <x:c r="G307" s="159" t="n">
        <x:f>E307-F307</x:f>
        <x:v>-22277</x:v>
      </x:c>
      <x:c r="H307" s="154" t="n">
        <x:f>IFERROR(G307/D307,"")</x:f>
        <x:v>-0.12382371087605401</x:v>
      </x:c>
      <x:c r="I307" s="159" t="n">
        <x:v>12863</x:v>
      </x:c>
      <x:c r="J307" s="159" t="n">
        <x:v>36559</x:v>
      </x:c>
      <x:c r="K307" s="159" t="n">
        <x:f>I307-J307</x:f>
        <x:v>-23696</x:v>
      </x:c>
      <x:c r="L307" s="154" t="n">
        <x:f>IFERROR(K307/D307,"")</x:f>
        <x:v>-0.13171103168824239</x:v>
      </x:c>
    </x:row>
    <x:row r="308">
      <x:c r="A308" s="141" t="str">
        <x:v>Gold</x:v>
      </x:c>
      <x:c r="B308" s="155" t="n">
        <x:v>43445</x:v>
      </x:c>
      <x:c r="C308" s="155" t="n">
        <x:v>43448</x:v>
      </x:c>
      <x:c r="D308" s="159" t="n">
        <x:v>402250</x:v>
      </x:c>
      <x:c r="E308" s="159" t="n">
        <x:v>89942</x:v>
      </x:c>
      <x:c r="F308" s="159" t="n">
        <x:v>90008</x:v>
      </x:c>
      <x:c r="G308" s="159" t="n">
        <x:f>E308-F308</x:f>
        <x:v>-66</x:v>
      </x:c>
      <x:c r="H308" s="154" t="n">
        <x:f>IFERROR(G308/D308,"")</x:f>
        <x:v>-0.00016407706650093225</x:v>
      </x:c>
      <x:c r="I308" s="159" t="n">
        <x:v>18936</x:v>
      </x:c>
      <x:c r="J308" s="159" t="n">
        <x:v>83116</x:v>
      </x:c>
      <x:c r="K308" s="159" t="n">
        <x:f>I308-J308</x:f>
        <x:v>-64180</x:v>
      </x:c>
      <x:c r="L308" s="154" t="n">
        <x:f>IFERROR(K308/D308,"")</x:f>
        <x:v>-0.1595525170913611</x:v>
      </x:c>
    </x:row>
    <x:row r="309">
      <x:c r="A309" s="141" t="str">
        <x:v>Silver</x:v>
      </x:c>
      <x:c r="B309" s="155" t="n">
        <x:v>43445</x:v>
      </x:c>
      <x:c r="C309" s="155" t="n">
        <x:v>43448</x:v>
      </x:c>
      <x:c r="D309" s="159" t="n">
        <x:v>174071</x:v>
      </x:c>
      <x:c r="E309" s="159" t="n">
        <x:v>44644</x:v>
      </x:c>
      <x:c r="F309" s="159" t="n">
        <x:v>53798</x:v>
      </x:c>
      <x:c r="G309" s="159" t="n">
        <x:f>E309-F309</x:f>
        <x:v>-9154</x:v>
      </x:c>
      <x:c r="H309" s="154" t="n">
        <x:f>IFERROR(G309/D309,"")</x:f>
        <x:v>-0.052587737187699275</x:v>
      </x:c>
      <x:c r="I309" s="159" t="n">
        <x:v>12649</x:v>
      </x:c>
      <x:c r="J309" s="159" t="n">
        <x:v>40653</x:v>
      </x:c>
      <x:c r="K309" s="159" t="n">
        <x:f>I309-J309</x:f>
        <x:v>-28004</x:v>
      </x:c>
      <x:c r="L309" s="154" t="n">
        <x:f>IFERROR(K309/D309,"")</x:f>
        <x:v>-0.1608768835704971</x:v>
      </x:c>
    </x:row>
    <x:row r="310">
      <x:c r="A310" s="141" t="str">
        <x:v>Gold</x:v>
      </x:c>
      <x:c r="B310" s="155" t="n">
        <x:v>43452</x:v>
      </x:c>
      <x:c r="C310" s="155" t="n">
        <x:v>43455</x:v>
      </x:c>
      <x:c r="D310" s="159" t="n">
        <x:v>412485</x:v>
      </x:c>
      <x:c r="E310" s="159" t="n">
        <x:v>100828</x:v>
      </x:c>
      <x:c r="F310" s="159" t="n">
        <x:v>89630</x:v>
      </x:c>
      <x:c r="G310" s="159" t="n">
        <x:f>E310-F310</x:f>
        <x:v>11198</x:v>
      </x:c>
      <x:c r="H310" s="154" t="n">
        <x:f>IFERROR(G310/D310,"")</x:f>
        <x:v>0.027147653854079544</x:v>
      </x:c>
      <x:c r="I310" s="159" t="n">
        <x:v>18531</x:v>
      </x:c>
      <x:c r="J310" s="159" t="n">
        <x:v>78969</x:v>
      </x:c>
      <x:c r="K310" s="159" t="n">
        <x:f>I310-J310</x:f>
        <x:v>-60438</x:v>
      </x:c>
      <x:c r="L310" s="154" t="n">
        <x:f>IFERROR(K310/D310,"")</x:f>
        <x:v>-0.14652169169787993</x:v>
      </x:c>
    </x:row>
    <x:row r="311">
      <x:c r="A311" s="141" t="str">
        <x:v>Silver</x:v>
      </x:c>
      <x:c r="B311" s="155" t="n">
        <x:v>43452</x:v>
      </x:c>
      <x:c r="C311" s="155" t="n">
        <x:v>43455</x:v>
      </x:c>
      <x:c r="D311" s="159" t="n">
        <x:v>172860</x:v>
      </x:c>
      <x:c r="E311" s="159" t="n">
        <x:v>48462</x:v>
      </x:c>
      <x:c r="F311" s="159" t="n">
        <x:v>46673</x:v>
      </x:c>
      <x:c r="G311" s="159" t="n">
        <x:f>E311-F311</x:f>
        <x:v>1789</x:v>
      </x:c>
      <x:c r="H311" s="154" t="n">
        <x:f>IFERROR(G311/D311,"")</x:f>
        <x:v>0.010349415712136989</x:v>
      </x:c>
      <x:c r="I311" s="159" t="n">
        <x:v>11690</x:v>
      </x:c>
      <x:c r="J311" s="159" t="n">
        <x:v>42135</x:v>
      </x:c>
      <x:c r="K311" s="159" t="n">
        <x:f>I311-J311</x:f>
        <x:v>-30445</x:v>
      </x:c>
      <x:c r="L311" s="154" t="n">
        <x:f>IFERROR(K311/D311,"")</x:f>
        <x:v>-0.17612518801342125</x:v>
      </x:c>
    </x:row>
    <x:row r="312">
      <x:c r="A312" s="141" t="str">
        <x:v>Gold</x:v>
      </x:c>
      <x:c r="B312" s="155" t="n">
        <x:v>43458</x:v>
      </x:c>
      <x:c r="C312" s="155" t="n">
        <x:v>43461</x:v>
      </x:c>
      <x:c r="D312" s="159" t="n">
        <x:v>442727</x:v>
      </x:c>
      <x:c r="E312" s="159" t="n">
        <x:v>119146</x:v>
      </x:c>
      <x:c r="F312" s="159" t="n">
        <x:v>77178</x:v>
      </x:c>
      <x:c r="G312" s="159" t="n">
        <x:f>E312-F312</x:f>
        <x:v>41968</x:v>
      </x:c>
      <x:c r="H312" s="154" t="n">
        <x:f>IFERROR(G312/D312,"")</x:f>
        <x:v>0.09479430890819851</x:v>
      </x:c>
      <x:c r="I312" s="159" t="n">
        <x:v>20170</x:v>
      </x:c>
      <x:c r="J312" s="159" t="n">
        <x:v>86065</x:v>
      </x:c>
      <x:c r="K312" s="159" t="n">
        <x:f>I312-J312</x:f>
        <x:v>-65895</x:v>
      </x:c>
      <x:c r="L312" s="154" t="n">
        <x:f>IFERROR(K312/D312,"")</x:f>
        <x:v>-0.14883890072211545</x:v>
      </x:c>
    </x:row>
    <x:row r="313">
      <x:c r="A313" s="141" t="str">
        <x:v>Silver</x:v>
      </x:c>
      <x:c r="B313" s="155" t="n">
        <x:v>43458</x:v>
      </x:c>
      <x:c r="C313" s="155" t="n">
        <x:v>43461</x:v>
      </x:c>
      <x:c r="D313" s="159" t="n">
        <x:v>173685</x:v>
      </x:c>
      <x:c r="E313" s="159" t="n">
        <x:v>53373</x:v>
      </x:c>
      <x:c r="F313" s="159" t="n">
        <x:v>44561</x:v>
      </x:c>
      <x:c r="G313" s="159" t="n">
        <x:f>E313-F313</x:f>
        <x:v>8812</x:v>
      </x:c>
      <x:c r="H313" s="154" t="n">
        <x:f>IFERROR(G313/D313,"")</x:f>
        <x:v>0.05073552695972594</x:v>
      </x:c>
      <x:c r="I313" s="159" t="n">
        <x:v>11560</x:v>
      </x:c>
      <x:c r="J313" s="159" t="n">
        <x:v>42816</x:v>
      </x:c>
      <x:c r="K313" s="159" t="n">
        <x:f>I313-J313</x:f>
        <x:v>-31256</x:v>
      </x:c>
      <x:c r="L313" s="154" t="n">
        <x:f>IFERROR(K313/D313,"")</x:f>
        <x:v>-0.17995796988801566</x:v>
      </x:c>
    </x:row>
    <x:row r="314">
      <x:c r="A314" s="141" t="str">
        <x:v>Gold</x:v>
      </x:c>
      <x:c r="B314" s="155" t="n">
        <x:v>43465</x:v>
      </x:c>
      <x:c r="C314" s="155" t="n">
        <x:v>43468</x:v>
      </x:c>
      <x:c r="D314" s="159" t="n">
        <x:v>451360</x:v>
      </x:c>
      <x:c r="E314" s="159" t="n">
        <x:v>121205</x:v>
      </x:c>
      <x:c r="F314" s="159" t="n">
        <x:v>71021</x:v>
      </x:c>
      <x:c r="G314" s="159" t="n">
        <x:f>E314-F314</x:f>
        <x:v>50184</x:v>
      </x:c>
      <x:c r="H314" s="154" t="n">
        <x:f>IFERROR(G314/D314,"")</x:f>
        <x:v>0.11118397731300957</x:v>
      </x:c>
      <x:c r="I314" s="159" t="n">
        <x:v>19300</x:v>
      </x:c>
      <x:c r="J314" s="159" t="n">
        <x:v>92197</x:v>
      </x:c>
      <x:c r="K314" s="159" t="n">
        <x:f>I314-J314</x:f>
        <x:v>-72897</x:v>
      </x:c>
      <x:c r="L314" s="154" t="n">
        <x:f>IFERROR(K314/D314,"")</x:f>
        <x:v>-0.16150522864232542</x:v>
      </x:c>
    </x:row>
    <x:row r="315">
      <x:c r="A315" s="141" t="str">
        <x:v>Silver</x:v>
      </x:c>
      <x:c r="B315" s="155" t="n">
        <x:v>43465</x:v>
      </x:c>
      <x:c r="C315" s="155" t="n">
        <x:v>43468</x:v>
      </x:c>
      <x:c r="D315" s="159" t="n">
        <x:v>176159</x:v>
      </x:c>
      <x:c r="E315" s="159" t="n">
        <x:v>60752</x:v>
      </x:c>
      <x:c r="F315" s="159" t="n">
        <x:v>30706</x:v>
      </x:c>
      <x:c r="G315" s="159" t="n">
        <x:f>E315-F315</x:f>
        <x:v>30046</x:v>
      </x:c>
      <x:c r="H315" s="154" t="n">
        <x:f>IFERROR(G315/D315,"")</x:f>
        <x:v>0.170561821990361</x:v>
      </x:c>
      <x:c r="I315" s="159" t="n">
        <x:v>10962</x:v>
      </x:c>
      <x:c r="J315" s="159" t="n">
        <x:v>50161</x:v>
      </x:c>
      <x:c r="K315" s="159" t="n">
        <x:f>I315-J315</x:f>
        <x:v>-39199</x:v>
      </x:c>
      <x:c r="L315" s="154" t="n">
        <x:f>IFERROR(K315/D315,"")</x:f>
        <x:v>-0.22252056380883178</x:v>
      </x:c>
    </x:row>
    <x:row r="316">
      <x:c r="A316" s="141" t="str">
        <x:v>Gold</x:v>
      </x:c>
      <x:c r="B316" s="155" t="n">
        <x:v>43473</x:v>
      </x:c>
      <x:c r="C316" s="155" t="n">
        <x:v>43476</x:v>
      </x:c>
      <x:c r="D316" s="159" t="n">
        <x:v>455232</x:v>
      </x:c>
      <x:c r="E316" s="159" t="n">
        <x:v>112690</x:v>
      </x:c>
      <x:c r="F316" s="159" t="n">
        <x:v>80219</x:v>
      </x:c>
      <x:c r="G316" s="159" t="n">
        <x:f>E316-F316</x:f>
        <x:v>32471</x:v>
      </x:c>
      <x:c r="H316" s="154" t="n">
        <x:f>IFERROR(G316/D316,"")</x:f>
        <x:v>0.07132846548573035</x:v>
      </x:c>
      <x:c r="I316" s="159" t="n">
        <x:v>12969</x:v>
      </x:c>
      <x:c r="J316" s="159" t="n">
        <x:v>75020</x:v>
      </x:c>
      <x:c r="K316" s="159" t="n">
        <x:f>I316-J316</x:f>
        <x:v>-62051</x:v>
      </x:c>
      <x:c r="L316" s="154" t="n">
        <x:f>IFERROR(K316/D316,"")</x:f>
        <x:v>-0.13630632292984676</x:v>
      </x:c>
    </x:row>
    <x:row r="317">
      <x:c r="A317" s="141" t="str">
        <x:v>Silver</x:v>
      </x:c>
      <x:c r="B317" s="155" t="n">
        <x:v>43473</x:v>
      </x:c>
      <x:c r="C317" s="155" t="n">
        <x:v>43476</x:v>
      </x:c>
      <x:c r="D317" s="159" t="n">
        <x:v>186506</x:v>
      </x:c>
      <x:c r="E317" s="159" t="n">
        <x:v>67815</x:v>
      </x:c>
      <x:c r="F317" s="159" t="n">
        <x:v>25104</x:v>
      </x:c>
      <x:c r="G317" s="159" t="n">
        <x:f>E317-F317</x:f>
        <x:v>42711</x:v>
      </x:c>
      <x:c r="H317" s="154" t="n">
        <x:f>IFERROR(G317/D317,"")</x:f>
        <x:v>0.22900603733928132</x:v>
      </x:c>
      <x:c r="I317" s="159" t="n">
        <x:v>6153</x:v>
      </x:c>
      <x:c r="J317" s="159" t="n">
        <x:v>49572</x:v>
      </x:c>
      <x:c r="K317" s="159" t="n">
        <x:f>I317-J317</x:f>
        <x:v>-43419</x:v>
      </x:c>
      <x:c r="L317" s="154" t="n">
        <x:f>IFERROR(K317/D317,"")</x:f>
        <x:v>-0.23280216186074443</x:v>
      </x:c>
    </x:row>
    <x:row r="318">
      <x:c r="A318" s="141" t="str">
        <x:v>Gold</x:v>
      </x:c>
      <x:c r="B318" s="155" t="n">
        <x:v>43480</x:v>
      </x:c>
      <x:c r="C318" s="155" t="n">
        <x:v>43483</x:v>
      </x:c>
      <x:c r="D318" s="159" t="n">
        <x:v>501605</x:v>
      </x:c>
      <x:c r="E318" s="159" t="n">
        <x:v>115651</x:v>
      </x:c>
      <x:c r="F318" s="159" t="n">
        <x:v>90716</x:v>
      </x:c>
      <x:c r="G318" s="159" t="n">
        <x:f>E318-F318</x:f>
        <x:v>24935</x:v>
      </x:c>
      <x:c r="H318" s="154" t="n">
        <x:f>IFERROR(G318/D318,"")</x:f>
        <x:v>0.04971042952123683</x:v>
      </x:c>
      <x:c r="I318" s="159" t="n">
        <x:v>43351</x:v>
      </x:c>
      <x:c r="J318" s="159" t="n">
        <x:v>103302</x:v>
      </x:c>
      <x:c r="K318" s="159" t="n">
        <x:f>I318-J318</x:f>
        <x:v>-59951</x:v>
      </x:c>
      <x:c r="L318" s="154" t="n">
        <x:f>IFERROR(K318/D318,"")</x:f>
        <x:v>-0.11951834610899015</x:v>
      </x:c>
    </x:row>
    <x:row r="319">
      <x:c r="A319" s="141" t="str">
        <x:v>Silver</x:v>
      </x:c>
      <x:c r="B319" s="155" t="n">
        <x:v>43480</x:v>
      </x:c>
      <x:c r="C319" s="155" t="n">
        <x:v>43483</x:v>
      </x:c>
      <x:c r="D319" s="159" t="n">
        <x:v>191922</x:v>
      </x:c>
      <x:c r="E319" s="159" t="n">
        <x:v>65554</x:v>
      </x:c>
      <x:c r="F319" s="159" t="n">
        <x:v>26323</x:v>
      </x:c>
      <x:c r="G319" s="159" t="n">
        <x:f>E319-F319</x:f>
        <x:v>39231</x:v>
      </x:c>
      <x:c r="H319" s="154" t="n">
        <x:f>IFERROR(G319/D319,"")</x:f>
        <x:v>0.2044111670366086</x:v>
      </x:c>
      <x:c r="I319" s="159" t="n">
        <x:v>7140</x:v>
      </x:c>
      <x:c r="J319" s="159" t="n">
        <x:v>51926</x:v>
      </x:c>
      <x:c r="K319" s="159" t="n">
        <x:f>I319-J319</x:f>
        <x:v>-44786</x:v>
      </x:c>
      <x:c r="L319" s="154" t="n">
        <x:f>IFERROR(K319/D319,"")</x:f>
        <x:v>-0.23335521722366379</x:v>
      </x:c>
    </x:row>
    <x:row r="320">
      <x:c r="A320" s="141" t="str">
        <x:v>Gold</x:v>
      </x:c>
      <x:c r="B320" s="155" t="n">
        <x:v>43487</x:v>
      </x:c>
      <x:c r="C320" s="155" t="n">
        <x:v>43490</x:v>
      </x:c>
      <x:c r="D320" s="159" t="n">
        <x:v>513509</x:v>
      </x:c>
      <x:c r="E320" s="159" t="n">
        <x:v>105295</x:v>
      </x:c>
      <x:c r="F320" s="159" t="n">
        <x:v>89085</x:v>
      </x:c>
      <x:c r="G320" s="159" t="n">
        <x:f>E320-F320</x:f>
        <x:v>16210</x:v>
      </x:c>
      <x:c r="H320" s="154" t="n">
        <x:f>IFERROR(G320/D320,"")</x:f>
        <x:v>0.03156711956362985</x:v>
      </x:c>
      <x:c r="I320" s="159" t="n">
        <x:v>50087</x:v>
      </x:c>
      <x:c r="J320" s="159" t="n">
        <x:v>110130</x:v>
      </x:c>
      <x:c r="K320" s="159" t="n">
        <x:f>I320-J320</x:f>
        <x:v>-60043</x:v>
      </x:c>
      <x:c r="L320" s="154" t="n">
        <x:f>IFERROR(K320/D320,"")</x:f>
        <x:v>-0.11692686983090851</x:v>
      </x:c>
    </x:row>
    <x:row r="321">
      <x:c r="A321" s="141" t="str">
        <x:v>Silver</x:v>
      </x:c>
      <x:c r="B321" s="155" t="n">
        <x:v>43487</x:v>
      </x:c>
      <x:c r="C321" s="155" t="n">
        <x:v>43490</x:v>
      </x:c>
      <x:c r="D321" s="159" t="n">
        <x:v>188674</x:v>
      </x:c>
      <x:c r="E321" s="159" t="n">
        <x:v>62848</x:v>
      </x:c>
      <x:c r="F321" s="159" t="n">
        <x:v>27675</x:v>
      </x:c>
      <x:c r="G321" s="159" t="n">
        <x:f>E321-F321</x:f>
        <x:v>35173</x:v>
      </x:c>
      <x:c r="H321" s="154" t="n">
        <x:f>IFERROR(G321/D321,"")</x:f>
        <x:v>0.18642208253389445</x:v>
      </x:c>
      <x:c r="I321" s="159" t="n">
        <x:v>7135</x:v>
      </x:c>
      <x:c r="J321" s="159" t="n">
        <x:v>48788</x:v>
      </x:c>
      <x:c r="K321" s="159" t="n">
        <x:f>I321-J321</x:f>
        <x:v>-41653</x:v>
      </x:c>
      <x:c r="L321" s="154" t="n">
        <x:f>IFERROR(K321/D321,"")</x:f>
        <x:v>-0.2207670373236376</x:v>
      </x:c>
    </x:row>
    <x:row r="322">
      <x:c r="A322" s="141" t="str">
        <x:v>Gold</x:v>
      </x:c>
      <x:c r="B322" s="155" t="n">
        <x:v>43494</x:v>
      </x:c>
      <x:c r="C322" s="155" t="n">
        <x:v>43497</x:v>
      </x:c>
      <x:c r="D322" s="159" t="n">
        <x:v>483390</x:v>
      </x:c>
      <x:c r="E322" s="159" t="n">
        <x:v>126404</x:v>
      </x:c>
      <x:c r="F322" s="159" t="n">
        <x:v>94007</x:v>
      </x:c>
      <x:c r="G322" s="159" t="n">
        <x:f>E322-F322</x:f>
        <x:v>32397</x:v>
      </x:c>
      <x:c r="H322" s="154" t="n">
        <x:f>IFERROR(G322/D322,"")</x:f>
        <x:v>0.067020418295786</x:v>
      </x:c>
      <x:c r="I322" s="159" t="n">
        <x:v>14289</x:v>
      </x:c>
      <x:c r="J322" s="159" t="n">
        <x:v>84947</x:v>
      </x:c>
      <x:c r="K322" s="159" t="n">
        <x:f>I322-J322</x:f>
        <x:v>-70658</x:v>
      </x:c>
      <x:c r="L322" s="154" t="n">
        <x:f>IFERROR(K322/D322,"")</x:f>
        <x:v>-0.14617182813049504</x:v>
      </x:c>
    </x:row>
    <x:row r="323">
      <x:c r="A323" s="141" t="str">
        <x:v>Silver</x:v>
      </x:c>
      <x:c r="B323" s="155" t="n">
        <x:v>43494</x:v>
      </x:c>
      <x:c r="C323" s="155" t="n">
        <x:v>43497</x:v>
      </x:c>
      <x:c r="D323" s="159" t="n">
        <x:v>194895</x:v>
      </x:c>
      <x:c r="E323" s="159" t="n">
        <x:v>66078</x:v>
      </x:c>
      <x:c r="F323" s="159" t="n">
        <x:v>26159</x:v>
      </x:c>
      <x:c r="G323" s="159" t="n">
        <x:f>E323-F323</x:f>
        <x:v>39919</x:v>
      </x:c>
      <x:c r="H323" s="154" t="n">
        <x:f>IFERROR(G323/D323,"")</x:f>
        <x:v>0.2048231098796788</x:v>
      </x:c>
      <x:c r="I323" s="159" t="n">
        <x:v>7438</x:v>
      </x:c>
      <x:c r="J323" s="159" t="n">
        <x:v>52321</x:v>
      </x:c>
      <x:c r="K323" s="159" t="n">
        <x:f>I323-J323</x:f>
        <x:v>-44883</x:v>
      </x:c>
      <x:c r="L323" s="154" t="n">
        <x:f>IFERROR(K323/D323,"")</x:f>
        <x:v>-0.23029323481874855</x:v>
      </x:c>
    </x:row>
    <x:row r="324">
      <x:c r="A324" s="141" t="str">
        <x:v>Gold</x:v>
      </x:c>
      <x:c r="B324" s="155" t="n">
        <x:v>43501</x:v>
      </x:c>
      <x:c r="C324" s="155" t="n">
        <x:v>43504</x:v>
      </x:c>
      <x:c r="D324" s="159" t="n">
        <x:v>479736</x:v>
      </x:c>
      <x:c r="E324" s="159" t="n">
        <x:v>134954</x:v>
      </x:c>
      <x:c r="F324" s="159" t="n">
        <x:v>90079</x:v>
      </x:c>
      <x:c r="G324" s="159" t="n">
        <x:f>E324-F324</x:f>
        <x:v>44875</x:v>
      </x:c>
      <x:c r="H324" s="154" t="n">
        <x:f>IFERROR(G324/D324,"")</x:f>
        <x:v>0.09354103090032852</x:v>
      </x:c>
      <x:c r="I324" s="159" t="n">
        <x:v>15593</x:v>
      </x:c>
      <x:c r="J324" s="159" t="n">
        <x:v>89160</x:v>
      </x:c>
      <x:c r="K324" s="159" t="n">
        <x:f>I324-J324</x:f>
        <x:v>-73567</x:v>
      </x:c>
      <x:c r="L324" s="154" t="n">
        <x:f>IFERROR(K324/D324,"")</x:f>
        <x:v>-0.15334892524221655</x:v>
      </x:c>
    </x:row>
    <x:row r="325">
      <x:c r="A325" s="141" t="str">
        <x:v>Silver</x:v>
      </x:c>
      <x:c r="B325" s="155" t="n">
        <x:v>43501</x:v>
      </x:c>
      <x:c r="C325" s="155" t="n">
        <x:v>43504</x:v>
      </x:c>
      <x:c r="D325" s="159" t="n">
        <x:v>207101</x:v>
      </x:c>
      <x:c r="E325" s="159" t="n">
        <x:v>73738</x:v>
      </x:c>
      <x:c r="F325" s="159" t="n">
        <x:v>26009</x:v>
      </x:c>
      <x:c r="G325" s="159" t="n">
        <x:f>E325-F325</x:f>
        <x:v>47729</x:v>
      </x:c>
      <x:c r="H325" s="154" t="n">
        <x:f>IFERROR(G325/D325,"")</x:f>
        <x:v>0.23046243137406386</x:v>
      </x:c>
      <x:c r="I325" s="159" t="n">
        <x:v>9256</x:v>
      </x:c>
      <x:c r="J325" s="159" t="n">
        <x:v>56065</x:v>
      </x:c>
      <x:c r="K325" s="159" t="n">
        <x:f>I325-J325</x:f>
        <x:v>-46809</x:v>
      </x:c>
      <x:c r="L325" s="154" t="n">
        <x:f>IFERROR(K325/D325,"")</x:f>
        <x:v>-0.22602015441740986</x:v>
      </x:c>
    </x:row>
    <x:row r="326">
      <x:c r="A326" s="141" t="str">
        <x:v>Gold</x:v>
      </x:c>
      <x:c r="B326" s="155" t="n">
        <x:v>43508</x:v>
      </x:c>
      <x:c r="C326" s="155" t="n">
        <x:v>43511</x:v>
      </x:c>
      <x:c r="D326" s="159" t="n">
        <x:v>476083</x:v>
      </x:c>
      <x:c r="E326" s="159" t="n">
        <x:v>132365</x:v>
      </x:c>
      <x:c r="F326" s="159" t="n">
        <x:v>89746</x:v>
      </x:c>
      <x:c r="G326" s="159" t="n">
        <x:f>E326-F326</x:f>
        <x:v>42619</x:v>
      </x:c>
      <x:c r="H326" s="154" t="n">
        <x:f>IFERROR(G326/D326,"")</x:f>
        <x:v>0.089520104687628</x:v>
      </x:c>
      <x:c r="I326" s="159" t="n">
        <x:v>16566</x:v>
      </x:c>
      <x:c r="J326" s="159" t="n">
        <x:v>90733</x:v>
      </x:c>
      <x:c r="K326" s="159" t="n">
        <x:f>I326-J326</x:f>
        <x:v>-74167</x:v>
      </x:c>
      <x:c r="L326" s="154" t="n">
        <x:f>IFERROR(K326/D326,"")</x:f>
        <x:v>-0.1557858608687981</x:v>
      </x:c>
    </x:row>
    <x:row r="327">
      <x:c r="A327" s="141" t="str">
        <x:v>Silver</x:v>
      </x:c>
      <x:c r="B327" s="155" t="n">
        <x:v>43508</x:v>
      </x:c>
      <x:c r="C327" s="155" t="n">
        <x:v>43511</x:v>
      </x:c>
      <x:c r="D327" s="159" t="n">
        <x:v>217925</x:v>
      </x:c>
      <x:c r="E327" s="159" t="n">
        <x:v>71924</x:v>
      </x:c>
      <x:c r="F327" s="159" t="n">
        <x:v>30023</x:v>
      </x:c>
      <x:c r="G327" s="159" t="n">
        <x:f>E327-F327</x:f>
        <x:v>41901</x:v>
      </x:c>
      <x:c r="H327" s="154" t="n">
        <x:f>IFERROR(G327/D327,"")</x:f>
        <x:v>0.19227257083859126</x:v>
      </x:c>
      <x:c r="I327" s="159" t="n">
        <x:v>14383</x:v>
      </x:c>
      <x:c r="J327" s="159" t="n">
        <x:v>60888</x:v>
      </x:c>
      <x:c r="K327" s="159" t="n">
        <x:f>I327-J327</x:f>
        <x:v>-46505</x:v>
      </x:c>
      <x:c r="L327" s="154" t="n">
        <x:f>IFERROR(K327/D327,"")</x:f>
        <x:v>-0.213399105196742</x:v>
      </x:c>
    </x:row>
    <x:row r="328">
      <x:c r="A328" s="141" t="str">
        <x:v>Gold</x:v>
      </x:c>
      <x:c r="B328" s="155" t="n">
        <x:v>43515</x:v>
      </x:c>
      <x:c r="C328" s="155" t="n">
        <x:v>43518</x:v>
      </x:c>
      <x:c r="D328" s="159" t="n">
        <x:v>504639</x:v>
      </x:c>
      <x:c r="E328" s="159" t="n">
        <x:v>166411</x:v>
      </x:c>
      <x:c r="F328" s="159" t="n">
        <x:v>84034</x:v>
      </x:c>
      <x:c r="G328" s="159" t="n">
        <x:f>E328-F328</x:f>
        <x:v>82377</x:v>
      </x:c>
      <x:c r="H328" s="154" t="n">
        <x:f>IFERROR(G328/D328,"")</x:f>
        <x:v>0.16323946425068217</x:v>
      </x:c>
      <x:c r="I328" s="159" t="n">
        <x:v>15236</x:v>
      </x:c>
      <x:c r="J328" s="159" t="n">
        <x:v>103673</x:v>
      </x:c>
      <x:c r="K328" s="159" t="n">
        <x:f>I328-J328</x:f>
        <x:v>-88437</x:v>
      </x:c>
      <x:c r="L328" s="154" t="n">
        <x:f>IFERROR(K328/D328,"")</x:f>
        <x:v>-0.17524804860504242</x:v>
      </x:c>
    </x:row>
    <x:row r="329">
      <x:c r="A329" s="141" t="str">
        <x:v>Silver</x:v>
      </x:c>
      <x:c r="B329" s="155" t="n">
        <x:v>43515</x:v>
      </x:c>
      <x:c r="C329" s="155" t="n">
        <x:v>43518</x:v>
      </x:c>
      <x:c r="D329" s="159" t="n">
        <x:v>220822</x:v>
      </x:c>
      <x:c r="E329" s="159" t="n">
        <x:v>70067</x:v>
      </x:c>
      <x:c r="F329" s="159" t="n">
        <x:v>31267</x:v>
      </x:c>
      <x:c r="G329" s="159" t="n">
        <x:f>E329-F329</x:f>
        <x:v>38800</x:v>
      </x:c>
      <x:c r="H329" s="154" t="n">
        <x:f>IFERROR(G329/D329,"")</x:f>
        <x:v>0.17570713063010027</x:v>
      </x:c>
      <x:c r="I329" s="159" t="n">
        <x:v>16726</x:v>
      </x:c>
      <x:c r="J329" s="159" t="n">
        <x:v>62123</x:v>
      </x:c>
      <x:c r="K329" s="159" t="n">
        <x:f>I329-J329</x:f>
        <x:v>-45397</x:v>
      </x:c>
      <x:c r="L329" s="154" t="n">
        <x:f>IFERROR(K329/D329,"")</x:f>
        <x:v>-0.2055818713715119</x:v>
      </x:c>
    </x:row>
    <x:row r="330">
      <x:c r="A330" s="141" t="str">
        <x:v>Gold</x:v>
      </x:c>
      <x:c r="B330" s="155" t="n">
        <x:v>43522</x:v>
      </x:c>
      <x:c r="C330" s="155" t="n">
        <x:v>43525</x:v>
      </x:c>
      <x:c r="D330" s="159" t="n">
        <x:v>501268</x:v>
      </x:c>
      <x:c r="E330" s="159" t="n">
        <x:v>154217</x:v>
      </x:c>
      <x:c r="F330" s="159" t="n">
        <x:v>75658</x:v>
      </x:c>
      <x:c r="G330" s="159" t="n">
        <x:f>E330-F330</x:f>
        <x:v>78559</x:v>
      </x:c>
      <x:c r="H330" s="154" t="n">
        <x:f>IFERROR(G330/D330,"")</x:f>
        <x:v>0.1567205566682892</x:v>
      </x:c>
      <x:c r="I330" s="159" t="n">
        <x:v>15312</x:v>
      </x:c>
      <x:c r="J330" s="159" t="n">
        <x:v>101061</x:v>
      </x:c>
      <x:c r="K330" s="159" t="n">
        <x:f>I330-J330</x:f>
        <x:v>-85749</x:v>
      </x:c>
      <x:c r="L330" s="154" t="n">
        <x:f>IFERROR(K330/D330,"")</x:f>
        <x:v>-0.17106418123638453</x:v>
      </x:c>
    </x:row>
    <x:row r="331">
      <x:c r="A331" s="141" t="str">
        <x:v>Silver</x:v>
      </x:c>
      <x:c r="B331" s="155" t="n">
        <x:v>43522</x:v>
      </x:c>
      <x:c r="C331" s="155" t="n">
        <x:v>43525</x:v>
      </x:c>
      <x:c r="D331" s="159" t="n">
        <x:v>206447</x:v>
      </x:c>
      <x:c r="E331" s="159" t="n">
        <x:v>72677</x:v>
      </x:c>
      <x:c r="F331" s="159" t="n">
        <x:v>24915</x:v>
      </x:c>
      <x:c r="G331" s="159" t="n">
        <x:f>E331-F331</x:f>
        <x:v>47762</x:v>
      </x:c>
      <x:c r="H331" s="154" t="n">
        <x:f>IFERROR(G331/D331,"")</x:f>
        <x:v>0.23135235677922178</x:v>
      </x:c>
      <x:c r="I331" s="159" t="n">
        <x:v>11887</x:v>
      </x:c>
      <x:c r="J331" s="159" t="n">
        <x:v>59657</x:v>
      </x:c>
      <x:c r="K331" s="159" t="n">
        <x:f>I331-J331</x:f>
        <x:v>-47770</x:v>
      </x:c>
      <x:c r="L331" s="154" t="n">
        <x:f>IFERROR(K331/D331,"")</x:f>
        <x:v>-0.23139110764506143</x:v>
      </x:c>
    </x:row>
    <x:row r="332">
      <x:c r="A332" s="141" t="str">
        <x:v>Gold</x:v>
      </x:c>
      <x:c r="B332" s="155" t="n">
        <x:v>43529</x:v>
      </x:c>
      <x:c r="C332" s="155" t="n">
        <x:v>43532</x:v>
      </x:c>
      <x:c r="D332" s="159" t="n">
        <x:v>471311</x:v>
      </x:c>
      <x:c r="E332" s="159" t="n">
        <x:v>125903</x:v>
      </x:c>
      <x:c r="F332" s="159" t="n">
        <x:v>94656</x:v>
      </x:c>
      <x:c r="G332" s="159" t="n">
        <x:f>E332-F332</x:f>
        <x:v>31247</x:v>
      </x:c>
      <x:c r="H332" s="154" t="n">
        <x:f>IFERROR(G332/D332,"")</x:f>
        <x:v>0.06629804948324991</x:v>
      </x:c>
      <x:c r="I332" s="159" t="n">
        <x:v>13920</x:v>
      </x:c>
      <x:c r="J332" s="159" t="n">
        <x:v>86101</x:v>
      </x:c>
      <x:c r="K332" s="159" t="n">
        <x:f>I332-J332</x:f>
        <x:v>-72181</x:v>
      </x:c>
      <x:c r="L332" s="154" t="n">
        <x:f>IFERROR(K332/D332,"")</x:f>
        <x:v>-0.15314940665505367</x:v>
      </x:c>
    </x:row>
    <x:row r="333">
      <x:c r="A333" s="141" t="str">
        <x:v>Silver</x:v>
      </x:c>
      <x:c r="B333" s="155" t="n">
        <x:v>43529</x:v>
      </x:c>
      <x:c r="C333" s="155" t="n">
        <x:v>43532</x:v>
      </x:c>
      <x:c r="D333" s="159" t="n">
        <x:v>190024</x:v>
      </x:c>
      <x:c r="E333" s="159" t="n">
        <x:v>54915</x:v>
      </x:c>
      <x:c r="F333" s="159" t="n">
        <x:v>37059</x:v>
      </x:c>
      <x:c r="G333" s="159" t="n">
        <x:f>E333-F333</x:f>
        <x:v>17856</x:v>
      </x:c>
      <x:c r="H333" s="154" t="n">
        <x:f>IFERROR(G333/D333,"")</x:f>
        <x:v>0.0939670778427988</x:v>
      </x:c>
      <x:c r="I333" s="159" t="n">
        <x:v>11916</x:v>
      </x:c>
      <x:c r="J333" s="159" t="n">
        <x:v>51898</x:v>
      </x:c>
      <x:c r="K333" s="159" t="n">
        <x:f>I333-J333</x:f>
        <x:v>-39982</x:v>
      </x:c>
      <x:c r="L333" s="154" t="n">
        <x:f>IFERROR(K333/D333,"")</x:f>
        <x:v>-0.21040500147349808</x:v>
      </x:c>
    </x:row>
    <x:row r="334">
      <x:c r="A334" s="141" t="str">
        <x:v>Gold</x:v>
      </x:c>
      <x:c r="B334" s="155" t="n">
        <x:v>43536</x:v>
      </x:c>
      <x:c r="C334" s="155" t="n">
        <x:v>43539</x:v>
      </x:c>
      <x:c r="D334" s="159" t="n">
        <x:v>530030</x:v>
      </x:c>
      <x:c r="E334" s="159" t="n">
        <x:v>123293</x:v>
      </x:c>
      <x:c r="F334" s="159" t="n">
        <x:v>105886</x:v>
      </x:c>
      <x:c r="G334" s="159" t="n">
        <x:f>E334-F334</x:f>
        <x:v>17407</x:v>
      </x:c>
      <x:c r="H334" s="154" t="n">
        <x:f>IFERROR(G334/D334,"")</x:f>
        <x:v>0.0328415372714752</x:v>
      </x:c>
      <x:c r="I334" s="159" t="n">
        <x:v>27128</x:v>
      </x:c>
      <x:c r="J334" s="159" t="n">
        <x:v>87449</x:v>
      </x:c>
      <x:c r="K334" s="159" t="n">
        <x:f>I334-J334</x:f>
        <x:v>-60321</x:v>
      </x:c>
      <x:c r="L334" s="154" t="n">
        <x:f>IFERROR(K334/D334,"")</x:f>
        <x:v>-0.11380676565477425</x:v>
      </x:c>
    </x:row>
    <x:row r="335">
      <x:c r="A335" s="141" t="str">
        <x:v>Silver</x:v>
      </x:c>
      <x:c r="B335" s="155" t="n">
        <x:v>43536</x:v>
      </x:c>
      <x:c r="C335" s="155" t="n">
        <x:v>43539</x:v>
      </x:c>
      <x:c r="D335" s="159" t="n">
        <x:v>189768</x:v>
      </x:c>
      <x:c r="E335" s="159" t="n">
        <x:v>51261</x:v>
      </x:c>
      <x:c r="F335" s="159" t="n">
        <x:v>41774</x:v>
      </x:c>
      <x:c r="G335" s="159" t="n">
        <x:f>E335-F335</x:f>
        <x:v>9487</x:v>
      </x:c>
      <x:c r="H335" s="154" t="n">
        <x:f>IFERROR(G335/D335,"")</x:f>
        <x:v>0.04999262257071793</x:v>
      </x:c>
      <x:c r="I335" s="159" t="n">
        <x:v>13648</x:v>
      </x:c>
      <x:c r="J335" s="159" t="n">
        <x:v>49087</x:v>
      </x:c>
      <x:c r="K335" s="159" t="n">
        <x:f>I335-J335</x:f>
        <x:v>-35439</x:v>
      </x:c>
      <x:c r="L335" s="154" t="n">
        <x:f>IFERROR(K335/D335,"")</x:f>
        <x:v>-0.18674908309093208</x:v>
      </x:c>
    </x:row>
    <x:row r="336">
      <x:c r="A336" s="141" t="str">
        <x:v>Gold</x:v>
      </x:c>
      <x:c r="B336" s="155" t="n">
        <x:v>43543</x:v>
      </x:c>
      <x:c r="C336" s="155" t="n">
        <x:v>43546</x:v>
      </x:c>
      <x:c r="D336" s="159" t="n">
        <x:v>514163</x:v>
      </x:c>
      <x:c r="E336" s="159" t="n">
        <x:v>123909</x:v>
      </x:c>
      <x:c r="F336" s="159" t="n">
        <x:v>93434</x:v>
      </x:c>
      <x:c r="G336" s="159" t="n">
        <x:f>E336-F336</x:f>
        <x:v>30475</x:v>
      </x:c>
      <x:c r="H336" s="154" t="n">
        <x:f>IFERROR(G336/D336,"")</x:f>
        <x:v>0.05927108718441428</x:v>
      </x:c>
      <x:c r="I336" s="159" t="n">
        <x:v>33592</x:v>
      </x:c>
      <x:c r="J336" s="159" t="n">
        <x:v>97589</x:v>
      </x:c>
      <x:c r="K336" s="159" t="n">
        <x:f>I336-J336</x:f>
        <x:v>-63997</x:v>
      </x:c>
      <x:c r="L336" s="154" t="n">
        <x:f>IFERROR(K336/D336,"")</x:f>
        <x:v>-0.12446831063300938</x:v>
      </x:c>
    </x:row>
    <x:row r="337">
      <x:c r="A337" s="141" t="str">
        <x:v>Silver</x:v>
      </x:c>
      <x:c r="B337" s="155" t="n">
        <x:v>43543</x:v>
      </x:c>
      <x:c r="C337" s="155" t="n">
        <x:v>43546</x:v>
      </x:c>
      <x:c r="D337" s="159" t="n">
        <x:v>189124</x:v>
      </x:c>
      <x:c r="E337" s="159" t="n">
        <x:v>52075</x:v>
      </x:c>
      <x:c r="F337" s="159" t="n">
        <x:v>42359</x:v>
      </x:c>
      <x:c r="G337" s="159" t="n">
        <x:f>E337-F337</x:f>
        <x:v>9716</x:v>
      </x:c>
      <x:c r="H337" s="154" t="n">
        <x:f>IFERROR(G337/D337,"")</x:f>
        <x:v>0.051373701909858085</x:v>
      </x:c>
      <x:c r="I337" s="159" t="n">
        <x:v>15599</x:v>
      </x:c>
      <x:c r="J337" s="159" t="n">
        <x:v>48431</x:v>
      </x:c>
      <x:c r="K337" s="159" t="n">
        <x:f>I337-J337</x:f>
        <x:v>-32832</x:v>
      </x:c>
      <x:c r="L337" s="154" t="n">
        <x:f>IFERROR(K337/D337,"")</x:f>
        <x:v>-0.17360038916266576</x:v>
      </x:c>
    </x:row>
    <x:row r="338">
      <x:c r="A338" s="141" t="str">
        <x:v>Gold</x:v>
      </x:c>
      <x:c r="B338" s="155" t="n">
        <x:v>43550</x:v>
      </x:c>
      <x:c r="C338" s="155" t="n">
        <x:v>43553</x:v>
      </x:c>
      <x:c r="D338" s="159" t="n">
        <x:v>509575</x:v>
      </x:c>
      <x:c r="E338" s="159" t="n">
        <x:v>135373</x:v>
      </x:c>
      <x:c r="F338" s="159" t="n">
        <x:v>77386</x:v>
      </x:c>
      <x:c r="G338" s="159" t="n">
        <x:f>E338-F338</x:f>
        <x:v>57987</x:v>
      </x:c>
      <x:c r="H338" s="154" t="n">
        <x:f>IFERROR(G338/D338,"")</x:f>
        <x:v>0.11379482902418682</x:v>
      </x:c>
      <x:c r="I338" s="159" t="n">
        <x:v>14704</x:v>
      </x:c>
      <x:c r="J338" s="159" t="n">
        <x:v>84053</x:v>
      </x:c>
      <x:c r="K338" s="159" t="n">
        <x:f>I338-J338</x:f>
        <x:v>-69349</x:v>
      </x:c>
      <x:c r="L338" s="154" t="n">
        <x:f>IFERROR(K338/D338,"")</x:f>
        <x:v>-0.13609184124024923</x:v>
      </x:c>
    </x:row>
    <x:row r="339">
      <x:c r="A339" s="141" t="str">
        <x:v>Silver</x:v>
      </x:c>
      <x:c r="B339" s="155" t="n">
        <x:v>43550</x:v>
      </x:c>
      <x:c r="C339" s="155" t="n">
        <x:v>43553</x:v>
      </x:c>
      <x:c r="D339" s="159" t="n">
        <x:v>192676</x:v>
      </x:c>
      <x:c r="E339" s="159" t="n">
        <x:v>52510</x:v>
      </x:c>
      <x:c r="F339" s="159" t="n">
        <x:v>40204</x:v>
      </x:c>
      <x:c r="G339" s="159" t="n">
        <x:f>E339-F339</x:f>
        <x:v>12306</x:v>
      </x:c>
      <x:c r="H339" s="154" t="n">
        <x:f>IFERROR(G339/D339,"")</x:f>
        <x:v>0.06386887832423342</x:v>
      </x:c>
      <x:c r="I339" s="159" t="n">
        <x:v>15846</x:v>
      </x:c>
      <x:c r="J339" s="159" t="n">
        <x:v>50208</x:v>
      </x:c>
      <x:c r="K339" s="159" t="n">
        <x:f>I339-J339</x:f>
        <x:v>-34362</x:v>
      </x:c>
      <x:c r="L339" s="154" t="n">
        <x:f>IFERROR(K339/D339,"")</x:f>
        <x:v>-0.17834084162012914</x:v>
      </x:c>
    </x:row>
    <x:row r="340">
      <x:c r="A340" s="141" t="str">
        <x:v>Gold</x:v>
      </x:c>
      <x:c r="B340" s="155" t="n">
        <x:v>43557</x:v>
      </x:c>
      <x:c r="C340" s="155" t="n">
        <x:v>43560</x:v>
      </x:c>
      <x:c r="D340" s="159" t="n">
        <x:v>440170</x:v>
      </x:c>
      <x:c r="E340" s="159" t="n">
        <x:v>110816</x:v>
      </x:c>
      <x:c r="F340" s="159" t="n">
        <x:v>86198</x:v>
      </x:c>
      <x:c r="G340" s="159" t="n">
        <x:f>E340-F340</x:f>
        <x:v>24618</x:v>
      </x:c>
      <x:c r="H340" s="154" t="n">
        <x:f>IFERROR(G340/D340,"")</x:f>
        <x:v>0.05592839130336007</x:v>
      </x:c>
      <x:c r="I340" s="159" t="n">
        <x:v>16339</x:v>
      </x:c>
      <x:c r="J340" s="159" t="n">
        <x:v>74574</x:v>
      </x:c>
      <x:c r="K340" s="159" t="n">
        <x:f>I340-J340</x:f>
        <x:v>-58235</x:v>
      </x:c>
      <x:c r="L340" s="154" t="n">
        <x:f>IFERROR(K340/D340,"")</x:f>
        <x:v>-0.13230115637140197</x:v>
      </x:c>
    </x:row>
    <x:row r="341">
      <x:c r="A341" s="141" t="str">
        <x:v>Silver</x:v>
      </x:c>
      <x:c r="B341" s="155" t="n">
        <x:v>43557</x:v>
      </x:c>
      <x:c r="C341" s="155" t="n">
        <x:v>43560</x:v>
      </x:c>
      <x:c r="D341" s="159" t="n">
        <x:v>199592</x:v>
      </x:c>
      <x:c r="E341" s="159" t="n">
        <x:v>52136</x:v>
      </x:c>
      <x:c r="F341" s="159" t="n">
        <x:v>53860</x:v>
      </x:c>
      <x:c r="G341" s="159" t="n">
        <x:f>E341-F341</x:f>
        <x:v>-1724</x:v>
      </x:c>
      <x:c r="H341" s="154" t="n">
        <x:f>IFERROR(G341/D341,"")</x:f>
        <x:v>-0.008637620746322497</x:v>
      </x:c>
      <x:c r="I341" s="159" t="n">
        <x:v>16840</x:v>
      </x:c>
      <x:c r="J341" s="159" t="n">
        <x:v>46515</x:v>
      </x:c>
      <x:c r="K341" s="159" t="n">
        <x:f>I341-J341</x:f>
        <x:v>-29675</x:v>
      </x:c>
      <x:c r="L341" s="154" t="n">
        <x:f>IFERROR(K341/D341,"")</x:f>
        <x:v>-0.14867830373962884</x:v>
      </x:c>
    </x:row>
    <x:row r="342">
      <x:c r="A342" s="141" t="str">
        <x:v>Gold</x:v>
      </x:c>
      <x:c r="B342" s="155" t="n">
        <x:v>43564</x:v>
      </x:c>
      <x:c r="C342" s="155" t="n">
        <x:v>43567</x:v>
      </x:c>
      <x:c r="D342" s="159" t="n">
        <x:v>447539</x:v>
      </x:c>
      <x:c r="E342" s="159" t="n">
        <x:v>117917</x:v>
      </x:c>
      <x:c r="F342" s="159" t="n">
        <x:v>80880</x:v>
      </x:c>
      <x:c r="G342" s="159" t="n">
        <x:f>E342-F342</x:f>
        <x:v>37037</x:v>
      </x:c>
      <x:c r="H342" s="154" t="n">
        <x:f>IFERROR(G342/D342,"")</x:f>
        <x:v>0.0827570334652399</x:v>
      </x:c>
      <x:c r="I342" s="159" t="n">
        <x:v>16242</x:v>
      </x:c>
      <x:c r="J342" s="159" t="n">
        <x:v>75839</x:v>
      </x:c>
      <x:c r="K342" s="159" t="n">
        <x:f>I342-J342</x:f>
        <x:v>-59597</x:v>
      </x:c>
      <x:c r="L342" s="154" t="n">
        <x:f>IFERROR(K342/D342,"")</x:f>
        <x:v>-0.13316604809860147</x:v>
      </x:c>
    </x:row>
    <x:row r="343">
      <x:c r="A343" s="141" t="str">
        <x:v>Silver</x:v>
      </x:c>
      <x:c r="B343" s="155" t="n">
        <x:v>43564</x:v>
      </x:c>
      <x:c r="C343" s="155" t="n">
        <x:v>43567</x:v>
      </x:c>
      <x:c r="D343" s="159" t="n">
        <x:v>208784</x:v>
      </x:c>
      <x:c r="E343" s="159" t="n">
        <x:v>49563</x:v>
      </x:c>
      <x:c r="F343" s="159" t="n">
        <x:v>52095</x:v>
      </x:c>
      <x:c r="G343" s="159" t="n">
        <x:f>E343-F343</x:f>
        <x:v>-2532</x:v>
      </x:c>
      <x:c r="H343" s="154" t="n">
        <x:f>IFERROR(G343/D343,"")</x:f>
        <x:v>-0.012127366081692084</x:v>
      </x:c>
      <x:c r="I343" s="159" t="n">
        <x:v>19730</x:v>
      </x:c>
      <x:c r="J343" s="159" t="n">
        <x:v>51920</x:v>
      </x:c>
      <x:c r="K343" s="159" t="n">
        <x:f>I343-J343</x:f>
        <x:v>-32190</x:v>
      </x:c>
      <x:c r="L343" s="154" t="n">
        <x:f>IFERROR(K343/D343,"")</x:f>
        <x:v>-0.15417848110966356</x:v>
      </x:c>
    </x:row>
    <x:row r="344">
      <x:c r="A344" s="141" t="str">
        <x:v>Gold</x:v>
      </x:c>
      <x:c r="B344" s="155" t="n">
        <x:v>43571</x:v>
      </x:c>
      <x:c r="C344" s="155" t="n">
        <x:v>43574</x:v>
      </x:c>
      <x:c r="D344" s="159" t="n">
        <x:v>440581</x:v>
      </x:c>
      <x:c r="E344" s="159" t="n">
        <x:v>96196</x:v>
      </x:c>
      <x:c r="F344" s="159" t="n">
        <x:v>111583</x:v>
      </x:c>
      <x:c r="G344" s="159" t="n">
        <x:f>E344-F344</x:f>
        <x:v>-15387</x:v>
      </x:c>
      <x:c r="H344" s="154" t="n">
        <x:f>IFERROR(G344/D344,"")</x:f>
        <x:v>-0.03492433854387729</x:v>
      </x:c>
      <x:c r="I344" s="159" t="n">
        <x:v>18586</x:v>
      </x:c>
      <x:c r="J344" s="159" t="n">
        <x:v>61796</x:v>
      </x:c>
      <x:c r="K344" s="159" t="n">
        <x:f>I344-J344</x:f>
        <x:v>-43210</x:v>
      </x:c>
      <x:c r="L344" s="154" t="n">
        <x:f>IFERROR(K344/D344,"")</x:f>
        <x:v>-0.09807504181977889</x:v>
      </x:c>
    </x:row>
    <x:row r="345">
      <x:c r="A345" s="141" t="str">
        <x:v>Silver</x:v>
      </x:c>
      <x:c r="B345" s="155" t="n">
        <x:v>43571</x:v>
      </x:c>
      <x:c r="C345" s="155" t="n">
        <x:v>43574</x:v>
      </x:c>
      <x:c r="D345" s="159" t="n">
        <x:v>224783</x:v>
      </x:c>
      <x:c r="E345" s="159" t="n">
        <x:v>49990</x:v>
      </x:c>
      <x:c r="F345" s="159" t="n">
        <x:v>60918</x:v>
      </x:c>
      <x:c r="G345" s="159" t="n">
        <x:f>E345-F345</x:f>
        <x:v>-10928</x:v>
      </x:c>
      <x:c r="H345" s="154" t="n">
        <x:f>IFERROR(G345/D345,"")</x:f>
        <x:v>-0.04861577610406481</x:v>
      </x:c>
      <x:c r="I345" s="159" t="n">
        <x:v>26261</x:v>
      </x:c>
      <x:c r="J345" s="159" t="n">
        <x:v>53830</x:v>
      </x:c>
      <x:c r="K345" s="159" t="n">
        <x:f>I345-J345</x:f>
        <x:v>-27569</x:v>
      </x:c>
      <x:c r="L345" s="154" t="n">
        <x:f>IFERROR(K345/D345,"")</x:f>
        <x:v>-0.12264717527571035</x:v>
      </x:c>
    </x:row>
    <x:row r="346">
      <x:c r="A346" s="141" t="str">
        <x:v>Gold</x:v>
      </x:c>
      <x:c r="B346" s="155" t="n">
        <x:v>43578</x:v>
      </x:c>
      <x:c r="C346" s="155" t="n">
        <x:v>43581</x:v>
      </x:c>
      <x:c r="D346" s="159" t="n">
        <x:v>440048</x:v>
      </x:c>
      <x:c r="E346" s="159" t="n">
        <x:v>88989</x:v>
      </x:c>
      <x:c r="F346" s="159" t="n">
        <x:v>122818</x:v>
      </x:c>
      <x:c r="G346" s="159" t="n">
        <x:f>E346-F346</x:f>
        <x:v>-33829</x:v>
      </x:c>
      <x:c r="H346" s="154" t="n">
        <x:f>IFERROR(G346/D346,"")</x:f>
        <x:v>-0.07687570446860342</x:v>
      </x:c>
      <x:c r="I346" s="159" t="n">
        <x:v>17090</x:v>
      </x:c>
      <x:c r="J346" s="159" t="n">
        <x:v>53073</x:v>
      </x:c>
      <x:c r="K346" s="159" t="n">
        <x:f>I346-J346</x:f>
        <x:v>-35983</x:v>
      </x:c>
      <x:c r="L346" s="154" t="n">
        <x:f>IFERROR(K346/D346,"")</x:f>
        <x:v>-0.0817706250227248</x:v>
      </x:c>
    </x:row>
    <x:row r="347">
      <x:c r="A347" s="141" t="str">
        <x:v>Silver</x:v>
      </x:c>
      <x:c r="B347" s="155" t="n">
        <x:v>43578</x:v>
      </x:c>
      <x:c r="C347" s="155" t="n">
        <x:v>43581</x:v>
      </x:c>
      <x:c r="D347" s="159" t="n">
        <x:v>219113</x:v>
      </x:c>
      <x:c r="E347" s="159" t="n">
        <x:v>49667</x:v>
      </x:c>
      <x:c r="F347" s="159" t="n">
        <x:v>67206</x:v>
      </x:c>
      <x:c r="G347" s="159" t="n">
        <x:f>E347-F347</x:f>
        <x:v>-17539</x:v>
      </x:c>
      <x:c r="H347" s="154" t="n">
        <x:f>IFERROR(G347/D347,"")</x:f>
        <x:v>-0.08004545599759029</x:v>
      </x:c>
      <x:c r="I347" s="159" t="n">
        <x:v>27520</x:v>
      </x:c>
      <x:c r="J347" s="159" t="n">
        <x:v>54414</x:v>
      </x:c>
      <x:c r="K347" s="159" t="n">
        <x:f>I347-J347</x:f>
        <x:v>-26894</x:v>
      </x:c>
      <x:c r="L347" s="154" t="n">
        <x:f>IFERROR(K347/D347,"")</x:f>
        <x:v>-0.12274032120412755</x:v>
      </x:c>
    </x:row>
    <x:row r="348">
      <x:c r="A348" s="141" t="str">
        <x:v>Gold</x:v>
      </x:c>
      <x:c r="B348" s="155" t="n">
        <x:v>43585</x:v>
      </x:c>
      <x:c r="C348" s="155" t="n">
        <x:v>43588</x:v>
      </x:c>
      <x:c r="D348" s="159" t="n">
        <x:v>430011</x:v>
      </x:c>
      <x:c r="E348" s="159" t="n">
        <x:v>95159</x:v>
      </x:c>
      <x:c r="F348" s="159" t="n">
        <x:v>95083</x:v>
      </x:c>
      <x:c r="G348" s="159" t="n">
        <x:f>E348-F348</x:f>
        <x:v>76</x:v>
      </x:c>
      <x:c r="H348" s="154" t="n">
        <x:f>IFERROR(G348/D348,"")</x:f>
        <x:v>0.00017673966479927257</x:v>
      </x:c>
      <x:c r="I348" s="159" t="n">
        <x:v>16898</x:v>
      </x:c>
      <x:c r="J348" s="159" t="n">
        <x:v>67873</x:v>
      </x:c>
      <x:c r="K348" s="159" t="n">
        <x:f>I348-J348</x:f>
        <x:v>-50975</x:v>
      </x:c>
      <x:c r="L348" s="154" t="n">
        <x:f>IFERROR(K348/D348,"")</x:f>
        <x:v>-0.11854347912030157</x:v>
      </x:c>
    </x:row>
    <x:row r="349">
      <x:c r="A349" s="141" t="str">
        <x:v>Silver</x:v>
      </x:c>
      <x:c r="B349" s="155" t="n">
        <x:v>43585</x:v>
      </x:c>
      <x:c r="C349" s="155" t="n">
        <x:v>43588</x:v>
      </x:c>
      <x:c r="D349" s="159" t="n">
        <x:v>196610</x:v>
      </x:c>
      <x:c r="E349" s="159" t="n">
        <x:v>52260</x:v>
      </x:c>
      <x:c r="F349" s="159" t="n">
        <x:v>65998</x:v>
      </x:c>
      <x:c r="G349" s="159" t="n">
        <x:f>E349-F349</x:f>
        <x:v>-13738</x:v>
      </x:c>
      <x:c r="H349" s="154" t="n">
        <x:f>IFERROR(G349/D349,"")</x:f>
        <x:v>-0.06987437058135396</x:v>
      </x:c>
      <x:c r="I349" s="159" t="n">
        <x:v>20345</x:v>
      </x:c>
      <x:c r="J349" s="159" t="n">
        <x:v>44472</x:v>
      </x:c>
      <x:c r="K349" s="159" t="n">
        <x:f>I349-J349</x:f>
        <x:v>-24127</x:v>
      </x:c>
      <x:c r="L349" s="154" t="n">
        <x:f>IFERROR(K349/D349,"")</x:f>
        <x:v>-0.12271501958191343</x:v>
      </x:c>
    </x:row>
    <x:row r="350">
      <x:c r="A350" s="141" t="str">
        <x:v>Gold</x:v>
      </x:c>
      <x:c r="B350" s="155" t="n">
        <x:v>43592</x:v>
      </x:c>
      <x:c r="C350" s="155" t="n">
        <x:v>43595</x:v>
      </x:c>
      <x:c r="D350" s="159" t="n">
        <x:v>450039</x:v>
      </x:c>
      <x:c r="E350" s="159" t="n">
        <x:v>102975</x:v>
      </x:c>
      <x:c r="F350" s="159" t="n">
        <x:v>93428</x:v>
      </x:c>
      <x:c r="G350" s="159" t="n">
        <x:f>E350-F350</x:f>
        <x:v>9547</x:v>
      </x:c>
      <x:c r="H350" s="154" t="n">
        <x:f>IFERROR(G350/D350,"")</x:f>
        <x:v>0.02121371703341266</x:v>
      </x:c>
      <x:c r="I350" s="159" t="n">
        <x:v>19282</x:v>
      </x:c>
      <x:c r="J350" s="159" t="n">
        <x:v>67234</x:v>
      </x:c>
      <x:c r="K350" s="159" t="n">
        <x:f>I350-J350</x:f>
        <x:v>-47952</x:v>
      </x:c>
      <x:c r="L350" s="154" t="n">
        <x:f>IFERROR(K350/D350,"")</x:f>
        <x:v>-0.10655076560031464</x:v>
      </x:c>
    </x:row>
    <x:row r="351">
      <x:c r="A351" s="141" t="str">
        <x:v>Silver</x:v>
      </x:c>
      <x:c r="B351" s="155" t="n">
        <x:v>43592</x:v>
      </x:c>
      <x:c r="C351" s="155" t="n">
        <x:v>43595</x:v>
      </x:c>
      <x:c r="D351" s="159" t="n">
        <x:v>199467</x:v>
      </x:c>
      <x:c r="E351" s="159" t="n">
        <x:v>56211</x:v>
      </x:c>
      <x:c r="F351" s="159" t="n">
        <x:v>70350</x:v>
      </x:c>
      <x:c r="G351" s="159" t="n">
        <x:f>E351-F351</x:f>
        <x:v>-14139</x:v>
      </x:c>
      <x:c r="H351" s="154" t="n">
        <x:f>IFERROR(G351/D351,"")</x:f>
        <x:v>-0.07088390560844651</x:v>
      </x:c>
      <x:c r="I351" s="159" t="n">
        <x:v>23979</x:v>
      </x:c>
      <x:c r="J351" s="159" t="n">
        <x:v>42642</x:v>
      </x:c>
      <x:c r="K351" s="159" t="n">
        <x:f>I351-J351</x:f>
        <x:v>-18663</x:v>
      </x:c>
      <x:c r="L351" s="154" t="n">
        <x:f>IFERROR(K351/D351,"")</x:f>
        <x:v>-0.0935643489900585</x:v>
      </x:c>
    </x:row>
    <x:row r="352">
      <x:c r="A352" s="141" t="str">
        <x:v>Gold</x:v>
      </x:c>
      <x:c r="B352" s="155" t="n">
        <x:v>43599</x:v>
      </x:c>
      <x:c r="C352" s="155" t="n">
        <x:v>43602</x:v>
      </x:c>
      <x:c r="D352" s="159" t="n">
        <x:v>517995</x:v>
      </x:c>
      <x:c r="E352" s="159" t="n">
        <x:v>138467</x:v>
      </x:c>
      <x:c r="F352" s="159" t="n">
        <x:v>85921</x:v>
      </x:c>
      <x:c r="G352" s="159" t="n">
        <x:f>E352-F352</x:f>
        <x:v>52546</x:v>
      </x:c>
      <x:c r="H352" s="154" t="n">
        <x:f>IFERROR(G352/D352,"")</x:f>
        <x:v>0.1014411336016757</x:v>
      </x:c>
      <x:c r="I352" s="159" t="n">
        <x:v>37635</x:v>
      </x:c>
      <x:c r="J352" s="159" t="n">
        <x:v>102517</x:v>
      </x:c>
      <x:c r="K352" s="159" t="n">
        <x:f>I352-J352</x:f>
        <x:v>-64882</x:v>
      </x:c>
      <x:c r="L352" s="154" t="n">
        <x:f>IFERROR(K352/D352,"")</x:f>
        <x:v>-0.1252560352899159</x:v>
      </x:c>
    </x:row>
    <x:row r="353">
      <x:c r="A353" s="141" t="str">
        <x:v>Silver</x:v>
      </x:c>
      <x:c r="B353" s="155" t="n">
        <x:v>43599</x:v>
      </x:c>
      <x:c r="C353" s="155" t="n">
        <x:v>43602</x:v>
      </x:c>
      <x:c r="D353" s="159" t="n">
        <x:v>203788</x:v>
      </x:c>
      <x:c r="E353" s="159" t="n">
        <x:v>57135</x:v>
      </x:c>
      <x:c r="F353" s="159" t="n">
        <x:v>71332</x:v>
      </x:c>
      <x:c r="G353" s="159" t="n">
        <x:f>E353-F353</x:f>
        <x:v>-14197</x:v>
      </x:c>
      <x:c r="H353" s="154" t="n">
        <x:f>IFERROR(G353/D353,"")</x:f>
        <x:v>-0.06966553477142913</x:v>
      </x:c>
      <x:c r="I353" s="159" t="n">
        <x:v>26120</x:v>
      </x:c>
      <x:c r="J353" s="159" t="n">
        <x:v>46745</x:v>
      </x:c>
      <x:c r="K353" s="159" t="n">
        <x:f>I353-J353</x:f>
        <x:v>-20625</x:v>
      </x:c>
      <x:c r="L353" s="154" t="n">
        <x:f>IFERROR(K353/D353,"")</x:f>
        <x:v>-0.10120811824052446</x:v>
      </x:c>
    </x:row>
    <x:row r="354">
      <x:c r="A354" s="141" t="str">
        <x:v>Gold</x:v>
      </x:c>
      <x:c r="B354" s="155" t="n">
        <x:v>43606</x:v>
      </x:c>
      <x:c r="C354" s="155" t="n">
        <x:v>43609</x:v>
      </x:c>
      <x:c r="D354" s="159" t="n">
        <x:v>508643</x:v>
      </x:c>
      <x:c r="E354" s="159" t="n">
        <x:v>114986</x:v>
      </x:c>
      <x:c r="F354" s="159" t="n">
        <x:v>99049</x:v>
      </x:c>
      <x:c r="G354" s="159" t="n">
        <x:f>E354-F354</x:f>
        <x:v>15937</x:v>
      </x:c>
      <x:c r="H354" s="154" t="n">
        <x:f>IFERROR(G354/D354,"")</x:f>
        <x:v>0.03133238833523709</x:v>
      </x:c>
      <x:c r="I354" s="159" t="n">
        <x:v>42131</x:v>
      </x:c>
      <x:c r="J354" s="159" t="n">
        <x:v>104863</x:v>
      </x:c>
      <x:c r="K354" s="159" t="n">
        <x:f>I354-J354</x:f>
        <x:v>-62732</x:v>
      </x:c>
      <x:c r="L354" s="154" t="n">
        <x:f>IFERROR(K354/D354,"")</x:f>
        <x:v>-0.12333208163682582</x:v>
      </x:c>
    </x:row>
    <x:row r="355">
      <x:c r="A355" s="141" t="str">
        <x:v>Silver</x:v>
      </x:c>
      <x:c r="B355" s="155" t="n">
        <x:v>43606</x:v>
      </x:c>
      <x:c r="C355" s="155" t="n">
        <x:v>43609</x:v>
      </x:c>
      <x:c r="D355" s="159" t="n">
        <x:v>210356</x:v>
      </x:c>
      <x:c r="E355" s="159" t="n">
        <x:v>52557</x:v>
      </x:c>
      <x:c r="F355" s="159" t="n">
        <x:v>81988</x:v>
      </x:c>
      <x:c r="G355" s="159" t="n">
        <x:f>E355-F355</x:f>
        <x:v>-29431</x:v>
      </x:c>
      <x:c r="H355" s="154" t="n">
        <x:f>IFERROR(G355/D355,"")</x:f>
        <x:v>-0.1399104375439731</x:v>
      </x:c>
      <x:c r="I355" s="159" t="n">
        <x:v>27992</x:v>
      </x:c>
      <x:c r="J355" s="159" t="n">
        <x:v>46577</x:v>
      </x:c>
      <x:c r="K355" s="159" t="n">
        <x:f>I355-J355</x:f>
        <x:v>-18585</x:v>
      </x:c>
      <x:c r="L355" s="154" t="n">
        <x:f>IFERROR(K355/D355,"")</x:f>
        <x:v>-0.08835022533229382</x:v>
      </x:c>
    </x:row>
    <x:row r="356">
      <x:c r="A356" s="141" t="str">
        <x:v>Gold</x:v>
      </x:c>
      <x:c r="B356" s="155" t="n">
        <x:v>43613</x:v>
      </x:c>
      <x:c r="C356" s="155" t="n">
        <x:v>43616</x:v>
      </x:c>
      <x:c r="D356" s="159" t="n">
        <x:v>505126</x:v>
      </x:c>
      <x:c r="E356" s="159" t="n">
        <x:v>119314</x:v>
      </x:c>
      <x:c r="F356" s="159" t="n">
        <x:v>93040</x:v>
      </x:c>
      <x:c r="G356" s="159" t="n">
        <x:f>E356-F356</x:f>
        <x:v>26274</x:v>
      </x:c>
      <x:c r="H356" s="154" t="n">
        <x:f>IFERROR(G356/D356,"")</x:f>
        <x:v>0.05201474483594192</x:v>
      </x:c>
      <x:c r="I356" s="159" t="n">
        <x:v>47857</x:v>
      </x:c>
      <x:c r="J356" s="159" t="n">
        <x:v>110653</x:v>
      </x:c>
      <x:c r="K356" s="159" t="n">
        <x:f>I356-J356</x:f>
        <x:v>-62796</x:v>
      </x:c>
      <x:c r="L356" s="154" t="n">
        <x:f>IFERROR(K356/D356,"")</x:f>
        <x:v>-0.12431749702054537</x:v>
      </x:c>
    </x:row>
    <x:row r="357">
      <x:c r="A357" s="141" t="str">
        <x:v>Silver</x:v>
      </x:c>
      <x:c r="B357" s="155" t="n">
        <x:v>43613</x:v>
      </x:c>
      <x:c r="C357" s="155" t="n">
        <x:v>43616</x:v>
      </x:c>
      <x:c r="D357" s="159" t="n">
        <x:v>217605</x:v>
      </x:c>
      <x:c r="E357" s="159" t="n">
        <x:v>49913</x:v>
      </x:c>
      <x:c r="F357" s="159" t="n">
        <x:v>87920</x:v>
      </x:c>
      <x:c r="G357" s="159" t="n">
        <x:f>E357-F357</x:f>
        <x:v>-38007</x:v>
      </x:c>
      <x:c r="H357" s="154" t="n">
        <x:f>IFERROR(G357/D357,"")</x:f>
        <x:v>-0.1746605087199283</x:v>
      </x:c>
      <x:c r="I357" s="159" t="n">
        <x:v>29784</x:v>
      </x:c>
      <x:c r="J357" s="159" t="n">
        <x:v>46607</x:v>
      </x:c>
      <x:c r="K357" s="159" t="n">
        <x:f>I357-J357</x:f>
        <x:v>-16823</x:v>
      </x:c>
      <x:c r="L357" s="154" t="n">
        <x:f>IFERROR(K357/D357,"")</x:f>
        <x:v>-0.07730980446221364</x:v>
      </x:c>
    </x:row>
    <x:row r="358">
      <x:c r="A358" s="141" t="str">
        <x:v>Gold</x:v>
      </x:c>
      <x:c r="B358" s="155" t="n">
        <x:v>43620</x:v>
      </x:c>
      <x:c r="C358" s="155" t="n">
        <x:v>43623</x:v>
      </x:c>
      <x:c r="D358" s="159" t="n">
        <x:v>481495</x:v>
      </x:c>
      <x:c r="E358" s="159" t="n">
        <x:v>159663</x:v>
      </x:c>
      <x:c r="F358" s="159" t="n">
        <x:v>63481</x:v>
      </x:c>
      <x:c r="G358" s="159" t="n">
        <x:f>E358-F358</x:f>
        <x:v>96182</x:v>
      </x:c>
      <x:c r="H358" s="154" t="n">
        <x:f>IFERROR(G358/D358,"")</x:f>
        <x:v>0.19975700682250075</x:v>
      </x:c>
      <x:c r="I358" s="159" t="n">
        <x:v>19523</x:v>
      </x:c>
      <x:c r="J358" s="159" t="n">
        <x:v>106293</x:v>
      </x:c>
      <x:c r="K358" s="159" t="n">
        <x:f>I358-J358</x:f>
        <x:v>-86770</x:v>
      </x:c>
      <x:c r="L358" s="154" t="n">
        <x:f>IFERROR(K358/D358,"")</x:f>
        <x:v>-0.18020955565478353</x:v>
      </x:c>
    </x:row>
    <x:row r="359">
      <x:c r="A359" s="141" t="str">
        <x:v>Silver</x:v>
      </x:c>
      <x:c r="B359" s="155" t="n">
        <x:v>43620</x:v>
      </x:c>
      <x:c r="C359" s="155" t="n">
        <x:v>43623</x:v>
      </x:c>
      <x:c r="D359" s="159" t="n">
        <x:v>216145</x:v>
      </x:c>
      <x:c r="E359" s="159" t="n">
        <x:v>57223</x:v>
      </x:c>
      <x:c r="F359" s="159" t="n">
        <x:v>76759</x:v>
      </x:c>
      <x:c r="G359" s="159" t="n">
        <x:f>E359-F359</x:f>
        <x:v>-19536</x:v>
      </x:c>
      <x:c r="H359" s="154" t="n">
        <x:f>IFERROR(G359/D359,"")</x:f>
        <x:v>-0.09038377015429457</x:v>
      </x:c>
      <x:c r="I359" s="159" t="n">
        <x:v>26060</x:v>
      </x:c>
      <x:c r="J359" s="159" t="n">
        <x:v>50293</x:v>
      </x:c>
      <x:c r="K359" s="159" t="n">
        <x:f>I359-J359</x:f>
        <x:v>-24233</x:v>
      </x:c>
      <x:c r="L359" s="154" t="n">
        <x:f>IFERROR(K359/D359,"")</x:f>
        <x:v>-0.11211455273080571</x:v>
      </x:c>
    </x:row>
    <x:row r="360">
      <x:c r="A360" s="141" t="str">
        <x:v>Gold</x:v>
      </x:c>
      <x:c r="B360" s="155" t="n">
        <x:v>43627</x:v>
      </x:c>
      <x:c r="C360" s="155" t="n">
        <x:v>43630</x:v>
      </x:c>
      <x:c r="D360" s="159" t="n">
        <x:v>496663</x:v>
      </x:c>
      <x:c r="E360" s="159" t="n">
        <x:v>169640</x:v>
      </x:c>
      <x:c r="F360" s="159" t="n">
        <x:v>40480</x:v>
      </x:c>
      <x:c r="G360" s="159" t="n">
        <x:f>E360-F360</x:f>
        <x:v>129160</x:v>
      </x:c>
      <x:c r="H360" s="154" t="n">
        <x:f>IFERROR(G360/D360,"")</x:f>
        <x:v>0.26005561114880715</x:v>
      </x:c>
      <x:c r="I360" s="159" t="n">
        <x:v>22226</x:v>
      </x:c>
      <x:c r="J360" s="159" t="n">
        <x:v>114842</x:v>
      </x:c>
      <x:c r="K360" s="159" t="n">
        <x:f>I360-J360</x:f>
        <x:v>-92616</x:v>
      </x:c>
      <x:c r="L360" s="154" t="n">
        <x:f>IFERROR(K360/D360,"")</x:f>
        <x:v>-0.18647654445771075</x:v>
      </x:c>
    </x:row>
    <x:row r="361">
      <x:c r="A361" s="141" t="str">
        <x:v>Silver</x:v>
      </x:c>
      <x:c r="B361" s="155" t="n">
        <x:v>43627</x:v>
      </x:c>
      <x:c r="C361" s="155" t="n">
        <x:v>43630</x:v>
      </x:c>
      <x:c r="D361" s="159" t="n">
        <x:v>226513</x:v>
      </x:c>
      <x:c r="E361" s="159" t="n">
        <x:v>65783</x:v>
      </x:c>
      <x:c r="F361" s="159" t="n">
        <x:v>73843</x:v>
      </x:c>
      <x:c r="G361" s="159" t="n">
        <x:f>E361-F361</x:f>
        <x:v>-8060</x:v>
      </x:c>
      <x:c r="H361" s="154" t="n">
        <x:f>IFERROR(G361/D361,"")</x:f>
        <x:v>-0.03558294667414232</x:v>
      </x:c>
      <x:c r="I361" s="159" t="n">
        <x:v>26768</x:v>
      </x:c>
      <x:c r="J361" s="159" t="n">
        <x:v>55378</x:v>
      </x:c>
      <x:c r="K361" s="159" t="n">
        <x:f>I361-J361</x:f>
        <x:v>-28610</x:v>
      </x:c>
      <x:c r="L361" s="154" t="n">
        <x:f>IFERROR(K361/D361,"")</x:f>
        <x:v>-0.1263062164202496</x:v>
      </x:c>
    </x:row>
    <x:row r="362">
      <x:c r="A362" s="141" t="str">
        <x:v>Gold</x:v>
      </x:c>
      <x:c r="B362" s="155" t="n">
        <x:v>43634</x:v>
      </x:c>
      <x:c r="C362" s="155" t="n">
        <x:v>43637</x:v>
      </x:c>
      <x:c r="D362" s="159" t="n">
        <x:v>525636</x:v>
      </x:c>
      <x:c r="E362" s="159" t="n">
        <x:v>191766</x:v>
      </x:c>
      <x:c r="F362" s="159" t="n">
        <x:v>41250</x:v>
      </x:c>
      <x:c r="G362" s="159" t="n">
        <x:f>E362-F362</x:f>
        <x:v>150516</x:v>
      </x:c>
      <x:c r="H362" s="154" t="n">
        <x:f>IFERROR(G362/D362,"")</x:f>
        <x:v>0.2863502499828779</x:v>
      </x:c>
      <x:c r="I362" s="159" t="n">
        <x:v>22520</x:v>
      </x:c>
      <x:c r="J362" s="159" t="n">
        <x:v>124772</x:v>
      </x:c>
      <x:c r="K362" s="159" t="n">
        <x:f>I362-J362</x:f>
        <x:v>-102252</x:v>
      </x:c>
      <x:c r="L362" s="154" t="n">
        <x:f>IFERROR(K362/D362,"")</x:f>
        <x:v>-0.19453005501906262</x:v>
      </x:c>
    </x:row>
    <x:row r="363">
      <x:c r="A363" s="141" t="str">
        <x:v>Silver</x:v>
      </x:c>
      <x:c r="B363" s="155" t="n">
        <x:v>43634</x:v>
      </x:c>
      <x:c r="C363" s="155" t="n">
        <x:v>43637</x:v>
      </x:c>
      <x:c r="D363" s="159" t="n">
        <x:v>239466</x:v>
      </x:c>
      <x:c r="E363" s="159" t="n">
        <x:v>73187</x:v>
      </x:c>
      <x:c r="F363" s="159" t="n">
        <x:v>68872</x:v>
      </x:c>
      <x:c r="G363" s="159" t="n">
        <x:f>E363-F363</x:f>
        <x:v>4315</x:v>
      </x:c>
      <x:c r="H363" s="154" t="n">
        <x:f>IFERROR(G363/D363,"")</x:f>
        <x:v>0.018019259519096657</x:v>
      </x:c>
      <x:c r="I363" s="159" t="n">
        <x:v>26882</x:v>
      </x:c>
      <x:c r="J363" s="159" t="n">
        <x:v>57196</x:v>
      </x:c>
      <x:c r="K363" s="159" t="n">
        <x:f>I363-J363</x:f>
        <x:v>-30314</x:v>
      </x:c>
      <x:c r="L363" s="154" t="n">
        <x:f>IFERROR(K363/D363,"")</x:f>
        <x:v>-0.1265899960745993</x:v>
      </x:c>
    </x:row>
    <x:row r="364">
      <x:c r="A364" s="141" t="str">
        <x:v>Gold</x:v>
      </x:c>
      <x:c r="B364" s="155" t="n">
        <x:v>43641</x:v>
      </x:c>
      <x:c r="C364" s="155" t="n">
        <x:v>43644</x:v>
      </x:c>
      <x:c r="D364" s="159" t="n">
        <x:v>577605</x:v>
      </x:c>
      <x:c r="E364" s="159" t="n">
        <x:v>204918</x:v>
      </x:c>
      <x:c r="F364" s="159" t="n">
        <x:v>27177</x:v>
      </x:c>
      <x:c r="G364" s="159" t="n">
        <x:f>E364-F364</x:f>
        <x:v>177741</x:v>
      </x:c>
      <x:c r="H364" s="154" t="n">
        <x:f>IFERROR(G364/D364,"")</x:f>
        <x:v>0.3077206741631392</x:v>
      </x:c>
      <x:c r="I364" s="159" t="n">
        <x:v>27515</x:v>
      </x:c>
      <x:c r="J364" s="159" t="n">
        <x:v>155003</x:v>
      </x:c>
      <x:c r="K364" s="159" t="n">
        <x:f>I364-J364</x:f>
        <x:v>-127488</x:v>
      </x:c>
      <x:c r="L364" s="154" t="n">
        <x:f>IFERROR(K364/D364,"")</x:f>
        <x:v>-0.22071831095644948</x:v>
      </x:c>
    </x:row>
    <x:row r="365">
      <x:c r="A365" s="141" t="str">
        <x:v>Silver</x:v>
      </x:c>
      <x:c r="B365" s="155" t="n">
        <x:v>43641</x:v>
      </x:c>
      <x:c r="C365" s="155" t="n">
        <x:v>43644</x:v>
      </x:c>
      <x:c r="D365" s="159" t="n">
        <x:v>229007</x:v>
      </x:c>
      <x:c r="E365" s="159" t="n">
        <x:v>79943</x:v>
      </x:c>
      <x:c r="F365" s="159" t="n">
        <x:v>56682</x:v>
      </x:c>
      <x:c r="G365" s="159" t="n">
        <x:f>E365-F365</x:f>
        <x:v>23261</x:v>
      </x:c>
      <x:c r="H365" s="154" t="n">
        <x:f>IFERROR(G365/D365,"")</x:f>
        <x:v>0.10157331435283638</x:v>
      </x:c>
      <x:c r="I365" s="159" t="n">
        <x:v>22573</x:v>
      </x:c>
      <x:c r="J365" s="159" t="n">
        <x:v>62433</x:v>
      </x:c>
      <x:c r="K365" s="159" t="n">
        <x:f>I365-J365</x:f>
        <x:v>-39860</x:v>
      </x:c>
      <x:c r="L365" s="154" t="n">
        <x:f>IFERROR(K365/D365,"")</x:f>
        <x:v>-0.1740558148877545</x:v>
      </x:c>
    </x:row>
    <x:row r="366">
      <x:c r="A366" s="141" t="str">
        <x:v>Gold</x:v>
      </x:c>
      <x:c r="B366" s="155" t="n">
        <x:v>43648</x:v>
      </x:c>
      <x:c r="C366" s="155" t="n">
        <x:v>43651</x:v>
      </x:c>
      <x:c r="D366" s="159" t="n">
        <x:v>605949</x:v>
      </x:c>
      <x:c r="E366" s="159" t="n">
        <x:v>214186</x:v>
      </x:c>
      <x:c r="F366" s="159" t="n">
        <x:v>20099</x:v>
      </x:c>
      <x:c r="G366" s="159" t="n">
        <x:f>E366-F366</x:f>
        <x:v>194087</x:v>
      </x:c>
      <x:c r="H366" s="154" t="n">
        <x:f>IFERROR(G366/D366,"")</x:f>
        <x:v>0.320302533711583</x:v>
      </x:c>
      <x:c r="I366" s="159" t="n">
        <x:v>26439</x:v>
      </x:c>
      <x:c r="J366" s="159" t="n">
        <x:v>169945</x:v>
      </x:c>
      <x:c r="K366" s="159" t="n">
        <x:f>I366-J366</x:f>
        <x:v>-143506</x:v>
      </x:c>
      <x:c r="L366" s="154" t="n">
        <x:f>IFERROR(K366/D366,"")</x:f>
        <x:v>-0.23682851197047936</x:v>
      </x:c>
    </x:row>
    <x:row r="367">
      <x:c r="A367" s="141" t="str">
        <x:v>Silver</x:v>
      </x:c>
      <x:c r="B367" s="155" t="n">
        <x:v>43648</x:v>
      </x:c>
      <x:c r="C367" s="155" t="n">
        <x:v>43651</x:v>
      </x:c>
      <x:c r="D367" s="159" t="n">
        <x:v>221224</x:v>
      </x:c>
      <x:c r="E367" s="159" t="n">
        <x:v>81381</x:v>
      </x:c>
      <x:c r="F367" s="159" t="n">
        <x:v>59458</x:v>
      </x:c>
      <x:c r="G367" s="159" t="n">
        <x:f>E367-F367</x:f>
        <x:v>21923</x:v>
      </x:c>
      <x:c r="H367" s="154" t="n">
        <x:f>IFERROR(G367/D367,"")</x:f>
        <x:v>0.09909865114092503</x:v>
      </x:c>
      <x:c r="I367" s="159" t="n">
        <x:v>17089</x:v>
      </x:c>
      <x:c r="J367" s="159" t="n">
        <x:v>56417</x:v>
      </x:c>
      <x:c r="K367" s="159" t="n">
        <x:f>I367-J367</x:f>
        <x:v>-39328</x:v>
      </x:c>
      <x:c r="L367" s="154" t="n">
        <x:f>IFERROR(K367/D367,"")</x:f>
        <x:v>-0.17777456333851663</x:v>
      </x:c>
    </x:row>
    <x:row r="368">
      <x:c r="A368" s="141" t="str">
        <x:v>Gold</x:v>
      </x:c>
      <x:c r="B368" s="155" t="n">
        <x:v>43655</x:v>
      </x:c>
      <x:c r="C368" s="155" t="n">
        <x:v>43658</x:v>
      </x:c>
      <x:c r="D368" s="159" t="n">
        <x:v>598977</x:v>
      </x:c>
      <x:c r="E368" s="159" t="n">
        <x:v>208301</x:v>
      </x:c>
      <x:c r="F368" s="159" t="n">
        <x:v>25690</x:v>
      </x:c>
      <x:c r="G368" s="159" t="n">
        <x:f>E368-F368</x:f>
        <x:v>182611</x:v>
      </x:c>
      <x:c r="H368" s="154" t="n">
        <x:f>IFERROR(G368/D368,"")</x:f>
        <x:v>0.30487147252732577</x:v>
      </x:c>
      <x:c r="I368" s="159" t="n">
        <x:v>23099</x:v>
      </x:c>
      <x:c r="J368" s="159" t="n">
        <x:v>172713</x:v>
      </x:c>
      <x:c r="K368" s="159" t="n">
        <x:f>I368-J368</x:f>
        <x:v>-149614</x:v>
      </x:c>
      <x:c r="L368" s="154" t="n">
        <x:f>IFERROR(K368/D368,"")</x:f>
        <x:v>-0.24978254590743884</x:v>
      </x:c>
    </x:row>
    <x:row r="369">
      <x:c r="A369" s="141" t="str">
        <x:v>Silver</x:v>
      </x:c>
      <x:c r="B369" s="155" t="n">
        <x:v>43655</x:v>
      </x:c>
      <x:c r="C369" s="155" t="n">
        <x:v>43658</x:v>
      </x:c>
      <x:c r="D369" s="159" t="n">
        <x:v>218493</x:v>
      </x:c>
      <x:c r="E369" s="159" t="n">
        <x:v>76472</x:v>
      </x:c>
      <x:c r="F369" s="159" t="n">
        <x:v>60945</x:v>
      </x:c>
      <x:c r="G369" s="159" t="n">
        <x:f>E369-F369</x:f>
        <x:v>15527</x:v>
      </x:c>
      <x:c r="H369" s="154" t="n">
        <x:f>IFERROR(G369/D369,"")</x:f>
        <x:v>0.07106406154888258</x:v>
      </x:c>
      <x:c r="I369" s="159" t="n">
        <x:v>17217</x:v>
      </x:c>
      <x:c r="J369" s="159" t="n">
        <x:v>51671</x:v>
      </x:c>
      <x:c r="K369" s="159" t="n">
        <x:f>I369-J369</x:f>
        <x:v>-34454</x:v>
      </x:c>
      <x:c r="L369" s="154" t="n">
        <x:f>IFERROR(K369/D369,"")</x:f>
        <x:v>-0.1576892623562311</x:v>
      </x:c>
    </x:row>
    <x:row r="370">
      <x:c r="A370" s="141" t="str">
        <x:v>Gold</x:v>
      </x:c>
      <x:c r="B370" s="155" t="n">
        <x:v>43662</x:v>
      </x:c>
      <x:c r="C370" s="155" t="n">
        <x:v>43665</x:v>
      </x:c>
      <x:c r="D370" s="159" t="n">
        <x:v>601900</x:v>
      </x:c>
      <x:c r="E370" s="159" t="n">
        <x:v>211322</x:v>
      </x:c>
      <x:c r="F370" s="159" t="n">
        <x:v>31263</x:v>
      </x:c>
      <x:c r="G370" s="159" t="n">
        <x:f>E370-F370</x:f>
        <x:v>180059</x:v>
      </x:c>
      <x:c r="H370" s="154" t="n">
        <x:f>IFERROR(G370/D370,"")</x:f>
        <x:v>0.2991510217644127</x:v>
      </x:c>
      <x:c r="I370" s="159" t="n">
        <x:v>36109</x:v>
      </x:c>
      <x:c r="J370" s="159" t="n">
        <x:v>173109</x:v>
      </x:c>
      <x:c r="K370" s="159" t="n">
        <x:f>I370-J370</x:f>
        <x:v>-137000</x:v>
      </x:c>
      <x:c r="L370" s="154" t="n">
        <x:f>IFERROR(K370/D370,"")</x:f>
        <x:v>-0.22761256022595117</x:v>
      </x:c>
    </x:row>
    <x:row r="371">
      <x:c r="A371" s="141" t="str">
        <x:v>Silver</x:v>
      </x:c>
      <x:c r="B371" s="155" t="n">
        <x:v>43662</x:v>
      </x:c>
      <x:c r="C371" s="155" t="n">
        <x:v>43665</x:v>
      </x:c>
      <x:c r="D371" s="159" t="n">
        <x:v>229465</x:v>
      </x:c>
      <x:c r="E371" s="159" t="n">
        <x:v>79125</x:v>
      </x:c>
      <x:c r="F371" s="159" t="n">
        <x:v>51361</x:v>
      </x:c>
      <x:c r="G371" s="159" t="n">
        <x:f>E371-F371</x:f>
        <x:v>27764</x:v>
      </x:c>
      <x:c r="H371" s="154" t="n">
        <x:f>IFERROR(G371/D371,"")</x:f>
        <x:v>0.12099448717669362</x:v>
      </x:c>
      <x:c r="I371" s="159" t="n">
        <x:v>16082</x:v>
      </x:c>
      <x:c r="J371" s="159" t="n">
        <x:v>62006</x:v>
      </x:c>
      <x:c r="K371" s="159" t="n">
        <x:f>I371-J371</x:f>
        <x:v>-45924</x:v>
      </x:c>
      <x:c r="L371" s="154" t="n">
        <x:f>IFERROR(K371/D371,"")</x:f>
        <x:v>-0.20013509685572964</x:v>
      </x:c>
    </x:row>
    <x:row r="372">
      <x:c r="A372" s="141" t="str">
        <x:v>Gold</x:v>
      </x:c>
      <x:c r="B372" s="155" t="n">
        <x:v>43669</x:v>
      </x:c>
      <x:c r="C372" s="155" t="n">
        <x:v>43672</x:v>
      </x:c>
      <x:c r="D372" s="159" t="n">
        <x:v>616859</x:v>
      </x:c>
      <x:c r="E372" s="159" t="n">
        <x:v>208153</x:v>
      </x:c>
      <x:c r="F372" s="159" t="n">
        <x:v>29980</x:v>
      </x:c>
      <x:c r="G372" s="159" t="n">
        <x:f>E372-F372</x:f>
        <x:v>178173</x:v>
      </x:c>
      <x:c r="H372" s="154" t="n">
        <x:f>IFERROR(G372/D372,"")</x:f>
        <x:v>0.2888391026150222</x:v>
      </x:c>
      <x:c r="I372" s="159" t="n">
        <x:v>35072</x:v>
      </x:c>
      <x:c r="J372" s="159" t="n">
        <x:v>175270</x:v>
      </x:c>
      <x:c r="K372" s="159" t="n">
        <x:f>I372-J372</x:f>
        <x:v>-140198</x:v>
      </x:c>
      <x:c r="L372" s="154" t="n">
        <x:f>IFERROR(K372/D372,"")</x:f>
        <x:v>-0.2272772221852968</x:v>
      </x:c>
    </x:row>
    <x:row r="373">
      <x:c r="A373" s="141" t="str">
        <x:v>Silver</x:v>
      </x:c>
      <x:c r="B373" s="155" t="n">
        <x:v>43669</x:v>
      </x:c>
      <x:c r="C373" s="155" t="n">
        <x:v>43672</x:v>
      </x:c>
      <x:c r="D373" s="159" t="n">
        <x:v>234735</x:v>
      </x:c>
      <x:c r="E373" s="159" t="n">
        <x:v>90924</x:v>
      </x:c>
      <x:c r="F373" s="159" t="n">
        <x:v>39268</x:v>
      </x:c>
      <x:c r="G373" s="159" t="n">
        <x:f>E373-F373</x:f>
        <x:v>51656</x:v>
      </x:c>
      <x:c r="H373" s="154" t="n">
        <x:f>IFERROR(G373/D373,"")</x:f>
        <x:v>0.2200609197605811</x:v>
      </x:c>
      <x:c r="I373" s="159" t="n">
        <x:v>9257</x:v>
      </x:c>
      <x:c r="J373" s="159" t="n">
        <x:v>65830</x:v>
      </x:c>
      <x:c r="K373" s="159" t="n">
        <x:f>I373-J373</x:f>
        <x:v>-56573</x:v>
      </x:c>
      <x:c r="L373" s="154" t="n">
        <x:f>IFERROR(K373/D373,"")</x:f>
        <x:v>-0.24100794512961424</x:v>
      </x:c>
    </x:row>
    <x:row r="374">
      <x:c r="A374" s="141" t="str">
        <x:v>Gold</x:v>
      </x:c>
      <x:c r="B374" s="155" t="n">
        <x:v>43676</x:v>
      </x:c>
      <x:c r="C374" s="155" t="n">
        <x:v>43679</x:v>
      </x:c>
      <x:c r="D374" s="159" t="n">
        <x:v>563298</x:v>
      </x:c>
      <x:c r="E374" s="159" t="n">
        <x:v>215581</x:v>
      </x:c>
      <x:c r="F374" s="159" t="n">
        <x:v>29868</x:v>
      </x:c>
      <x:c r="G374" s="159" t="n">
        <x:f>E374-F374</x:f>
        <x:v>185713</x:v>
      </x:c>
      <x:c r="H374" s="154" t="n">
        <x:f>IFERROR(G374/D374,"")</x:f>
        <x:v>0.3296887260384379</x:v>
      </x:c>
      <x:c r="I374" s="159" t="n">
        <x:v>16484</x:v>
      </x:c>
      <x:c r="J374" s="159" t="n">
        <x:v>151075</x:v>
      </x:c>
      <x:c r="K374" s="159" t="n">
        <x:f>I374-J374</x:f>
        <x:v>-134591</x:v>
      </x:c>
      <x:c r="L374" s="154" t="n">
        <x:f>IFERROR(K374/D374,"")</x:f>
        <x:v>-0.23893392129920574</x:v>
      </x:c>
    </x:row>
    <x:row r="375">
      <x:c r="A375" s="141" t="str">
        <x:v>Silver</x:v>
      </x:c>
      <x:c r="B375" s="155" t="n">
        <x:v>43676</x:v>
      </x:c>
      <x:c r="C375" s="155" t="n">
        <x:v>43679</x:v>
      </x:c>
      <x:c r="D375" s="159" t="n">
        <x:v>239059</x:v>
      </x:c>
      <x:c r="E375" s="159" t="n">
        <x:v>94899</x:v>
      </x:c>
      <x:c r="F375" s="159" t="n">
        <x:v>32337</x:v>
      </x:c>
      <x:c r="G375" s="159" t="n">
        <x:f>E375-F375</x:f>
        <x:v>62562</x:v>
      </x:c>
      <x:c r="H375" s="154" t="n">
        <x:f>IFERROR(G375/D375,"")</x:f>
        <x:v>0.261701086342702</x:v>
      </x:c>
      <x:c r="I375" s="159" t="n">
        <x:v>10424</x:v>
      </x:c>
      <x:c r="J375" s="159" t="n">
        <x:v>72132</x:v>
      </x:c>
      <x:c r="K375" s="159" t="n">
        <x:f>I375-J375</x:f>
        <x:v>-61708</x:v>
      </x:c>
      <x:c r="L375" s="154" t="n">
        <x:f>IFERROR(K375/D375,"")</x:f>
        <x:v>-0.2581287464600789</x:v>
      </x:c>
    </x:row>
    <x:row r="376">
      <x:c r="A376" s="141" t="str">
        <x:v>Gold</x:v>
      </x:c>
      <x:c r="B376" s="155" t="n">
        <x:v>43683</x:v>
      </x:c>
      <x:c r="C376" s="155" t="n">
        <x:v>43686</x:v>
      </x:c>
      <x:c r="D376" s="159" t="n">
        <x:v>600317</x:v>
      </x:c>
      <x:c r="E376" s="159" t="n">
        <x:v>248687</x:v>
      </x:c>
      <x:c r="F376" s="159" t="n">
        <x:v>21854</x:v>
      </x:c>
      <x:c r="G376" s="159" t="n">
        <x:f>E376-F376</x:f>
        <x:v>226833</x:v>
      </x:c>
      <x:c r="H376" s="154" t="n">
        <x:f>IFERROR(G376/D376,"")</x:f>
        <x:v>0.3778553664147442</x:v>
      </x:c>
      <x:c r="I376" s="159" t="n">
        <x:v>21577</x:v>
      </x:c>
      <x:c r="J376" s="159" t="n">
        <x:v>160907</x:v>
      </x:c>
      <x:c r="K376" s="159" t="n">
        <x:f>I376-J376</x:f>
        <x:v>-139330</x:v>
      </x:c>
      <x:c r="L376" s="154" t="n">
        <x:f>IFERROR(K376/D376,"")</x:f>
        <x:v>-0.23209404364693986</x:v>
      </x:c>
    </x:row>
    <x:row r="377">
      <x:c r="A377" s="141" t="str">
        <x:v>Silver</x:v>
      </x:c>
      <x:c r="B377" s="155" t="n">
        <x:v>43683</x:v>
      </x:c>
      <x:c r="C377" s="155" t="n">
        <x:v>43686</x:v>
      </x:c>
      <x:c r="D377" s="159" t="n">
        <x:v>239290</x:v>
      </x:c>
      <x:c r="E377" s="159" t="n">
        <x:v>89145</x:v>
      </x:c>
      <x:c r="F377" s="159" t="n">
        <x:v>42283</x:v>
      </x:c>
      <x:c r="G377" s="159" t="n">
        <x:f>E377-F377</x:f>
        <x:v>46862</x:v>
      </x:c>
      <x:c r="H377" s="154" t="n">
        <x:f>IFERROR(G377/D377,"")</x:f>
        <x:v>0.19583768648919722</x:v>
      </x:c>
      <x:c r="I377" s="159" t="n">
        <x:v>11050</x:v>
      </x:c>
      <x:c r="J377" s="159" t="n">
        <x:v>69430</x:v>
      </x:c>
      <x:c r="K377" s="159" t="n">
        <x:f>I377-J377</x:f>
        <x:v>-58380</x:v>
      </x:c>
      <x:c r="L377" s="154" t="n">
        <x:f>IFERROR(K377/D377,"")</x:f>
        <x:v>-0.24397174975970579</x:v>
      </x:c>
    </x:row>
    <x:row r="378">
      <x:c r="A378" s="141" t="str">
        <x:v>Gold</x:v>
      </x:c>
      <x:c r="B378" s="155" t="n">
        <x:v>43690</x:v>
      </x:c>
      <x:c r="C378" s="155" t="n">
        <x:v>43693</x:v>
      </x:c>
      <x:c r="D378" s="159" t="n">
        <x:v>593962</x:v>
      </x:c>
      <x:c r="E378" s="159" t="n">
        <x:v>245631</x:v>
      </x:c>
      <x:c r="F378" s="159" t="n">
        <x:v>22020</x:v>
      </x:c>
      <x:c r="G378" s="159" t="n">
        <x:f>E378-F378</x:f>
        <x:v>223611</x:v>
      </x:c>
      <x:c r="H378" s="154" t="n">
        <x:f>IFERROR(G378/D378,"")</x:f>
        <x:v>0.376473579117856</x:v>
      </x:c>
      <x:c r="I378" s="159" t="n">
        <x:v>20942</x:v>
      </x:c>
      <x:c r="J378" s="159" t="n">
        <x:v>159798</x:v>
      </x:c>
      <x:c r="K378" s="159" t="n">
        <x:f>I378-J378</x:f>
        <x:v>-138856</x:v>
      </x:c>
      <x:c r="L378" s="154" t="n">
        <x:f>IFERROR(K378/D378,"")</x:f>
        <x:v>-0.23377926534020696</x:v>
      </x:c>
    </x:row>
    <x:row r="379">
      <x:c r="A379" s="141" t="str">
        <x:v>Silver</x:v>
      </x:c>
      <x:c r="B379" s="155" t="n">
        <x:v>43690</x:v>
      </x:c>
      <x:c r="C379" s="155" t="n">
        <x:v>43693</x:v>
      </x:c>
      <x:c r="D379" s="159" t="n">
        <x:v>233839</x:v>
      </x:c>
      <x:c r="E379" s="159" t="n">
        <x:v>78429</x:v>
      </x:c>
      <x:c r="F379" s="159" t="n">
        <x:v>44469</x:v>
      </x:c>
      <x:c r="G379" s="159" t="n">
        <x:f>E379-F379</x:f>
        <x:v>33960</x:v>
      </x:c>
      <x:c r="H379" s="154" t="n">
        <x:f>IFERROR(G379/D379,"")</x:f>
        <x:v>0.14522812704467603</x:v>
      </x:c>
      <x:c r="I379" s="159" t="n">
        <x:v>17831</x:v>
      </x:c>
      <x:c r="J379" s="159" t="n">
        <x:v>70272</x:v>
      </x:c>
      <x:c r="K379" s="159" t="n">
        <x:f>I379-J379</x:f>
        <x:v>-52441</x:v>
      </x:c>
      <x:c r="L379" s="154" t="n">
        <x:f>IFERROR(K379/D379,"")</x:f>
        <x:v>-0.22426113693609706</x:v>
      </x:c>
    </x:row>
    <x:row r="380">
      <x:c r="A380" s="141" t="str">
        <x:v>Gold</x:v>
      </x:c>
      <x:c r="B380" s="155" t="n">
        <x:v>43697</x:v>
      </x:c>
      <x:c r="C380" s="155" t="n">
        <x:v>43700</x:v>
      </x:c>
      <x:c r="D380" s="159" t="n">
        <x:v>594807</x:v>
      </x:c>
      <x:c r="E380" s="159" t="n">
        <x:v>249696</x:v>
      </x:c>
      <x:c r="F380" s="159" t="n">
        <x:v>19850</x:v>
      </x:c>
      <x:c r="G380" s="159" t="n">
        <x:f>E380-F380</x:f>
        <x:v>229846</x:v>
      </x:c>
      <x:c r="H380" s="154" t="n">
        <x:f>IFERROR(G380/D380,"")</x:f>
        <x:v>0.38642114164762686</x:v>
      </x:c>
      <x:c r="I380" s="159" t="n">
        <x:v>21303</x:v>
      </x:c>
      <x:c r="J380" s="159" t="n">
        <x:v>166620</x:v>
      </x:c>
      <x:c r="K380" s="159" t="n">
        <x:f>I380-J380</x:f>
        <x:v>-145317</x:v>
      </x:c>
      <x:c r="L380" s="154" t="n">
        <x:f>IFERROR(K380/D380,"")</x:f>
        <x:v>-0.24430949871134672</x:v>
      </x:c>
    </x:row>
    <x:row r="381">
      <x:c r="A381" s="141" t="str">
        <x:v>Silver</x:v>
      </x:c>
      <x:c r="B381" s="155" t="n">
        <x:v>43697</x:v>
      </x:c>
      <x:c r="C381" s="155" t="n">
        <x:v>43700</x:v>
      </x:c>
      <x:c r="D381" s="159" t="n">
        <x:v>238086</x:v>
      </x:c>
      <x:c r="E381" s="159" t="n">
        <x:v>78183</x:v>
      </x:c>
      <x:c r="F381" s="159" t="n">
        <x:v>34287</x:v>
      </x:c>
      <x:c r="G381" s="159" t="n">
        <x:f>E381-F381</x:f>
        <x:v>43896</x:v>
      </x:c>
      <x:c r="H381" s="154" t="n">
        <x:f>IFERROR(G381/D381,"")</x:f>
        <x:v>0.1843703535697185</x:v>
      </x:c>
      <x:c r="I381" s="159" t="n">
        <x:v>17574</x:v>
      </x:c>
      <x:c r="J381" s="159" t="n">
        <x:v>71314</x:v>
      </x:c>
      <x:c r="K381" s="159" t="n">
        <x:f>I381-J381</x:f>
        <x:v>-53740</x:v>
      </x:c>
      <x:c r="L381" s="154" t="n">
        <x:f>IFERROR(K381/D381,"")</x:f>
        <x:v>-0.22571675781020303</x:v>
      </x:c>
    </x:row>
    <x:row r="382">
      <x:c r="A382" s="141" t="str">
        <x:v>Gold</x:v>
      </x:c>
      <x:c r="B382" s="155" t="n">
        <x:v>43704</x:v>
      </x:c>
      <x:c r="C382" s="155" t="n">
        <x:v>43707</x:v>
      </x:c>
      <x:c r="D382" s="159" t="n">
        <x:v>636183</x:v>
      </x:c>
      <x:c r="E382" s="159" t="n">
        <x:v>258269</x:v>
      </x:c>
      <x:c r="F382" s="159" t="n">
        <x:v>31553</x:v>
      </x:c>
      <x:c r="G382" s="159" t="n">
        <x:f>E382-F382</x:f>
        <x:v>226716</x:v>
      </x:c>
      <x:c r="H382" s="154" t="n">
        <x:f>IFERROR(G382/D382,"")</x:f>
        <x:v>0.3563691579309727</x:v>
      </x:c>
      <x:c r="I382" s="159" t="n">
        <x:v>28589</x:v>
      </x:c>
      <x:c r="J382" s="159" t="n">
        <x:v>172923</x:v>
      </x:c>
      <x:c r="K382" s="159" t="n">
        <x:f>I382-J382</x:f>
        <x:v>-144334</x:v>
      </x:c>
      <x:c r="L382" s="154" t="n">
        <x:f>IFERROR(K382/D382,"")</x:f>
        <x:v>-0.22687497150976998</x:v>
      </x:c>
    </x:row>
    <x:row r="383">
      <x:c r="A383" s="141" t="str">
        <x:v>Silver</x:v>
      </x:c>
      <x:c r="B383" s="155" t="n">
        <x:v>43704</x:v>
      </x:c>
      <x:c r="C383" s="155" t="n">
        <x:v>43707</x:v>
      </x:c>
      <x:c r="D383" s="159" t="n">
        <x:v>239970</x:v>
      </x:c>
      <x:c r="E383" s="159" t="n">
        <x:v>84643</x:v>
      </x:c>
      <x:c r="F383" s="159" t="n">
        <x:v>28855</x:v>
      </x:c>
      <x:c r="G383" s="159" t="n">
        <x:f>E383-F383</x:f>
        <x:v>55788</x:v>
      </x:c>
      <x:c r="H383" s="154" t="n">
        <x:f>IFERROR(G383/D383,"")</x:f>
        <x:v>0.23247905988248532</x:v>
      </x:c>
      <x:c r="I383" s="159" t="n">
        <x:v>17885</x:v>
      </x:c>
      <x:c r="J383" s="159" t="n">
        <x:v>78626</x:v>
      </x:c>
      <x:c r="K383" s="159" t="n">
        <x:f>I383-J383</x:f>
        <x:v>-60741</x:v>
      </x:c>
      <x:c r="L383" s="154" t="n">
        <x:f>IFERROR(K383/D383,"")</x:f>
        <x:v>-0.2531191398924866</x:v>
      </x:c>
    </x:row>
    <x:row r="384">
      <x:c r="A384" s="141" t="str">
        <x:v>Gold</x:v>
      </x:c>
      <x:c r="B384" s="155" t="n">
        <x:v>43711</x:v>
      </x:c>
      <x:c r="C384" s="155" t="n">
        <x:v>43714</x:v>
      </x:c>
      <x:c r="D384" s="159" t="n">
        <x:v>634358</x:v>
      </x:c>
      <x:c r="E384" s="159" t="n">
        <x:v>265175</x:v>
      </x:c>
      <x:c r="F384" s="159" t="n">
        <x:v>33549</x:v>
      </x:c>
      <x:c r="G384" s="159" t="n">
        <x:f>E384-F384</x:f>
        <x:v>231626</x:v>
      </x:c>
      <x:c r="H384" s="154" t="n">
        <x:f>IFERROR(G384/D384,"")</x:f>
        <x:v>0.3651345139495364</x:v>
      </x:c>
      <x:c r="I384" s="159" t="n">
        <x:v>23849</x:v>
      </x:c>
      <x:c r="J384" s="159" t="n">
        <x:v>178506</x:v>
      </x:c>
      <x:c r="K384" s="159" t="n">
        <x:f>I384-J384</x:f>
        <x:v>-154657</x:v>
      </x:c>
      <x:c r="L384" s="154" t="n">
        <x:f>IFERROR(K384/D384,"")</x:f>
        <x:v>-0.24380081909584178</x:v>
      </x:c>
    </x:row>
    <x:row r="385">
      <x:c r="A385" s="141" t="str">
        <x:v>Silver</x:v>
      </x:c>
      <x:c r="B385" s="155" t="n">
        <x:v>43711</x:v>
      </x:c>
      <x:c r="C385" s="155" t="n">
        <x:v>43714</x:v>
      </x:c>
      <x:c r="D385" s="159" t="n">
        <x:v>225688</x:v>
      </x:c>
      <x:c r="E385" s="159" t="n">
        <x:v>86540</x:v>
      </x:c>
      <x:c r="F385" s="159" t="n">
        <x:v>25658</x:v>
      </x:c>
      <x:c r="G385" s="159" t="n">
        <x:f>E385-F385</x:f>
        <x:v>60882</x:v>
      </x:c>
      <x:c r="H385" s="154" t="n">
        <x:f>IFERROR(G385/D385,"")</x:f>
        <x:v>0.2697617950444862</x:v>
      </x:c>
      <x:c r="I385" s="159" t="n">
        <x:v>12641</x:v>
      </x:c>
      <x:c r="J385" s="159" t="n">
        <x:v>77535</x:v>
      </x:c>
      <x:c r="K385" s="159" t="n">
        <x:f>I385-J385</x:f>
        <x:v>-64894</x:v>
      </x:c>
      <x:c r="L385" s="154" t="n">
        <x:f>IFERROR(K385/D385,"")</x:f>
        <x:v>-0.287538548793024</x:v>
      </x:c>
    </x:row>
    <x:row r="386">
      <x:c r="A386" s="141" t="str">
        <x:v>Gold</x:v>
      </x:c>
      <x:c r="B386" s="155" t="n">
        <x:v>43718</x:v>
      </x:c>
      <x:c r="C386" s="155" t="n">
        <x:v>43721</x:v>
      </x:c>
      <x:c r="D386" s="159" t="n">
        <x:v>614753</x:v>
      </x:c>
      <x:c r="E386" s="159" t="n">
        <x:v>239475</x:v>
      </x:c>
      <x:c r="F386" s="159" t="n">
        <x:v>33294</x:v>
      </x:c>
      <x:c r="G386" s="159" t="n">
        <x:f>E386-F386</x:f>
        <x:v>206181</x:v>
      </x:c>
      <x:c r="H386" s="154" t="n">
        <x:f>IFERROR(G386/D386,"")</x:f>
        <x:v>0.33538835922720184</x:v>
      </x:c>
      <x:c r="I386" s="159" t="n">
        <x:v>23199</x:v>
      </x:c>
      <x:c r="J386" s="159" t="n">
        <x:v>177027</x:v>
      </x:c>
      <x:c r="K386" s="159" t="n">
        <x:f>I386-J386</x:f>
        <x:v>-153828</x:v>
      </x:c>
      <x:c r="L386" s="154" t="n">
        <x:f>IFERROR(K386/D386,"")</x:f>
        <x:v>-0.25022732707282436</x:v>
      </x:c>
    </x:row>
    <x:row r="387">
      <x:c r="A387" s="141" t="str">
        <x:v>Silver</x:v>
      </x:c>
      <x:c r="B387" s="155" t="n">
        <x:v>43718</x:v>
      </x:c>
      <x:c r="C387" s="155" t="n">
        <x:v>43721</x:v>
      </x:c>
      <x:c r="D387" s="159" t="n">
        <x:v>217433</x:v>
      </x:c>
      <x:c r="E387" s="159" t="n">
        <x:v>83812</x:v>
      </x:c>
      <x:c r="F387" s="159" t="n">
        <x:v>24226</x:v>
      </x:c>
      <x:c r="G387" s="159" t="n">
        <x:f>E387-F387</x:f>
        <x:v>59586</x:v>
      </x:c>
      <x:c r="H387" s="154" t="n">
        <x:f>IFERROR(G387/D387,"")</x:f>
        <x:v>0.274043038545207</x:v>
      </x:c>
      <x:c r="I387" s="159" t="n">
        <x:v>12835</x:v>
      </x:c>
      <x:c r="J387" s="159" t="n">
        <x:v>79319</x:v>
      </x:c>
      <x:c r="K387" s="159" t="n">
        <x:f>I387-J387</x:f>
        <x:v>-66484</x:v>
      </x:c>
      <x:c r="L387" s="154" t="n">
        <x:f>IFERROR(K387/D387,"")</x:f>
        <x:v>-0.3057677537448317</x:v>
      </x:c>
    </x:row>
    <x:row r="388">
      <x:c r="A388" s="141" t="str">
        <x:v>Gold</x:v>
      </x:c>
      <x:c r="B388" s="155" t="n">
        <x:v>43725</x:v>
      </x:c>
      <x:c r="C388" s="155" t="n">
        <x:v>43728</x:v>
      </x:c>
      <x:c r="D388" s="159" t="n">
        <x:v>630990</x:v>
      </x:c>
      <x:c r="E388" s="159" t="n">
        <x:v>241936</x:v>
      </x:c>
      <x:c r="F388" s="159" t="n">
        <x:v>28080</x:v>
      </x:c>
      <x:c r="G388" s="159" t="n">
        <x:f>E388-F388</x:f>
        <x:v>213856</x:v>
      </x:c>
      <x:c r="H388" s="154" t="n">
        <x:f>IFERROR(G388/D388,"")</x:f>
        <x:v>0.33892137751786877</x:v>
      </x:c>
      <x:c r="I388" s="159" t="n">
        <x:v>21281</x:v>
      </x:c>
      <x:c r="J388" s="159" t="n">
        <x:v>180842</x:v>
      </x:c>
      <x:c r="K388" s="159" t="n">
        <x:f>I388-J388</x:f>
        <x:v>-159561</x:v>
      </x:c>
      <x:c r="L388" s="154" t="n">
        <x:f>IFERROR(K388/D388,"")</x:f>
        <x:v>-0.25287405505634003</x:v>
      </x:c>
    </x:row>
    <x:row r="389">
      <x:c r="A389" s="141" t="str">
        <x:v>Silver</x:v>
      </x:c>
      <x:c r="B389" s="155" t="n">
        <x:v>43725</x:v>
      </x:c>
      <x:c r="C389" s="155" t="n">
        <x:v>43728</x:v>
      </x:c>
      <x:c r="D389" s="159" t="n">
        <x:v>212514</x:v>
      </x:c>
      <x:c r="E389" s="159" t="n">
        <x:v>77640</x:v>
      </x:c>
      <x:c r="F389" s="159" t="n">
        <x:v>25020</x:v>
      </x:c>
      <x:c r="G389" s="159" t="n">
        <x:f>E389-F389</x:f>
        <x:v>52620</x:v>
      </x:c>
      <x:c r="H389" s="154" t="n">
        <x:f>IFERROR(G389/D389,"")</x:f>
        <x:v>0.24760721646573872</x:v>
      </x:c>
      <x:c r="I389" s="159" t="n">
        <x:v>15318</x:v>
      </x:c>
      <x:c r="J389" s="159" t="n">
        <x:v>77914</x:v>
      </x:c>
      <x:c r="K389" s="159" t="n">
        <x:f>I389-J389</x:f>
        <x:v>-62596</x:v>
      </x:c>
      <x:c r="L389" s="154" t="n">
        <x:f>IFERROR(K389/D389,"")</x:f>
        <x:v>-0.294550006117244</x:v>
      </x:c>
    </x:row>
    <x:row r="390">
      <x:c r="A390" s="141" t="str">
        <x:v>Gold</x:v>
      </x:c>
      <x:c r="B390" s="155" t="n">
        <x:v>43732</x:v>
      </x:c>
      <x:c r="C390" s="155" t="n">
        <x:v>43735</x:v>
      </x:c>
      <x:c r="D390" s="159" t="n">
        <x:v>658944</x:v>
      </x:c>
      <x:c r="E390" s="159" t="n">
        <x:v>265508</x:v>
      </x:c>
      <x:c r="F390" s="159" t="n">
        <x:v>27637</x:v>
      </x:c>
      <x:c r="G390" s="159" t="n">
        <x:f>E390-F390</x:f>
        <x:v>237871</x:v>
      </x:c>
      <x:c r="H390" s="154" t="n">
        <x:f>IFERROR(G390/D390,"")</x:f>
        <x:v>0.36098818716006215</x:v>
      </x:c>
      <x:c r="I390" s="159" t="n">
        <x:v>20674</x:v>
      </x:c>
      <x:c r="J390" s="159" t="n">
        <x:v>185082</x:v>
      </x:c>
      <x:c r="K390" s="159" t="n">
        <x:f>I390-J390</x:f>
        <x:v>-164408</x:v>
      </x:c>
      <x:c r="L390" s="154" t="n">
        <x:f>IFERROR(K390/D390,"")</x:f>
        <x:v>-0.2495022338772339</x:v>
      </x:c>
    </x:row>
    <x:row r="391">
      <x:c r="A391" s="141" t="str">
        <x:v>Silver</x:v>
      </x:c>
      <x:c r="B391" s="155" t="n">
        <x:v>43732</x:v>
      </x:c>
      <x:c r="C391" s="155" t="n">
        <x:v>43735</x:v>
      </x:c>
      <x:c r="D391" s="159" t="n">
        <x:v>215217</x:v>
      </x:c>
      <x:c r="E391" s="159" t="n">
        <x:v>76746</x:v>
      </x:c>
      <x:c r="F391" s="159" t="n">
        <x:v>27812</x:v>
      </x:c>
      <x:c r="G391" s="159" t="n">
        <x:f>E391-F391</x:f>
        <x:v>48934</x:v>
      </x:c>
      <x:c r="H391" s="154" t="n">
        <x:f>IFERROR(G391/D391,"")</x:f>
        <x:v>0.2273705144110363</x:v>
      </x:c>
      <x:c r="I391" s="159" t="n">
        <x:v>15564</x:v>
      </x:c>
      <x:c r="J391" s="159" t="n">
        <x:v>77928</x:v>
      </x:c>
      <x:c r="K391" s="159" t="n">
        <x:f>I391-J391</x:f>
        <x:v>-62364</x:v>
      </x:c>
      <x:c r="L391" s="154" t="n">
        <x:f>IFERROR(K391/D391,"")</x:f>
        <x:v>-0.28977264807148134</x:v>
      </x:c>
    </x:row>
    <x:row r="392">
      <x:c r="A392" s="141" t="str">
        <x:v>Gold</x:v>
      </x:c>
      <x:c r="B392" s="155" t="n">
        <x:v>43739</x:v>
      </x:c>
      <x:c r="C392" s="155" t="n">
        <x:v>43742</x:v>
      </x:c>
      <x:c r="D392" s="159" t="n">
        <x:v>604885</x:v>
      </x:c>
      <x:c r="E392" s="159" t="n">
        <x:v>219990</x:v>
      </x:c>
      <x:c r="F392" s="159" t="n">
        <x:v>29179</x:v>
      </x:c>
      <x:c r="G392" s="159" t="n">
        <x:f>E392-F392</x:f>
        <x:v>190811</x:v>
      </x:c>
      <x:c r="H392" s="154" t="n">
        <x:f>IFERROR(G392/D392,"")</x:f>
        <x:v>0.3154500442232821</x:v>
      </x:c>
      <x:c r="I392" s="159" t="n">
        <x:v>23159</x:v>
      </x:c>
      <x:c r="J392" s="159" t="n">
        <x:v>173858</x:v>
      </x:c>
      <x:c r="K392" s="159" t="n">
        <x:f>I392-J392</x:f>
        <x:v>-150699</x:v>
      </x:c>
      <x:c r="L392" s="154" t="n">
        <x:f>IFERROR(K392/D392,"")</x:f>
        <x:v>-0.24913661274457127</x:v>
      </x:c>
    </x:row>
    <x:row r="393">
      <x:c r="A393" s="141" t="str">
        <x:v>Silver</x:v>
      </x:c>
      <x:c r="B393" s="155" t="n">
        <x:v>43739</x:v>
      </x:c>
      <x:c r="C393" s="155" t="n">
        <x:v>43742</x:v>
      </x:c>
      <x:c r="D393" s="159" t="n">
        <x:v>212266</x:v>
      </x:c>
      <x:c r="E393" s="159" t="n">
        <x:v>73193</x:v>
      </x:c>
      <x:c r="F393" s="159" t="n">
        <x:v>28990</x:v>
      </x:c>
      <x:c r="G393" s="159" t="n">
        <x:f>E393-F393</x:f>
        <x:v>44203</x:v>
      </x:c>
      <x:c r="H393" s="154" t="n">
        <x:f>IFERROR(G393/D393,"")</x:f>
        <x:v>0.20824343041278395</x:v>
      </x:c>
      <x:c r="I393" s="159" t="n">
        <x:v>16470</x:v>
      </x:c>
      <x:c r="J393" s="159" t="n">
        <x:v>78399</x:v>
      </x:c>
      <x:c r="K393" s="159" t="n">
        <x:f>I393-J393</x:f>
        <x:v>-61929</x:v>
      </x:c>
      <x:c r="L393" s="154" t="n">
        <x:f>IFERROR(K393/D393,"")</x:f>
        <x:v>-0.2917518585171436</x:v>
      </x:c>
    </x:row>
    <x:row r="394">
      <x:c r="A394" s="141" t="str">
        <x:v>Gold</x:v>
      </x:c>
      <x:c r="B394" s="155" t="n">
        <x:v>43746</x:v>
      </x:c>
      <x:c r="C394" s="155" t="n">
        <x:v>43749</x:v>
      </x:c>
      <x:c r="D394" s="159" t="n">
        <x:v>616957</x:v>
      </x:c>
      <x:c r="E394" s="159" t="n">
        <x:v>231976</x:v>
      </x:c>
      <x:c r="F394" s="159" t="n">
        <x:v>31475</x:v>
      </x:c>
      <x:c r="G394" s="159" t="n">
        <x:f>E394-F394</x:f>
        <x:v>200501</x:v>
      </x:c>
      <x:c r="H394" s="154" t="n">
        <x:f>IFERROR(G394/D394,"")</x:f>
        <x:v>0.32498375089349824</x:v>
      </x:c>
      <x:c r="I394" s="159" t="n">
        <x:v>22269</x:v>
      </x:c>
      <x:c r="J394" s="159" t="n">
        <x:v>176511</x:v>
      </x:c>
      <x:c r="K394" s="159" t="n">
        <x:f>I394-J394</x:f>
        <x:v>-154242</x:v>
      </x:c>
      <x:c r="L394" s="154" t="n">
        <x:f>IFERROR(K394/D394,"")</x:f>
        <x:v>-0.2500044573608858</x:v>
      </x:c>
    </x:row>
    <x:row r="395">
      <x:c r="A395" s="141" t="str">
        <x:v>Silver</x:v>
      </x:c>
      <x:c r="B395" s="155" t="n">
        <x:v>43746</x:v>
      </x:c>
      <x:c r="C395" s="155" t="n">
        <x:v>43749</x:v>
      </x:c>
      <x:c r="D395" s="159" t="n">
        <x:v>213968</x:v>
      </x:c>
      <x:c r="E395" s="159" t="n">
        <x:v>73313</x:v>
      </x:c>
      <x:c r="F395" s="159" t="n">
        <x:v>27107</x:v>
      </x:c>
      <x:c r="G395" s="159" t="n">
        <x:f>E395-F395</x:f>
        <x:v>46206</x:v>
      </x:c>
      <x:c r="H395" s="154" t="n">
        <x:f>IFERROR(G395/D395,"")</x:f>
        <x:v>0.21594817916697823</x:v>
      </x:c>
      <x:c r="I395" s="159" t="n">
        <x:v>16387</x:v>
      </x:c>
      <x:c r="J395" s="159" t="n">
        <x:v>78595</x:v>
      </x:c>
      <x:c r="K395" s="159" t="n">
        <x:f>I395-J395</x:f>
        <x:v>-62208</x:v>
      </x:c>
      <x:c r="L395" s="154" t="n">
        <x:f>IFERROR(K395/D395,"")</x:f>
        <x:v>-0.29073506318701864</x:v>
      </x:c>
    </x:row>
    <x:row r="396">
      <x:c r="A396" s="141" t="str">
        <x:v>Gold</x:v>
      </x:c>
      <x:c r="B396" s="155" t="n">
        <x:v>43753</x:v>
      </x:c>
      <x:c r="C396" s="155" t="n">
        <x:v>43756</x:v>
      </x:c>
      <x:c r="D396" s="159" t="n">
        <x:v>607387</x:v>
      </x:c>
      <x:c r="E396" s="159" t="n">
        <x:v>213987</x:v>
      </x:c>
      <x:c r="F396" s="159" t="n">
        <x:v>38200</x:v>
      </x:c>
      <x:c r="G396" s="159" t="n">
        <x:f>E396-F396</x:f>
        <x:v>175787</x:v>
      </x:c>
      <x:c r="H396" s="154" t="n">
        <x:f>IFERROR(G396/D396,"")</x:f>
        <x:v>0.28941515047243355</x:v>
      </x:c>
      <x:c r="I396" s="159" t="n">
        <x:v>22787</x:v>
      </x:c>
      <x:c r="J396" s="159" t="n">
        <x:v>168098</x:v>
      </x:c>
      <x:c r="K396" s="159" t="n">
        <x:f>I396-J396</x:f>
        <x:v>-145311</x:v>
      </x:c>
      <x:c r="L396" s="154" t="n">
        <x:f>IFERROR(K396/D396,"")</x:f>
        <x:v>-0.23923956225602458</x:v>
      </x:c>
    </x:row>
    <x:row r="397">
      <x:c r="A397" s="141" t="str">
        <x:v>Silver</x:v>
      </x:c>
      <x:c r="B397" s="155" t="n">
        <x:v>43753</x:v>
      </x:c>
      <x:c r="C397" s="155" t="n">
        <x:v>43756</x:v>
      </x:c>
      <x:c r="D397" s="159" t="n">
        <x:v>210916</x:v>
      </x:c>
      <x:c r="E397" s="159" t="n">
        <x:v>69627</x:v>
      </x:c>
      <x:c r="F397" s="159" t="n">
        <x:v>28995</x:v>
      </x:c>
      <x:c r="G397" s="159" t="n">
        <x:f>E397-F397</x:f>
        <x:v>40632</x:v>
      </x:c>
      <x:c r="H397" s="154" t="n">
        <x:f>IFERROR(G397/D397,"")</x:f>
        <x:v>0.19264541333990784</x:v>
      </x:c>
      <x:c r="I397" s="159" t="n">
        <x:v>16227</x:v>
      </x:c>
      <x:c r="J397" s="159" t="n">
        <x:v>75893</x:v>
      </x:c>
      <x:c r="K397" s="159" t="n">
        <x:f>I397-J397</x:f>
        <x:v>-59666</x:v>
      </x:c>
      <x:c r="L397" s="154" t="n">
        <x:f>IFERROR(K397/D397,"")</x:f>
        <x:v>-0.28288987084905837</x:v>
      </x:c>
    </x:row>
    <x:row r="398">
      <x:c r="A398" s="141" t="str">
        <x:v>Gold</x:v>
      </x:c>
      <x:c r="B398" s="155" t="n">
        <x:v>43760</x:v>
      </x:c>
      <x:c r="C398" s="155" t="n">
        <x:v>43763</x:v>
      </x:c>
      <x:c r="D398" s="159" t="n">
        <x:v>625528</x:v>
      </x:c>
      <x:c r="E398" s="159" t="n">
        <x:v>218317</x:v>
      </x:c>
      <x:c r="F398" s="159" t="n">
        <x:v>33879</x:v>
      </x:c>
      <x:c r="G398" s="159" t="n">
        <x:f>E398-F398</x:f>
        <x:v>184438</x:v>
      </x:c>
      <x:c r="H398" s="154" t="n">
        <x:f>IFERROR(G398/D398,"")</x:f>
        <x:v>0.2948517092760036</x:v>
      </x:c>
      <x:c r="I398" s="159" t="n">
        <x:v>22191</x:v>
      </x:c>
      <x:c r="J398" s="159" t="n">
        <x:v>167457</x:v>
      </x:c>
      <x:c r="K398" s="159" t="n">
        <x:f>I398-J398</x:f>
        <x:v>-145266</x:v>
      </x:c>
      <x:c r="L398" s="154" t="n">
        <x:f>IFERROR(K398/D398,"")</x:f>
        <x:v>-0.23222941259224208</x:v>
      </x:c>
    </x:row>
    <x:row r="399">
      <x:c r="A399" s="141" t="str">
        <x:v>Silver</x:v>
      </x:c>
      <x:c r="B399" s="155" t="n">
        <x:v>43760</x:v>
      </x:c>
      <x:c r="C399" s="155" t="n">
        <x:v>43763</x:v>
      </x:c>
      <x:c r="D399" s="159" t="n">
        <x:v>214529</x:v>
      </x:c>
      <x:c r="E399" s="159" t="n">
        <x:v>73855</x:v>
      </x:c>
      <x:c r="F399" s="159" t="n">
        <x:v>30839</x:v>
      </x:c>
      <x:c r="G399" s="159" t="n">
        <x:f>E399-F399</x:f>
        <x:v>43016</x:v>
      </x:c>
      <x:c r="H399" s="154" t="n">
        <x:f>IFERROR(G399/D399,"")</x:f>
        <x:v>0.2005136834647064</x:v>
      </x:c>
      <x:c r="I399" s="159" t="n">
        <x:v>17307</x:v>
      </x:c>
      <x:c r="J399" s="159" t="n">
        <x:v>77518</x:v>
      </x:c>
      <x:c r="K399" s="159" t="n">
        <x:f>I399-J399</x:f>
        <x:v>-60211</x:v>
      </x:c>
      <x:c r="L399" s="154" t="n">
        <x:f>IFERROR(K399/D399,"")</x:f>
        <x:v>-0.2806660171818262</x:v>
      </x:c>
    </x:row>
    <x:row r="400">
      <x:c r="A400" s="141" t="str">
        <x:v>Gold</x:v>
      </x:c>
      <x:c r="B400" s="155" t="n">
        <x:v>43767</x:v>
      </x:c>
      <x:c r="C400" s="155" t="n">
        <x:v>43770</x:v>
      </x:c>
      <x:c r="D400" s="159" t="n">
        <x:v>643442</x:v>
      </x:c>
      <x:c r="E400" s="159" t="n">
        <x:v>230664</x:v>
      </x:c>
      <x:c r="F400" s="159" t="n">
        <x:v>32106</x:v>
      </x:c>
      <x:c r="G400" s="159" t="n">
        <x:f>E400-F400</x:f>
        <x:v>198558</x:v>
      </x:c>
      <x:c r="H400" s="154" t="n">
        <x:f>IFERROR(G400/D400,"")</x:f>
        <x:v>0.30858725417364735</x:v>
      </x:c>
      <x:c r="I400" s="159" t="n">
        <x:v>22136</x:v>
      </x:c>
      <x:c r="J400" s="159" t="n">
        <x:v>161711</x:v>
      </x:c>
      <x:c r="K400" s="159" t="n">
        <x:f>I400-J400</x:f>
        <x:v>-139575</x:v>
      </x:c>
      <x:c r="L400" s="154" t="n">
        <x:f>IFERROR(K400/D400,"")</x:f>
        <x:v>-0.21691931829131453</x:v>
      </x:c>
    </x:row>
    <x:row r="401">
      <x:c r="A401" s="141" t="str">
        <x:v>Silver</x:v>
      </x:c>
      <x:c r="B401" s="155" t="n">
        <x:v>43767</x:v>
      </x:c>
      <x:c r="C401" s="155" t="n">
        <x:v>43770</x:v>
      </x:c>
      <x:c r="D401" s="159" t="n">
        <x:v>221384</x:v>
      </x:c>
      <x:c r="E401" s="159" t="n">
        <x:v>77915</x:v>
      </x:c>
      <x:c r="F401" s="159" t="n">
        <x:v>30330</x:v>
      </x:c>
      <x:c r="G401" s="159" t="n">
        <x:f>E401-F401</x:f>
        <x:v>47585</x:v>
      </x:c>
      <x:c r="H401" s="154" t="n">
        <x:f>IFERROR(G401/D401,"")</x:f>
        <x:v>0.21494326599934954</x:v>
      </x:c>
      <x:c r="I401" s="159" t="n">
        <x:v>15804</x:v>
      </x:c>
      <x:c r="J401" s="159" t="n">
        <x:v>67669</x:v>
      </x:c>
      <x:c r="K401" s="159" t="n">
        <x:f>I401-J401</x:f>
        <x:v>-51865</x:v>
      </x:c>
      <x:c r="L401" s="154" t="n">
        <x:f>IFERROR(K401/D401,"")</x:f>
        <x:v>-0.2342761897878799</x:v>
      </x:c>
    </x:row>
    <x:row r="402">
      <x:c r="A402" s="141" t="str">
        <x:v>Gold</x:v>
      </x:c>
      <x:c r="B402" s="155" t="n">
        <x:v>43774</x:v>
      </x:c>
      <x:c r="C402" s="155" t="n">
        <x:v>43777</x:v>
      </x:c>
      <x:c r="D402" s="159" t="n">
        <x:v>690181</x:v>
      </x:c>
      <x:c r="E402" s="159" t="n">
        <x:v>233167</x:v>
      </x:c>
      <x:c r="F402" s="159" t="n">
        <x:v>35920</x:v>
      </x:c>
      <x:c r="G402" s="159" t="n">
        <x:f>E402-F402</x:f>
        <x:v>197247</x:v>
      </x:c>
      <x:c r="H402" s="154" t="n">
        <x:f>IFERROR(G402/D402,"")</x:f>
        <x:v>0.2857902492244788</x:v>
      </x:c>
      <x:c r="I402" s="159" t="n">
        <x:v>17855</x:v>
      </x:c>
      <x:c r="J402" s="159" t="n">
        <x:v>157995</x:v>
      </x:c>
      <x:c r="K402" s="159" t="n">
        <x:f>I402-J402</x:f>
        <x:v>-140140</x:v>
      </x:c>
      <x:c r="L402" s="154" t="n">
        <x:f>IFERROR(K402/D402,"")</x:f>
        <x:v>-0.20304818591065243</x:v>
      </x:c>
    </x:row>
    <x:row r="403">
      <x:c r="A403" s="141" t="str">
        <x:v>Silver</x:v>
      </x:c>
      <x:c r="B403" s="155" t="n">
        <x:v>43774</x:v>
      </x:c>
      <x:c r="C403" s="155" t="n">
        <x:v>43777</x:v>
      </x:c>
      <x:c r="D403" s="159" t="n">
        <x:v>227509</x:v>
      </x:c>
      <x:c r="E403" s="159" t="n">
        <x:v>78680</x:v>
      </x:c>
      <x:c r="F403" s="159" t="n">
        <x:v>37542</x:v>
      </x:c>
      <x:c r="G403" s="159" t="n">
        <x:f>E403-F403</x:f>
        <x:v>41138</x:v>
      </x:c>
      <x:c r="H403" s="154" t="n">
        <x:f>IFERROR(G403/D403,"")</x:f>
        <x:v>0.18081922033853606</x:v>
      </x:c>
      <x:c r="I403" s="159" t="n">
        <x:v>15091</x:v>
      </x:c>
      <x:c r="J403" s="159" t="n">
        <x:v>66322</x:v>
      </x:c>
      <x:c r="K403" s="159" t="n">
        <x:f>I403-J403</x:f>
        <x:v>-51231</x:v>
      </x:c>
      <x:c r="L403" s="154" t="n">
        <x:f>IFERROR(K403/D403,"")</x:f>
        <x:v>-0.22518230048042057</x:v>
      </x:c>
    </x:row>
    <x:row r="404">
      <x:c r="A404" s="141" t="str">
        <x:v>Gold</x:v>
      </x:c>
      <x:c r="B404" s="155" t="n">
        <x:v>43781</x:v>
      </x:c>
      <x:c r="C404" s="155" t="n">
        <x:v>43784</x:v>
      </x:c>
      <x:c r="D404" s="159" t="n">
        <x:v>708463</x:v>
      </x:c>
      <x:c r="E404" s="159" t="n">
        <x:v>209432</x:v>
      </x:c>
      <x:c r="F404" s="159" t="n">
        <x:v>33991</x:v>
      </x:c>
      <x:c r="G404" s="159" t="n">
        <x:f>E404-F404</x:f>
        <x:v>175441</x:v>
      </x:c>
      <x:c r="H404" s="154" t="n">
        <x:f>IFERROR(G404/D404,"")</x:f>
        <x:v>0.24763607979527513</x:v>
      </x:c>
      <x:c r="I404" s="159" t="n">
        <x:v>41974</x:v>
      </x:c>
      <x:c r="J404" s="159" t="n">
        <x:v>164545</x:v>
      </x:c>
      <x:c r="K404" s="159" t="n">
        <x:f>I404-J404</x:f>
        <x:v>-122571</x:v>
      </x:c>
      <x:c r="L404" s="154" t="n">
        <x:f>IFERROR(K404/D404,"")</x:f>
        <x:v>-0.17300974080509499</x:v>
      </x:c>
    </x:row>
    <x:row r="405">
      <x:c r="A405" s="141" t="str">
        <x:v>Silver</x:v>
      </x:c>
      <x:c r="B405" s="155" t="n">
        <x:v>43781</x:v>
      </x:c>
      <x:c r="C405" s="155" t="n">
        <x:v>43784</x:v>
      </x:c>
      <x:c r="D405" s="159" t="n">
        <x:v>222122</x:v>
      </x:c>
      <x:c r="E405" s="159" t="n">
        <x:v>72660</x:v>
      </x:c>
      <x:c r="F405" s="159" t="n">
        <x:v>41083</x:v>
      </x:c>
      <x:c r="G405" s="159" t="n">
        <x:f>E405-F405</x:f>
        <x:v>31577</x:v>
      </x:c>
      <x:c r="H405" s="154" t="n">
        <x:f>IFERROR(G405/D405,"")</x:f>
        <x:v>0.14216061443711114</x:v>
      </x:c>
      <x:c r="I405" s="159" t="n">
        <x:v>20558</x:v>
      </x:c>
      <x:c r="J405" s="159" t="n">
        <x:v>65909</x:v>
      </x:c>
      <x:c r="K405" s="159" t="n">
        <x:f>I405-J405</x:f>
        <x:v>-45351</x:v>
      </x:c>
      <x:c r="L405" s="154" t="n">
        <x:f>IFERROR(K405/D405,"")</x:f>
        <x:v>-0.20417158138320382</x:v>
      </x:c>
    </x:row>
    <x:row r="406">
      <x:c r="A406" s="141" t="str">
        <x:v>Gold</x:v>
      </x:c>
      <x:c r="B406" s="155" t="n">
        <x:v>43788</x:v>
      </x:c>
      <x:c r="C406" s="155" t="n">
        <x:v>43791</x:v>
      </x:c>
      <x:c r="D406" s="159" t="n">
        <x:v>719211</x:v>
      </x:c>
      <x:c r="E406" s="159" t="n">
        <x:v>221795</x:v>
      </x:c>
      <x:c r="F406" s="159" t="n">
        <x:v>26596</x:v>
      </x:c>
      <x:c r="G406" s="159" t="n">
        <x:f>E406-F406</x:f>
        <x:v>195199</x:v>
      </x:c>
      <x:c r="H406" s="154" t="n">
        <x:f>IFERROR(G406/D406,"")</x:f>
        <x:v>0.27140713921227566</x:v>
      </x:c>
      <x:c r="I406" s="159" t="n">
        <x:v>38835</x:v>
      </x:c>
      <x:c r="J406" s="159" t="n">
        <x:v>166073</x:v>
      </x:c>
      <x:c r="K406" s="159" t="n">
        <x:f>I406-J406</x:f>
        <x:v>-127238</x:v>
      </x:c>
      <x:c r="L406" s="154" t="n">
        <x:f>IFERROR(K406/D406,"")</x:f>
        <x:v>-0.17691331194878832</x:v>
      </x:c>
    </x:row>
    <x:row r="407">
      <x:c r="A407" s="141" t="str">
        <x:v>Silver</x:v>
      </x:c>
      <x:c r="B407" s="155" t="n">
        <x:v>43788</x:v>
      </x:c>
      <x:c r="C407" s="155" t="n">
        <x:v>43791</x:v>
      </x:c>
      <x:c r="D407" s="159" t="n">
        <x:v>221707</x:v>
      </x:c>
      <x:c r="E407" s="159" t="n">
        <x:v>73877</x:v>
      </x:c>
      <x:c r="F407" s="159" t="n">
        <x:v>34032</x:v>
      </x:c>
      <x:c r="G407" s="159" t="n">
        <x:f>E407-F407</x:f>
        <x:v>39845</x:v>
      </x:c>
      <x:c r="H407" s="154" t="n">
        <x:f>IFERROR(G407/D407,"")</x:f>
        <x:v>0.17971917891631747</x:v>
      </x:c>
      <x:c r="I407" s="159" t="n">
        <x:v>18028</x:v>
      </x:c>
      <x:c r="J407" s="159" t="n">
        <x:v>61537</x:v>
      </x:c>
      <x:c r="K407" s="159" t="n">
        <x:f>I407-J407</x:f>
        <x:v>-43509</x:v>
      </x:c>
      <x:c r="L407" s="154" t="n">
        <x:f>IFERROR(K407/D407,"")</x:f>
        <x:v>-0.19624549518057616</x:v>
      </x:c>
    </x:row>
    <x:row r="408">
      <x:c r="A408" s="141" t="str">
        <x:v>Gold</x:v>
      </x:c>
      <x:c r="B408" s="155" t="n">
        <x:v>43795</x:v>
      </x:c>
      <x:c r="C408" s="155" t="n">
        <x:v>43798</x:v>
      </x:c>
      <x:c r="D408" s="159" t="n">
        <x:v>669268</x:v>
      </x:c>
      <x:c r="E408" s="159" t="n">
        <x:v>218724</x:v>
      </x:c>
      <x:c r="F408" s="159" t="n">
        <x:v>24437</x:v>
      </x:c>
      <x:c r="G408" s="159" t="n">
        <x:f>E408-F408</x:f>
        <x:v>194287</x:v>
      </x:c>
      <x:c r="H408" s="154" t="n">
        <x:f>IFERROR(G408/D408,"")</x:f>
        <x:v>0.29029775814770764</x:v>
      </x:c>
      <x:c r="I408" s="159" t="n">
        <x:v>24107</x:v>
      </x:c>
      <x:c r="J408" s="159" t="n">
        <x:v>145103</x:v>
      </x:c>
      <x:c r="K408" s="159" t="n">
        <x:f>I408-J408</x:f>
        <x:v>-120996</x:v>
      </x:c>
      <x:c r="L408" s="154" t="n">
        <x:f>IFERROR(K408/D408,"")</x:f>
        <x:v>-0.1807885630270684</x:v>
      </x:c>
    </x:row>
    <x:row r="409">
      <x:c r="A409" s="141" t="str">
        <x:v>Silver</x:v>
      </x:c>
      <x:c r="B409" s="155" t="n">
        <x:v>43795</x:v>
      </x:c>
      <x:c r="C409" s="155" t="n">
        <x:v>43798</x:v>
      </x:c>
      <x:c r="D409" s="159" t="n">
        <x:v>209603</x:v>
      </x:c>
      <x:c r="E409" s="159" t="n">
        <x:v>75942</x:v>
      </x:c>
      <x:c r="F409" s="159" t="n">
        <x:v>27803</x:v>
      </x:c>
      <x:c r="G409" s="159" t="n">
        <x:f>E409-F409</x:f>
        <x:v>48139</x:v>
      </x:c>
      <x:c r="H409" s="154" t="n">
        <x:f>IFERROR(G409/D409,"")</x:f>
        <x:v>0.22966751430084492</x:v>
      </x:c>
      <x:c r="I409" s="159" t="n">
        <x:v>10530</x:v>
      </x:c>
      <x:c r="J409" s="159" t="n">
        <x:v>58731</x:v>
      </x:c>
      <x:c r="K409" s="159" t="n">
        <x:f>I409-J409</x:f>
        <x:v>-48201</x:v>
      </x:c>
      <x:c r="L409" s="154" t="n">
        <x:f>IFERROR(K409/D409,"")</x:f>
        <x:v>-0.2299633115938226</x:v>
      </x:c>
    </x:row>
    <x:row r="410">
      <x:c r="A410" s="141" t="str">
        <x:v>Gold</x:v>
      </x:c>
      <x:c r="B410" s="155" t="n">
        <x:v>43802</x:v>
      </x:c>
      <x:c r="C410" s="155" t="n">
        <x:v>43805</x:v>
      </x:c>
      <x:c r="D410" s="159" t="n">
        <x:v>701016</x:v>
      </x:c>
      <x:c r="E410" s="159" t="n">
        <x:v>232276</x:v>
      </x:c>
      <x:c r="F410" s="159" t="n">
        <x:v>24314</x:v>
      </x:c>
      <x:c r="G410" s="159" t="n">
        <x:f>E410-F410</x:f>
        <x:v>207962</x:v>
      </x:c>
      <x:c r="H410" s="154" t="n">
        <x:f>IFERROR(G410/D410,"")</x:f>
        <x:v>0.29665799354080363</x:v>
      </x:c>
      <x:c r="I410" s="159" t="n">
        <x:v>25300</x:v>
      </x:c>
      <x:c r="J410" s="159" t="n">
        <x:v>154111</x:v>
      </x:c>
      <x:c r="K410" s="159" t="n">
        <x:f>I410-J410</x:f>
        <x:v>-128811</x:v>
      </x:c>
      <x:c r="L410" s="154" t="n">
        <x:f>IFERROR(K410/D410,"")</x:f>
        <x:v>-0.18374901571433463</x:v>
      </x:c>
    </x:row>
    <x:row r="411">
      <x:c r="A411" s="141" t="str">
        <x:v>Silver</x:v>
      </x:c>
      <x:c r="B411" s="155" t="n">
        <x:v>43802</x:v>
      </x:c>
      <x:c r="C411" s="155" t="n">
        <x:v>43805</x:v>
      </x:c>
      <x:c r="D411" s="159" t="n">
        <x:v>205807</x:v>
      </x:c>
      <x:c r="E411" s="159" t="n">
        <x:v>73377</x:v>
      </x:c>
      <x:c r="F411" s="159" t="n">
        <x:v>29204</x:v>
      </x:c>
      <x:c r="G411" s="159" t="n">
        <x:f>E411-F411</x:f>
        <x:v>44173</x:v>
      </x:c>
      <x:c r="H411" s="154" t="n">
        <x:f>IFERROR(G411/D411,"")</x:f>
        <x:v>0.21463312715310948</x:v>
      </x:c>
      <x:c r="I411" s="159" t="n">
        <x:v>10068</x:v>
      </x:c>
      <x:c r="J411" s="159" t="n">
        <x:v>59670</x:v>
      </x:c>
      <x:c r="K411" s="159" t="n">
        <x:f>I411-J411</x:f>
        <x:v>-49602</x:v>
      </x:c>
      <x:c r="L411" s="154" t="n">
        <x:f>IFERROR(K411/D411,"")</x:f>
        <x:v>-0.24101221046903168</x:v>
      </x:c>
    </x:row>
    <x:row r="412">
      <x:c r="A412" s="141" t="str">
        <x:v>Gold</x:v>
      </x:c>
      <x:c r="B412" s="155" t="n">
        <x:v>43809</x:v>
      </x:c>
      <x:c r="C412" s="155" t="n">
        <x:v>43812</x:v>
      </x:c>
      <x:c r="D412" s="159" t="n">
        <x:v>690003</x:v>
      </x:c>
      <x:c r="E412" s="159" t="n">
        <x:v>212929</x:v>
      </x:c>
      <x:c r="F412" s="159" t="n">
        <x:v>29281</x:v>
      </x:c>
      <x:c r="G412" s="159" t="n">
        <x:f>E412-F412</x:f>
        <x:v>183648</x:v>
      </x:c>
      <x:c r="H412" s="154" t="n">
        <x:f>IFERROR(G412/D412,"")</x:f>
        <x:v>0.2661553645418933</x:v>
      </x:c>
      <x:c r="I412" s="159" t="n">
        <x:v>25199</x:v>
      </x:c>
      <x:c r="J412" s="159" t="n">
        <x:v>147377</x:v>
      </x:c>
      <x:c r="K412" s="159" t="n">
        <x:f>I412-J412</x:f>
        <x:v>-122178</x:v>
      </x:c>
      <x:c r="L412" s="154" t="n">
        <x:f>IFERROR(K412/D412,"")</x:f>
        <x:v>-0.1770687953530637</x:v>
      </x:c>
    </x:row>
    <x:row r="413">
      <x:c r="A413" s="141" t="str">
        <x:v>Silver</x:v>
      </x:c>
      <x:c r="B413" s="155" t="n">
        <x:v>43809</x:v>
      </x:c>
      <x:c r="C413" s="155" t="n">
        <x:v>43812</x:v>
      </x:c>
      <x:c r="D413" s="159" t="n">
        <x:v>202258</x:v>
      </x:c>
      <x:c r="E413" s="159" t="n">
        <x:v>64531</x:v>
      </x:c>
      <x:c r="F413" s="159" t="n">
        <x:v>35319</x:v>
      </x:c>
      <x:c r="G413" s="159" t="n">
        <x:f>E413-F413</x:f>
        <x:v>29212</x:v>
      </x:c>
      <x:c r="H413" s="154" t="n">
        <x:f>IFERROR(G413/D413,"")</x:f>
        <x:v>0.14442939216248554</x:v>
      </x:c>
      <x:c r="I413" s="159" t="n">
        <x:v>10836</x:v>
      </x:c>
      <x:c r="J413" s="159" t="n">
        <x:v>55825</x:v>
      </x:c>
      <x:c r="K413" s="159" t="n">
        <x:f>I413-J413</x:f>
        <x:v>-44989</x:v>
      </x:c>
      <x:c r="L413" s="154" t="n">
        <x:f>IFERROR(K413/D413,"")</x:f>
        <x:v>-0.22243372326434555</x:v>
      </x:c>
    </x:row>
    <x:row r="414">
      <x:c r="A414" s="141" t="str">
        <x:v>Gold</x:v>
      </x:c>
      <x:c r="B414" s="155" t="n">
        <x:v>43816</x:v>
      </x:c>
      <x:c r="C414" s="155" t="n">
        <x:v>43819</x:v>
      </x:c>
      <x:c r="D414" s="159" t="n">
        <x:v>716987</x:v>
      </x:c>
      <x:c r="E414" s="159" t="n">
        <x:v>228616</x:v>
      </x:c>
      <x:c r="F414" s="159" t="n">
        <x:v>26895</x:v>
      </x:c>
      <x:c r="G414" s="159" t="n">
        <x:f>E414-F414</x:f>
        <x:v>201721</x:v>
      </x:c>
      <x:c r="H414" s="154" t="n">
        <x:f>IFERROR(G414/D414,"")</x:f>
        <x:v>0.2813454079362666</x:v>
      </x:c>
      <x:c r="I414" s="159" t="n">
        <x:v>24515</x:v>
      </x:c>
      <x:c r="J414" s="159" t="n">
        <x:v>157858</x:v>
      </x:c>
      <x:c r="K414" s="159" t="n">
        <x:f>I414-J414</x:f>
        <x:v>-133343</x:v>
      </x:c>
      <x:c r="L414" s="154" t="n">
        <x:f>IFERROR(K414/D414,"")</x:f>
        <x:v>-0.1859768726629632</x:v>
      </x:c>
    </x:row>
    <x:row r="415">
      <x:c r="A415" s="141" t="str">
        <x:v>Silver</x:v>
      </x:c>
      <x:c r="B415" s="155" t="n">
        <x:v>43816</x:v>
      </x:c>
      <x:c r="C415" s="155" t="n">
        <x:v>43819</x:v>
      </x:c>
      <x:c r="D415" s="159" t="n">
        <x:v>206302</x:v>
      </x:c>
      <x:c r="E415" s="159" t="n">
        <x:v>68153</x:v>
      </x:c>
      <x:c r="F415" s="159" t="n">
        <x:v>32674</x:v>
      </x:c>
      <x:c r="G415" s="159" t="n">
        <x:f>E415-F415</x:f>
        <x:v>35479</x:v>
      </x:c>
      <x:c r="H415" s="154" t="n">
        <x:f>IFERROR(G415/D415,"")</x:f>
        <x:v>0.17197603513296042</x:v>
      </x:c>
      <x:c r="I415" s="159" t="n">
        <x:v>10687</x:v>
      </x:c>
      <x:c r="J415" s="159" t="n">
        <x:v>59056</x:v>
      </x:c>
      <x:c r="K415" s="159" t="n">
        <x:f>I415-J415</x:f>
        <x:v>-48369</x:v>
      </x:c>
      <x:c r="L415" s="154" t="n">
        <x:f>IFERROR(K415/D415,"")</x:f>
        <x:v>-0.23445725198980136</x:v>
      </x:c>
    </x:row>
    <x:row r="416">
      <x:c r="A416" s="141" t="str">
        <x:v>Gold</x:v>
      </x:c>
      <x:c r="B416" s="155" t="n">
        <x:v>43823</x:v>
      </x:c>
      <x:c r="C416" s="155" t="n">
        <x:v>43826</x:v>
      </x:c>
      <x:c r="D416" s="159" t="n">
        <x:v>748737</x:v>
      </x:c>
      <x:c r="E416" s="159" t="n">
        <x:v>245366</x:v>
      </x:c>
      <x:c r="F416" s="159" t="n">
        <x:v>26520</x:v>
      </x:c>
      <x:c r="G416" s="159" t="n">
        <x:f>E416-F416</x:f>
        <x:v>218846</x:v>
      </x:c>
      <x:c r="H416" s="154" t="n">
        <x:f>IFERROR(G416/D416,"")</x:f>
        <x:v>0.2922868777688294</x:v>
      </x:c>
      <x:c r="I416" s="159" t="n">
        <x:v>26943</x:v>
      </x:c>
      <x:c r="J416" s="159" t="n">
        <x:v>164091</x:v>
      </x:c>
      <x:c r="K416" s="159" t="n">
        <x:f>I416-J416</x:f>
        <x:v>-137148</x:v>
      </x:c>
      <x:c r="L416" s="154" t="n">
        <x:f>IFERROR(K416/D416,"")</x:f>
        <x:v>-0.1831724624267266</x:v>
      </x:c>
    </x:row>
    <x:row r="417">
      <x:c r="A417" s="141" t="str">
        <x:v>Silver</x:v>
      </x:c>
      <x:c r="B417" s="155" t="n">
        <x:v>43823</x:v>
      </x:c>
      <x:c r="C417" s="155" t="n">
        <x:v>43826</x:v>
      </x:c>
      <x:c r="D417" s="159" t="n">
        <x:v>223046</x:v>
      </x:c>
      <x:c r="E417" s="159" t="n">
        <x:v>81738</x:v>
      </x:c>
      <x:c r="F417" s="159" t="n">
        <x:v>28841</x:v>
      </x:c>
      <x:c r="G417" s="159" t="n">
        <x:f>E417-F417</x:f>
        <x:v>52897</x:v>
      </x:c>
      <x:c r="H417" s="154" t="n">
        <x:f>IFERROR(G417/D417,"")</x:f>
        <x:v>0.2371573576750984</x:v>
      </x:c>
      <x:c r="I417" s="159" t="n">
        <x:v>10360</x:v>
      </x:c>
      <x:c r="J417" s="159" t="n">
        <x:v>63209</x:v>
      </x:c>
      <x:c r="K417" s="159" t="n">
        <x:f>I417-J417</x:f>
        <x:v>-52849</x:v>
      </x:c>
      <x:c r="L417" s="154" t="n">
        <x:f>IFERROR(K417/D417,"")</x:f>
        <x:v>-0.23694215542982164</x:v>
      </x:c>
    </x:row>
    <x:row r="418">
      <x:c r="A418" s="141" t="str">
        <x:v>Gold</x:v>
      </x:c>
      <x:c r="B418" s="155" t="n">
        <x:v>43830</x:v>
      </x:c>
      <x:c r="C418" s="155" t="n">
        <x:v>43833</x:v>
      </x:c>
      <x:c r="D418" s="159" t="n">
        <x:v>786166</x:v>
      </x:c>
      <x:c r="E418" s="159" t="n">
        <x:v>258357</x:v>
      </x:c>
      <x:c r="F418" s="159" t="n">
        <x:v>25625</x:v>
      </x:c>
      <x:c r="G418" s="159" t="n">
        <x:f>E418-F418</x:f>
        <x:v>232732</x:v>
      </x:c>
      <x:c r="H418" s="154" t="n">
        <x:f>IFERROR(G418/D418,"")</x:f>
        <x:v>0.2960341709002933</x:v>
      </x:c>
      <x:c r="I418" s="159" t="n">
        <x:v>25430</x:v>
      </x:c>
      <x:c r="J418" s="159" t="n">
        <x:v>171537</x:v>
      </x:c>
      <x:c r="K418" s="159" t="n">
        <x:f>I418-J418</x:f>
        <x:v>-146107</x:v>
      </x:c>
      <x:c r="L418" s="154" t="n">
        <x:f>IFERROR(K418/D418,"")</x:f>
        <x:v>-0.1858475182086226</x:v>
      </x:c>
    </x:row>
    <x:row r="419">
      <x:c r="A419" s="141" t="str">
        <x:v>Silver</x:v>
      </x:c>
      <x:c r="B419" s="155" t="n">
        <x:v>43830</x:v>
      </x:c>
      <x:c r="C419" s="155" t="n">
        <x:v>43833</x:v>
      </x:c>
      <x:c r="D419" s="159" t="n">
        <x:v>229680</x:v>
      </x:c>
      <x:c r="E419" s="159" t="n">
        <x:v>85816</x:v>
      </x:c>
      <x:c r="F419" s="159" t="n">
        <x:v>26948</x:v>
      </x:c>
      <x:c r="G419" s="159" t="n">
        <x:f>E419-F419</x:f>
        <x:v>58868</x:v>
      </x:c>
      <x:c r="H419" s="154" t="n">
        <x:f>IFERROR(G419/D419,"")</x:f>
        <x:v>0.25630442354580285</x:v>
      </x:c>
      <x:c r="I419" s="159" t="n">
        <x:v>6108</x:v>
      </x:c>
      <x:c r="J419" s="159" t="n">
        <x:v>66547</x:v>
      </x:c>
      <x:c r="K419" s="159" t="n">
        <x:f>I419-J419</x:f>
        <x:v>-60439</x:v>
      </x:c>
      <x:c r="L419" s="154" t="n">
        <x:f>IFERROR(K419/D419,"")</x:f>
        <x:v>-0.2631443747823058</x:v>
      </x:c>
    </x:row>
    <x:row r="420">
      <x:c r="A420" s="141" t="str">
        <x:v>Gold</x:v>
      </x:c>
      <x:c r="B420" s="155" t="n">
        <x:v>43837</x:v>
      </x:c>
      <x:c r="C420" s="155" t="n">
        <x:v>43840</x:v>
      </x:c>
      <x:c r="D420" s="159" t="n">
        <x:v>785857</x:v>
      </x:c>
      <x:c r="E420" s="159" t="n">
        <x:v>261083</x:v>
      </x:c>
      <x:c r="F420" s="159" t="n">
        <x:v>31326</x:v>
      </x:c>
      <x:c r="G420" s="159" t="n">
        <x:f>E420-F420</x:f>
        <x:v>229757</x:v>
      </x:c>
      <x:c r="H420" s="154" t="n">
        <x:f>IFERROR(G420/D420,"")</x:f>
        <x:v>0.29236489590345316</x:v>
      </x:c>
      <x:c r="I420" s="159" t="n">
        <x:v>23615</x:v>
      </x:c>
      <x:c r="J420" s="159" t="n">
        <x:v>167363</x:v>
      </x:c>
      <x:c r="K420" s="159" t="n">
        <x:f>I420-J420</x:f>
        <x:v>-143748</x:v>
      </x:c>
      <x:c r="L420" s="154" t="n">
        <x:f>IFERROR(K420/D420,"")</x:f>
        <x:v>-0.1829187752988139</x:v>
      </x:c>
    </x:row>
    <x:row r="421">
      <x:c r="A421" s="141" t="str">
        <x:v>Silver</x:v>
      </x:c>
      <x:c r="B421" s="155" t="n">
        <x:v>43837</x:v>
      </x:c>
      <x:c r="C421" s="155" t="n">
        <x:v>43840</x:v>
      </x:c>
      <x:c r="D421" s="159" t="n">
        <x:v>234324</x:v>
      </x:c>
      <x:c r="E421" s="159" t="n">
        <x:v>87915</x:v>
      </x:c>
      <x:c r="F421" s="159" t="n">
        <x:v>30901</x:v>
      </x:c>
      <x:c r="G421" s="159" t="n">
        <x:f>E421-F421</x:f>
        <x:v>57014</x:v>
      </x:c>
      <x:c r="H421" s="154" t="n">
        <x:f>IFERROR(G421/D421,"")</x:f>
        <x:v>0.24331267817210359</x:v>
      </x:c>
      <x:c r="I421" s="159" t="n">
        <x:v>6817</x:v>
      </x:c>
      <x:c r="J421" s="159" t="n">
        <x:v>66303</x:v>
      </x:c>
      <x:c r="K421" s="159" t="n">
        <x:f>I421-J421</x:f>
        <x:v>-59486</x:v>
      </x:c>
      <x:c r="L421" s="154" t="n">
        <x:f>IFERROR(K421/D421,"")</x:f>
        <x:v>-0.25386217374233966</x:v>
      </x:c>
    </x:row>
    <x:row r="422">
      <x:c r="A422" s="141" t="str">
        <x:v>Gold</x:v>
      </x:c>
      <x:c r="B422" s="155" t="n">
        <x:v>43844</x:v>
      </x:c>
      <x:c r="C422" s="155" t="n">
        <x:v>43847</x:v>
      </x:c>
      <x:c r="D422" s="159" t="n">
        <x:v>796883</x:v>
      </x:c>
      <x:c r="E422" s="159" t="n">
        <x:v>262402</x:v>
      </x:c>
      <x:c r="F422" s="159" t="n">
        <x:v>31943</x:v>
      </x:c>
      <x:c r="G422" s="159" t="n">
        <x:f>E422-F422</x:f>
        <x:v>230459</x:v>
      </x:c>
      <x:c r="H422" s="154" t="n">
        <x:f>IFERROR(G422/D422,"")</x:f>
        <x:v>0.2892005476337179</x:v>
      </x:c>
      <x:c r="I422" s="159" t="n">
        <x:v>40178</x:v>
      </x:c>
      <x:c r="J422" s="159" t="n">
        <x:v>181318</x:v>
      </x:c>
      <x:c r="K422" s="159" t="n">
        <x:f>I422-J422</x:f>
        <x:v>-141140</x:v>
      </x:c>
      <x:c r="L422" s="154" t="n">
        <x:f>IFERROR(K422/D422,"")</x:f>
        <x:v>-0.17711508464856196</x:v>
      </x:c>
    </x:row>
    <x:row r="423">
      <x:c r="A423" s="141" t="str">
        <x:v>Silver</x:v>
      </x:c>
      <x:c r="B423" s="155" t="n">
        <x:v>43844</x:v>
      </x:c>
      <x:c r="C423" s="155" t="n">
        <x:v>43847</x:v>
      </x:c>
      <x:c r="D423" s="159" t="n">
        <x:v>234639</x:v>
      </x:c>
      <x:c r="E423" s="159" t="n">
        <x:v>90678</x:v>
      </x:c>
      <x:c r="F423" s="159" t="n">
        <x:v>33499</x:v>
      </x:c>
      <x:c r="G423" s="159" t="n">
        <x:f>E423-F423</x:f>
        <x:v>57179</x:v>
      </x:c>
      <x:c r="H423" s="154" t="n">
        <x:f>IFERROR(G423/D423,"")</x:f>
        <x:v>0.24368924177140203</x:v>
      </x:c>
      <x:c r="I423" s="159" t="n">
        <x:v>7080</x:v>
      </x:c>
      <x:c r="J423" s="159" t="n">
        <x:v>66780</x:v>
      </x:c>
      <x:c r="K423" s="159" t="n">
        <x:f>I423-J423</x:f>
        <x:v>-59700</x:v>
      </x:c>
      <x:c r="L423" s="154" t="n">
        <x:f>IFERROR(K423/D423,"")</x:f>
        <x:v>-0.25443340621124366</x:v>
      </x:c>
    </x:row>
    <x:row r="424">
      <x:c r="A424" s="141" t="str">
        <x:v>Gold</x:v>
      </x:c>
      <x:c r="B424" s="155" t="n">
        <x:v>43851</x:v>
      </x:c>
      <x:c r="C424" s="155" t="n">
        <x:v>43854</x:v>
      </x:c>
      <x:c r="D424" s="159" t="n">
        <x:v>793829</x:v>
      </x:c>
      <x:c r="E424" s="159" t="n">
        <x:v>258269</x:v>
      </x:c>
      <x:c r="F424" s="159" t="n">
        <x:v>34437</x:v>
      </x:c>
      <x:c r="G424" s="159" t="n">
        <x:f>E424-F424</x:f>
        <x:v>223832</x:v>
      </x:c>
      <x:c r="H424" s="154" t="n">
        <x:f>IFERROR(G424/D424,"")</x:f>
        <x:v>0.2819650075771986</x:v>
      </x:c>
      <x:c r="I424" s="159" t="n">
        <x:v>42645</x:v>
      </x:c>
      <x:c r="J424" s="159" t="n">
        <x:v>185232</x:v>
      </x:c>
      <x:c r="K424" s="159" t="n">
        <x:f>I424-J424</x:f>
        <x:v>-142587</x:v>
      </x:c>
      <x:c r="L424" s="154" t="n">
        <x:f>IFERROR(K424/D424,"")</x:f>
        <x:v>-0.17961928828500848</x:v>
      </x:c>
    </x:row>
    <x:row r="425">
      <x:c r="A425" s="141" t="str">
        <x:v>Silver</x:v>
      </x:c>
      <x:c r="B425" s="155" t="n">
        <x:v>43851</x:v>
      </x:c>
      <x:c r="C425" s="155" t="n">
        <x:v>43854</x:v>
      </x:c>
      <x:c r="D425" s="159" t="n">
        <x:v>233858</x:v>
      </x:c>
      <x:c r="E425" s="159" t="n">
        <x:v>88457</x:v>
      </x:c>
      <x:c r="F425" s="159" t="n">
        <x:v>31899</x:v>
      </x:c>
      <x:c r="G425" s="159" t="n">
        <x:f>E425-F425</x:f>
        <x:v>56558</x:v>
      </x:c>
      <x:c r="H425" s="154" t="n">
        <x:f>IFERROR(G425/D425,"")</x:f>
        <x:v>0.24184761692993184</x:v>
      </x:c>
      <x:c r="I425" s="159" t="n">
        <x:v>7147</x:v>
      </x:c>
      <x:c r="J425" s="159" t="n">
        <x:v>68511</x:v>
      </x:c>
      <x:c r="K425" s="159" t="n">
        <x:f>I425-J425</x:f>
        <x:v>-61364</x:v>
      </x:c>
      <x:c r="L425" s="154" t="n">
        <x:f>IFERROR(K425/D425,"")</x:f>
        <x:v>-0.2623985495471611</x:v>
      </x:c>
    </x:row>
    <x:row r="426">
      <x:c r="A426" s="141" t="str">
        <x:v>Gold</x:v>
      </x:c>
      <x:c r="B426" s="155" t="n">
        <x:v>43858</x:v>
      </x:c>
      <x:c r="C426" s="155" t="n">
        <x:v>43861</x:v>
      </x:c>
      <x:c r="D426" s="159" t="n">
        <x:v>715539</x:v>
      </x:c>
      <x:c r="E426" s="159" t="n">
        <x:v>254259</x:v>
      </x:c>
      <x:c r="F426" s="159" t="n">
        <x:v>34321</x:v>
      </x:c>
      <x:c r="G426" s="159" t="n">
        <x:f>E426-F426</x:f>
        <x:v>219938</x:v>
      </x:c>
      <x:c r="H426" s="154" t="n">
        <x:f>IFERROR(G426/D426,"")</x:f>
        <x:v>0.3073738817870165</x:v>
      </x:c>
      <x:c r="I426" s="159" t="n">
        <x:v>22487</x:v>
      </x:c>
      <x:c r="J426" s="159" t="n">
        <x:v>161450</x:v>
      </x:c>
      <x:c r="K426" s="159" t="n">
        <x:f>I426-J426</x:f>
        <x:v>-138963</x:v>
      </x:c>
      <x:c r="L426" s="154" t="n">
        <x:f>IFERROR(K426/D426,"")</x:f>
        <x:v>-0.19420744361942535</x:v>
      </x:c>
    </x:row>
    <x:row r="427">
      <x:c r="A427" s="141" t="str">
        <x:v>Silver</x:v>
      </x:c>
      <x:c r="B427" s="155" t="n">
        <x:v>43858</x:v>
      </x:c>
      <x:c r="C427" s="155" t="n">
        <x:v>43861</x:v>
      </x:c>
      <x:c r="D427" s="159" t="n">
        <x:v>231933</x:v>
      </x:c>
      <x:c r="E427" s="159" t="n">
        <x:v>82822</x:v>
      </x:c>
      <x:c r="F427" s="159" t="n">
        <x:v>34855</x:v>
      </x:c>
      <x:c r="G427" s="159" t="n">
        <x:f>E427-F427</x:f>
        <x:v>47967</x:v>
      </x:c>
      <x:c r="H427" s="154" t="n">
        <x:f>IFERROR(G427/D427,"")</x:f>
        <x:v>0.2068140368123553</x:v>
      </x:c>
      <x:c r="I427" s="159" t="n">
        <x:v>8310</x:v>
      </x:c>
      <x:c r="J427" s="159" t="n">
        <x:v>67833</x:v>
      </x:c>
      <x:c r="K427" s="159" t="n">
        <x:f>I427-J427</x:f>
        <x:v>-59523</x:v>
      </x:c>
      <x:c r="L427" s="154" t="n">
        <x:f>IFERROR(K427/D427,"")</x:f>
        <x:v>-0.25663877067946345</x:v>
      </x:c>
    </x:row>
    <x:row r="428">
      <x:c r="A428" s="141" t="str">
        <x:v>Gold</x:v>
      </x:c>
      <x:c r="B428" s="155" t="n">
        <x:v>43865</x:v>
      </x:c>
      <x:c r="C428" s="155" t="n">
        <x:v>43868</x:v>
      </x:c>
      <x:c r="D428" s="159" t="n">
        <x:v>654572</x:v>
      </x:c>
      <x:c r="E428" s="159" t="n">
        <x:v>223762</x:v>
      </x:c>
      <x:c r="F428" s="159" t="n">
        <x:v>42152</x:v>
      </x:c>
      <x:c r="G428" s="159" t="n">
        <x:f>E428-F428</x:f>
        <x:v>181610</x:v>
      </x:c>
      <x:c r="H428" s="154" t="n">
        <x:f>IFERROR(G428/D428,"")</x:f>
        <x:v>0.27744847014537743</x:v>
      </x:c>
      <x:c r="I428" s="159" t="n">
        <x:v>16469</x:v>
      </x:c>
      <x:c r="J428" s="159" t="n">
        <x:v>155103</x:v>
      </x:c>
      <x:c r="K428" s="159" t="n">
        <x:f>I428-J428</x:f>
        <x:v>-138634</x:v>
      </x:c>
      <x:c r="L428" s="154" t="n">
        <x:f>IFERROR(K428/D428,"")</x:f>
        <x:v>-0.21179335504726754</x:v>
      </x:c>
    </x:row>
    <x:row r="429">
      <x:c r="A429" s="141" t="str">
        <x:v>Silver</x:v>
      </x:c>
      <x:c r="B429" s="155" t="n">
        <x:v>43865</x:v>
      </x:c>
      <x:c r="C429" s="155" t="n">
        <x:v>43868</x:v>
      </x:c>
      <x:c r="D429" s="159" t="n">
        <x:v>224936</x:v>
      </x:c>
      <x:c r="E429" s="159" t="n">
        <x:v>78635</x:v>
      </x:c>
      <x:c r="F429" s="159" t="n">
        <x:v>23417</x:v>
      </x:c>
      <x:c r="G429" s="159" t="n">
        <x:f>E429-F429</x:f>
        <x:v>55218</x:v>
      </x:c>
      <x:c r="H429" s="154" t="n">
        <x:f>IFERROR(G429/D429,"")</x:f>
        <x:v>0.24548315965430167</x:v>
      </x:c>
      <x:c r="I429" s="159" t="n">
        <x:v>9345</x:v>
      </x:c>
      <x:c r="J429" s="159" t="n">
        <x:v>68751</x:v>
      </x:c>
      <x:c r="K429" s="159" t="n">
        <x:f>I429-J429</x:f>
        <x:v>-59406</x:v>
      </x:c>
      <x:c r="L429" s="154" t="n">
        <x:f>IFERROR(K429/D429,"")</x:f>
        <x:v>-0.2641017889533023</x:v>
      </x:c>
    </x:row>
    <x:row r="430">
      <x:c r="A430" s="141" t="str">
        <x:v>Gold</x:v>
      </x:c>
      <x:c r="B430" s="155" t="n">
        <x:v>43872</x:v>
      </x:c>
      <x:c r="C430" s="155" t="n">
        <x:v>43875</x:v>
      </x:c>
      <x:c r="D430" s="159" t="n">
        <x:v>658024</x:v>
      </x:c>
      <x:c r="E430" s="159" t="n">
        <x:v>231499</x:v>
      </x:c>
      <x:c r="F430" s="159" t="n">
        <x:v>35828</x:v>
      </x:c>
      <x:c r="G430" s="159" t="n">
        <x:f>E430-F430</x:f>
        <x:v>195671</x:v>
      </x:c>
      <x:c r="H430" s="154" t="n">
        <x:f>IFERROR(G430/D430,"")</x:f>
        <x:v>0.2973614944135776</x:v>
      </x:c>
      <x:c r="I430" s="159" t="n">
        <x:v>17009</x:v>
      </x:c>
      <x:c r="J430" s="159" t="n">
        <x:v>158762</x:v>
      </x:c>
      <x:c r="K430" s="159" t="n">
        <x:f>I430-J430</x:f>
        <x:v>-141753</x:v>
      </x:c>
      <x:c r="L430" s="154" t="n">
        <x:f>IFERROR(K430/D430,"")</x:f>
        <x:v>-0.21542223383949521</x:v>
      </x:c>
    </x:row>
    <x:row r="431">
      <x:c r="A431" s="141" t="str">
        <x:v>Silver</x:v>
      </x:c>
      <x:c r="B431" s="155" t="n">
        <x:v>43872</x:v>
      </x:c>
      <x:c r="C431" s="155" t="n">
        <x:v>43875</x:v>
      </x:c>
      <x:c r="D431" s="159" t="n">
        <x:v>221858</x:v>
      </x:c>
      <x:c r="E431" s="159" t="n">
        <x:v>77942</x:v>
      </x:c>
      <x:c r="F431" s="159" t="n">
        <x:v>23235</x:v>
      </x:c>
      <x:c r="G431" s="159" t="n">
        <x:f>E431-F431</x:f>
        <x:v>54707</x:v>
      </x:c>
      <x:c r="H431" s="154" t="n">
        <x:f>IFERROR(G431/D431,"")</x:f>
        <x:v>0.24658565388672032</x:v>
      </x:c>
      <x:c r="I431" s="159" t="n">
        <x:v>10033</x:v>
      </x:c>
      <x:c r="J431" s="159" t="n">
        <x:v>69171</x:v>
      </x:c>
      <x:c r="K431" s="159" t="n">
        <x:f>I431-J431</x:f>
        <x:v>-59138</x:v>
      </x:c>
      <x:c r="L431" s="154" t="n">
        <x:f>IFERROR(K431/D431,"")</x:f>
        <x:v>-0.26655788837905325</x:v>
      </x:c>
    </x:row>
    <x:row r="432">
      <x:c r="A432" s="141" t="str">
        <x:v>Gold</x:v>
      </x:c>
      <x:c r="B432" s="155" t="n">
        <x:v>43879</x:v>
      </x:c>
      <x:c r="C432" s="155" t="n">
        <x:v>43882</x:v>
      </x:c>
      <x:c r="D432" s="159" t="n">
        <x:v>715317</x:v>
      </x:c>
      <x:c r="E432" s="159" t="n">
        <x:v>278286</x:v>
      </x:c>
      <x:c r="F432" s="159" t="n">
        <x:v>39740</x:v>
      </x:c>
      <x:c r="G432" s="159" t="n">
        <x:f>E432-F432</x:f>
        <x:v>238546</x:v>
      </x:c>
      <x:c r="H432" s="154" t="n">
        <x:f>IFERROR(G432/D432,"")</x:f>
        <x:v>0.33348291736391</x:v>
      </x:c>
      <x:c r="I432" s="159" t="n">
        <x:v>17130</x:v>
      </x:c>
      <x:c r="J432" s="159" t="n">
        <x:v>176211</x:v>
      </x:c>
      <x:c r="K432" s="159" t="n">
        <x:f>I432-J432</x:f>
        <x:v>-159081</x:v>
      </x:c>
      <x:c r="L432" s="154" t="n">
        <x:f>IFERROR(K432/D432,"")</x:f>
        <x:v>-0.22239230998284676</x:v>
      </x:c>
    </x:row>
    <x:row r="433">
      <x:c r="A433" s="141" t="str">
        <x:v>Silver</x:v>
      </x:c>
      <x:c r="B433" s="155" t="n">
        <x:v>43879</x:v>
      </x:c>
      <x:c r="C433" s="155" t="n">
        <x:v>43882</x:v>
      </x:c>
      <x:c r="D433" s="159" t="n">
        <x:v>238077</x:v>
      </x:c>
      <x:c r="E433" s="159" t="n">
        <x:v>89145</x:v>
      </x:c>
      <x:c r="F433" s="159" t="n">
        <x:v>23193</x:v>
      </x:c>
      <x:c r="G433" s="159" t="n">
        <x:f>E433-F433</x:f>
        <x:v>65952</x:v>
      </x:c>
      <x:c r="H433" s="154" t="n">
        <x:f>IFERROR(G433/D433,"")</x:f>
        <x:v>0.27701961970286926</x:v>
      </x:c>
      <x:c r="I433" s="159" t="n">
        <x:v>10889</x:v>
      </x:c>
      <x:c r="J433" s="159" t="n">
        <x:v>75156</x:v>
      </x:c>
      <x:c r="K433" s="159" t="n">
        <x:f>I433-J433</x:f>
        <x:v>-64267</x:v>
      </x:c>
      <x:c r="L433" s="154" t="n">
        <x:f>IFERROR(K433/D433,"")</x:f>
        <x:v>-0.2699420775631413</x:v>
      </x:c>
    </x:row>
    <x:row r="434">
      <x:c r="A434" s="141" t="str">
        <x:v>Gold</x:v>
      </x:c>
      <x:c r="B434" s="155" t="n">
        <x:v>43886</x:v>
      </x:c>
      <x:c r="C434" s="155" t="n">
        <x:v>43889</x:v>
      </x:c>
      <x:c r="D434" s="159" t="n">
        <x:v>732917</x:v>
      </x:c>
      <x:c r="E434" s="159" t="n">
        <x:v>263218</x:v>
      </x:c>
      <x:c r="F434" s="159" t="n">
        <x:v>32372</x:v>
      </x:c>
      <x:c r="G434" s="159" t="n">
        <x:f>E434-F434</x:f>
        <x:v>230846</x:v>
      </x:c>
      <x:c r="H434" s="154" t="n">
        <x:f>IFERROR(G434/D434,"")</x:f>
        <x:v>0.3149688163871216</x:v>
      </x:c>
      <x:c r="I434" s="159" t="n">
        <x:v>20685</x:v>
      </x:c>
      <x:c r="J434" s="159" t="n">
        <x:v>184340</x:v>
      </x:c>
      <x:c r="K434" s="159" t="n">
        <x:f>I434-J434</x:f>
        <x:v>-163655</x:v>
      </x:c>
      <x:c r="L434" s="154" t="n">
        <x:f>IFERROR(K434/D434,"")</x:f>
        <x:v>-0.22329267843425654</x:v>
      </x:c>
    </x:row>
    <x:row r="435">
      <x:c r="A435" s="141" t="str">
        <x:v>Silver</x:v>
      </x:c>
      <x:c r="B435" s="155" t="n">
        <x:v>43886</x:v>
      </x:c>
      <x:c r="C435" s="155" t="n">
        <x:v>43889</x:v>
      </x:c>
      <x:c r="D435" s="159" t="n">
        <x:v>238970</x:v>
      </x:c>
      <x:c r="E435" s="159" t="n">
        <x:v>86886</x:v>
      </x:c>
      <x:c r="F435" s="159" t="n">
        <x:v>25197</x:v>
      </x:c>
      <x:c r="G435" s="159" t="n">
        <x:f>E435-F435</x:f>
        <x:v>61689</x:v>
      </x:c>
      <x:c r="H435" s="154" t="n">
        <x:f>IFERROR(G435/D435,"")</x:f>
        <x:v>0.258145373896305</x:v>
      </x:c>
      <x:c r="I435" s="159" t="n">
        <x:v>10906</x:v>
      </x:c>
      <x:c r="J435" s="159" t="n">
        <x:v>74639</x:v>
      </x:c>
      <x:c r="K435" s="159" t="n">
        <x:f>I435-J435</x:f>
        <x:v>-63733</x:v>
      </x:c>
      <x:c r="L435" s="154" t="n">
        <x:f>IFERROR(K435/D435,"")</x:f>
        <x:v>-0.2666987487969201</x:v>
      </x:c>
    </x:row>
    <x:row r="436">
      <x:c r="A436" s="141" t="str">
        <x:v>Gold</x:v>
      </x:c>
      <x:c r="B436" s="155" t="n">
        <x:v>43893</x:v>
      </x:c>
      <x:c r="C436" s="155" t="n">
        <x:v>43896</x:v>
      </x:c>
      <x:c r="D436" s="159" t="n">
        <x:v>691985</x:v>
      </x:c>
      <x:c r="E436" s="159" t="n">
        <x:v>242921</x:v>
      </x:c>
      <x:c r="F436" s="159" t="n">
        <x:v>27560</x:v>
      </x:c>
      <x:c r="G436" s="159" t="n">
        <x:f>E436-F436</x:f>
        <x:v>215361</x:v>
      </x:c>
      <x:c r="H436" s="154" t="n">
        <x:f>IFERROR(G436/D436,"")</x:f>
        <x:v>0.31122206406208225</x:v>
      </x:c>
      <x:c r="I436" s="159" t="n">
        <x:v>18481</x:v>
      </x:c>
      <x:c r="J436" s="159" t="n">
        <x:v>178821</x:v>
      </x:c>
      <x:c r="K436" s="159" t="n">
        <x:f>I436-J436</x:f>
        <x:v>-160340</x:v>
      </x:c>
      <x:c r="L436" s="154" t="n">
        <x:f>IFERROR(K436/D436,"")</x:f>
        <x:v>-0.23171022493262136</x:v>
      </x:c>
    </x:row>
    <x:row r="437">
      <x:c r="A437" s="141" t="str">
        <x:v>Silver</x:v>
      </x:c>
      <x:c r="B437" s="155" t="n">
        <x:v>43893</x:v>
      </x:c>
      <x:c r="C437" s="155" t="n">
        <x:v>43896</x:v>
      </x:c>
      <x:c r="D437" s="159" t="n">
        <x:v>196909</x:v>
      </x:c>
      <x:c r="E437" s="159" t="n">
        <x:v>57906</x:v>
      </x:c>
      <x:c r="F437" s="159" t="n">
        <x:v>28935</x:v>
      </x:c>
      <x:c r="G437" s="159" t="n">
        <x:f>E437-F437</x:f>
        <x:v>28971</x:v>
      </x:c>
      <x:c r="H437" s="154" t="n">
        <x:f>IFERROR(G437/D437,"")</x:f>
        <x:v>0.14712887679080183</x:v>
      </x:c>
      <x:c r="I437" s="159" t="n">
        <x:v>8026</x:v>
      </x:c>
      <x:c r="J437" s="159" t="n">
        <x:v>64777</x:v>
      </x:c>
      <x:c r="K437" s="159" t="n">
        <x:f>I437-J437</x:f>
        <x:v>-56751</x:v>
      </x:c>
      <x:c r="L437" s="154" t="n">
        <x:f>IFERROR(K437/D437,"")</x:f>
        <x:v>-0.28820927433484506</x:v>
      </x:c>
    </x:row>
    <x:row r="438">
      <x:c r="A438" s="141" t="str">
        <x:v>Gold</x:v>
      </x:c>
      <x:c r="B438" s="155" t="n">
        <x:v>43900</x:v>
      </x:c>
      <x:c r="C438" s="155" t="n">
        <x:v>43903</x:v>
      </x:c>
      <x:c r="D438" s="159" t="n">
        <x:v>633470</x:v>
      </x:c>
      <x:c r="E438" s="159" t="n">
        <x:v>220642</x:v>
      </x:c>
      <x:c r="F438" s="159" t="n">
        <x:v>10457</x:v>
      </x:c>
      <x:c r="G438" s="159" t="n">
        <x:f>E438-F438</x:f>
        <x:v>210185</x:v>
      </x:c>
      <x:c r="H438" s="154" t="n">
        <x:f>IFERROR(G438/D438,"")</x:f>
        <x:v>0.33179945380207426</x:v>
      </x:c>
      <x:c r="I438" s="159" t="n">
        <x:v>30447</x:v>
      </x:c>
      <x:c r="J438" s="159" t="n">
        <x:v>171242</x:v>
      </x:c>
      <x:c r="K438" s="159" t="n">
        <x:f>I438-J438</x:f>
        <x:v>-140795</x:v>
      </x:c>
      <x:c r="L438" s="154" t="n">
        <x:f>IFERROR(K438/D438,"")</x:f>
        <x:v>-0.22225993338279634</x:v>
      </x:c>
    </x:row>
    <x:row r="439">
      <x:c r="A439" s="141" t="str">
        <x:v>Silver</x:v>
      </x:c>
      <x:c r="B439" s="155" t="n">
        <x:v>43900</x:v>
      </x:c>
      <x:c r="C439" s="155" t="n">
        <x:v>43903</x:v>
      </x:c>
      <x:c r="D439" s="159" t="n">
        <x:v>187060</x:v>
      </x:c>
      <x:c r="E439" s="159" t="n">
        <x:v>52958</x:v>
      </x:c>
      <x:c r="F439" s="159" t="n">
        <x:v>26212</x:v>
      </x:c>
      <x:c r="G439" s="159" t="n">
        <x:f>E439-F439</x:f>
        <x:v>26746</x:v>
      </x:c>
      <x:c r="H439" s="154" t="n">
        <x:f>IFERROR(G439/D439,"")</x:f>
        <x:v>0.14298086175558644</x:v>
      </x:c>
      <x:c r="I439" s="159" t="n">
        <x:v>9648</x:v>
      </x:c>
      <x:c r="J439" s="159" t="n">
        <x:v>60543</x:v>
      </x:c>
      <x:c r="K439" s="159" t="n">
        <x:f>I439-J439</x:f>
        <x:v>-50895</x:v>
      </x:c>
      <x:c r="L439" s="154" t="n">
        <x:f>IFERROR(K439/D439,"")</x:f>
        <x:v>-0.2720784774938522</x:v>
      </x:c>
    </x:row>
    <x:row r="440">
      <x:c r="A440" s="141" t="str">
        <x:v>Gold</x:v>
      </x:c>
      <x:c r="B440" s="155" t="n">
        <x:v>43907</x:v>
      </x:c>
      <x:c r="C440" s="155" t="n">
        <x:v>43910</x:v>
      </x:c>
      <x:c r="D440" s="159" t="n">
        <x:v>573925</x:v>
      </x:c>
      <x:c r="E440" s="159" t="n">
        <x:v>164979</x:v>
      </x:c>
      <x:c r="F440" s="159" t="n">
        <x:v>10900</x:v>
      </x:c>
      <x:c r="G440" s="159" t="n">
        <x:f>E440-F440</x:f>
        <x:v>154079</x:v>
      </x:c>
      <x:c r="H440" s="154" t="n">
        <x:f>IFERROR(G440/D440,"")</x:f>
        <x:v>0.2684653918194886</x:v>
      </x:c>
      <x:c r="I440" s="159" t="n">
        <x:v>28316</x:v>
      </x:c>
      <x:c r="J440" s="159" t="n">
        <x:v>161694</x:v>
      </x:c>
      <x:c r="K440" s="159" t="n">
        <x:f>I440-J440</x:f>
        <x:v>-133378</x:v>
      </x:c>
      <x:c r="L440" s="154" t="n">
        <x:f>IFERROR(K440/D440,"")</x:f>
        <x:v>-0.2323962190181644</x:v>
      </x:c>
    </x:row>
    <x:row r="441">
      <x:c r="A441" s="141" t="str">
        <x:v>Silver</x:v>
      </x:c>
      <x:c r="B441" s="155" t="n">
        <x:v>43907</x:v>
      </x:c>
      <x:c r="C441" s="155" t="n">
        <x:v>43910</x:v>
      </x:c>
      <x:c r="D441" s="159" t="n">
        <x:v>166682</x:v>
      </x:c>
      <x:c r="E441" s="159" t="n">
        <x:v>37409</x:v>
      </x:c>
      <x:c r="F441" s="159" t="n">
        <x:v>15471</x:v>
      </x:c>
      <x:c r="G441" s="159" t="n">
        <x:f>E441-F441</x:f>
        <x:v>21938</x:v>
      </x:c>
      <x:c r="H441" s="154" t="n">
        <x:f>IFERROR(G441/D441,"")</x:f>
        <x:v>0.1316158913379969</x:v>
      </x:c>
      <x:c r="I441" s="159" t="n">
        <x:v>9947</x:v>
      </x:c>
      <x:c r="J441" s="159" t="n">
        <x:v>60072</x:v>
      </x:c>
      <x:c r="K441" s="159" t="n">
        <x:f>I441-J441</x:f>
        <x:v>-50125</x:v>
      </x:c>
      <x:c r="L441" s="154" t="n">
        <x:f>IFERROR(K441/D441,"")</x:f>
        <x:v>-0.30072233354531386</x:v>
      </x:c>
    </x:row>
    <x:row r="442">
      <x:c r="A442" s="141" t="str">
        <x:v>Gold</x:v>
      </x:c>
      <x:c r="B442" s="155" t="n">
        <x:v>43914</x:v>
      </x:c>
      <x:c r="C442" s="155" t="n">
        <x:v>43917</x:v>
      </x:c>
      <x:c r="D442" s="159" t="n">
        <x:v>547334</x:v>
      </x:c>
      <x:c r="E442" s="159" t="n">
        <x:v>158965</x:v>
      </x:c>
      <x:c r="F442" s="159" t="n">
        <x:v>1556</x:v>
      </x:c>
      <x:c r="G442" s="159" t="n">
        <x:f>E442-F442</x:f>
        <x:v>157409</x:v>
      </x:c>
      <x:c r="H442" s="154" t="n">
        <x:f>IFERROR(G442/D442,"")</x:f>
        <x:v>0.28759221974151067</x:v>
      </x:c>
      <x:c r="I442" s="159" t="n">
        <x:v>22853</x:v>
      </x:c>
      <x:c r="J442" s="159" t="n">
        <x:v>157635</x:v>
      </x:c>
      <x:c r="K442" s="159" t="n">
        <x:f>I442-J442</x:f>
        <x:v>-134782</x:v>
      </x:c>
      <x:c r="L442" s="154" t="n">
        <x:f>IFERROR(K442/D442,"")</x:f>
        <x:v>-0.24625183160556444</x:v>
      </x:c>
    </x:row>
    <x:row r="443">
      <x:c r="A443" s="141" t="str">
        <x:v>Silver</x:v>
      </x:c>
      <x:c r="B443" s="155" t="n">
        <x:v>43914</x:v>
      </x:c>
      <x:c r="C443" s="155" t="n">
        <x:v>43917</x:v>
      </x:c>
      <x:c r="D443" s="159" t="n">
        <x:v>150700</x:v>
      </x:c>
      <x:c r="E443" s="159" t="n">
        <x:v>30238</x:v>
      </x:c>
      <x:c r="F443" s="159" t="n">
        <x:v>16227</x:v>
      </x:c>
      <x:c r="G443" s="159" t="n">
        <x:f>E443-F443</x:f>
        <x:v>14011</x:v>
      </x:c>
      <x:c r="H443" s="154" t="n">
        <x:f>IFERROR(G443/D443,"")</x:f>
        <x:v>0.09297279362972793</x:v>
      </x:c>
      <x:c r="I443" s="159" t="n">
        <x:v>9301</x:v>
      </x:c>
      <x:c r="J443" s="159" t="n">
        <x:v>53442</x:v>
      </x:c>
      <x:c r="K443" s="159" t="n">
        <x:f>I443-J443</x:f>
        <x:v>-44141</x:v>
      </x:c>
      <x:c r="L443" s="154" t="n">
        <x:f>IFERROR(K443/D443,"")</x:f>
        <x:v>-0.29290643662906435</x:v>
      </x:c>
    </x:row>
    <x:row r="444">
      <x:c r="A444" s="141" t="str">
        <x:v>Gold</x:v>
      </x:c>
      <x:c r="B444" s="155" t="n">
        <x:v>43921</x:v>
      </x:c>
      <x:c r="C444" s="155" t="n">
        <x:v>43924</x:v>
      </x:c>
      <x:c r="D444" s="159" t="n">
        <x:v>495652</x:v>
      </x:c>
      <x:c r="E444" s="159" t="n">
        <x:v>156820</x:v>
      </x:c>
      <x:c r="F444" s="159" t="n">
        <x:v>4222</x:v>
      </x:c>
      <x:c r="G444" s="159" t="n">
        <x:f>E444-F444</x:f>
        <x:v>152598</x:v>
      </x:c>
      <x:c r="H444" s="154" t="n">
        <x:f>IFERROR(G444/D444,"")</x:f>
        <x:v>0.3078732659204442</x:v>
      </x:c>
      <x:c r="I444" s="159" t="n">
        <x:v>25659</x:v>
      </x:c>
      <x:c r="J444" s="159" t="n">
        <x:v>137868</x:v>
      </x:c>
      <x:c r="K444" s="159" t="n">
        <x:f>I444-J444</x:f>
        <x:v>-112209</x:v>
      </x:c>
      <x:c r="L444" s="154" t="n">
        <x:f>IFERROR(K444/D444,"")</x:f>
        <x:v>-0.22638665838128363</x:v>
      </x:c>
    </x:row>
    <x:row r="445">
      <x:c r="A445" s="141" t="str">
        <x:v>Silver</x:v>
      </x:c>
      <x:c r="B445" s="155" t="n">
        <x:v>43921</x:v>
      </x:c>
      <x:c r="C445" s="155" t="n">
        <x:v>43924</x:v>
      </x:c>
      <x:c r="D445" s="159" t="n">
        <x:v>139256</x:v>
      </x:c>
      <x:c r="E445" s="159" t="n">
        <x:v>30406</x:v>
      </x:c>
      <x:c r="F445" s="159" t="n">
        <x:v>12432</x:v>
      </x:c>
      <x:c r="G445" s="159" t="n">
        <x:f>E445-F445</x:f>
        <x:v>17974</x:v>
      </x:c>
      <x:c r="H445" s="154" t="n">
        <x:f>IFERROR(G445/D445,"")</x:f>
        <x:v>0.12907163784684322</x:v>
      </x:c>
      <x:c r="I445" s="159" t="n">
        <x:v>8516</x:v>
      </x:c>
      <x:c r="J445" s="159" t="n">
        <x:v>50400</x:v>
      </x:c>
      <x:c r="K445" s="159" t="n">
        <x:f>I445-J445</x:f>
        <x:v>-41884</x:v>
      </x:c>
      <x:c r="L445" s="154" t="n">
        <x:f>IFERROR(K445/D445,"")</x:f>
        <x:v>-0.3007698052507612</x:v>
      </x:c>
    </x:row>
    <x:row r="446">
      <x:c r="A446" s="141" t="str">
        <x:v>Gold</x:v>
      </x:c>
      <x:c r="B446" s="155" t="n">
        <x:v>43928</x:v>
      </x:c>
      <x:c r="C446" s="155" t="n">
        <x:v>43931</x:v>
      </x:c>
      <x:c r="D446" s="159" t="n">
        <x:v>480050</x:v>
      </x:c>
      <x:c r="E446" s="159" t="n">
        <x:v>157005</x:v>
      </x:c>
      <x:c r="F446" s="159" t="n">
        <x:v>4523</x:v>
      </x:c>
      <x:c r="G446" s="159" t="n">
        <x:f>E446-F446</x:f>
        <x:v>152482</x:v>
      </x:c>
      <x:c r="H446" s="154" t="n">
        <x:f>IFERROR(G446/D446,"")</x:f>
        <x:v>0.3176377460681179</x:v>
      </x:c>
      <x:c r="I446" s="159" t="n">
        <x:v>19757</x:v>
      </x:c>
      <x:c r="J446" s="159" t="n">
        <x:v>129690</x:v>
      </x:c>
      <x:c r="K446" s="159" t="n">
        <x:f>I446-J446</x:f>
        <x:v>-109933</x:v>
      </x:c>
      <x:c r="L446" s="154" t="n">
        <x:f>IFERROR(K446/D446,"")</x:f>
        <x:v>-0.22900322883033017</x:v>
      </x:c>
    </x:row>
    <x:row r="447">
      <x:c r="A447" s="141" t="str">
        <x:v>Silver</x:v>
      </x:c>
      <x:c r="B447" s="155" t="n">
        <x:v>43928</x:v>
      </x:c>
      <x:c r="C447" s="155" t="n">
        <x:v>43931</x:v>
      </x:c>
      <x:c r="D447" s="159" t="n">
        <x:v>138974</x:v>
      </x:c>
      <x:c r="E447" s="159" t="n">
        <x:v>30348</x:v>
      </x:c>
      <x:c r="F447" s="159" t="n">
        <x:v>13726</x:v>
      </x:c>
      <x:c r="G447" s="159" t="n">
        <x:f>E447-F447</x:f>
        <x:v>16622</x:v>
      </x:c>
      <x:c r="H447" s="154" t="n">
        <x:f>IFERROR(G447/D447,"")</x:f>
        <x:v>0.11960510599104869</x:v>
      </x:c>
      <x:c r="I447" s="159" t="n">
        <x:v>8926</x:v>
      </x:c>
      <x:c r="J447" s="159" t="n">
        <x:v>51882</x:v>
      </x:c>
      <x:c r="K447" s="159" t="n">
        <x:f>I447-J447</x:f>
        <x:v>-42956</x:v>
      </x:c>
      <x:c r="L447" s="154" t="n">
        <x:f>IFERROR(K447/D447,"")</x:f>
        <x:v>-0.30909378732712595</x:v>
      </x:c>
    </x:row>
    <x:row r="448">
      <x:c r="A448" s="141" t="str">
        <x:v>Gold</x:v>
      </x:c>
      <x:c r="B448" s="155" t="n">
        <x:v>43935</x:v>
      </x:c>
      <x:c r="C448" s="155" t="n">
        <x:v>43938</x:v>
      </x:c>
      <x:c r="D448" s="159" t="n">
        <x:v>489965</x:v>
      </x:c>
      <x:c r="E448" s="159" t="n">
        <x:v>162412</x:v>
      </x:c>
      <x:c r="F448" s="159" t="n">
        <x:v>7168</x:v>
      </x:c>
      <x:c r="G448" s="159" t="n">
        <x:f>E448-F448</x:f>
        <x:v>155244</x:v>
      </x:c>
      <x:c r="H448" s="154" t="n">
        <x:f>IFERROR(G448/D448,"")</x:f>
        <x:v>0.316847121733185</x:v>
      </x:c>
      <x:c r="I448" s="159" t="n">
        <x:v>19415</x:v>
      </x:c>
      <x:c r="J448" s="159" t="n">
        <x:v>127666</x:v>
      </x:c>
      <x:c r="K448" s="159" t="n">
        <x:f>I448-J448</x:f>
        <x:v>-108251</x:v>
      </x:c>
      <x:c r="L448" s="154" t="n">
        <x:f>IFERROR(K448/D448,"")</x:f>
        <x:v>-0.2209361893196453</x:v>
      </x:c>
    </x:row>
    <x:row r="449">
      <x:c r="A449" s="141" t="str">
        <x:v>Silver</x:v>
      </x:c>
      <x:c r="B449" s="155" t="n">
        <x:v>43935</x:v>
      </x:c>
      <x:c r="C449" s="155" t="n">
        <x:v>43938</x:v>
      </x:c>
      <x:c r="D449" s="159" t="n">
        <x:v>143477</x:v>
      </x:c>
      <x:c r="E449" s="159" t="n">
        <x:v>29960</x:v>
      </x:c>
      <x:c r="F449" s="159" t="n">
        <x:v>14512</x:v>
      </x:c>
      <x:c r="G449" s="159" t="n">
        <x:f>E449-F449</x:f>
        <x:v>15448</x:v>
      </x:c>
      <x:c r="H449" s="154" t="n">
        <x:f>IFERROR(G449/D449,"")</x:f>
        <x:v>0.10766882496846185</x:v>
      </x:c>
      <x:c r="I449" s="159" t="n">
        <x:v>10925</x:v>
      </x:c>
      <x:c r="J449" s="159" t="n">
        <x:v>53793</x:v>
      </x:c>
      <x:c r="K449" s="159" t="n">
        <x:f>I449-J449</x:f>
        <x:v>-42868</x:v>
      </x:c>
      <x:c r="L449" s="154" t="n">
        <x:f>IFERROR(K449/D449,"")</x:f>
        <x:v>-0.2987795953358378</x:v>
      </x:c>
    </x:row>
    <x:row r="450">
      <x:c r="A450" s="141" t="str">
        <x:v>Gold</x:v>
      </x:c>
      <x:c r="B450" s="155" t="n">
        <x:v>43942</x:v>
      </x:c>
      <x:c r="C450" s="155" t="n">
        <x:v>43945</x:v>
      </x:c>
      <x:c r="D450" s="159" t="n">
        <x:v>493158</x:v>
      </x:c>
      <x:c r="E450" s="159" t="n">
        <x:v>155492</x:v>
      </x:c>
      <x:c r="F450" s="159" t="n">
        <x:v>9221</x:v>
      </x:c>
      <x:c r="G450" s="159" t="n">
        <x:f>E450-F450</x:f>
        <x:v>146271</x:v>
      </x:c>
      <x:c r="H450" s="154" t="n">
        <x:f>IFERROR(G450/D450,"")</x:f>
        <x:v>0.29660068375652426</x:v>
      </x:c>
      <x:c r="I450" s="159" t="n">
        <x:v>18506</x:v>
      </x:c>
      <x:c r="J450" s="159" t="n">
        <x:v>126959</x:v>
      </x:c>
      <x:c r="K450" s="159" t="n">
        <x:f>I450-J450</x:f>
        <x:v>-108453</x:v>
      </x:c>
      <x:c r="L450" s="154" t="n">
        <x:f>IFERROR(K450/D450,"")</x:f>
        <x:v>-0.21991532125606802</x:v>
      </x:c>
    </x:row>
    <x:row r="451">
      <x:c r="A451" s="141" t="str">
        <x:v>Silver</x:v>
      </x:c>
      <x:c r="B451" s="155" t="n">
        <x:v>43942</x:v>
      </x:c>
      <x:c r="C451" s="155" t="n">
        <x:v>43945</x:v>
      </x:c>
      <x:c r="D451" s="159" t="n">
        <x:v>139607</x:v>
      </x:c>
      <x:c r="E451" s="159" t="n">
        <x:v>29186</x:v>
      </x:c>
      <x:c r="F451" s="159" t="n">
        <x:v>15395</x:v>
      </x:c>
      <x:c r="G451" s="159" t="n">
        <x:f>E451-F451</x:f>
        <x:v>13791</x:v>
      </x:c>
      <x:c r="H451" s="154" t="n">
        <x:f>IFERROR(G451/D451,"")</x:f>
        <x:v>0.09878444490605771</x:v>
      </x:c>
      <x:c r="I451" s="159" t="n">
        <x:v>11536</x:v>
      </x:c>
      <x:c r="J451" s="159" t="n">
        <x:v>50104</x:v>
      </x:c>
      <x:c r="K451" s="159" t="n">
        <x:f>I451-J451</x:f>
        <x:v>-38568</x:v>
      </x:c>
      <x:c r="L451" s="154" t="n">
        <x:f>IFERROR(K451/D451,"")</x:f>
        <x:v>-0.27626121899331696</x:v>
      </x:c>
    </x:row>
    <x:row r="452">
      <x:c r="A452" s="141" t="str">
        <x:v>Gold</x:v>
      </x:c>
      <x:c r="B452" s="155" t="n">
        <x:v>43949</x:v>
      </x:c>
      <x:c r="C452" s="155" t="n">
        <x:v>43952</x:v>
      </x:c>
      <x:c r="D452" s="159" t="n">
        <x:v>500816</x:v>
      </x:c>
      <x:c r="E452" s="159" t="n">
        <x:v>154025</x:v>
      </x:c>
      <x:c r="F452" s="159" t="n">
        <x:v>7619</x:v>
      </x:c>
      <x:c r="G452" s="159" t="n">
        <x:f>E452-F452</x:f>
        <x:v>146406</x:v>
      </x:c>
      <x:c r="H452" s="154" t="n">
        <x:f>IFERROR(G452/D452,"")</x:f>
        <x:v>0.2923349094278138</x:v>
      </x:c>
      <x:c r="I452" s="159" t="n">
        <x:v>17954</x:v>
      </x:c>
      <x:c r="J452" s="159" t="n">
        <x:v>130880</x:v>
      </x:c>
      <x:c r="K452" s="159" t="n">
        <x:f>I452-J452</x:f>
        <x:v>-112926</x:v>
      </x:c>
      <x:c r="L452" s="154" t="n">
        <x:f>IFERROR(K452/D452,"")</x:f>
        <x:v>-0.2254840100955241</x:v>
      </x:c>
    </x:row>
    <x:row r="453">
      <x:c r="A453" s="141" t="str">
        <x:v>Silver</x:v>
      </x:c>
      <x:c r="B453" s="155" t="n">
        <x:v>43949</x:v>
      </x:c>
      <x:c r="C453" s="155" t="n">
        <x:v>43952</x:v>
      </x:c>
      <x:c r="D453" s="159" t="n">
        <x:v>138349</x:v>
      </x:c>
      <x:c r="E453" s="159" t="n">
        <x:v>30971</x:v>
      </x:c>
      <x:c r="F453" s="159" t="n">
        <x:v>16482</x:v>
      </x:c>
      <x:c r="G453" s="159" t="n">
        <x:f>E453-F453</x:f>
        <x:v>14489</x:v>
      </x:c>
      <x:c r="H453" s="154" t="n">
        <x:f>IFERROR(G453/D453,"")</x:f>
        <x:v>0.10472789828621819</x:v>
      </x:c>
      <x:c r="I453" s="159" t="n">
        <x:v>10257</x:v>
      </x:c>
      <x:c r="J453" s="159" t="n">
        <x:v>47253</x:v>
      </x:c>
      <x:c r="K453" s="159" t="n">
        <x:f>I453-J453</x:f>
        <x:v>-36996</x:v>
      </x:c>
      <x:c r="L453" s="154" t="n">
        <x:f>IFERROR(K453/D453,"")</x:f>
        <x:v>-0.2674106787905948</x:v>
      </x:c>
    </x:row>
    <x:row r="454">
      <x:c r="A454" s="141" t="str">
        <x:v>Gold</x:v>
      </x:c>
      <x:c r="B454" s="155" t="n">
        <x:v>43956</x:v>
      </x:c>
      <x:c r="C454" s="155" t="n">
        <x:v>43959</x:v>
      </x:c>
      <x:c r="D454" s="159" t="n">
        <x:v>490343</x:v>
      </x:c>
      <x:c r="E454" s="159" t="n">
        <x:v>142326</x:v>
      </x:c>
      <x:c r="F454" s="159" t="n">
        <x:v>9085</x:v>
      </x:c>
      <x:c r="G454" s="159" t="n">
        <x:f>E454-F454</x:f>
        <x:v>133241</x:v>
      </x:c>
      <x:c r="H454" s="154" t="n">
        <x:f>IFERROR(G454/D454,"")</x:f>
        <x:v>0.27173019702534756</x:v>
      </x:c>
      <x:c r="I454" s="159" t="n">
        <x:v>17834</x:v>
      </x:c>
      <x:c r="J454" s="159" t="n">
        <x:v>126428</x:v>
      </x:c>
      <x:c r="K454" s="159" t="n">
        <x:f>I454-J454</x:f>
        <x:v>-108594</x:v>
      </x:c>
      <x:c r="L454" s="154" t="n">
        <x:f>IFERROR(K454/D454,"")</x:f>
        <x:v>-0.22146538239558838</x:v>
      </x:c>
    </x:row>
    <x:row r="455">
      <x:c r="A455" s="141" t="str">
        <x:v>Silver</x:v>
      </x:c>
      <x:c r="B455" s="155" t="n">
        <x:v>43956</x:v>
      </x:c>
      <x:c r="C455" s="155" t="n">
        <x:v>43959</x:v>
      </x:c>
      <x:c r="D455" s="159" t="n">
        <x:v>132573</x:v>
      </x:c>
      <x:c r="E455" s="159" t="n">
        <x:v>28398</x:v>
      </x:c>
      <x:c r="F455" s="159" t="n">
        <x:v>17931</x:v>
      </x:c>
      <x:c r="G455" s="159" t="n">
        <x:f>E455-F455</x:f>
        <x:v>10467</x:v>
      </x:c>
      <x:c r="H455" s="154" t="n">
        <x:f>IFERROR(G455/D455,"")</x:f>
        <x:v>0.07895272793102667</x:v>
      </x:c>
      <x:c r="I455" s="159" t="n">
        <x:v>11189</x:v>
      </x:c>
      <x:c r="J455" s="159" t="n">
        <x:v>46683</x:v>
      </x:c>
      <x:c r="K455" s="159" t="n">
        <x:f>I455-J455</x:f>
        <x:v>-35494</x:v>
      </x:c>
      <x:c r="L455" s="154" t="n">
        <x:f>IFERROR(K455/D455,"")</x:f>
        <x:v>-0.2677317402487686</x:v>
      </x:c>
    </x:row>
    <x:row r="456">
      <x:c r="A456" s="141" t="str">
        <x:v>Gold</x:v>
      </x:c>
      <x:c r="B456" s="155" t="n">
        <x:v>43963</x:v>
      </x:c>
      <x:c r="C456" s="155" t="n">
        <x:v>43966</x:v>
      </x:c>
      <x:c r="D456" s="159" t="n">
        <x:v>496739</x:v>
      </x:c>
      <x:c r="E456" s="159" t="n">
        <x:v>144015</x:v>
      </x:c>
      <x:c r="F456" s="159" t="n">
        <x:v>21798</x:v>
      </x:c>
      <x:c r="G456" s="159" t="n">
        <x:f>E456-F456</x:f>
        <x:v>122217</x:v>
      </x:c>
      <x:c r="H456" s="154" t="n">
        <x:f>IFERROR(G456/D456,"")</x:f>
        <x:v>0.24603866416770176</x:v>
      </x:c>
      <x:c r="I456" s="159" t="n">
        <x:v>22089</x:v>
      </x:c>
      <x:c r="J456" s="159" t="n">
        <x:v>127265</x:v>
      </x:c>
      <x:c r="K456" s="159" t="n">
        <x:f>I456-J456</x:f>
        <x:v>-105176</x:v>
      </x:c>
      <x:c r="L456" s="154" t="n">
        <x:f>IFERROR(K456/D456,"")</x:f>
        <x:v>-0.21173292211805395</x:v>
      </x:c>
    </x:row>
    <x:row r="457">
      <x:c r="A457" s="141" t="str">
        <x:v>Silver</x:v>
      </x:c>
      <x:c r="B457" s="155" t="n">
        <x:v>43963</x:v>
      </x:c>
      <x:c r="C457" s="155" t="n">
        <x:v>43966</x:v>
      </x:c>
      <x:c r="D457" s="159" t="n">
        <x:v>135987</x:v>
      </x:c>
      <x:c r="E457" s="159" t="n">
        <x:v>29123</x:v>
      </x:c>
      <x:c r="F457" s="159" t="n">
        <x:v>15180</x:v>
      </x:c>
      <x:c r="G457" s="159" t="n">
        <x:f>E457-F457</x:f>
        <x:v>13943</x:v>
      </x:c>
      <x:c r="H457" s="154" t="n">
        <x:f>IFERROR(G457/D457,"")</x:f>
        <x:v>0.10253185966305603</x:v>
      </x:c>
      <x:c r="I457" s="159" t="n">
        <x:v>10032</x:v>
      </x:c>
      <x:c r="J457" s="159" t="n">
        <x:v>48522</x:v>
      </x:c>
      <x:c r="K457" s="159" t="n">
        <x:f>I457-J457</x:f>
        <x:v>-38490</x:v>
      </x:c>
      <x:c r="L457" s="154" t="n">
        <x:f>IFERROR(K457/D457,"")</x:f>
        <x:v>-0.28304176134483444</x:v>
      </x:c>
    </x:row>
    <x:row r="458">
      <x:c r="A458" s="141" t="str">
        <x:v>Gold</x:v>
      </x:c>
      <x:c r="B458" s="155" t="n">
        <x:v>43970</x:v>
      </x:c>
      <x:c r="C458" s="155" t="n">
        <x:v>43973</x:v>
      </x:c>
      <x:c r="D458" s="159" t="n">
        <x:v>528205</x:v>
      </x:c>
      <x:c r="E458" s="159" t="n">
        <x:v>153961</x:v>
      </x:c>
      <x:c r="F458" s="159" t="n">
        <x:v>26897</x:v>
      </x:c>
      <x:c r="G458" s="159" t="n">
        <x:f>E458-F458</x:f>
        <x:v>127064</x:v>
      </x:c>
      <x:c r="H458" s="154" t="n">
        <x:f>IFERROR(G458/D458,"")</x:f>
        <x:v>0.24055811664031956</x:v>
      </x:c>
      <x:c r="I458" s="159" t="n">
        <x:v>21879</x:v>
      </x:c>
      <x:c r="J458" s="159" t="n">
        <x:v>129189</x:v>
      </x:c>
      <x:c r="K458" s="159" t="n">
        <x:f>I458-J458</x:f>
        <x:v>-107310</x:v>
      </x:c>
      <x:c r="L458" s="154" t="n">
        <x:f>IFERROR(K458/D458,"")</x:f>
        <x:v>-0.20315975804848496</x:v>
      </x:c>
    </x:row>
    <x:row r="459">
      <x:c r="A459" s="141" t="str">
        <x:v>Silver</x:v>
      </x:c>
      <x:c r="B459" s="155" t="n">
        <x:v>43970</x:v>
      </x:c>
      <x:c r="C459" s="155" t="n">
        <x:v>43973</x:v>
      </x:c>
      <x:c r="D459" s="159" t="n">
        <x:v>151890</x:v>
      </x:c>
      <x:c r="E459" s="159" t="n">
        <x:v>37565</x:v>
      </x:c>
      <x:c r="F459" s="159" t="n">
        <x:v>16099</x:v>
      </x:c>
      <x:c r="G459" s="159" t="n">
        <x:f>E459-F459</x:f>
        <x:v>21466</x:v>
      </x:c>
      <x:c r="H459" s="154" t="n">
        <x:f>IFERROR(G459/D459,"")</x:f>
        <x:v>0.14132595957600896</x:v>
      </x:c>
      <x:c r="I459" s="159" t="n">
        <x:v>10796</x:v>
      </x:c>
      <x:c r="J459" s="159" t="n">
        <x:v>53346</x:v>
      </x:c>
      <x:c r="K459" s="159" t="n">
        <x:f>I459-J459</x:f>
        <x:v>-42550</x:v>
      </x:c>
      <x:c r="L459" s="154" t="n">
        <x:f>IFERROR(K459/D459,"")</x:f>
        <x:v>-0.28013694120745275</x:v>
      </x:c>
    </x:row>
    <x:row r="460">
      <x:c r="A460" s="141" t="str">
        <x:v>Gold</x:v>
      </x:c>
      <x:c r="B460" s="155" t="n">
        <x:v>43977</x:v>
      </x:c>
      <x:c r="C460" s="155" t="n">
        <x:v>43980</x:v>
      </x:c>
      <x:c r="D460" s="159" t="n">
        <x:v>519374</x:v>
      </x:c>
      <x:c r="E460" s="159" t="n">
        <x:v>145566</x:v>
      </x:c>
      <x:c r="F460" s="159" t="n">
        <x:v>32485</x:v>
      </x:c>
      <x:c r="G460" s="159" t="n">
        <x:f>E460-F460</x:f>
        <x:v>113081</x:v>
      </x:c>
      <x:c r="H460" s="154" t="n">
        <x:f>IFERROR(G460/D460,"")</x:f>
        <x:v>0.21772556962805223</x:v>
      </x:c>
      <x:c r="I460" s="159" t="n">
        <x:v>16983</x:v>
      </x:c>
      <x:c r="J460" s="159" t="n">
        <x:v>105449</x:v>
      </x:c>
      <x:c r="K460" s="159" t="n">
        <x:f>I460-J460</x:f>
        <x:v>-88466</x:v>
      </x:c>
      <x:c r="L460" s="154" t="n">
        <x:f>IFERROR(K460/D460,"")</x:f>
        <x:v>-0.17033197657179605</x:v>
      </x:c>
    </x:row>
    <x:row r="461">
      <x:c r="A461" s="141" t="str">
        <x:v>Silver</x:v>
      </x:c>
      <x:c r="B461" s="155" t="n">
        <x:v>43977</x:v>
      </x:c>
      <x:c r="C461" s="155" t="n">
        <x:v>43980</x:v>
      </x:c>
      <x:c r="D461" s="159" t="n">
        <x:v>158185</x:v>
      </x:c>
      <x:c r="E461" s="159" t="n">
        <x:v>40777</x:v>
      </x:c>
      <x:c r="F461" s="159" t="n">
        <x:v>14670</x:v>
      </x:c>
      <x:c r="G461" s="159" t="n">
        <x:f>E461-F461</x:f>
        <x:v>26107</x:v>
      </x:c>
      <x:c r="H461" s="154" t="n">
        <x:f>IFERROR(G461/D461,"")</x:f>
        <x:v>0.16504093308467932</x:v>
      </x:c>
      <x:c r="I461" s="159" t="n">
        <x:v>10466</x:v>
      </x:c>
      <x:c r="J461" s="159" t="n">
        <x:v>54406</x:v>
      </x:c>
      <x:c r="K461" s="159" t="n">
        <x:f>I461-J461</x:f>
        <x:v>-43940</x:v>
      </x:c>
      <x:c r="L461" s="154" t="n">
        <x:f>IFERROR(K461/D461,"")</x:f>
        <x:v>-0.27777602174668903</x:v>
      </x:c>
    </x:row>
    <x:row r="462">
      <x:c r="A462" s="141" t="str">
        <x:v>Gold</x:v>
      </x:c>
      <x:c r="B462" s="155" t="n">
        <x:v>43984</x:v>
      </x:c>
      <x:c r="C462" s="155" t="n">
        <x:v>43987</x:v>
      </x:c>
      <x:c r="D462" s="159" t="n">
        <x:v>475745</x:v>
      </x:c>
      <x:c r="E462" s="159" t="n">
        <x:v>133655</x:v>
      </x:c>
      <x:c r="F462" s="159" t="n">
        <x:v>33300</x:v>
      </x:c>
      <x:c r="G462" s="159" t="n">
        <x:f>E462-F462</x:f>
        <x:v>100355</x:v>
      </x:c>
      <x:c r="H462" s="154" t="n">
        <x:f>IFERROR(G462/D462,"")</x:f>
        <x:v>0.210942837024036</x:v>
      </x:c>
      <x:c r="I462" s="159" t="n">
        <x:v>17550</x:v>
      </x:c>
      <x:c r="J462" s="159" t="n">
        <x:v>99413</x:v>
      </x:c>
      <x:c r="K462" s="159" t="n">
        <x:f>I462-J462</x:f>
        <x:v>-81863</x:v>
      </x:c>
      <x:c r="L462" s="154" t="n">
        <x:f>IFERROR(K462/D462,"")</x:f>
        <x:v>-0.17207327454833998</x:v>
      </x:c>
    </x:row>
    <x:row r="463">
      <x:c r="A463" s="141" t="str">
        <x:v>Silver</x:v>
      </x:c>
      <x:c r="B463" s="155" t="n">
        <x:v>43984</x:v>
      </x:c>
      <x:c r="C463" s="155" t="n">
        <x:v>43987</x:v>
      </x:c>
      <x:c r="D463" s="159" t="n">
        <x:v>169670</x:v>
      </x:c>
      <x:c r="E463" s="159" t="n">
        <x:v>43751</x:v>
      </x:c>
      <x:c r="F463" s="159" t="n">
        <x:v>17033</x:v>
      </x:c>
      <x:c r="G463" s="159" t="n">
        <x:f>E463-F463</x:f>
        <x:v>26718</x:v>
      </x:c>
      <x:c r="H463" s="154" t="n">
        <x:f>IFERROR(G463/D463,"")</x:f>
        <x:v>0.15747038368597865</x:v>
      </x:c>
      <x:c r="I463" s="159" t="n">
        <x:v>10983</x:v>
      </x:c>
      <x:c r="J463" s="159" t="n">
        <x:v>57995</x:v>
      </x:c>
      <x:c r="K463" s="159" t="n">
        <x:f>I463-J463</x:f>
        <x:v>-47012</x:v>
      </x:c>
      <x:c r="L463" s="154" t="n">
        <x:f>IFERROR(K463/D463,"")</x:f>
        <x:v>-0.27707903577532855</x:v>
      </x:c>
    </x:row>
    <x:row r="464">
      <x:c r="A464" s="141" t="str">
        <x:v>Gold</x:v>
      </x:c>
      <x:c r="B464" s="155" t="n">
        <x:v>43991</x:v>
      </x:c>
      <x:c r="C464" s="155" t="n">
        <x:v>43994</x:v>
      </x:c>
      <x:c r="D464" s="159" t="n">
        <x:v>475661</x:v>
      </x:c>
      <x:c r="E464" s="159" t="n">
        <x:v>126407</x:v>
      </x:c>
      <x:c r="F464" s="159" t="n">
        <x:v>35230</x:v>
      </x:c>
      <x:c r="G464" s="159" t="n">
        <x:f>E464-F464</x:f>
        <x:v>91177</x:v>
      </x:c>
      <x:c r="H464" s="154" t="n">
        <x:f>IFERROR(G464/D464,"")</x:f>
        <x:v>0.19168483436733305</x:v>
      </x:c>
      <x:c r="I464" s="159" t="n">
        <x:v>18289</x:v>
      </x:c>
      <x:c r="J464" s="159" t="n">
        <x:v>101180</x:v>
      </x:c>
      <x:c r="K464" s="159" t="n">
        <x:f>I464-J464</x:f>
        <x:v>-82891</x:v>
      </x:c>
      <x:c r="L464" s="154" t="n">
        <x:f>IFERROR(K464/D464,"")</x:f>
        <x:v>-0.17426486510350858</x:v>
      </x:c>
    </x:row>
    <x:row r="465">
      <x:c r="A465" s="141" t="str">
        <x:v>Silver</x:v>
      </x:c>
      <x:c r="B465" s="155" t="n">
        <x:v>43991</x:v>
      </x:c>
      <x:c r="C465" s="155" t="n">
        <x:v>43994</x:v>
      </x:c>
      <x:c r="D465" s="159" t="n">
        <x:v>175240</x:v>
      </x:c>
      <x:c r="E465" s="159" t="n">
        <x:v>44266</x:v>
      </x:c>
      <x:c r="F465" s="159" t="n">
        <x:v>21244</x:v>
      </x:c>
      <x:c r="G465" s="159" t="n">
        <x:f>E465-F465</x:f>
        <x:v>23022</x:v>
      </x:c>
      <x:c r="H465" s="154" t="n">
        <x:f>IFERROR(G465/D465,"")</x:f>
        <x:v>0.1313741154987446</x:v>
      </x:c>
      <x:c r="I465" s="159" t="n">
        <x:v>11886</x:v>
      </x:c>
      <x:c r="J465" s="159" t="n">
        <x:v>56276</x:v>
      </x:c>
      <x:c r="K465" s="159" t="n">
        <x:f>I465-J465</x:f>
        <x:v>-44390</x:v>
      </x:c>
      <x:c r="L465" s="154" t="n">
        <x:f>IFERROR(K465/D465,"")</x:f>
        <x:v>-0.2533097466331888</x:v>
      </x:c>
    </x:row>
    <x:row r="466">
      <x:c r="A466" s="141" t="str">
        <x:v>Gold</x:v>
      </x:c>
      <x:c r="B466" s="155" t="n">
        <x:v>43998</x:v>
      </x:c>
      <x:c r="C466" s="155" t="n">
        <x:v>44001</x:v>
      </x:c>
      <x:c r="D466" s="159" t="n">
        <x:v>489563</x:v>
      </x:c>
      <x:c r="E466" s="159" t="n">
        <x:v>135945</x:v>
      </x:c>
      <x:c r="F466" s="159" t="n">
        <x:v>31257</x:v>
      </x:c>
      <x:c r="G466" s="159" t="n">
        <x:f>E466-F466</x:f>
        <x:v>104688</x:v>
      </x:c>
      <x:c r="H466" s="154" t="n">
        <x:f>IFERROR(G466/D466,"")</x:f>
        <x:v>0.21383968968243106</x:v>
      </x:c>
      <x:c r="I466" s="159" t="n">
        <x:v>17761</x:v>
      </x:c>
      <x:c r="J466" s="159" t="n">
        <x:v>105338</x:v>
      </x:c>
      <x:c r="K466" s="159" t="n">
        <x:f>I466-J466</x:f>
        <x:v>-87577</x:v>
      </x:c>
      <x:c r="L466" s="154" t="n">
        <x:f>IFERROR(K466/D466,"")</x:f>
        <x:v>-0.17888811041684113</x:v>
      </x:c>
    </x:row>
    <x:row r="467">
      <x:c r="A467" s="141" t="str">
        <x:v>Silver</x:v>
      </x:c>
      <x:c r="B467" s="155" t="n">
        <x:v>43998</x:v>
      </x:c>
      <x:c r="C467" s="155" t="n">
        <x:v>44001</x:v>
      </x:c>
      <x:c r="D467" s="159" t="n">
        <x:v>174386</x:v>
      </x:c>
      <x:c r="E467" s="159" t="n">
        <x:v>47457</x:v>
      </x:c>
      <x:c r="F467" s="159" t="n">
        <x:v>20219</x:v>
      </x:c>
      <x:c r="G467" s="159" t="n">
        <x:f>E467-F467</x:f>
        <x:v>27238</x:v>
      </x:c>
      <x:c r="H467" s="154" t="n">
        <x:f>IFERROR(G467/D467,"")</x:f>
        <x:v>0.15619373114814264</x:v>
      </x:c>
      <x:c r="I467" s="159" t="n">
        <x:v>12863</x:v>
      </x:c>
      <x:c r="J467" s="159" t="n">
        <x:v>59034</x:v>
      </x:c>
      <x:c r="K467" s="159" t="n">
        <x:f>I467-J467</x:f>
        <x:v>-46171</x:v>
      </x:c>
      <x:c r="L467" s="154" t="n">
        <x:f>IFERROR(K467/D467,"")</x:f>
        <x:v>-0.2647632264057895</x:v>
      </x:c>
    </x:row>
    <x:row r="468">
      <x:c r="A468" s="141" t="str">
        <x:v>Gold</x:v>
      </x:c>
      <x:c r="B468" s="155" t="n">
        <x:v>44005</x:v>
      </x:c>
      <x:c r="C468" s="155" t="n">
        <x:v>44008</x:v>
      </x:c>
      <x:c r="D468" s="159" t="n">
        <x:v>532101</x:v>
      </x:c>
      <x:c r="E468" s="159" t="n">
        <x:v>161593</x:v>
      </x:c>
      <x:c r="F468" s="159" t="n">
        <x:v>32078</x:v>
      </x:c>
      <x:c r="G468" s="159" t="n">
        <x:f>E468-F468</x:f>
        <x:v>129515</x:v>
      </x:c>
      <x:c r="H468" s="154" t="n">
        <x:f>IFERROR(G468/D468,"")</x:f>
        <x:v>0.24340303814501382</x:v>
      </x:c>
      <x:c r="I468" s="159" t="n">
        <x:v>17771</x:v>
      </x:c>
      <x:c r="J468" s="159" t="n">
        <x:v>111941</x:v>
      </x:c>
      <x:c r="K468" s="159" t="n">
        <x:f>I468-J468</x:f>
        <x:v>-94170</x:v>
      </x:c>
      <x:c r="L468" s="154" t="n">
        <x:f>IFERROR(K468/D468,"")</x:f>
        <x:v>-0.1769776790496541</x:v>
      </x:c>
    </x:row>
    <x:row r="469">
      <x:c r="A469" s="141" t="str">
        <x:v>Silver</x:v>
      </x:c>
      <x:c r="B469" s="155" t="n">
        <x:v>44005</x:v>
      </x:c>
      <x:c r="C469" s="155" t="n">
        <x:v>44008</x:v>
      </x:c>
      <x:c r="D469" s="159" t="n">
        <x:v>183444</x:v>
      </x:c>
      <x:c r="E469" s="159" t="n">
        <x:v>51295</x:v>
      </x:c>
      <x:c r="F469" s="159" t="n">
        <x:v>22552</x:v>
      </x:c>
      <x:c r="G469" s="159" t="n">
        <x:f>E469-F469</x:f>
        <x:v>28743</x:v>
      </x:c>
      <x:c r="H469" s="154" t="n">
        <x:f>IFERROR(G469/D469,"")</x:f>
        <x:v>0.15668541898344998</x:v>
      </x:c>
      <x:c r="I469" s="159" t="n">
        <x:v>11769</x:v>
      </x:c>
      <x:c r="J469" s="159" t="n">
        <x:v>60264</x:v>
      </x:c>
      <x:c r="K469" s="159" t="n">
        <x:f>I469-J469</x:f>
        <x:v>-48495</x:v>
      </x:c>
      <x:c r="L469" s="154" t="n">
        <x:f>IFERROR(K469/D469,"")</x:f>
        <x:v>-0.2643586053509518</x:v>
      </x:c>
    </x:row>
    <x:row r="470">
      <x:c r="A470" s="141" t="str">
        <x:v>Gold</x:v>
      </x:c>
      <x:c r="B470" s="155" t="n">
        <x:v>44012</x:v>
      </x:c>
      <x:c r="C470" s="155" t="n">
        <x:v>44015</x:v>
      </x:c>
      <x:c r="D470" s="159" t="n">
        <x:v>561628</x:v>
      </x:c>
      <x:c r="E470" s="159" t="n">
        <x:v>173526</x:v>
      </x:c>
      <x:c r="F470" s="159" t="n">
        <x:v>34971</x:v>
      </x:c>
      <x:c r="G470" s="159" t="n">
        <x:f>E470-F470</x:f>
        <x:v>138555</x:v>
      </x:c>
      <x:c r="H470" s="154" t="n">
        <x:f>IFERROR(G470/D470,"")</x:f>
        <x:v>0.2467024436103613</x:v>
      </x:c>
      <x:c r="I470" s="159" t="n">
        <x:v>19798</x:v>
      </x:c>
      <x:c r="J470" s="159" t="n">
        <x:v>115221</x:v>
      </x:c>
      <x:c r="K470" s="159" t="n">
        <x:f>I470-J470</x:f>
        <x:v>-95423</x:v>
      </x:c>
      <x:c r="L470" s="154" t="n">
        <x:f>IFERROR(K470/D470,"")</x:f>
        <x:v>-0.1699042782767241</x:v>
      </x:c>
    </x:row>
    <x:row r="471">
      <x:c r="A471" s="141" t="str">
        <x:v>Silver</x:v>
      </x:c>
      <x:c r="B471" s="155" t="n">
        <x:v>44012</x:v>
      </x:c>
      <x:c r="C471" s="155" t="n">
        <x:v>44015</x:v>
      </x:c>
      <x:c r="D471" s="159" t="n">
        <x:v>169418</x:v>
      </x:c>
      <x:c r="E471" s="159" t="n">
        <x:v>59931</x:v>
      </x:c>
      <x:c r="F471" s="159" t="n">
        <x:v>24781</x:v>
      </x:c>
      <x:c r="G471" s="159" t="n">
        <x:f>E471-F471</x:f>
        <x:v>35150</x:v>
      </x:c>
      <x:c r="H471" s="154" t="n">
        <x:f>IFERROR(G471/D471,"")</x:f>
        <x:v>0.20747500265615224</x:v>
      </x:c>
      <x:c r="I471" s="159" t="n">
        <x:v>6076</x:v>
      </x:c>
      <x:c r="J471" s="159" t="n">
        <x:v>49490</x:v>
      </x:c>
      <x:c r="K471" s="159" t="n">
        <x:f>I471-J471</x:f>
        <x:v>-43414</x:v>
      </x:c>
      <x:c r="L471" s="154" t="n">
        <x:f>IFERROR(K471/D471,"")</x:f>
        <x:v>-0.25625376288233837</x:v>
      </x:c>
    </x:row>
    <x:row r="472">
      <x:c r="A472" s="141" t="str">
        <x:v>Gold</x:v>
      </x:c>
      <x:c r="B472" s="155" t="n">
        <x:v>44019</x:v>
      </x:c>
      <x:c r="C472" s="155" t="n">
        <x:v>44022</x:v>
      </x:c>
      <x:c r="D472" s="159" t="n">
        <x:v>572776</x:v>
      </x:c>
      <x:c r="E472" s="159" t="n">
        <x:v>179810</x:v>
      </x:c>
      <x:c r="F472" s="159" t="n">
        <x:v>40467</x:v>
      </x:c>
      <x:c r="G472" s="159" t="n">
        <x:f>E472-F472</x:f>
        <x:v>139343</x:v>
      </x:c>
      <x:c r="H472" s="154" t="n">
        <x:f>IFERROR(G472/D472,"")</x:f>
        <x:v>0.2432766037683143</x:v>
      </x:c>
      <x:c r="I472" s="159" t="n">
        <x:v>20352</x:v>
      </x:c>
      <x:c r="J472" s="159" t="n">
        <x:v>112705</x:v>
      </x:c>
      <x:c r="K472" s="159" t="n">
        <x:f>I472-J472</x:f>
        <x:v>-92353</x:v>
      </x:c>
      <x:c r="L472" s="154" t="n">
        <x:f>IFERROR(K472/D472,"")</x:f>
        <x:v>-0.16123755185273125</x:v>
      </x:c>
    </x:row>
    <x:row r="473">
      <x:c r="A473" s="141" t="str">
        <x:v>Silver</x:v>
      </x:c>
      <x:c r="B473" s="155" t="n">
        <x:v>44019</x:v>
      </x:c>
      <x:c r="C473" s="155" t="n">
        <x:v>44022</x:v>
      </x:c>
      <x:c r="D473" s="159" t="n">
        <x:v>169513</x:v>
      </x:c>
      <x:c r="E473" s="159" t="n">
        <x:v>62211</x:v>
      </x:c>
      <x:c r="F473" s="159" t="n">
        <x:v>26195</x:v>
      </x:c>
      <x:c r="G473" s="159" t="n">
        <x:f>E473-F473</x:f>
        <x:v>36016</x:v>
      </x:c>
      <x:c r="H473" s="154" t="n">
        <x:f>IFERROR(G473/D473,"")</x:f>
        <x:v>0.21246748037023708</x:v>
      </x:c>
      <x:c r="I473" s="159" t="n">
        <x:v>6059</x:v>
      </x:c>
      <x:c r="J473" s="159" t="n">
        <x:v>48441</x:v>
      </x:c>
      <x:c r="K473" s="159" t="n">
        <x:f>I473-J473</x:f>
        <x:v>-42382</x:v>
      </x:c>
      <x:c r="L473" s="154" t="n">
        <x:f>IFERROR(K473/D473,"")</x:f>
        <x:v>-0.2500221221971176</x:v>
      </x:c>
    </x:row>
    <x:row r="474">
      <x:c r="A474" s="141" t="str">
        <x:v>Gold</x:v>
      </x:c>
      <x:c r="B474" s="155" t="n">
        <x:v>44026</x:v>
      </x:c>
      <x:c r="C474" s="155" t="n">
        <x:v>44029</x:v>
      </x:c>
      <x:c r="D474" s="159" t="n">
        <x:v>580175</x:v>
      </x:c>
      <x:c r="E474" s="159" t="n">
        <x:v>177400</x:v>
      </x:c>
      <x:c r="F474" s="159" t="n">
        <x:v>42427</x:v>
      </x:c>
      <x:c r="G474" s="159" t="n">
        <x:f>E474-F474</x:f>
        <x:v>134973</x:v>
      </x:c>
      <x:c r="H474" s="154" t="n">
        <x:f>IFERROR(G474/D474,"")</x:f>
        <x:v>0.23264187529624683</x:v>
      </x:c>
      <x:c r="I474" s="159" t="n">
        <x:v>22532</x:v>
      </x:c>
      <x:c r="J474" s="159" t="n">
        <x:v>118784</x:v>
      </x:c>
      <x:c r="K474" s="159" t="n">
        <x:f>I474-J474</x:f>
        <x:v>-96252</x:v>
      </x:c>
      <x:c r="L474" s="154" t="n">
        <x:f>IFERROR(K474/D474,"")</x:f>
        <x:v>-0.165901667600293</x:v>
      </x:c>
    </x:row>
    <x:row r="475">
      <x:c r="A475" s="141" t="str">
        <x:v>Silver</x:v>
      </x:c>
      <x:c r="B475" s="155" t="n">
        <x:v>44026</x:v>
      </x:c>
      <x:c r="C475" s="155" t="n">
        <x:v>44029</x:v>
      </x:c>
      <x:c r="D475" s="159" t="n">
        <x:v>178367</x:v>
      </x:c>
      <x:c r="E475" s="159" t="n">
        <x:v>65615</x:v>
      </x:c>
      <x:c r="F475" s="159" t="n">
        <x:v>22988</x:v>
      </x:c>
      <x:c r="G475" s="159" t="n">
        <x:f>E475-F475</x:f>
        <x:v>42627</x:v>
      </x:c>
      <x:c r="H475" s="154" t="n">
        <x:f>IFERROR(G475/D475,"")</x:f>
        <x:v>0.23898478978734855</x:v>
      </x:c>
      <x:c r="I475" s="159" t="n">
        <x:v>5375</x:v>
      </x:c>
      <x:c r="J475" s="159" t="n">
        <x:v>53927</x:v>
      </x:c>
      <x:c r="K475" s="159" t="n">
        <x:f>I475-J475</x:f>
        <x:v>-48552</x:v>
      </x:c>
      <x:c r="L475" s="154" t="n">
        <x:f>IFERROR(K475/D475,"")</x:f>
        <x:v>-0.2722028177858012</x:v>
      </x:c>
    </x:row>
    <x:row r="476">
      <x:c r="A476" s="141" t="str">
        <x:v>Gold</x:v>
      </x:c>
      <x:c r="B476" s="155" t="n">
        <x:v>44033</x:v>
      </x:c>
      <x:c r="C476" s="155" t="n">
        <x:v>44036</x:v>
      </x:c>
      <x:c r="D476" s="159" t="n">
        <x:v>603138</x:v>
      </x:c>
      <x:c r="E476" s="159" t="n">
        <x:v>181256</x:v>
      </x:c>
      <x:c r="F476" s="159" t="n">
        <x:v>40987</x:v>
      </x:c>
      <x:c r="G476" s="159" t="n">
        <x:f>E476-F476</x:f>
        <x:v>140269</x:v>
      </x:c>
      <x:c r="H476" s="154" t="n">
        <x:f>IFERROR(G476/D476,"")</x:f>
        <x:v>0.23256534988675892</x:v>
      </x:c>
      <x:c r="I476" s="159" t="n">
        <x:v>23045</x:v>
      </x:c>
      <x:c r="J476" s="159" t="n">
        <x:v>123303</x:v>
      </x:c>
      <x:c r="K476" s="159" t="n">
        <x:f>I476-J476</x:f>
        <x:v>-100258</x:v>
      </x:c>
      <x:c r="L476" s="154" t="n">
        <x:f>IFERROR(K476/D476,"")</x:f>
        <x:v>-0.1662272978986567</x:v>
      </x:c>
    </x:row>
    <x:row r="477">
      <x:c r="A477" s="141" t="str">
        <x:v>Silver</x:v>
      </x:c>
      <x:c r="B477" s="155" t="n">
        <x:v>44033</x:v>
      </x:c>
      <x:c r="C477" s="155" t="n">
        <x:v>44036</x:v>
      </x:c>
      <x:c r="D477" s="159" t="n">
        <x:v>185745</x:v>
      </x:c>
      <x:c r="E477" s="159" t="n">
        <x:v>71496</x:v>
      </x:c>
      <x:c r="F477" s="159" t="n">
        <x:v>22840</x:v>
      </x:c>
      <x:c r="G477" s="159" t="n">
        <x:f>E477-F477</x:f>
        <x:v>48656</x:v>
      </x:c>
      <x:c r="H477" s="154" t="n">
        <x:f>IFERROR(G477/D477,"")</x:f>
        <x:v>0.2619505235672562</x:v>
      </x:c>
      <x:c r="I477" s="159" t="n">
        <x:v>7003</x:v>
      </x:c>
      <x:c r="J477" s="159" t="n">
        <x:v>55515</x:v>
      </x:c>
      <x:c r="K477" s="159" t="n">
        <x:f>I477-J477</x:f>
        <x:v>-48512</x:v>
      </x:c>
      <x:c r="L477" s="154" t="n">
        <x:f>IFERROR(K477/D477,"")</x:f>
        <x:v>-0.26117526716735306</x:v>
      </x:c>
    </x:row>
    <x:row r="478">
      <x:c r="A478" s="141" t="str">
        <x:v>Gold</x:v>
      </x:c>
      <x:c r="B478" s="155" t="n">
        <x:v>44040</x:v>
      </x:c>
      <x:c r="C478" s="155" t="n">
        <x:v>44043</x:v>
      </x:c>
      <x:c r="D478" s="159" t="n">
        <x:v>598629</x:v>
      </x:c>
      <x:c r="E478" s="159" t="n">
        <x:v>159894</x:v>
      </x:c>
      <x:c r="F478" s="159" t="n">
        <x:v>42758</x:v>
      </x:c>
      <x:c r="G478" s="159" t="n">
        <x:f>E478-F478</x:f>
        <x:v>117136</x:v>
      </x:c>
      <x:c r="H478" s="154" t="n">
        <x:f>IFERROR(G478/D478,"")</x:f>
        <x:v>0.19567378125683854</x:v>
      </x:c>
      <x:c r="I478" s="159" t="n">
        <x:v>20494</x:v>
      </x:c>
      <x:c r="J478" s="159" t="n">
        <x:v>110969</x:v>
      </x:c>
      <x:c r="K478" s="159" t="n">
        <x:f>I478-J478</x:f>
        <x:v>-90475</x:v>
      </x:c>
      <x:c r="L478" s="154" t="n">
        <x:f>IFERROR(K478/D478,"")</x:f>
        <x:v>-0.15113701474535982</x:v>
      </x:c>
    </x:row>
    <x:row r="479">
      <x:c r="A479" s="141" t="str">
        <x:v>Silver</x:v>
      </x:c>
      <x:c r="B479" s="155" t="n">
        <x:v>44040</x:v>
      </x:c>
      <x:c r="C479" s="155" t="n">
        <x:v>44043</x:v>
      </x:c>
      <x:c r="D479" s="159" t="n">
        <x:v>184020</x:v>
      </x:c>
      <x:c r="E479" s="159" t="n">
        <x:v>57957</x:v>
      </x:c>
      <x:c r="F479" s="159" t="n">
        <x:v>25182</x:v>
      </x:c>
      <x:c r="G479" s="159" t="n">
        <x:f>E479-F479</x:f>
        <x:v>32775</x:v>
      </x:c>
      <x:c r="H479" s="154" t="n">
        <x:f>IFERROR(G479/D479,"")</x:f>
        <x:v>0.17810564069122922</x:v>
      </x:c>
      <x:c r="I479" s="159" t="n">
        <x:v>9459</x:v>
      </x:c>
      <x:c r="J479" s="159" t="n">
        <x:v>51606</x:v>
      </x:c>
      <x:c r="K479" s="159" t="n">
        <x:f>I479-J479</x:f>
        <x:v>-42147</x:v>
      </x:c>
      <x:c r="L479" s="154" t="n">
        <x:f>IFERROR(K479/D479,"")</x:f>
        <x:v>-0.22903488751222692</x:v>
      </x:c>
    </x:row>
    <x:row r="480">
      <x:c r="A480" s="141" t="str">
        <x:v>Gold</x:v>
      </x:c>
      <x:c r="B480" s="155" t="n">
        <x:v>44047</x:v>
      </x:c>
      <x:c r="C480" s="155" t="n">
        <x:v>44050</x:v>
      </x:c>
      <x:c r="D480" s="159" t="n">
        <x:v>561837</x:v>
      </x:c>
      <x:c r="E480" s="159" t="n">
        <x:v>165357</x:v>
      </x:c>
      <x:c r="F480" s="159" t="n">
        <x:v>51885</x:v>
      </x:c>
      <x:c r="G480" s="159" t="n">
        <x:f>E480-F480</x:f>
        <x:v>113472</x:v>
      </x:c>
      <x:c r="H480" s="154" t="n">
        <x:f>IFERROR(G480/D480,"")</x:f>
        <x:v>0.20196605065170148</x:v>
      </x:c>
      <x:c r="I480" s="159" t="n">
        <x:v>19158</x:v>
      </x:c>
      <x:c r="J480" s="159" t="n">
        <x:v>116748</x:v>
      </x:c>
      <x:c r="K480" s="159" t="n">
        <x:f>I480-J480</x:f>
        <x:v>-97590</x:v>
      </x:c>
      <x:c r="L480" s="154" t="n">
        <x:f>IFERROR(K480/D480,"")</x:f>
        <x:v>-0.17369806545314745</x:v>
      </x:c>
    </x:row>
    <x:row r="481">
      <x:c r="A481" s="141" t="str">
        <x:v>Silver</x:v>
      </x:c>
      <x:c r="B481" s="155" t="n">
        <x:v>44047</x:v>
      </x:c>
      <x:c r="C481" s="155" t="n">
        <x:v>44050</x:v>
      </x:c>
      <x:c r="D481" s="159" t="n">
        <x:v>205527</x:v>
      </x:c>
      <x:c r="E481" s="159" t="n">
        <x:v>57977</x:v>
      </x:c>
      <x:c r="F481" s="159" t="n">
        <x:v>25850</x:v>
      </x:c>
      <x:c r="G481" s="159" t="n">
        <x:f>E481-F481</x:f>
        <x:v>32127</x:v>
      </x:c>
      <x:c r="H481" s="154" t="n">
        <x:f>IFERROR(G481/D481,"")</x:f>
        <x:v>0.156315228656089</x:v>
      </x:c>
      <x:c r="I481" s="159" t="n">
        <x:v>11200</x:v>
      </x:c>
      <x:c r="J481" s="159" t="n">
        <x:v>57411</x:v>
      </x:c>
      <x:c r="K481" s="159" t="n">
        <x:f>I481-J481</x:f>
        <x:v>-46211</x:v>
      </x:c>
      <x:c r="L481" s="154" t="n">
        <x:f>IFERROR(K481/D481,"")</x:f>
        <x:v>-0.22484150500907424</x:v>
      </x:c>
    </x:row>
    <x:row r="482">
      <x:c r="A482" s="141" t="str">
        <x:v>Gold</x:v>
      </x:c>
      <x:c r="B482" s="155" t="n">
        <x:v>44054</x:v>
      </x:c>
      <x:c r="C482" s="155" t="n">
        <x:v>44057</x:v>
      </x:c>
      <x:c r="D482" s="159" t="n">
        <x:v>553345</x:v>
      </x:c>
      <x:c r="E482" s="159" t="n">
        <x:v>155418</x:v>
      </x:c>
      <x:c r="F482" s="159" t="n">
        <x:v>57726</x:v>
      </x:c>
      <x:c r="G482" s="159" t="n">
        <x:f>E482-F482</x:f>
        <x:v>97692</x:v>
      </x:c>
      <x:c r="H482" s="154" t="n">
        <x:f>IFERROR(G482/D482,"")</x:f>
        <x:v>0.17654808482953674</x:v>
      </x:c>
      <x:c r="I482" s="159" t="n">
        <x:v>20119</x:v>
      </x:c>
      <x:c r="J482" s="159" t="n">
        <x:v>113766</x:v>
      </x:c>
      <x:c r="K482" s="159" t="n">
        <x:f>I482-J482</x:f>
        <x:v>-93647</x:v>
      </x:c>
      <x:c r="L482" s="154" t="n">
        <x:f>IFERROR(K482/D482,"")</x:f>
        <x:v>-0.1692379979940182</x:v>
      </x:c>
    </x:row>
    <x:row r="483">
      <x:c r="A483" s="141" t="str">
        <x:v>Silver</x:v>
      </x:c>
      <x:c r="B483" s="155" t="n">
        <x:v>44054</x:v>
      </x:c>
      <x:c r="C483" s="155" t="n">
        <x:v>44057</x:v>
      </x:c>
      <x:c r="D483" s="159" t="n">
        <x:v>198069</x:v>
      </x:c>
      <x:c r="E483" s="159" t="n">
        <x:v>51351</x:v>
      </x:c>
      <x:c r="F483" s="159" t="n">
        <x:v>27373</x:v>
      </x:c>
      <x:c r="G483" s="159" t="n">
        <x:f>E483-F483</x:f>
        <x:v>23978</x:v>
      </x:c>
      <x:c r="H483" s="154" t="n">
        <x:f>IFERROR(G483/D483,"")</x:f>
        <x:v>0.12105882293544169</x:v>
      </x:c>
      <x:c r="I483" s="159" t="n">
        <x:v>11014</x:v>
      </x:c>
      <x:c r="J483" s="159" t="n">
        <x:v>52938</x:v>
      </x:c>
      <x:c r="K483" s="159" t="n">
        <x:f>I483-J483</x:f>
        <x:v>-41924</x:v>
      </x:c>
      <x:c r="L483" s="154" t="n">
        <x:f>IFERROR(K483/D483,"")</x:f>
        <x:v>-0.211663612175555</x:v>
      </x:c>
    </x:row>
    <x:row r="484">
      <x:c r="A484" s="141" t="str">
        <x:v>Gold</x:v>
      </x:c>
      <x:c r="B484" s="155" t="n">
        <x:v>44061</x:v>
      </x:c>
      <x:c r="C484" s="155" t="n">
        <x:v>44064</x:v>
      </x:c>
      <x:c r="D484" s="159" t="n">
        <x:v>544010</x:v>
      </x:c>
      <x:c r="E484" s="159" t="n">
        <x:v>151016</x:v>
      </x:c>
      <x:c r="F484" s="159" t="n">
        <x:v>55578</x:v>
      </x:c>
      <x:c r="G484" s="159" t="n">
        <x:f>E484-F484</x:f>
        <x:v>95438</x:v>
      </x:c>
      <x:c r="H484" s="154" t="n">
        <x:f>IFERROR(G484/D484,"")</x:f>
        <x:v>0.17543427510523704</x:v>
      </x:c>
      <x:c r="I484" s="159" t="n">
        <x:v>19419</x:v>
      </x:c>
      <x:c r="J484" s="159" t="n">
        <x:v>110411</x:v>
      </x:c>
      <x:c r="K484" s="159" t="n">
        <x:f>I484-J484</x:f>
        <x:v>-90992</x:v>
      </x:c>
      <x:c r="L484" s="154" t="n">
        <x:f>IFERROR(K484/D484,"")</x:f>
        <x:v>-0.16726163122001433</x:v>
      </x:c>
    </x:row>
    <x:row r="485">
      <x:c r="A485" s="141" t="str">
        <x:v>Silver</x:v>
      </x:c>
      <x:c r="B485" s="155" t="n">
        <x:v>44061</x:v>
      </x:c>
      <x:c r="C485" s="155" t="n">
        <x:v>44064</x:v>
      </x:c>
      <x:c r="D485" s="159" t="n">
        <x:v>194897</x:v>
      </x:c>
      <x:c r="E485" s="159" t="n">
        <x:v>58680</x:v>
      </x:c>
      <x:c r="F485" s="159" t="n">
        <x:v>26423</x:v>
      </x:c>
      <x:c r="G485" s="159" t="n">
        <x:f>E485-F485</x:f>
        <x:v>32257</x:v>
      </x:c>
      <x:c r="H485" s="154" t="n">
        <x:f>IFERROR(G485/D485,"")</x:f>
        <x:v>0.1655079349605176</x:v>
      </x:c>
      <x:c r="I485" s="159" t="n">
        <x:v>9506</x:v>
      </x:c>
      <x:c r="J485" s="159" t="n">
        <x:v>53404</x:v>
      </x:c>
      <x:c r="K485" s="159" t="n">
        <x:f>I485-J485</x:f>
        <x:v>-43898</x:v>
      </x:c>
      <x:c r="L485" s="154" t="n">
        <x:f>IFERROR(K485/D485,"")</x:f>
        <x:v>-0.22523692001416132</x:v>
      </x:c>
    </x:row>
    <x:row r="486">
      <x:c r="A486" s="141" t="str">
        <x:v>Gold</x:v>
      </x:c>
      <x:c r="B486" s="155" t="n">
        <x:v>44068</x:v>
      </x:c>
      <x:c r="C486" s="155" t="n">
        <x:v>44071</x:v>
      </x:c>
      <x:c r="D486" s="159" t="n">
        <x:v>549282</x:v>
      </x:c>
      <x:c r="E486" s="159" t="n">
        <x:v>145055</x:v>
      </x:c>
      <x:c r="F486" s="159" t="n">
        <x:v>58206</x:v>
      </x:c>
      <x:c r="G486" s="159" t="n">
        <x:f>E486-F486</x:f>
        <x:v>86849</x:v>
      </x:c>
      <x:c r="H486" s="154" t="n">
        <x:f>IFERROR(G486/D486,"")</x:f>
        <x:v>0.15811368295338277</x:v>
      </x:c>
      <x:c r="I486" s="159" t="n">
        <x:v>21545</x:v>
      </x:c>
      <x:c r="J486" s="159" t="n">
        <x:v>114604</x:v>
      </x:c>
      <x:c r="K486" s="159" t="n">
        <x:f>I486-J486</x:f>
        <x:v>-93059</x:v>
      </x:c>
      <x:c r="L486" s="154" t="n">
        <x:f>IFERROR(K486/D486,"")</x:f>
        <x:v>-0.16941935108013734</x:v>
      </x:c>
    </x:row>
    <x:row r="487">
      <x:c r="A487" s="141" t="str">
        <x:v>Silver</x:v>
      </x:c>
      <x:c r="B487" s="155" t="n">
        <x:v>44068</x:v>
      </x:c>
      <x:c r="C487" s="155" t="n">
        <x:v>44071</x:v>
      </x:c>
      <x:c r="D487" s="159" t="n">
        <x:v>187631</x:v>
      </x:c>
      <x:c r="E487" s="159" t="n">
        <x:v>61800</x:v>
      </x:c>
      <x:c r="F487" s="159" t="n">
        <x:v>23720</x:v>
      </x:c>
      <x:c r="G487" s="159" t="n">
        <x:f>E487-F487</x:f>
        <x:v>38080</x:v>
      </x:c>
      <x:c r="H487" s="154" t="n">
        <x:f>IFERROR(G487/D487,"")</x:f>
        <x:v>0.2029515378588826</x:v>
      </x:c>
      <x:c r="I487" s="159" t="n">
        <x:v>8029</x:v>
      </x:c>
      <x:c r="J487" s="159" t="n">
        <x:v>55058</x:v>
      </x:c>
      <x:c r="K487" s="159" t="n">
        <x:f>I487-J487</x:f>
        <x:v>-47029</x:v>
      </x:c>
      <x:c r="L487" s="154" t="n">
        <x:f>IFERROR(K487/D487,"")</x:f>
        <x:v>-0.25064621517766256</x:v>
      </x:c>
    </x:row>
    <x:row r="488">
      <x:c r="A488" s="141" t="str">
        <x:v>Gold</x:v>
      </x:c>
      <x:c r="B488" s="155" t="n">
        <x:v>44075</x:v>
      </x:c>
      <x:c r="C488" s="155" t="n">
        <x:v>44078</x:v>
      </x:c>
      <x:c r="D488" s="159" t="n">
        <x:v>547704</x:v>
      </x:c>
      <x:c r="E488" s="159" t="n">
        <x:v>147175</x:v>
      </x:c>
      <x:c r="F488" s="159" t="n">
        <x:v>49433</x:v>
      </x:c>
      <x:c r="G488" s="159" t="n">
        <x:f>E488-F488</x:f>
        <x:v>97742</x:v>
      </x:c>
      <x:c r="H488" s="154" t="n">
        <x:f>IFERROR(G488/D488,"")</x:f>
        <x:v>0.1784577070826578</x:v>
      </x:c>
      <x:c r="I488" s="159" t="n">
        <x:v>17887</x:v>
      </x:c>
      <x:c r="J488" s="159" t="n">
        <x:v>115747</x:v>
      </x:c>
      <x:c r="K488" s="159" t="n">
        <x:f>I488-J488</x:f>
        <x:v>-97860</x:v>
      </x:c>
      <x:c r="L488" s="154" t="n">
        <x:f>IFERROR(K488/D488,"")</x:f>
        <x:v>-0.17867315192147584</x:v>
      </x:c>
    </x:row>
    <x:row r="489">
      <x:c r="A489" s="141" t="str">
        <x:v>Silver</x:v>
      </x:c>
      <x:c r="B489" s="155" t="n">
        <x:v>44075</x:v>
      </x:c>
      <x:c r="C489" s="155" t="n">
        <x:v>44078</x:v>
      </x:c>
      <x:c r="D489" s="159" t="n">
        <x:v>166449</x:v>
      </x:c>
      <x:c r="E489" s="159" t="n">
        <x:v>61853</x:v>
      </x:c>
      <x:c r="F489" s="159" t="n">
        <x:v>24266</x:v>
      </x:c>
      <x:c r="G489" s="159" t="n">
        <x:f>E489-F489</x:f>
        <x:v>37587</x:v>
      </x:c>
      <x:c r="H489" s="154" t="n">
        <x:f>IFERROR(G489/D489,"")</x:f>
        <x:v>0.22581691689346287</x:v>
      </x:c>
      <x:c r="I489" s="159" t="n">
        <x:v>8353</x:v>
      </x:c>
      <x:c r="J489" s="159" t="n">
        <x:v>58087</x:v>
      </x:c>
      <x:c r="K489" s="159" t="n">
        <x:f>I489-J489</x:f>
        <x:v>-49734</x:v>
      </x:c>
      <x:c r="L489" s="154" t="n">
        <x:f>IFERROR(K489/D489,"")</x:f>
        <x:v>-0.2987942252581872</x:v>
      </x:c>
    </x:row>
    <x:row r="490">
      <x:c r="A490" s="141" t="str">
        <x:v>Gold</x:v>
      </x:c>
      <x:c r="B490" s="155" t="n">
        <x:v>44082</x:v>
      </x:c>
      <x:c r="C490" s="155" t="n">
        <x:v>44085</x:v>
      </x:c>
      <x:c r="D490" s="159" t="n">
        <x:v>557457</x:v>
      </x:c>
      <x:c r="E490" s="159" t="n">
        <x:v>155528</x:v>
      </x:c>
      <x:c r="F490" s="159" t="n">
        <x:v>51236</x:v>
      </x:c>
      <x:c r="G490" s="159" t="n">
        <x:f>E490-F490</x:f>
        <x:v>104292</x:v>
      </x:c>
      <x:c r="H490" s="154" t="n">
        <x:f>IFERROR(G490/D490,"")</x:f>
        <x:v>0.18708528191412074</x:v>
      </x:c>
      <x:c r="I490" s="159" t="n">
        <x:v>17766</x:v>
      </x:c>
      <x:c r="J490" s="159" t="n">
        <x:v>118943</x:v>
      </x:c>
      <x:c r="K490" s="159" t="n">
        <x:f>I490-J490</x:f>
        <x:v>-101177</x:v>
      </x:c>
      <x:c r="L490" s="154" t="n">
        <x:f>IFERROR(K490/D490,"")</x:f>
        <x:v>-0.18149740697488775</x:v>
      </x:c>
    </x:row>
    <x:row r="491">
      <x:c r="A491" s="141" t="str">
        <x:v>Silver</x:v>
      </x:c>
      <x:c r="B491" s="155" t="n">
        <x:v>44082</x:v>
      </x:c>
      <x:c r="C491" s="155" t="n">
        <x:v>44085</x:v>
      </x:c>
      <x:c r="D491" s="159" t="n">
        <x:v>158991</x:v>
      </x:c>
      <x:c r="E491" s="159" t="n">
        <x:v>59951</x:v>
      </x:c>
      <x:c r="F491" s="159" t="n">
        <x:v>24127</x:v>
      </x:c>
      <x:c r="G491" s="159" t="n">
        <x:f>E491-F491</x:f>
        <x:v>35824</x:v>
      </x:c>
      <x:c r="H491" s="154" t="n">
        <x:f>IFERROR(G491/D491,"")</x:f>
        <x:v>0.22532093011554113</x:v>
      </x:c>
      <x:c r="I491" s="159" t="n">
        <x:v>8516</x:v>
      </x:c>
      <x:c r="J491" s="159" t="n">
        <x:v>56513</x:v>
      </x:c>
      <x:c r="K491" s="159" t="n">
        <x:f>I491-J491</x:f>
        <x:v>-47997</x:v>
      </x:c>
      <x:c r="L491" s="154" t="n">
        <x:f>IFERROR(K491/D491,"")</x:f>
        <x:v>-0.30188501235919013</x:v>
      </x:c>
    </x:row>
    <x:row r="492">
      <x:c r="A492" s="141" t="str">
        <x:v>Gold</x:v>
      </x:c>
      <x:c r="B492" s="155" t="n">
        <x:v>44089</x:v>
      </x:c>
      <x:c r="C492" s="155" t="n">
        <x:v>44092</x:v>
      </x:c>
      <x:c r="D492" s="159" t="n">
        <x:v>578925</x:v>
      </x:c>
      <x:c r="E492" s="159" t="n">
        <x:v>166571</x:v>
      </x:c>
      <x:c r="F492" s="159" t="n">
        <x:v>55473</x:v>
      </x:c>
      <x:c r="G492" s="159" t="n">
        <x:f>E492-F492</x:f>
        <x:v>111098</x:v>
      </x:c>
      <x:c r="H492" s="154" t="n">
        <x:f>IFERROR(G492/D492,"")</x:f>
        <x:v>0.1919039599257244</x:v>
      </x:c>
      <x:c r="I492" s="159" t="n">
        <x:v>19681</x:v>
      </x:c>
      <x:c r="J492" s="159" t="n">
        <x:v>121622</x:v>
      </x:c>
      <x:c r="K492" s="159" t="n">
        <x:f>I492-J492</x:f>
        <x:v>-101941</x:v>
      </x:c>
      <x:c r="L492" s="154" t="n">
        <x:f>IFERROR(K492/D492,"")</x:f>
        <x:v>-0.1760867124411625</x:v>
      </x:c>
    </x:row>
    <x:row r="493">
      <x:c r="A493" s="141" t="str">
        <x:v>Silver</x:v>
      </x:c>
      <x:c r="B493" s="155" t="n">
        <x:v>44089</x:v>
      </x:c>
      <x:c r="C493" s="155" t="n">
        <x:v>44092</x:v>
      </x:c>
      <x:c r="D493" s="159" t="n">
        <x:v>162397</x:v>
      </x:c>
      <x:c r="E493" s="159" t="n">
        <x:v>63247</x:v>
      </x:c>
      <x:c r="F493" s="159" t="n">
        <x:v>23982</x:v>
      </x:c>
      <x:c r="G493" s="159" t="n">
        <x:f>E493-F493</x:f>
        <x:v>39265</x:v>
      </x:c>
      <x:c r="H493" s="154" t="n">
        <x:f>IFERROR(G493/D493,"")</x:f>
        <x:v>0.24178402310387506</x:v>
      </x:c>
      <x:c r="I493" s="159" t="n">
        <x:v>7659</x:v>
      </x:c>
      <x:c r="J493" s="159" t="n">
        <x:v>59226</x:v>
      </x:c>
      <x:c r="K493" s="159" t="n">
        <x:f>I493-J493</x:f>
        <x:v>-51567</x:v>
      </x:c>
      <x:c r="L493" s="154" t="n">
        <x:f>IFERROR(K493/D493,"")</x:f>
        <x:v>-0.3175366540022291</x:v>
      </x:c>
    </x:row>
    <x:row r="494">
      <x:c r="A494" s="141" t="str">
        <x:v>Gold</x:v>
      </x:c>
      <x:c r="B494" s="155" t="n">
        <x:v>44096</x:v>
      </x:c>
      <x:c r="C494" s="155" t="n">
        <x:v>44099</x:v>
      </x:c>
      <x:c r="D494" s="159" t="n">
        <x:v>575877</x:v>
      </x:c>
      <x:c r="E494" s="159" t="n">
        <x:v>144670</x:v>
      </x:c>
      <x:c r="F494" s="159" t="n">
        <x:v>63222</x:v>
      </x:c>
      <x:c r="G494" s="159" t="n">
        <x:f>E494-F494</x:f>
        <x:v>81448</x:v>
      </x:c>
      <x:c r="H494" s="154" t="n">
        <x:f>IFERROR(G494/D494,"")</x:f>
        <x:v>0.14143297961196574</x:v>
      </x:c>
      <x:c r="I494" s="159" t="n">
        <x:v>20734</x:v>
      </x:c>
      <x:c r="J494" s="159" t="n">
        <x:v>113771</x:v>
      </x:c>
      <x:c r="K494" s="159" t="n">
        <x:f>I494-J494</x:f>
        <x:v>-93037</x:v>
      </x:c>
      <x:c r="L494" s="154" t="n">
        <x:f>IFERROR(K494/D494,"")</x:f>
        <x:v>-0.16155706861013724</x:v>
      </x:c>
    </x:row>
    <x:row r="495">
      <x:c r="A495" s="141" t="str">
        <x:v>Silver</x:v>
      </x:c>
      <x:c r="B495" s="155" t="n">
        <x:v>44096</x:v>
      </x:c>
      <x:c r="C495" s="155" t="n">
        <x:v>44099</x:v>
      </x:c>
      <x:c r="D495" s="159" t="n">
        <x:v>157908</x:v>
      </x:c>
      <x:c r="E495" s="159" t="n">
        <x:v>61547</x:v>
      </x:c>
      <x:c r="F495" s="159" t="n">
        <x:v>25052</x:v>
      </x:c>
      <x:c r="G495" s="159" t="n">
        <x:f>E495-F495</x:f>
        <x:v>36495</x:v>
      </x:c>
      <x:c r="H495" s="154" t="n">
        <x:f>IFERROR(G495/D495,"")</x:f>
        <x:v>0.23111558629075157</x:v>
      </x:c>
      <x:c r="I495" s="159" t="n">
        <x:v>8393</x:v>
      </x:c>
      <x:c r="J495" s="159" t="n">
        <x:v>56327</x:v>
      </x:c>
      <x:c r="K495" s="159" t="n">
        <x:f>I495-J495</x:f>
        <x:v>-47934</x:v>
      </x:c>
      <x:c r="L495" s="154" t="n">
        <x:f>IFERROR(K495/D495,"")</x:f>
        <x:v>-0.30355650125389466</x:v>
      </x:c>
    </x:row>
    <x:row r="496">
      <x:c r="A496" s="141" t="str">
        <x:v>Gold</x:v>
      </x:c>
      <x:c r="B496" s="155" t="n">
        <x:v>44103</x:v>
      </x:c>
      <x:c r="C496" s="155" t="n">
        <x:v>44106</x:v>
      </x:c>
      <x:c r="D496" s="159" t="n">
        <x:v>562396</x:v>
      </x:c>
      <x:c r="E496" s="159" t="n">
        <x:v>140320</x:v>
      </x:c>
      <x:c r="F496" s="159" t="n">
        <x:v>45948</x:v>
      </x:c>
      <x:c r="G496" s="159" t="n">
        <x:f>E496-F496</x:f>
        <x:v>94372</x:v>
      </x:c>
      <x:c r="H496" s="154" t="n">
        <x:f>IFERROR(G496/D496,"")</x:f>
        <x:v>0.16780346944146118</x:v>
      </x:c>
      <x:c r="I496" s="159" t="n">
        <x:v>18095</x:v>
      </x:c>
      <x:c r="J496" s="159" t="n">
        <x:v>114937</x:v>
      </x:c>
      <x:c r="K496" s="159" t="n">
        <x:f>I496-J496</x:f>
        <x:v>-96842</x:v>
      </x:c>
      <x:c r="L496" s="154" t="n">
        <x:f>IFERROR(K496/D496,"")</x:f>
        <x:v>-0.17219539257035968</x:v>
      </x:c>
    </x:row>
    <x:row r="497">
      <x:c r="A497" s="141" t="str">
        <x:v>Silver</x:v>
      </x:c>
      <x:c r="B497" s="155" t="n">
        <x:v>44103</x:v>
      </x:c>
      <x:c r="C497" s="155" t="n">
        <x:v>44106</x:v>
      </x:c>
      <x:c r="D497" s="159" t="n">
        <x:v>157308</x:v>
      </x:c>
      <x:c r="E497" s="159" t="n">
        <x:v>59160</x:v>
      </x:c>
      <x:c r="F497" s="159" t="n">
        <x:v>23489</x:v>
      </x:c>
      <x:c r="G497" s="159" t="n">
        <x:f>E497-F497</x:f>
        <x:v>35671</x:v>
      </x:c>
      <x:c r="H497" s="154" t="n">
        <x:f>IFERROR(G497/D497,"")</x:f>
        <x:v>0.226758969664607</x:v>
      </x:c>
      <x:c r="I497" s="159" t="n">
        <x:v>7752</x:v>
      </x:c>
      <x:c r="J497" s="159" t="n">
        <x:v>57302</x:v>
      </x:c>
      <x:c r="K497" s="159" t="n">
        <x:f>I497-J497</x:f>
        <x:v>-49550</x:v>
      </x:c>
      <x:c r="L497" s="154" t="n">
        <x:f>IFERROR(K497/D497,"")</x:f>
        <x:v>-0.31498715894932233</x:v>
      </x:c>
    </x:row>
    <x:row r="498">
      <x:c r="A498" s="141" t="str">
        <x:v>Gold</x:v>
      </x:c>
      <x:c r="B498" s="155" t="n">
        <x:v>44110</x:v>
      </x:c>
      <x:c r="C498" s="155" t="n">
        <x:v>44113</x:v>
      </x:c>
      <x:c r="D498" s="159" t="n">
        <x:v>555555</x:v>
      </x:c>
      <x:c r="E498" s="159" t="n">
        <x:v>139350</x:v>
      </x:c>
      <x:c r="F498" s="159" t="n">
        <x:v>44738</x:v>
      </x:c>
      <x:c r="G498" s="159" t="n">
        <x:f>E498-F498</x:f>
        <x:v>94612</x:v>
      </x:c>
      <x:c r="H498" s="154" t="n">
        <x:f>IFERROR(G498/D498,"")</x:f>
        <x:v>0.1703017703017703</x:v>
      </x:c>
      <x:c r="I498" s="159" t="n">
        <x:v>17090</x:v>
      </x:c>
      <x:c r="J498" s="159" t="n">
        <x:v>114476</x:v>
      </x:c>
      <x:c r="K498" s="159" t="n">
        <x:f>I498-J498</x:f>
        <x:v>-97386</x:v>
      </x:c>
      <x:c r="L498" s="154" t="n">
        <x:f>IFERROR(K498/D498,"")</x:f>
        <x:v>-0.17529497529497529</x:v>
      </x:c>
    </x:row>
    <x:row r="499">
      <x:c r="A499" s="141" t="str">
        <x:v>Silver</x:v>
      </x:c>
      <x:c r="B499" s="155" t="n">
        <x:v>44110</x:v>
      </x:c>
      <x:c r="C499" s="155" t="n">
        <x:v>44113</x:v>
      </x:c>
      <x:c r="D499" s="159" t="n">
        <x:v>155484</x:v>
      </x:c>
      <x:c r="E499" s="159" t="n">
        <x:v>59688</x:v>
      </x:c>
      <x:c r="F499" s="159" t="n">
        <x:v>24420</x:v>
      </x:c>
      <x:c r="G499" s="159" t="n">
        <x:f>E499-F499</x:f>
        <x:v>35268</x:v>
      </x:c>
      <x:c r="H499" s="154" t="n">
        <x:f>IFERROR(G499/D499,"")</x:f>
        <x:v>0.22682719765377787</x:v>
      </x:c>
      <x:c r="I499" s="159" t="n">
        <x:v>8468</x:v>
      </x:c>
      <x:c r="J499" s="159" t="n">
        <x:v>57293</x:v>
      </x:c>
      <x:c r="K499" s="159" t="n">
        <x:f>I499-J499</x:f>
        <x:v>-48825</x:v>
      </x:c>
      <x:c r="L499" s="154" t="n">
        <x:f>IFERROR(K499/D499,"")</x:f>
        <x:v>-0.3140194489465154</x:v>
      </x:c>
    </x:row>
    <x:row r="500">
      <x:c r="A500" s="141" t="str">
        <x:v>Gold</x:v>
      </x:c>
      <x:c r="B500" s="155" t="n">
        <x:v>44117</x:v>
      </x:c>
      <x:c r="C500" s="155" t="n">
        <x:v>44120</x:v>
      </x:c>
      <x:c r="D500" s="159" t="n">
        <x:v>553197</x:v>
      </x:c>
      <x:c r="E500" s="159" t="n">
        <x:v>138169</x:v>
      </x:c>
      <x:c r="F500" s="159" t="n">
        <x:v>56388</x:v>
      </x:c>
      <x:c r="G500" s="159" t="n">
        <x:f>E500-F500</x:f>
        <x:v>81781</x:v>
      </x:c>
      <x:c r="H500" s="154" t="n">
        <x:f>IFERROR(G500/D500,"")</x:f>
        <x:v>0.1478334119671654</x:v>
      </x:c>
      <x:c r="I500" s="159" t="n">
        <x:v>15637</x:v>
      </x:c>
      <x:c r="J500" s="159" t="n">
        <x:v>116151</x:v>
      </x:c>
      <x:c r="K500" s="159" t="n">
        <x:f>I500-J500</x:f>
        <x:v>-100514</x:v>
      </x:c>
      <x:c r="L500" s="154" t="n">
        <x:f>IFERROR(K500/D500,"")</x:f>
        <x:v>-0.18169657463796804</x:v>
      </x:c>
    </x:row>
    <x:row r="501">
      <x:c r="A501" s="141" t="str">
        <x:v>Silver</x:v>
      </x:c>
      <x:c r="B501" s="155" t="n">
        <x:v>44117</x:v>
      </x:c>
      <x:c r="C501" s="155" t="n">
        <x:v>44120</x:v>
      </x:c>
      <x:c r="D501" s="159" t="n">
        <x:v>158203</x:v>
      </x:c>
      <x:c r="E501" s="159" t="n">
        <x:v>59942</x:v>
      </x:c>
      <x:c r="F501" s="159" t="n">
        <x:v>25808</x:v>
      </x:c>
      <x:c r="G501" s="159" t="n">
        <x:f>E501-F501</x:f>
        <x:v>34134</x:v>
      </x:c>
      <x:c r="H501" s="154" t="n">
        <x:f>IFERROR(G501/D501,"")</x:f>
        <x:v>0.21576076307023254</x:v>
      </x:c>
      <x:c r="I501" s="159" t="n">
        <x:v>8248</x:v>
      </x:c>
      <x:c r="J501" s="159" t="n">
        <x:v>57722</x:v>
      </x:c>
      <x:c r="K501" s="159" t="n">
        <x:f>I501-J501</x:f>
        <x:v>-49474</x:v>
      </x:c>
      <x:c r="L501" s="154" t="n">
        <x:f>IFERROR(K501/D501,"")</x:f>
        <x:v>-0.31272479030106887</x:v>
      </x:c>
    </x:row>
    <x:row r="502">
      <x:c r="A502" s="141" t="str">
        <x:v>Gold</x:v>
      </x:c>
      <x:c r="B502" s="155" t="n">
        <x:v>44124</x:v>
      </x:c>
      <x:c r="C502" s="155" t="n">
        <x:v>44127</x:v>
      </x:c>
      <x:c r="D502" s="159" t="n">
        <x:v>562993</x:v>
      </x:c>
      <x:c r="E502" s="159" t="n">
        <x:v>149108</x:v>
      </x:c>
      <x:c r="F502" s="159" t="n">
        <x:v>58543</x:v>
      </x:c>
      <x:c r="G502" s="159" t="n">
        <x:f>E502-F502</x:f>
        <x:v>90565</x:v>
      </x:c>
      <x:c r="H502" s="154" t="n">
        <x:f>IFERROR(G502/D502,"")</x:f>
        <x:v>0.16086345656162687</x:v>
      </x:c>
      <x:c r="I502" s="159" t="n">
        <x:v>16306</x:v>
      </x:c>
      <x:c r="J502" s="159" t="n">
        <x:v>117914</x:v>
      </x:c>
      <x:c r="K502" s="159" t="n">
        <x:f>I502-J502</x:f>
        <x:v>-101608</x:v>
      </x:c>
      <x:c r="L502" s="154" t="n">
        <x:f>IFERROR(K502/D502,"")</x:f>
        <x:v>-0.18047826527150426</x:v>
      </x:c>
    </x:row>
    <x:row r="503">
      <x:c r="A503" s="141" t="str">
        <x:v>Silver</x:v>
      </x:c>
      <x:c r="B503" s="155" t="n">
        <x:v>44124</x:v>
      </x:c>
      <x:c r="C503" s="155" t="n">
        <x:v>44127</x:v>
      </x:c>
      <x:c r="D503" s="159" t="n">
        <x:v>157845</x:v>
      </x:c>
      <x:c r="E503" s="159" t="n">
        <x:v>61839</x:v>
      </x:c>
      <x:c r="F503" s="159" t="n">
        <x:v>21864</x:v>
      </x:c>
      <x:c r="G503" s="159" t="n">
        <x:f>E503-F503</x:f>
        <x:v>39975</x:v>
      </x:c>
      <x:c r="H503" s="154" t="n">
        <x:f>IFERROR(G503/D503,"")</x:f>
        <x:v>0.2532547752542051</x:v>
      </x:c>
      <x:c r="I503" s="159" t="n">
        <x:v>7347</x:v>
      </x:c>
      <x:c r="J503" s="159" t="n">
        <x:v>58512</x:v>
      </x:c>
      <x:c r="K503" s="159" t="n">
        <x:f>I503-J503</x:f>
        <x:v>-51165</x:v>
      </x:c>
      <x:c r="L503" s="154" t="n">
        <x:f>IFERROR(K503/D503,"")</x:f>
        <x:v>-0.32414710633849664</x:v>
      </x:c>
    </x:row>
    <x:row r="504">
      <x:c r="A504" s="141" t="str">
        <x:v>Gold</x:v>
      </x:c>
      <x:c r="B504" s="155" t="n">
        <x:v>44131</x:v>
      </x:c>
      <x:c r="C504" s="155" t="n">
        <x:v>44134</x:v>
      </x:c>
      <x:c r="D504" s="159" t="n">
        <x:v>560900</x:v>
      </x:c>
      <x:c r="E504" s="159" t="n">
        <x:v>149140</x:v>
      </x:c>
      <x:c r="F504" s="159" t="n">
        <x:v>47265</x:v>
      </x:c>
      <x:c r="G504" s="159" t="n">
        <x:f>E504-F504</x:f>
        <x:v>101875</x:v>
      </x:c>
      <x:c r="H504" s="154" t="n">
        <x:f>IFERROR(G504/D504,"")</x:f>
        <x:v>0.18162774113032626</x:v>
      </x:c>
      <x:c r="I504" s="159" t="n">
        <x:v>16885</x:v>
      </x:c>
      <x:c r="J504" s="159" t="n">
        <x:v>110953</x:v>
      </x:c>
      <x:c r="K504" s="159" t="n">
        <x:f>I504-J504</x:f>
        <x:v>-94068</x:v>
      </x:c>
      <x:c r="L504" s="154" t="n">
        <x:f>IFERROR(K504/D504,"")</x:f>
        <x:v>-0.16770903904439294</x:v>
      </x:c>
    </x:row>
    <x:row r="505">
      <x:c r="A505" s="141" t="str">
        <x:v>Silver</x:v>
      </x:c>
      <x:c r="B505" s="155" t="n">
        <x:v>44131</x:v>
      </x:c>
      <x:c r="C505" s="155" t="n">
        <x:v>44134</x:v>
      </x:c>
      <x:c r="D505" s="159" t="n">
        <x:v>160550</x:v>
      </x:c>
      <x:c r="E505" s="159" t="n">
        <x:v>63091</x:v>
      </x:c>
      <x:c r="F505" s="159" t="n">
        <x:v>21459</x:v>
      </x:c>
      <x:c r="G505" s="159" t="n">
        <x:f>E505-F505</x:f>
        <x:v>41632</x:v>
      </x:c>
      <x:c r="H505" s="154" t="n">
        <x:f>IFERROR(G505/D505,"")</x:f>
        <x:v>0.259308626596076</x:v>
      </x:c>
      <x:c r="I505" s="159" t="n">
        <x:v>7927</x:v>
      </x:c>
      <x:c r="J505" s="159" t="n">
        <x:v>58587</x:v>
      </x:c>
      <x:c r="K505" s="159" t="n">
        <x:f>I505-J505</x:f>
        <x:v>-50660</x:v>
      </x:c>
      <x:c r="L505" s="154" t="n">
        <x:f>IFERROR(K505/D505,"")</x:f>
        <x:v>-0.3155403301152289</x:v>
      </x:c>
    </x:row>
    <x:row r="506">
      <x:c r="A506" s="141" t="str">
        <x:v>Gold</x:v>
      </x:c>
      <x:c r="B506" s="155" t="n">
        <x:v>44138</x:v>
      </x:c>
      <x:c r="C506" s="155" t="n">
        <x:v>44141</x:v>
      </x:c>
      <x:c r="D506" s="159" t="n">
        <x:v>544774</x:v>
      </x:c>
      <x:c r="E506" s="159" t="n">
        <x:v>140094</x:v>
      </x:c>
      <x:c r="F506" s="159" t="n">
        <x:v>49399</x:v>
      </x:c>
      <x:c r="G506" s="159" t="n">
        <x:f>E506-F506</x:f>
        <x:v>90695</x:v>
      </x:c>
      <x:c r="H506" s="154" t="n">
        <x:f>IFERROR(G506/D506,"")</x:f>
        <x:v>0.1664818805596449</x:v>
      </x:c>
      <x:c r="I506" s="159" t="n">
        <x:v>15422</x:v>
      </x:c>
      <x:c r="J506" s="159" t="n">
        <x:v>108060</x:v>
      </x:c>
      <x:c r="K506" s="159" t="n">
        <x:f>I506-J506</x:f>
        <x:v>-92638</x:v>
      </x:c>
      <x:c r="L506" s="154" t="n">
        <x:f>IFERROR(K506/D506,"")</x:f>
        <x:v>-0.1700484971749753</x:v>
      </x:c>
    </x:row>
    <x:row r="507">
      <x:c r="A507" s="141" t="str">
        <x:v>Silver</x:v>
      </x:c>
      <x:c r="B507" s="155" t="n">
        <x:v>44138</x:v>
      </x:c>
      <x:c r="C507" s="155" t="n">
        <x:v>44141</x:v>
      </x:c>
      <x:c r="D507" s="159" t="n">
        <x:v>153267</x:v>
      </x:c>
      <x:c r="E507" s="159" t="n">
        <x:v>59694</x:v>
      </x:c>
      <x:c r="F507" s="159" t="n">
        <x:v>19011</x:v>
      </x:c>
      <x:c r="G507" s="159" t="n">
        <x:f>E507-F507</x:f>
        <x:v>40683</x:v>
      </x:c>
      <x:c r="H507" s="154" t="n">
        <x:f>IFERROR(G507/D507,"")</x:f>
        <x:v>0.26543874415236157</x:v>
      </x:c>
      <x:c r="I507" s="159" t="n">
        <x:v>7241</x:v>
      </x:c>
      <x:c r="J507" s="159" t="n">
        <x:v>56295</x:v>
      </x:c>
      <x:c r="K507" s="159" t="n">
        <x:f>I507-J507</x:f>
        <x:v>-49054</x:v>
      </x:c>
      <x:c r="L507" s="154" t="n">
        <x:f>IFERROR(K507/D507,"")</x:f>
        <x:v>-0.32005585024825955</x:v>
      </x:c>
    </x:row>
    <x:row r="508">
      <x:c r="A508" s="141" t="str">
        <x:v>Gold</x:v>
      </x:c>
      <x:c r="B508" s="155" t="n">
        <x:v>44145</x:v>
      </x:c>
      <x:c r="C508" s="155" t="n">
        <x:v>44148</x:v>
      </x:c>
      <x:c r="D508" s="159" t="n">
        <x:v>547449</x:v>
      </x:c>
      <x:c r="E508" s="159" t="n">
        <x:v>130105</x:v>
      </x:c>
      <x:c r="F508" s="159" t="n">
        <x:v>50322</x:v>
      </x:c>
      <x:c r="G508" s="159" t="n">
        <x:f>E508-F508</x:f>
        <x:v>79783</x:v>
      </x:c>
      <x:c r="H508" s="154" t="n">
        <x:f>IFERROR(G508/D508,"")</x:f>
        <x:v>0.1457359498327698</x:v>
      </x:c>
      <x:c r="I508" s="159" t="n">
        <x:v>15986</x:v>
      </x:c>
      <x:c r="J508" s="159" t="n">
        <x:v>108842</x:v>
      </x:c>
      <x:c r="K508" s="159" t="n">
        <x:f>I508-J508</x:f>
        <x:v>-92856</x:v>
      </x:c>
      <x:c r="L508" s="154" t="n">
        <x:f>IFERROR(K508/D508,"")</x:f>
        <x:v>-0.16961579982792918</x:v>
      </x:c>
    </x:row>
    <x:row r="509">
      <x:c r="A509" s="141" t="str">
        <x:v>Silver</x:v>
      </x:c>
      <x:c r="B509" s="155" t="n">
        <x:v>44145</x:v>
      </x:c>
      <x:c r="C509" s="155" t="n">
        <x:v>44148</x:v>
      </x:c>
      <x:c r="D509" s="159" t="n">
        <x:v>155011</x:v>
      </x:c>
      <x:c r="E509" s="159" t="n">
        <x:v>59526</x:v>
      </x:c>
      <x:c r="F509" s="159" t="n">
        <x:v>18849</x:v>
      </x:c>
      <x:c r="G509" s="159" t="n">
        <x:f>E509-F509</x:f>
        <x:v>40677</x:v>
      </x:c>
      <x:c r="H509" s="154" t="n">
        <x:f>IFERROR(G509/D509,"")</x:f>
        <x:v>0.26241363516137567</x:v>
      </x:c>
      <x:c r="I509" s="159" t="n">
        <x:v>7975</x:v>
      </x:c>
      <x:c r="J509" s="159" t="n">
        <x:v>57142</x:v>
      </x:c>
      <x:c r="K509" s="159" t="n">
        <x:f>I509-J509</x:f>
        <x:v>-49167</x:v>
      </x:c>
      <x:c r="L509" s="154" t="n">
        <x:f>IFERROR(K509/D509,"")</x:f>
        <x:v>-0.31718394178477655</x:v>
      </x:c>
    </x:row>
    <x:row r="510">
      <x:c r="A510" s="141" t="str">
        <x:v>Gold</x:v>
      </x:c>
      <x:c r="B510" s="155" t="n">
        <x:v>44152</x:v>
      </x:c>
      <x:c r="C510" s="155" t="n">
        <x:v>44155</x:v>
      </x:c>
      <x:c r="D510" s="159" t="n">
        <x:v>557533</x:v>
      </x:c>
      <x:c r="E510" s="159" t="n">
        <x:v>139550</x:v>
      </x:c>
      <x:c r="F510" s="159" t="n">
        <x:v>49103</x:v>
      </x:c>
      <x:c r="G510" s="159" t="n">
        <x:f>E510-F510</x:f>
        <x:v>90447</x:v>
      </x:c>
      <x:c r="H510" s="154" t="n">
        <x:f>IFERROR(G510/D510,"")</x:f>
        <x:v>0.16222716861602812</x:v>
      </x:c>
      <x:c r="I510" s="159" t="n">
        <x:v>16015</x:v>
      </x:c>
      <x:c r="J510" s="159" t="n">
        <x:v>113514</x:v>
      </x:c>
      <x:c r="K510" s="159" t="n">
        <x:f>I510-J510</x:f>
        <x:v>-97499</x:v>
      </x:c>
      <x:c r="L510" s="154" t="n">
        <x:f>IFERROR(K510/D510,"")</x:f>
        <x:v>-0.1748757472651843</x:v>
      </x:c>
    </x:row>
    <x:row r="511">
      <x:c r="A511" s="141" t="str">
        <x:v>Silver</x:v>
      </x:c>
      <x:c r="B511" s="155" t="n">
        <x:v>44152</x:v>
      </x:c>
      <x:c r="C511" s="155" t="n">
        <x:v>44155</x:v>
      </x:c>
      <x:c r="D511" s="159" t="n">
        <x:v>160972</x:v>
      </x:c>
      <x:c r="E511" s="159" t="n">
        <x:v>63981</x:v>
      </x:c>
      <x:c r="F511" s="159" t="n">
        <x:v>20772</x:v>
      </x:c>
      <x:c r="G511" s="159" t="n">
        <x:f>E511-F511</x:f>
        <x:v>43209</x:v>
      </x:c>
      <x:c r="H511" s="154" t="n">
        <x:f>IFERROR(G511/D511,"")</x:f>
        <x:v>0.26842556469448103</x:v>
      </x:c>
      <x:c r="I511" s="159" t="n">
        <x:v>8670</x:v>
      </x:c>
      <x:c r="J511" s="159" t="n">
        <x:v>58154</x:v>
      </x:c>
      <x:c r="K511" s="159" t="n">
        <x:f>I511-J511</x:f>
        <x:v>-49484</x:v>
      </x:c>
      <x:c r="L511" s="154" t="n">
        <x:f>IFERROR(K511/D511,"")</x:f>
        <x:v>-0.30740749944089657</x:v>
      </x:c>
    </x:row>
    <x:row r="512">
      <x:c r="A512" s="141" t="str">
        <x:v>Gold</x:v>
      </x:c>
      <x:c r="B512" s="155" t="n">
        <x:v>44159</x:v>
      </x:c>
      <x:c r="C512" s="155" t="n">
        <x:v>44162</x:v>
      </x:c>
      <x:c r="D512" s="159" t="n">
        <x:v>555253</x:v>
      </x:c>
      <x:c r="E512" s="159" t="n">
        <x:v>137503</x:v>
      </x:c>
      <x:c r="F512" s="159" t="n">
        <x:v>52155</x:v>
      </x:c>
      <x:c r="G512" s="159" t="n">
        <x:f>E512-F512</x:f>
        <x:v>85348</x:v>
      </x:c>
      <x:c r="H512" s="154" t="n">
        <x:f>IFERROR(G512/D512,"")</x:f>
        <x:v>0.15371011052619257</x:v>
      </x:c>
      <x:c r="I512" s="159" t="n">
        <x:v>16425</x:v>
      </x:c>
      <x:c r="J512" s="159" t="n">
        <x:v>112076</x:v>
      </x:c>
      <x:c r="K512" s="159" t="n">
        <x:f>I512-J512</x:f>
        <x:v>-95651</x:v>
      </x:c>
      <x:c r="L512" s="154" t="n">
        <x:f>IFERROR(K512/D512,"")</x:f>
        <x:v>-0.17226561585439432</x:v>
      </x:c>
    </x:row>
    <x:row r="513">
      <x:c r="A513" s="141" t="str">
        <x:v>Silver</x:v>
      </x:c>
      <x:c r="B513" s="155" t="n">
        <x:v>44159</x:v>
      </x:c>
      <x:c r="C513" s="155" t="n">
        <x:v>44162</x:v>
      </x:c>
      <x:c r="D513" s="159" t="n">
        <x:v>162092</x:v>
      </x:c>
      <x:c r="E513" s="159" t="n">
        <x:v>62795</x:v>
      </x:c>
      <x:c r="F513" s="159" t="n">
        <x:v>21138</x:v>
      </x:c>
      <x:c r="G513" s="159" t="n">
        <x:f>E513-F513</x:f>
        <x:v>41657</x:v>
      </x:c>
      <x:c r="H513" s="154" t="n">
        <x:f>IFERROR(G513/D513,"")</x:f>
        <x:v>0.25699602694765933</x:v>
      </x:c>
      <x:c r="I513" s="159" t="n">
        <x:v>8082</x:v>
      </x:c>
      <x:c r="J513" s="159" t="n">
        <x:v>57083</x:v>
      </x:c>
      <x:c r="K513" s="159" t="n">
        <x:f>I513-J513</x:f>
        <x:v>-49001</x:v>
      </x:c>
      <x:c r="L513" s="154" t="n">
        <x:f>IFERROR(K513/D513,"")</x:f>
        <x:v>-0.3023036300372628</x:v>
      </x:c>
    </x:row>
    <x:row r="514">
      <x:c r="A514" s="141" t="str">
        <x:v>Gold</x:v>
      </x:c>
      <x:c r="B514" s="155" t="n">
        <x:v>44166</x:v>
      </x:c>
      <x:c r="C514" s="155" t="n">
        <x:v>44169</x:v>
      </x:c>
      <x:c r="D514" s="159" t="n">
        <x:v>538042</x:v>
      </x:c>
      <x:c r="E514" s="159" t="n">
        <x:v>134446</x:v>
      </x:c>
      <x:c r="F514" s="159" t="n">
        <x:v>48903</x:v>
      </x:c>
      <x:c r="G514" s="159" t="n">
        <x:f>E514-F514</x:f>
        <x:v>85543</x:v>
      </x:c>
      <x:c r="H514" s="154" t="n">
        <x:f>IFERROR(G514/D514,"")</x:f>
        <x:v>0.15898944692050063</x:v>
      </x:c>
      <x:c r="I514" s="159" t="n">
        <x:v>18504</x:v>
      </x:c>
      <x:c r="J514" s="159" t="n">
        <x:v>119429</x:v>
      </x:c>
      <x:c r="K514" s="159" t="n">
        <x:f>I514-J514</x:f>
        <x:v>-100925</x:v>
      </x:c>
      <x:c r="L514" s="154" t="n">
        <x:f>IFERROR(K514/D514,"")</x:f>
        <x:v>-0.18757829314440136</x:v>
      </x:c>
    </x:row>
    <x:row r="515">
      <x:c r="A515" s="141" t="str">
        <x:v>Silver</x:v>
      </x:c>
      <x:c r="B515" s="155" t="n">
        <x:v>44166</x:v>
      </x:c>
      <x:c r="C515" s="155" t="n">
        <x:v>44169</x:v>
      </x:c>
      <x:c r="D515" s="159" t="n">
        <x:v>152372</x:v>
      </x:c>
      <x:c r="E515" s="159" t="n">
        <x:v>64370</x:v>
      </x:c>
      <x:c r="F515" s="159" t="n">
        <x:v>21664</x:v>
      </x:c>
      <x:c r="G515" s="159" t="n">
        <x:f>E515-F515</x:f>
        <x:v>42706</x:v>
      </x:c>
      <x:c r="H515" s="154" t="n">
        <x:f>IFERROR(G515/D515,"")</x:f>
        <x:v>0.280274591132229</x:v>
      </x:c>
      <x:c r="I515" s="159" t="n">
        <x:v>8163</x:v>
      </x:c>
      <x:c r="J515" s="159" t="n">
        <x:v>60619</x:v>
      </x:c>
      <x:c r="K515" s="159" t="n">
        <x:f>I515-J515</x:f>
        <x:v>-52456</x:v>
      </x:c>
      <x:c r="L515" s="154" t="n">
        <x:f>IFERROR(K515/D515,"")</x:f>
        <x:v>-0.3442627254351193</x:v>
      </x:c>
    </x:row>
    <x:row r="516">
      <x:c r="A516" s="141" t="str">
        <x:v>Gold</x:v>
      </x:c>
      <x:c r="B516" s="155" t="n">
        <x:v>44173</x:v>
      </x:c>
      <x:c r="C516" s="155" t="n">
        <x:v>44176</x:v>
      </x:c>
      <x:c r="D516" s="159" t="n">
        <x:v>549520</x:v>
      </x:c>
      <x:c r="E516" s="159" t="n">
        <x:v>147844</x:v>
      </x:c>
      <x:c r="F516" s="159" t="n">
        <x:v>49033</x:v>
      </x:c>
      <x:c r="G516" s="159" t="n">
        <x:f>E516-F516</x:f>
        <x:v>98811</x:v>
      </x:c>
      <x:c r="H516" s="154" t="n">
        <x:f>IFERROR(G516/D516,"")</x:f>
        <x:v>0.17981329159994178</x:v>
      </x:c>
      <x:c r="I516" s="159" t="n">
        <x:v>15367</x:v>
      </x:c>
      <x:c r="J516" s="159" t="n">
        <x:v>118240</x:v>
      </x:c>
      <x:c r="K516" s="159" t="n">
        <x:f>I516-J516</x:f>
        <x:v>-102873</x:v>
      </x:c>
      <x:c r="L516" s="154" t="n">
        <x:f>IFERROR(K516/D516,"")</x:f>
        <x:v>-0.18720519726306595</x:v>
      </x:c>
    </x:row>
    <x:row r="517">
      <x:c r="A517" s="141" t="str">
        <x:v>Silver</x:v>
      </x:c>
      <x:c r="B517" s="155" t="n">
        <x:v>44173</x:v>
      </x:c>
      <x:c r="C517" s="155" t="n">
        <x:v>44176</x:v>
      </x:c>
      <x:c r="D517" s="159" t="n">
        <x:v>154821</x:v>
      </x:c>
      <x:c r="E517" s="159" t="n">
        <x:v>66057</x:v>
      </x:c>
      <x:c r="F517" s="159" t="n">
        <x:v>23275</x:v>
      </x:c>
      <x:c r="G517" s="159" t="n">
        <x:f>E517-F517</x:f>
        <x:v>42782</x:v>
      </x:c>
      <x:c r="H517" s="154" t="n">
        <x:f>IFERROR(G517/D517,"")</x:f>
        <x:v>0.2763320221416991</x:v>
      </x:c>
      <x:c r="I517" s="159" t="n">
        <x:v>7424</x:v>
      </x:c>
      <x:c r="J517" s="159" t="n">
        <x:v>60711</x:v>
      </x:c>
      <x:c r="K517" s="159" t="n">
        <x:f>I517-J517</x:f>
        <x:v>-53287</x:v>
      </x:c>
      <x:c r="L517" s="154" t="n">
        <x:f>IFERROR(K517/D517,"")</x:f>
        <x:v>-0.3441845744440354</x:v>
      </x:c>
    </x:row>
    <x:row r="518">
      <x:c r="A518" s="141" t="str">
        <x:v>Gold</x:v>
      </x:c>
      <x:c r="B518" s="155" t="n">
        <x:v>44180</x:v>
      </x:c>
      <x:c r="C518" s="155" t="n">
        <x:v>44183</x:v>
      </x:c>
      <x:c r="D518" s="159" t="n">
        <x:v>550366</x:v>
      </x:c>
      <x:c r="E518" s="159" t="n">
        <x:v>151901</x:v>
      </x:c>
      <x:c r="F518" s="159" t="n">
        <x:v>50022</x:v>
      </x:c>
      <x:c r="G518" s="159" t="n">
        <x:f>E518-F518</x:f>
        <x:v>101879</x:v>
      </x:c>
      <x:c r="H518" s="154" t="n">
        <x:f>IFERROR(G518/D518,"")</x:f>
        <x:v>0.18511136225711616</x:v>
      </x:c>
      <x:c r="I518" s="159" t="n">
        <x:v>14192</x:v>
      </x:c>
      <x:c r="J518" s="159" t="n">
        <x:v>118294</x:v>
      </x:c>
      <x:c r="K518" s="159" t="n">
        <x:f>I518-J518</x:f>
        <x:v>-104102</x:v>
      </x:c>
      <x:c r="L518" s="154" t="n">
        <x:f>IFERROR(K518/D518,"")</x:f>
        <x:v>-0.18915049258130046</x:v>
      </x:c>
    </x:row>
    <x:row r="519">
      <x:c r="A519" s="141" t="str">
        <x:v>Silver</x:v>
      </x:c>
      <x:c r="B519" s="155" t="n">
        <x:v>44180</x:v>
      </x:c>
      <x:c r="C519" s="155" t="n">
        <x:v>44183</x:v>
      </x:c>
      <x:c r="D519" s="159" t="n">
        <x:v>158268</x:v>
      </x:c>
      <x:c r="E519" s="159" t="n">
        <x:v>66679</x:v>
      </x:c>
      <x:c r="F519" s="159" t="n">
        <x:v>23499</x:v>
      </x:c>
      <x:c r="G519" s="159" t="n">
        <x:f>E519-F519</x:f>
        <x:v>43180</x:v>
      </x:c>
      <x:c r="H519" s="154" t="n">
        <x:f>IFERROR(G519/D519,"")</x:f>
        <x:v>0.2728283670735714</x:v>
      </x:c>
      <x:c r="I519" s="159" t="n">
        <x:v>7675</x:v>
      </x:c>
      <x:c r="J519" s="159" t="n">
        <x:v>60833</x:v>
      </x:c>
      <x:c r="K519" s="159" t="n">
        <x:f>I519-J519</x:f>
        <x:v>-53158</x:v>
      </x:c>
      <x:c r="L519" s="154" t="n">
        <x:f>IFERROR(K519/D519,"")</x:f>
        <x:v>-0.33587332878408777</x:v>
      </x:c>
    </x:row>
    <x:row r="520">
      <x:c r="A520" s="141" t="str">
        <x:v>Gold</x:v>
      </x:c>
      <x:c r="B520" s="155" t="n">
        <x:v>44186</x:v>
      </x:c>
      <x:c r="C520" s="155" t="n">
        <x:v>44189</x:v>
      </x:c>
      <x:c r="D520" s="159" t="n">
        <x:v>560769</x:v>
      </x:c>
      <x:c r="E520" s="159" t="n">
        <x:v>158194</x:v>
      </x:c>
      <x:c r="F520" s="159" t="n">
        <x:v>50070</x:v>
      </x:c>
      <x:c r="G520" s="159" t="n">
        <x:f>E520-F520</x:f>
        <x:v>108124</x:v>
      </x:c>
      <x:c r="H520" s="154" t="n">
        <x:f>IFERROR(G520/D520,"")</x:f>
        <x:v>0.1928137967683663</x:v>
      </x:c>
      <x:c r="I520" s="159" t="n">
        <x:v>12636</x:v>
      </x:c>
      <x:c r="J520" s="159" t="n">
        <x:v>120377</x:v>
      </x:c>
      <x:c r="K520" s="159" t="n">
        <x:f>I520-J520</x:f>
        <x:v>-107741</x:v>
      </x:c>
      <x:c r="L520" s="154" t="n">
        <x:f>IFERROR(K520/D520,"")</x:f>
        <x:v>-0.19213080608949495</x:v>
      </x:c>
    </x:row>
    <x:row r="521">
      <x:c r="A521" s="141" t="str">
        <x:v>Silver</x:v>
      </x:c>
      <x:c r="B521" s="155" t="n">
        <x:v>44186</x:v>
      </x:c>
      <x:c r="C521" s="155" t="n">
        <x:v>44189</x:v>
      </x:c>
      <x:c r="D521" s="159" t="n">
        <x:v>171398</x:v>
      </x:c>
      <x:c r="E521" s="159" t="n">
        <x:v>71548</x:v>
      </x:c>
      <x:c r="F521" s="159" t="n">
        <x:v>24304</x:v>
      </x:c>
      <x:c r="G521" s="159" t="n">
        <x:f>E521-F521</x:f>
        <x:v>47244</x:v>
      </x:c>
      <x:c r="H521" s="154" t="n">
        <x:f>IFERROR(G521/D521,"")</x:f>
        <x:v>0.27563915564942415</x:v>
      </x:c>
      <x:c r="I521" s="159" t="n">
        <x:v>7792</x:v>
      </x:c>
      <x:c r="J521" s="159" t="n">
        <x:v>65291</x:v>
      </x:c>
      <x:c r="K521" s="159" t="n">
        <x:f>I521-J521</x:f>
        <x:v>-57499</x:v>
      </x:c>
      <x:c r="L521" s="154" t="n">
        <x:f>IFERROR(K521/D521,"")</x:f>
        <x:v>-0.3354706589341766</x:v>
      </x:c>
    </x:row>
    <x:row r="522">
      <x:c r="A522" s="141" t="str">
        <x:v>Gold</x:v>
      </x:c>
      <x:c r="B522" s="155" t="n">
        <x:v>44194</x:v>
      </x:c>
      <x:c r="C522" s="155" t="n">
        <x:v>44197</x:v>
      </x:c>
      <x:c r="D522" s="159" t="n">
        <x:v>556414</x:v>
      </x:c>
      <x:c r="E522" s="159" t="n">
        <x:v>159673</x:v>
      </x:c>
      <x:c r="F522" s="159" t="n">
        <x:v>50678</x:v>
      </x:c>
      <x:c r="G522" s="159" t="n">
        <x:f>E522-F522</x:f>
        <x:v>108995</x:v>
      </x:c>
      <x:c r="H522" s="154" t="n">
        <x:f>IFERROR(G522/D522,"")</x:f>
        <x:v>0.19588831337816806</x:v>
      </x:c>
      <x:c r="I522" s="159" t="n">
        <x:v>12327</x:v>
      </x:c>
      <x:c r="J522" s="159" t="n">
        <x:v>117811</x:v>
      </x:c>
      <x:c r="K522" s="159" t="n">
        <x:f>I522-J522</x:f>
        <x:v>-105484</x:v>
      </x:c>
      <x:c r="L522" s="154" t="n">
        <x:f>IFERROR(K522/D522,"")</x:f>
        <x:v>-0.18957826366698177</x:v>
      </x:c>
    </x:row>
    <x:row r="523">
      <x:c r="A523" s="141" t="str">
        <x:v>Silver</x:v>
      </x:c>
      <x:c r="B523" s="155" t="n">
        <x:v>44194</x:v>
      </x:c>
      <x:c r="C523" s="155" t="n">
        <x:v>44197</x:v>
      </x:c>
      <x:c r="D523" s="159" t="n">
        <x:v>170057</x:v>
      </x:c>
      <x:c r="E523" s="159" t="n">
        <x:v>72144</x:v>
      </x:c>
      <x:c r="F523" s="159" t="n">
        <x:v>26138</x:v>
      </x:c>
      <x:c r="G523" s="159" t="n">
        <x:f>E523-F523</x:f>
        <x:v>46006</x:v>
      </x:c>
      <x:c r="H523" s="154" t="n">
        <x:f>IFERROR(G523/D523,"")</x:f>
        <x:v>0.2705328213481362</x:v>
      </x:c>
      <x:c r="I523" s="159" t="n">
        <x:v>7925</x:v>
      </x:c>
      <x:c r="J523" s="159" t="n">
        <x:v>63215</x:v>
      </x:c>
      <x:c r="K523" s="159" t="n">
        <x:f>I523-J523</x:f>
        <x:v>-55290</x:v>
      </x:c>
      <x:c r="L523" s="154" t="n">
        <x:f>IFERROR(K523/D523,"")</x:f>
        <x:v>-0.32512628118807224</x:v>
      </x:c>
    </x:row>
    <x:row r="524">
      <x:c r="A524" s="141" t="str">
        <x:v>Gold</x:v>
      </x:c>
      <x:c r="B524" s="155" t="n">
        <x:v>44201</x:v>
      </x:c>
      <x:c r="C524" s="155" t="n">
        <x:v>44204</x:v>
      </x:c>
      <x:c r="D524" s="159" t="n">
        <x:v>568888</x:v>
      </x:c>
      <x:c r="E524" s="159" t="n">
        <x:v>167096</x:v>
      </x:c>
      <x:c r="F524" s="159" t="n">
        <x:v>50527</x:v>
      </x:c>
      <x:c r="G524" s="159" t="n">
        <x:f>E524-F524</x:f>
        <x:v>116569</x:v>
      </x:c>
      <x:c r="H524" s="154" t="n">
        <x:f>IFERROR(G524/D524,"")</x:f>
        <x:v>0.20490676547932107</x:v>
      </x:c>
      <x:c r="I524" s="159" t="n">
        <x:v>13307</x:v>
      </x:c>
      <x:c r="J524" s="159" t="n">
        <x:v>118767</x:v>
      </x:c>
      <x:c r="K524" s="159" t="n">
        <x:f>I524-J524</x:f>
        <x:v>-105460</x:v>
      </x:c>
      <x:c r="L524" s="154" t="n">
        <x:f>IFERROR(K524/D524,"")</x:f>
        <x:v>-0.1853791959049936</x:v>
      </x:c>
    </x:row>
    <x:row r="525">
      <x:c r="A525" s="141" t="str">
        <x:v>Silver</x:v>
      </x:c>
      <x:c r="B525" s="155" t="n">
        <x:v>44201</x:v>
      </x:c>
      <x:c r="C525" s="155" t="n">
        <x:v>44204</x:v>
      </x:c>
      <x:c r="D525" s="159" t="n">
        <x:v>176005</x:v>
      </x:c>
      <x:c r="E525" s="159" t="n">
        <x:v>73290</x:v>
      </x:c>
      <x:c r="F525" s="159" t="n">
        <x:v>27400</x:v>
      </x:c>
      <x:c r="G525" s="159" t="n">
        <x:f>E525-F525</x:f>
        <x:v>45890</x:v>
      </x:c>
      <x:c r="H525" s="154" t="n">
        <x:f>IFERROR(G525/D525,"")</x:f>
        <x:v>0.26073122922644243</x:v>
      </x:c>
      <x:c r="I525" s="159" t="n">
        <x:v>7521</x:v>
      </x:c>
      <x:c r="J525" s="159" t="n">
        <x:v>63523</x:v>
      </x:c>
      <x:c r="K525" s="159" t="n">
        <x:f>I525-J525</x:f>
        <x:v>-56002</x:v>
      </x:c>
      <x:c r="L525" s="154" t="n">
        <x:f>IFERROR(K525/D525,"")</x:f>
        <x:v>-0.31818414249595184</x:v>
      </x:c>
    </x:row>
    <x:row r="526">
      <x:c r="A526" s="141" t="str">
        <x:v>Gold</x:v>
      </x:c>
      <x:c r="B526" s="155" t="n">
        <x:v>44208</x:v>
      </x:c>
      <x:c r="C526" s="155" t="n">
        <x:v>44211</x:v>
      </x:c>
      <x:c r="D526" s="159" t="n">
        <x:v>555538</x:v>
      </x:c>
      <x:c r="E526" s="159" t="n">
        <x:v>131057</x:v>
      </x:c>
      <x:c r="F526" s="159" t="n">
        <x:v>52823</x:v>
      </x:c>
      <x:c r="G526" s="159" t="n">
        <x:f>E526-F526</x:f>
        <x:v>78234</x:v>
      </x:c>
      <x:c r="H526" s="154" t="n">
        <x:f>IFERROR(G526/D526,"")</x:f>
        <x:v>0.14082565009054285</x:v>
      </x:c>
      <x:c r="I526" s="159" t="n">
        <x:v>15210</x:v>
      </x:c>
      <x:c r="J526" s="159" t="n">
        <x:v>113944</x:v>
      </x:c>
      <x:c r="K526" s="159" t="n">
        <x:f>I526-J526</x:f>
        <x:v>-98734</x:v>
      </x:c>
      <x:c r="L526" s="154" t="n">
        <x:f>IFERROR(K526/D526,"")</x:f>
        <x:v>-0.1777268161673909</x:v>
      </x:c>
    </x:row>
    <x:row r="527">
      <x:c r="A527" s="141" t="str">
        <x:v>Silver</x:v>
      </x:c>
      <x:c r="B527" s="155" t="n">
        <x:v>44208</x:v>
      </x:c>
      <x:c r="C527" s="155" t="n">
        <x:v>44211</x:v>
      </x:c>
      <x:c r="D527" s="159" t="n">
        <x:v>170033</x:v>
      </x:c>
      <x:c r="E527" s="159" t="n">
        <x:v>69805</x:v>
      </x:c>
      <x:c r="F527" s="159" t="n">
        <x:v>27861</x:v>
      </x:c>
      <x:c r="G527" s="159" t="n">
        <x:f>E527-F527</x:f>
        <x:v>41944</x:v>
      </x:c>
      <x:c r="H527" s="154" t="n">
        <x:f>IFERROR(G527/D527,"")</x:f>
        <x:v>0.24668152652720354</x:v>
      </x:c>
      <x:c r="I527" s="159" t="n">
        <x:v>7639</x:v>
      </x:c>
      <x:c r="J527" s="159" t="n">
        <x:v>58760</x:v>
      </x:c>
      <x:c r="K527" s="159" t="n">
        <x:f>I527-J527</x:f>
        <x:v>-51121</x:v>
      </x:c>
      <x:c r="L527" s="154" t="n">
        <x:f>IFERROR(K527/D527,"")</x:f>
        <x:v>-0.3006534025747943</x:v>
      </x:c>
    </x:row>
    <x:row r="528">
      <x:c r="A528" s="141" t="str">
        <x:v>Gold</x:v>
      </x:c>
      <x:c r="B528" s="155" t="n">
        <x:v>44215</x:v>
      </x:c>
      <x:c r="C528" s="155" t="n">
        <x:v>44218</x:v>
      </x:c>
      <x:c r="D528" s="159" t="n">
        <x:v>541330</x:v>
      </x:c>
      <x:c r="E528" s="159" t="n">
        <x:v>127161</x:v>
      </x:c>
      <x:c r="F528" s="159" t="n">
        <x:v>49090</x:v>
      </x:c>
      <x:c r="G528" s="159" t="n">
        <x:f>E528-F528</x:f>
        <x:v>78071</x:v>
      </x:c>
      <x:c r="H528" s="154" t="n">
        <x:f>IFERROR(G528/D528,"")</x:f>
        <x:v>0.14422071564480077</x:v>
      </x:c>
      <x:c r="I528" s="159" t="n">
        <x:v>13477</x:v>
      </x:c>
      <x:c r="J528" s="159" t="n">
        <x:v>114372</x:v>
      </x:c>
      <x:c r="K528" s="159" t="n">
        <x:f>I528-J528</x:f>
        <x:v>-100895</x:v>
      </x:c>
      <x:c r="L528" s="154" t="n">
        <x:f>IFERROR(K528/D528,"")</x:f>
        <x:v>-0.1863835368444387</x:v>
      </x:c>
    </x:row>
    <x:row r="529">
      <x:c r="A529" s="141" t="str">
        <x:v>Silver</x:v>
      </x:c>
      <x:c r="B529" s="155" t="n">
        <x:v>44215</x:v>
      </x:c>
      <x:c r="C529" s="155" t="n">
        <x:v>44218</x:v>
      </x:c>
      <x:c r="D529" s="159" t="n">
        <x:v>166896</x:v>
      </x:c>
      <x:c r="E529" s="159" t="n">
        <x:v>65788</x:v>
      </x:c>
      <x:c r="F529" s="159" t="n">
        <x:v>25626</x:v>
      </x:c>
      <x:c r="G529" s="159" t="n">
        <x:f>E529-F529</x:f>
        <x:v>40162</x:v>
      </x:c>
      <x:c r="H529" s="154" t="n">
        <x:f>IFERROR(G529/D529,"")</x:f>
        <x:v>0.24064087815166332</x:v>
      </x:c>
      <x:c r="I529" s="159" t="n">
        <x:v>7067</x:v>
      </x:c>
      <x:c r="J529" s="159" t="n">
        <x:v>57553</x:v>
      </x:c>
      <x:c r="K529" s="159" t="n">
        <x:f>I529-J529</x:f>
        <x:v>-50486</x:v>
      </x:c>
      <x:c r="L529" s="154" t="n">
        <x:f>IFERROR(K529/D529,"")</x:f>
        <x:v>-0.3024997603297862</x:v>
      </x:c>
    </x:row>
    <x:row r="530">
      <x:c r="A530" s="141" t="str">
        <x:v>Gold</x:v>
      </x:c>
      <x:c r="B530" s="155" t="n">
        <x:v>44222</x:v>
      </x:c>
      <x:c r="C530" s="155" t="n">
        <x:v>44225</x:v>
      </x:c>
      <x:c r="D530" s="159" t="n">
        <x:v>534574</x:v>
      </x:c>
      <x:c r="E530" s="159" t="n">
        <x:v>142815</x:v>
      </x:c>
      <x:c r="F530" s="159" t="n">
        <x:v>46416</x:v>
      </x:c>
      <x:c r="G530" s="159" t="n">
        <x:f>E530-F530</x:f>
        <x:v>96399</x:v>
      </x:c>
      <x:c r="H530" s="154" t="n">
        <x:f>IFERROR(G530/D530,"")</x:f>
        <x:v>0.18032863551164105</x:v>
      </x:c>
      <x:c r="I530" s="159" t="n">
        <x:v>10278</x:v>
      </x:c>
      <x:c r="J530" s="159" t="n">
        <x:v>113013</x:v>
      </x:c>
      <x:c r="K530" s="159" t="n">
        <x:f>I530-J530</x:f>
        <x:v>-102735</x:v>
      </x:c>
      <x:c r="L530" s="154" t="n">
        <x:f>IFERROR(K530/D530,"")</x:f>
        <x:v>-0.19218106380033448</x:v>
      </x:c>
    </x:row>
    <x:row r="531">
      <x:c r="A531" s="141" t="str">
        <x:v>Silver</x:v>
      </x:c>
      <x:c r="B531" s="155" t="n">
        <x:v>44222</x:v>
      </x:c>
      <x:c r="C531" s="155" t="n">
        <x:v>44225</x:v>
      </x:c>
      <x:c r="D531" s="159" t="n">
        <x:v>167880</x:v>
      </x:c>
      <x:c r="E531" s="159" t="n">
        <x:v>66111</x:v>
      </x:c>
      <x:c r="F531" s="159" t="n">
        <x:v>23113</x:v>
      </x:c>
      <x:c r="G531" s="159" t="n">
        <x:f>E531-F531</x:f>
        <x:v>42998</x:v>
      </x:c>
      <x:c r="H531" s="154" t="n">
        <x:f>IFERROR(G531/D531,"")</x:f>
        <x:v>0.2561234214915416</x:v>
      </x:c>
      <x:c r="I531" s="159" t="n">
        <x:v>7023</x:v>
      </x:c>
      <x:c r="J531" s="159" t="n">
        <x:v>59931</x:v>
      </x:c>
      <x:c r="K531" s="159" t="n">
        <x:f>I531-J531</x:f>
        <x:v>-52908</x:v>
      </x:c>
      <x:c r="L531" s="154" t="n">
        <x:f>IFERROR(K531/D531,"")</x:f>
        <x:v>-0.31515368120085774</x:v>
      </x:c>
    </x:row>
    <x:row r="532">
      <x:c r="A532" s="141" t="str">
        <x:v>Gold</x:v>
      </x:c>
      <x:c r="B532" s="155" t="n">
        <x:v>44229</x:v>
      </x:c>
      <x:c r="C532" s="155" t="n">
        <x:v>44232</x:v>
      </x:c>
      <x:c r="D532" s="159" t="n">
        <x:v>520011</x:v>
      </x:c>
      <x:c r="E532" s="159" t="n">
        <x:v>137062</x:v>
      </x:c>
      <x:c r="F532" s="159" t="n">
        <x:v>49284</x:v>
      </x:c>
      <x:c r="G532" s="159" t="n">
        <x:f>E532-F532</x:f>
        <x:v>87778</x:v>
      </x:c>
      <x:c r="H532" s="154" t="n">
        <x:f>IFERROR(G532/D532,"")</x:f>
        <x:v>0.16880027537879005</x:v>
      </x:c>
      <x:c r="I532" s="159" t="n">
        <x:v>10760</x:v>
      </x:c>
      <x:c r="J532" s="159" t="n">
        <x:v>114887</x:v>
      </x:c>
      <x:c r="K532" s="159" t="n">
        <x:f>I532-J532</x:f>
        <x:v>-104127</x:v>
      </x:c>
      <x:c r="L532" s="154" t="n">
        <x:f>IFERROR(K532/D532,"")</x:f>
        <x:v>-0.2002399949231843</x:v>
      </x:c>
    </x:row>
    <x:row r="533">
      <x:c r="A533" s="141" t="str">
        <x:v>Silver</x:v>
      </x:c>
      <x:c r="B533" s="155" t="n">
        <x:v>44229</x:v>
      </x:c>
      <x:c r="C533" s="155" t="n">
        <x:v>44232</x:v>
      </x:c>
      <x:c r="D533" s="159" t="n">
        <x:v>179786</x:v>
      </x:c>
      <x:c r="E533" s="159" t="n">
        <x:v>61069</x:v>
      </x:c>
      <x:c r="F533" s="159" t="n">
        <x:v>22431</x:v>
      </x:c>
      <x:c r="G533" s="159" t="n">
        <x:f>E533-F533</x:f>
        <x:v>38638</x:v>
      </x:c>
      <x:c r="H533" s="154" t="n">
        <x:f>IFERROR(G533/D533,"")</x:f>
        <x:v>0.21491106092799217</x:v>
      </x:c>
      <x:c r="I533" s="159" t="n">
        <x:v>7225</x:v>
      </x:c>
      <x:c r="J533" s="159" t="n">
        <x:v>63184</x:v>
      </x:c>
      <x:c r="K533" s="159" t="n">
        <x:f>I533-J533</x:f>
        <x:v>-55959</x:v>
      </x:c>
      <x:c r="L533" s="154" t="n">
        <x:f>IFERROR(K533/D533,"")</x:f>
        <x:v>-0.3112533790172761</x:v>
      </x:c>
    </x:row>
    <x:row r="534">
      <x:c r="A534" s="141" t="str">
        <x:v>Gold</x:v>
      </x:c>
      <x:c r="B534" s="155" t="n">
        <x:v>44236</x:v>
      </x:c>
      <x:c r="C534" s="155" t="n">
        <x:v>44239</x:v>
      </x:c>
      <x:c r="D534" s="159" t="n">
        <x:v>506741</x:v>
      </x:c>
      <x:c r="E534" s="159" t="n">
        <x:v>134733</x:v>
      </x:c>
      <x:c r="F534" s="159" t="n">
        <x:v>47093</x:v>
      </x:c>
      <x:c r="G534" s="159" t="n">
        <x:f>E534-F534</x:f>
        <x:v>87640</x:v>
      </x:c>
      <x:c r="H534" s="154" t="n">
        <x:f>IFERROR(G534/D534,"")</x:f>
        <x:v>0.17294831087281273</x:v>
      </x:c>
      <x:c r="I534" s="159" t="n">
        <x:v>9490</x:v>
      </x:c>
      <x:c r="J534" s="159" t="n">
        <x:v>112486</x:v>
      </x:c>
      <x:c r="K534" s="159" t="n">
        <x:f>I534-J534</x:f>
        <x:v>-102996</x:v>
      </x:c>
      <x:c r="L534" s="154" t="n">
        <x:f>IFERROR(K534/D534,"")</x:f>
        <x:v>-0.20325175977471727</x:v>
      </x:c>
    </x:row>
    <x:row r="535">
      <x:c r="A535" s="141" t="str">
        <x:v>Silver</x:v>
      </x:c>
      <x:c r="B535" s="155" t="n">
        <x:v>44236</x:v>
      </x:c>
      <x:c r="C535" s="155" t="n">
        <x:v>44239</x:v>
      </x:c>
      <x:c r="D535" s="159" t="n">
        <x:v>179288</x:v>
      </x:c>
      <x:c r="E535" s="159" t="n">
        <x:v>61284</x:v>
      </x:c>
      <x:c r="F535" s="159" t="n">
        <x:v>23839</x:v>
      </x:c>
      <x:c r="G535" s="159" t="n">
        <x:f>E535-F535</x:f>
        <x:v>37445</x:v>
      </x:c>
      <x:c r="H535" s="154" t="n">
        <x:f>IFERROR(G535/D535,"")</x:f>
        <x:v>0.20885391102583553</x:v>
      </x:c>
      <x:c r="I535" s="159" t="n">
        <x:v>8228</x:v>
      </x:c>
      <x:c r="J535" s="159" t="n">
        <x:v>65402</x:v>
      </x:c>
      <x:c r="K535" s="159" t="n">
        <x:f>I535-J535</x:f>
        <x:v>-57174</x:v>
      </x:c>
      <x:c r="L535" s="154" t="n">
        <x:f>IFERROR(K535/D535,"")</x:f>
        <x:v>-0.31889473919057604</x:v>
      </x:c>
    </x:row>
    <x:row r="536">
      <x:c r="A536" s="141" t="str">
        <x:v>Gold</x:v>
      </x:c>
      <x:c r="B536" s="155" t="n">
        <x:v>44243</x:v>
      </x:c>
      <x:c r="C536" s="155" t="n">
        <x:v>44246</x:v>
      </x:c>
      <x:c r="D536" s="159" t="n">
        <x:v>503016</x:v>
      </x:c>
      <x:c r="E536" s="159" t="n">
        <x:v>125997</x:v>
      </x:c>
      <x:c r="F536" s="159" t="n">
        <x:v>58041</x:v>
      </x:c>
      <x:c r="G536" s="159" t="n">
        <x:f>E536-F536</x:f>
        <x:v>67956</x:v>
      </x:c>
      <x:c r="H536" s="154" t="n">
        <x:f>IFERROR(G536/D536,"")</x:f>
        <x:v>0.1350970943270194</x:v>
      </x:c>
      <x:c r="I536" s="159" t="n">
        <x:v>11567</x:v>
      </x:c>
      <x:c r="J536" s="159" t="n">
        <x:v>111400</x:v>
      </x:c>
      <x:c r="K536" s="159" t="n">
        <x:f>I536-J536</x:f>
        <x:v>-99833</x:v>
      </x:c>
      <x:c r="L536" s="154" t="n">
        <x:f>IFERROR(K536/D536,"")</x:f>
        <x:v>-0.19846883598136045</x:v>
      </x:c>
    </x:row>
    <x:row r="537">
      <x:c r="A537" s="141" t="str">
        <x:v>Silver</x:v>
      </x:c>
      <x:c r="B537" s="155" t="n">
        <x:v>44243</x:v>
      </x:c>
      <x:c r="C537" s="155" t="n">
        <x:v>44246</x:v>
      </x:c>
      <x:c r="D537" s="159" t="n">
        <x:v>183544</x:v>
      </x:c>
      <x:c r="E537" s="159" t="n">
        <x:v>63102</x:v>
      </x:c>
      <x:c r="F537" s="159" t="n">
        <x:v>24338</x:v>
      </x:c>
      <x:c r="G537" s="159" t="n">
        <x:f>E537-F537</x:f>
        <x:v>38764</x:v>
      </x:c>
      <x:c r="H537" s="154" t="n">
        <x:f>IFERROR(G537/D537,"")</x:f>
        <x:v>0.21119731508521117</x:v>
      </x:c>
      <x:c r="I537" s="159" t="n">
        <x:v>9487</x:v>
      </x:c>
      <x:c r="J537" s="159" t="n">
        <x:v>65543</x:v>
      </x:c>
      <x:c r="K537" s="159" t="n">
        <x:f>I537-J537</x:f>
        <x:v>-56056</x:v>
      </x:c>
      <x:c r="L537" s="154" t="n">
        <x:f>IFERROR(K537/D537,"")</x:f>
        <x:v>-0.30540905722878436</x:v>
      </x:c>
    </x:row>
    <x:row r="538">
      <x:c r="A538" s="141" t="str">
        <x:v>Gold</x:v>
      </x:c>
      <x:c r="B538" s="155" t="n">
        <x:v>44250</x:v>
      </x:c>
      <x:c r="C538" s="155" t="n">
        <x:v>44253</x:v>
      </x:c>
      <x:c r="D538" s="159" t="n">
        <x:v>481125</x:v>
      </x:c>
      <x:c r="E538" s="159" t="n">
        <x:v>125124</x:v>
      </x:c>
      <x:c r="F538" s="159" t="n">
        <x:v>56001</x:v>
      </x:c>
      <x:c r="G538" s="159" t="n">
        <x:f>E538-F538</x:f>
        <x:v>69123</x:v>
      </x:c>
      <x:c r="H538" s="154" t="n">
        <x:f>IFERROR(G538/D538,"")</x:f>
        <x:v>0.14366952455183166</x:v>
      </x:c>
      <x:c r="I538" s="159" t="n">
        <x:v>10658</x:v>
      </x:c>
      <x:c r="J538" s="159" t="n">
        <x:v>103728</x:v>
      </x:c>
      <x:c r="K538" s="159" t="n">
        <x:f>I538-J538</x:f>
        <x:v>-93070</x:v>
      </x:c>
      <x:c r="L538" s="154" t="n">
        <x:f>IFERROR(K538/D538,"")</x:f>
        <x:v>-0.19344245258508705</x:v>
      </x:c>
    </x:row>
    <x:row r="539">
      <x:c r="A539" s="141" t="str">
        <x:v>Silver</x:v>
      </x:c>
      <x:c r="B539" s="155" t="n">
        <x:v>44250</x:v>
      </x:c>
      <x:c r="C539" s="155" t="n">
        <x:v>44253</x:v>
      </x:c>
      <x:c r="D539" s="159" t="n">
        <x:v>172392</x:v>
      </x:c>
      <x:c r="E539" s="159" t="n">
        <x:v>62102</x:v>
      </x:c>
      <x:c r="F539" s="159" t="n">
        <x:v>24600</x:v>
      </x:c>
      <x:c r="G539" s="159" t="n">
        <x:f>E539-F539</x:f>
        <x:v>37502</x:v>
      </x:c>
      <x:c r="H539" s="154" t="n">
        <x:f>IFERROR(G539/D539,"")</x:f>
        <x:v>0.21753909694185344</x:v>
      </x:c>
      <x:c r="I539" s="159" t="n">
        <x:v>7756</x:v>
      </x:c>
      <x:c r="J539" s="159" t="n">
        <x:v>63813</x:v>
      </x:c>
      <x:c r="K539" s="159" t="n">
        <x:f>I539-J539</x:f>
        <x:v>-56057</x:v>
      </x:c>
      <x:c r="L539" s="154" t="n">
        <x:f>IFERROR(K539/D539,"")</x:f>
        <x:v>-0.3251717017030953</x:v>
      </x:c>
    </x:row>
    <x:row r="540">
      <x:c r="A540" s="141" t="str">
        <x:v>Gold</x:v>
      </x:c>
      <x:c r="B540" s="155" t="n">
        <x:v>44257</x:v>
      </x:c>
      <x:c r="C540" s="155" t="n">
        <x:v>44260</x:v>
      </x:c>
      <x:c r="D540" s="159" t="n">
        <x:v>467008</x:v>
      </x:c>
      <x:c r="E540" s="159" t="n">
        <x:v>106608</x:v>
      </x:c>
      <x:c r="F540" s="159" t="n">
        <x:v>60648</x:v>
      </x:c>
      <x:c r="G540" s="159" t="n">
        <x:f>E540-F540</x:f>
        <x:v>45960</x:v>
      </x:c>
      <x:c r="H540" s="154" t="n">
        <x:f>IFERROR(G540/D540,"")</x:f>
        <x:v>0.09841373167054954</x:v>
      </x:c>
      <x:c r="I540" s="159" t="n">
        <x:v>12025</x:v>
      </x:c>
      <x:c r="J540" s="159" t="n">
        <x:v>98920</x:v>
      </x:c>
      <x:c r="K540" s="159" t="n">
        <x:f>I540-J540</x:f>
        <x:v>-86895</x:v>
      </x:c>
      <x:c r="L540" s="154" t="n">
        <x:f>IFERROR(K540/D540,"")</x:f>
        <x:v>-0.186067476360148</x:v>
      </x:c>
    </x:row>
    <x:row r="541">
      <x:c r="A541" s="141" t="str">
        <x:v>Silver</x:v>
      </x:c>
      <x:c r="B541" s="155" t="n">
        <x:v>44257</x:v>
      </x:c>
      <x:c r="C541" s="155" t="n">
        <x:v>44260</x:v>
      </x:c>
      <x:c r="D541" s="159" t="n">
        <x:v>158349</x:v>
      </x:c>
      <x:c r="E541" s="159" t="n">
        <x:v>58364</x:v>
      </x:c>
      <x:c r="F541" s="159" t="n">
        <x:v>28839</x:v>
      </x:c>
      <x:c r="G541" s="159" t="n">
        <x:f>E541-F541</x:f>
        <x:v>29525</x:v>
      </x:c>
      <x:c r="H541" s="154" t="n">
        <x:f>IFERROR(G541/D541,"")</x:f>
        <x:v>0.18645523495569913</x:v>
      </x:c>
      <x:c r="I541" s="159" t="n">
        <x:v>7883</x:v>
      </x:c>
      <x:c r="J541" s="159" t="n">
        <x:v>59553</x:v>
      </x:c>
      <x:c r="K541" s="159" t="n">
        <x:f>I541-J541</x:f>
        <x:v>-51670</x:v>
      </x:c>
      <x:c r="L541" s="154" t="n">
        <x:f>IFERROR(K541/D541,"")</x:f>
        <x:v>-0.3263045551282294</x:v>
      </x:c>
    </x:row>
    <x:row r="542">
      <x:c r="A542" s="141" t="str">
        <x:v>Gold</x:v>
      </x:c>
      <x:c r="B542" s="155" t="n">
        <x:v>44264</x:v>
      </x:c>
      <x:c r="C542" s="155" t="n">
        <x:v>44267</x:v>
      </x:c>
      <x:c r="D542" s="159" t="n">
        <x:v>473871</x:v>
      </x:c>
      <x:c r="E542" s="159" t="n">
        <x:v>96223</x:v>
      </x:c>
      <x:c r="F542" s="159" t="n">
        <x:v>66793</x:v>
      </x:c>
      <x:c r="G542" s="159" t="n">
        <x:f>E542-F542</x:f>
        <x:v>29430</x:v>
      </x:c>
      <x:c r="H542" s="154" t="n">
        <x:f>IFERROR(G542/D542,"")</x:f>
        <x:v>0.06210550972733086</x:v>
      </x:c>
      <x:c r="I542" s="159" t="n">
        <x:v>14579</x:v>
      </x:c>
      <x:c r="J542" s="159" t="n">
        <x:v>96258</x:v>
      </x:c>
      <x:c r="K542" s="159" t="n">
        <x:f>I542-J542</x:f>
        <x:v>-81679</x:v>
      </x:c>
      <x:c r="L542" s="154" t="n">
        <x:f>IFERROR(K542/D542,"")</x:f>
        <x:v>-0.17236547499213922</x:v>
      </x:c>
    </x:row>
    <x:row r="543">
      <x:c r="A543" s="141" t="str">
        <x:v>Silver</x:v>
      </x:c>
      <x:c r="B543" s="155" t="n">
        <x:v>44264</x:v>
      </x:c>
      <x:c r="C543" s="155" t="n">
        <x:v>44267</x:v>
      </x:c>
      <x:c r="D543" s="159" t="n">
        <x:v>155425</x:v>
      </x:c>
      <x:c r="E543" s="159" t="n">
        <x:v>55268</x:v>
      </x:c>
      <x:c r="F543" s="159" t="n">
        <x:v>28942</x:v>
      </x:c>
      <x:c r="G543" s="159" t="n">
        <x:f>E543-F543</x:f>
        <x:v>26326</x:v>
      </x:c>
      <x:c r="H543" s="154" t="n">
        <x:f>IFERROR(G543/D543,"")</x:f>
        <x:v>0.16938073025575037</x:v>
      </x:c>
      <x:c r="I543" s="159" t="n">
        <x:v>8094</x:v>
      </x:c>
      <x:c r="J543" s="159" t="n">
        <x:v>57869</x:v>
      </x:c>
      <x:c r="K543" s="159" t="n">
        <x:f>I543-J543</x:f>
        <x:v>-49775</x:v>
      </x:c>
      <x:c r="L543" s="154" t="n">
        <x:f>IFERROR(K543/D543,"")</x:f>
        <x:v>-0.32025092488338425</x:v>
      </x:c>
    </x:row>
    <x:row r="544">
      <x:c r="A544" s="141" t="str">
        <x:v>Gold</x:v>
      </x:c>
      <x:c r="B544" s="155" t="n">
        <x:v>44271</x:v>
      </x:c>
      <x:c r="C544" s="155" t="n">
        <x:v>44274</x:v>
      </x:c>
      <x:c r="D544" s="159" t="n">
        <x:v>476467</x:v>
      </x:c>
      <x:c r="E544" s="159" t="n">
        <x:v>100669</x:v>
      </x:c>
      <x:c r="F544" s="159" t="n">
        <x:v>59548</x:v>
      </x:c>
      <x:c r="G544" s="159" t="n">
        <x:f>E544-F544</x:f>
        <x:v>41121</x:v>
      </x:c>
      <x:c r="H544" s="154" t="n">
        <x:f>IFERROR(G544/D544,"")</x:f>
        <x:v>0.08630398327691109</x:v>
      </x:c>
      <x:c r="I544" s="159" t="n">
        <x:v>15152</x:v>
      </x:c>
      <x:c r="J544" s="159" t="n">
        <x:v>94226</x:v>
      </x:c>
      <x:c r="K544" s="159" t="n">
        <x:f>I544-J544</x:f>
        <x:v>-79074</x:v>
      </x:c>
      <x:c r="L544" s="154" t="n">
        <x:f>IFERROR(K544/D544,"")</x:f>
        <x:v>-0.16595902759267694</x:v>
      </x:c>
    </x:row>
    <x:row r="545">
      <x:c r="A545" s="141" t="str">
        <x:v>Silver</x:v>
      </x:c>
      <x:c r="B545" s="155" t="n">
        <x:v>44271</x:v>
      </x:c>
      <x:c r="C545" s="155" t="n">
        <x:v>44274</x:v>
      </x:c>
      <x:c r="D545" s="159" t="n">
        <x:v>159092</x:v>
      </x:c>
      <x:c r="E545" s="159" t="n">
        <x:v>55219</x:v>
      </x:c>
      <x:c r="F545" s="159" t="n">
        <x:v>30625</x:v>
      </x:c>
      <x:c r="G545" s="159" t="n">
        <x:f>E545-F545</x:f>
        <x:v>24594</x:v>
      </x:c>
      <x:c r="H545" s="154" t="n">
        <x:f>IFERROR(G545/D545,"")</x:f>
        <x:v>0.15458979709853418</x:v>
      </x:c>
      <x:c r="I545" s="159" t="n">
        <x:v>8211</x:v>
      </x:c>
      <x:c r="J545" s="159" t="n">
        <x:v>56543</x:v>
      </x:c>
      <x:c r="K545" s="159" t="n">
        <x:f>I545-J545</x:f>
        <x:v>-48332</x:v>
      </x:c>
      <x:c r="L545" s="154" t="n">
        <x:f>IFERROR(K545/D545,"")</x:f>
        <x:v>-0.3037990596635909</x:v>
      </x:c>
    </x:row>
    <x:row r="546">
      <x:c r="A546" s="141" t="str">
        <x:v>Gold</x:v>
      </x:c>
      <x:c r="B546" s="155" t="n">
        <x:v>44278</x:v>
      </x:c>
      <x:c r="C546" s="155" t="n">
        <x:v>44281</x:v>
      </x:c>
      <x:c r="D546" s="159" t="n">
        <x:v>485457</x:v>
      </x:c>
      <x:c r="E546" s="159" t="n">
        <x:v>107941</x:v>
      </x:c>
      <x:c r="F546" s="159" t="n">
        <x:v>64420</x:v>
      </x:c>
      <x:c r="G546" s="159" t="n">
        <x:f>E546-F546</x:f>
        <x:v>43521</x:v>
      </x:c>
      <x:c r="H546" s="154" t="n">
        <x:f>IFERROR(G546/D546,"")</x:f>
        <x:v>0.08964954671577503</x:v>
      </x:c>
      <x:c r="I546" s="159" t="n">
        <x:v>15470</x:v>
      </x:c>
      <x:c r="J546" s="159" t="n">
        <x:v>93043</x:v>
      </x:c>
      <x:c r="K546" s="159" t="n">
        <x:f>I546-J546</x:f>
        <x:v>-77573</x:v>
      </x:c>
      <x:c r="L546" s="154" t="n">
        <x:f>IFERROR(K546/D546,"")</x:f>
        <x:v>-0.1597937613424052</x:v>
      </x:c>
    </x:row>
    <x:row r="547">
      <x:c r="A547" s="141" t="str">
        <x:v>Silver</x:v>
      </x:c>
      <x:c r="B547" s="155" t="n">
        <x:v>44278</x:v>
      </x:c>
      <x:c r="C547" s="155" t="n">
        <x:v>44281</x:v>
      </x:c>
      <x:c r="D547" s="159" t="n">
        <x:v>160437</x:v>
      </x:c>
      <x:c r="E547" s="159" t="n">
        <x:v>54438</x:v>
      </x:c>
      <x:c r="F547" s="159" t="n">
        <x:v>32569</x:v>
      </x:c>
      <x:c r="G547" s="159" t="n">
        <x:f>E547-F547</x:f>
        <x:v>21869</x:v>
      </x:c>
      <x:c r="H547" s="154" t="n">
        <x:f>IFERROR(G547/D547,"")</x:f>
        <x:v>0.1363089561634785</x:v>
      </x:c>
      <x:c r="I547" s="159" t="n">
        <x:v>8380</x:v>
      </x:c>
      <x:c r="J547" s="159" t="n">
        <x:v>55373</x:v>
      </x:c>
      <x:c r="K547" s="159" t="n">
        <x:f>I547-J547</x:f>
        <x:v>-46993</x:v>
      </x:c>
      <x:c r="L547" s="154" t="n">
        <x:f>IFERROR(K547/D547,"")</x:f>
        <x:v>-0.2929062498052195</x:v>
      </x:c>
    </x:row>
    <x:row r="548">
      <x:c r="A548" s="141" t="str">
        <x:v>Gold</x:v>
      </x:c>
      <x:c r="B548" s="155" t="n">
        <x:v>44285</x:v>
      </x:c>
      <x:c r="C548" s="155" t="n">
        <x:v>44288</x:v>
      </x:c>
      <x:c r="D548" s="159" t="n">
        <x:v>467321</x:v>
      </x:c>
      <x:c r="E548" s="159" t="n">
        <x:v>113009</x:v>
      </x:c>
      <x:c r="F548" s="159" t="n">
        <x:v>69936</x:v>
      </x:c>
      <x:c r="G548" s="159" t="n">
        <x:f>E548-F548</x:f>
        <x:v>43073</x:v>
      </x:c>
      <x:c r="H548" s="154" t="n">
        <x:f>IFERROR(G548/D548,"")</x:f>
        <x:v>0.09217005013684385</x:v>
      </x:c>
      <x:c r="I548" s="159" t="n">
        <x:v>16441</x:v>
      </x:c>
      <x:c r="J548" s="159" t="n">
        <x:v>89329</x:v>
      </x:c>
      <x:c r="K548" s="159" t="n">
        <x:f>I548-J548</x:f>
        <x:v>-72888</x:v>
      </x:c>
      <x:c r="L548" s="154" t="n">
        <x:f>IFERROR(K548/D548,"")</x:f>
        <x:v>-0.15596987937627455</x:v>
      </x:c>
    </x:row>
    <x:row r="549">
      <x:c r="A549" s="141" t="str">
        <x:v>Silver</x:v>
      </x:c>
      <x:c r="B549" s="155" t="n">
        <x:v>44285</x:v>
      </x:c>
      <x:c r="C549" s="155" t="n">
        <x:v>44288</x:v>
      </x:c>
      <x:c r="D549" s="159" t="n">
        <x:v>154987</x:v>
      </x:c>
      <x:c r="E549" s="159" t="n">
        <x:v>51964</x:v>
      </x:c>
      <x:c r="F549" s="159" t="n">
        <x:v>31128</x:v>
      </x:c>
      <x:c r="G549" s="159" t="n">
        <x:f>E549-F549</x:f>
        <x:v>20836</x:v>
      </x:c>
      <x:c r="H549" s="154" t="n">
        <x:f>IFERROR(G549/D549,"")</x:f>
        <x:v>0.13443708181976552</x:v>
      </x:c>
      <x:c r="I549" s="159" t="n">
        <x:v>8795</x:v>
      </x:c>
      <x:c r="J549" s="159" t="n">
        <x:v>51592</x:v>
      </x:c>
      <x:c r="K549" s="159" t="n">
        <x:f>I549-J549</x:f>
        <x:v>-42797</x:v>
      </x:c>
      <x:c r="L549" s="154" t="n">
        <x:f>IFERROR(K549/D549,"")</x:f>
        <x:v>-0.276132836947615</x:v>
      </x:c>
    </x:row>
    <x:row r="550">
      <x:c r="A550" s="141" t="str">
        <x:v>Gold</x:v>
      </x:c>
      <x:c r="B550" s="155" t="n">
        <x:v>44292</x:v>
      </x:c>
      <x:c r="C550" s="155" t="n">
        <x:v>44295</x:v>
      </x:c>
      <x:c r="D550" s="159" t="n">
        <x:v>463353</x:v>
      </x:c>
      <x:c r="E550" s="159" t="n">
        <x:v>121563</x:v>
      </x:c>
      <x:c r="F550" s="159" t="n">
        <x:v>55091</x:v>
      </x:c>
      <x:c r="G550" s="159" t="n">
        <x:f>E550-F550</x:f>
        <x:v>66472</x:v>
      </x:c>
      <x:c r="H550" s="154" t="n">
        <x:f>IFERROR(G550/D550,"")</x:f>
        <x:v>0.14345865894900864</x:v>
      </x:c>
      <x:c r="I550" s="159" t="n">
        <x:v>11916</x:v>
      </x:c>
      <x:c r="J550" s="159" t="n">
        <x:v>90527</x:v>
      </x:c>
      <x:c r="K550" s="159" t="n">
        <x:f>I550-J550</x:f>
        <x:v>-78611</x:v>
      </x:c>
      <x:c r="L550" s="154" t="n">
        <x:f>IFERROR(K550/D550,"")</x:f>
        <x:v>-0.16965682751595437</x:v>
      </x:c>
    </x:row>
    <x:row r="551">
      <x:c r="A551" s="141" t="str">
        <x:v>Silver</x:v>
      </x:c>
      <x:c r="B551" s="155" t="n">
        <x:v>44292</x:v>
      </x:c>
      <x:c r="C551" s="155" t="n">
        <x:v>44295</x:v>
      </x:c>
      <x:c r="D551" s="159" t="n">
        <x:v>154593</x:v>
      </x:c>
      <x:c r="E551" s="159" t="n">
        <x:v>53877</x:v>
      </x:c>
      <x:c r="F551" s="159" t="n">
        <x:v>29439</x:v>
      </x:c>
      <x:c r="G551" s="159" t="n">
        <x:f>E551-F551</x:f>
        <x:v>24438</x:v>
      </x:c>
      <x:c r="H551" s="154" t="n">
        <x:f>IFERROR(G551/D551,"")</x:f>
        <x:v>0.1580796025693272</x:v>
      </x:c>
      <x:c r="I551" s="159" t="n">
        <x:v>8844</x:v>
      </x:c>
      <x:c r="J551" s="159" t="n">
        <x:v>54109</x:v>
      </x:c>
      <x:c r="K551" s="159" t="n">
        <x:f>I551-J551</x:f>
        <x:v>-45265</x:v>
      </x:c>
      <x:c r="L551" s="154" t="n">
        <x:f>IFERROR(K551/D551,"")</x:f>
        <x:v>-0.29280109707425306</x:v>
      </x:c>
    </x:row>
    <x:row r="552">
      <x:c r="A552" s="141" t="str">
        <x:v>Gold</x:v>
      </x:c>
      <x:c r="B552" s="155" t="n">
        <x:v>44299</x:v>
      </x:c>
      <x:c r="C552" s="155" t="n">
        <x:v>44302</x:v>
      </x:c>
      <x:c r="D552" s="159" t="n">
        <x:v>460733</x:v>
      </x:c>
      <x:c r="E552" s="159" t="n">
        <x:v>112070</x:v>
      </x:c>
      <x:c r="F552" s="159" t="n">
        <x:v>58263</x:v>
      </x:c>
      <x:c r="G552" s="159" t="n">
        <x:f>E552-F552</x:f>
        <x:v>53807</x:v>
      </x:c>
      <x:c r="H552" s="154" t="n">
        <x:f>IFERROR(G552/D552,"")</x:f>
        <x:v>0.11678564374594397</x:v>
      </x:c>
      <x:c r="I552" s="159" t="n">
        <x:v>11585</x:v>
      </x:c>
      <x:c r="J552" s="159" t="n">
        <x:v>86637</x:v>
      </x:c>
      <x:c r="K552" s="159" t="n">
        <x:f>I552-J552</x:f>
        <x:v>-75052</x:v>
      </x:c>
      <x:c r="L552" s="154" t="n">
        <x:f>IFERROR(K552/D552,"")</x:f>
        <x:v>-0.16289694899214946</x:v>
      </x:c>
    </x:row>
    <x:row r="553">
      <x:c r="A553" s="141" t="str">
        <x:v>Silver</x:v>
      </x:c>
      <x:c r="B553" s="155" t="n">
        <x:v>44299</x:v>
      </x:c>
      <x:c r="C553" s="155" t="n">
        <x:v>44302</x:v>
      </x:c>
      <x:c r="D553" s="159" t="n">
        <x:v>164066</x:v>
      </x:c>
      <x:c r="E553" s="159" t="n">
        <x:v>55910</x:v>
      </x:c>
      <x:c r="F553" s="159" t="n">
        <x:v>27343</x:v>
      </x:c>
      <x:c r="G553" s="159" t="n">
        <x:f>E553-F553</x:f>
        <x:v>28567</x:v>
      </x:c>
      <x:c r="H553" s="154" t="n">
        <x:f>IFERROR(G553/D553,"")</x:f>
        <x:v>0.17411895212902126</x:v>
      </x:c>
      <x:c r="I553" s="159" t="n">
        <x:v>9209</x:v>
      </x:c>
      <x:c r="J553" s="159" t="n">
        <x:v>56435</x:v>
      </x:c>
      <x:c r="K553" s="159" t="n">
        <x:f>I553-J553</x:f>
        <x:v>-47226</x:v>
      </x:c>
      <x:c r="L553" s="154" t="n">
        <x:f>IFERROR(K553/D553,"")</x:f>
        <x:v>-0.2878475735374788</x:v>
      </x:c>
    </x:row>
    <x:row r="554">
      <x:c r="A554" s="141" t="str">
        <x:v>Gold</x:v>
      </x:c>
      <x:c r="B554" s="155" t="n">
        <x:v>44306</x:v>
      </x:c>
      <x:c r="C554" s="155" t="n">
        <x:v>44309</x:v>
      </x:c>
      <x:c r="D554" s="159" t="n">
        <x:v>471738</x:v>
      </x:c>
      <x:c r="E554" s="159" t="n">
        <x:v>116843</x:v>
      </x:c>
      <x:c r="F554" s="159" t="n">
        <x:v>60419</x:v>
      </x:c>
      <x:c r="G554" s="159" t="n">
        <x:f>E554-F554</x:f>
        <x:v>56424</x:v>
      </x:c>
      <x:c r="H554" s="154" t="n">
        <x:f>IFERROR(G554/D554,"")</x:f>
        <x:v>0.11960876588275696</x:v>
      </x:c>
      <x:c r="I554" s="159" t="n">
        <x:v>11755</x:v>
      </x:c>
      <x:c r="J554" s="159" t="n">
        <x:v>87520</x:v>
      </x:c>
      <x:c r="K554" s="159" t="n">
        <x:f>I554-J554</x:f>
        <x:v>-75765</x:v>
      </x:c>
      <x:c r="L554" s="154" t="n">
        <x:f>IFERROR(K554/D554,"")</x:f>
        <x:v>-0.16060821896900399</x:v>
      </x:c>
    </x:row>
    <x:row r="555">
      <x:c r="A555" s="141" t="str">
        <x:v>Silver</x:v>
      </x:c>
      <x:c r="B555" s="155" t="n">
        <x:v>44306</x:v>
      </x:c>
      <x:c r="C555" s="155" t="n">
        <x:v>44309</x:v>
      </x:c>
      <x:c r="D555" s="159" t="n">
        <x:v>169420</x:v>
      </x:c>
      <x:c r="E555" s="159" t="n">
        <x:v>61979</x:v>
      </x:c>
      <x:c r="F555" s="159" t="n">
        <x:v>27992</x:v>
      </x:c>
      <x:c r="G555" s="159" t="n">
        <x:f>E555-F555</x:f>
        <x:v>33987</x:v>
      </x:c>
      <x:c r="H555" s="154" t="n">
        <x:f>IFERROR(G555/D555,"")</x:f>
        <x:v>0.20060795655766733</x:v>
      </x:c>
      <x:c r="I555" s="159" t="n">
        <x:v>9592</x:v>
      </x:c>
      <x:c r="J555" s="159" t="n">
        <x:v>58973</x:v>
      </x:c>
      <x:c r="K555" s="159" t="n">
        <x:f>I555-J555</x:f>
        <x:v>-49381</x:v>
      </x:c>
      <x:c r="L555" s="154" t="n">
        <x:f>IFERROR(K555/D555,"")</x:f>
        <x:v>-0.2914709007201039</x:v>
      </x:c>
    </x:row>
    <x:row r="556">
      <x:c r="A556" s="141" t="str">
        <x:v>Gold</x:v>
      </x:c>
      <x:c r="B556" s="155" t="n">
        <x:v>44313</x:v>
      </x:c>
      <x:c r="C556" s="155" t="n">
        <x:v>44316</x:v>
      </x:c>
      <x:c r="D556" s="159" t="n">
        <x:v>473305</x:v>
      </x:c>
      <x:c r="E556" s="159" t="n">
        <x:v>117144</x:v>
      </x:c>
      <x:c r="F556" s="159" t="n">
        <x:v>66493</x:v>
      </x:c>
      <x:c r="G556" s="159" t="n">
        <x:f>E556-F556</x:f>
        <x:v>50651</x:v>
      </x:c>
      <x:c r="H556" s="154" t="n">
        <x:f>IFERROR(G556/D556,"")</x:f>
        <x:v>0.10701556079061071</x:v>
      </x:c>
      <x:c r="I556" s="159" t="n">
        <x:v>11542</x:v>
      </x:c>
      <x:c r="J556" s="159" t="n">
        <x:v>83268</x:v>
      </x:c>
      <x:c r="K556" s="159" t="n">
        <x:f>I556-J556</x:f>
        <x:v>-71726</x:v>
      </x:c>
      <x:c r="L556" s="154" t="n">
        <x:f>IFERROR(K556/D556,"")</x:f>
        <x:v>-0.15154287404527736</x:v>
      </x:c>
    </x:row>
    <x:row r="557">
      <x:c r="A557" s="141" t="str">
        <x:v>Silver</x:v>
      </x:c>
      <x:c r="B557" s="155" t="n">
        <x:v>44313</x:v>
      </x:c>
      <x:c r="C557" s="155" t="n">
        <x:v>44316</x:v>
      </x:c>
      <x:c r="D557" s="159" t="n">
        <x:v>172470</x:v>
      </x:c>
      <x:c r="E557" s="159" t="n">
        <x:v>64769</x:v>
      </x:c>
      <x:c r="F557" s="159" t="n">
        <x:v>28213</x:v>
      </x:c>
      <x:c r="G557" s="159" t="n">
        <x:f>E557-F557</x:f>
        <x:v>36556</x:v>
      </x:c>
      <x:c r="H557" s="154" t="n">
        <x:f>IFERROR(G557/D557,"")</x:f>
        <x:v>0.21195570244100423</x:v>
      </x:c>
      <x:c r="I557" s="159" t="n">
        <x:v>9139</x:v>
      </x:c>
      <x:c r="J557" s="159" t="n">
        <x:v>60864</x:v>
      </x:c>
      <x:c r="K557" s="159" t="n">
        <x:f>I557-J557</x:f>
        <x:v>-51725</x:v>
      </x:c>
      <x:c r="L557" s="154" t="n">
        <x:f>IFERROR(K557/D557,"")</x:f>
        <x:v>-0.2999072302429408</x:v>
      </x:c>
    </x:row>
    <x:row r="558">
      <x:c r="A558" s="141" t="str">
        <x:v>Gold</x:v>
      </x:c>
      <x:c r="B558" s="155" t="n">
        <x:v>44320</x:v>
      </x:c>
      <x:c r="C558" s="155" t="n">
        <x:v>44323</x:v>
      </x:c>
      <x:c r="D558" s="159" t="n">
        <x:v>470341</x:v>
      </x:c>
      <x:c r="E558" s="159" t="n">
        <x:v>117434</x:v>
      </x:c>
      <x:c r="F558" s="159" t="n">
        <x:v>63809</x:v>
      </x:c>
      <x:c r="G558" s="159" t="n">
        <x:f>E558-F558</x:f>
        <x:v>53625</x:v>
      </x:c>
      <x:c r="H558" s="154" t="n">
        <x:f>IFERROR(G558/D558,"")</x:f>
        <x:v>0.11401302459279544</x:v>
      </x:c>
      <x:c r="I558" s="159" t="n">
        <x:v>11043</x:v>
      </x:c>
      <x:c r="J558" s="159" t="n">
        <x:v>78286</x:v>
      </x:c>
      <x:c r="K558" s="159" t="n">
        <x:f>I558-J558</x:f>
        <x:v>-67243</x:v>
      </x:c>
      <x:c r="L558" s="154" t="n">
        <x:f>IFERROR(K558/D558,"")</x:f>
        <x:v>-0.1429664860175915</x:v>
      </x:c>
    </x:row>
    <x:row r="559">
      <x:c r="A559" s="141" t="str">
        <x:v>Silver</x:v>
      </x:c>
      <x:c r="B559" s="155" t="n">
        <x:v>44320</x:v>
      </x:c>
      <x:c r="C559" s="155" t="n">
        <x:v>44323</x:v>
      </x:c>
      <x:c r="D559" s="159" t="n">
        <x:v>167073</x:v>
      </x:c>
      <x:c r="E559" s="159" t="n">
        <x:v>66702</x:v>
      </x:c>
      <x:c r="F559" s="159" t="n">
        <x:v>24148</x:v>
      </x:c>
      <x:c r="G559" s="159" t="n">
        <x:f>E559-F559</x:f>
        <x:v>42554</x:v>
      </x:c>
      <x:c r="H559" s="154" t="n">
        <x:f>IFERROR(G559/D559,"")</x:f>
        <x:v>0.25470303400310046</x:v>
      </x:c>
      <x:c r="I559" s="159" t="n">
        <x:v>8929</x:v>
      </x:c>
      <x:c r="J559" s="159" t="n">
        <x:v>62194</x:v>
      </x:c>
      <x:c r="K559" s="159" t="n">
        <x:f>I559-J559</x:f>
        <x:v>-53265</x:v>
      </x:c>
      <x:c r="L559" s="154" t="n">
        <x:f>IFERROR(K559/D559,"")</x:f>
        <x:v>-0.3188127345531594</x:v>
      </x:c>
    </x:row>
    <x:row r="560">
      <x:c r="A560" s="141" t="str">
        <x:v>Gold</x:v>
      </x:c>
      <x:c r="B560" s="155" t="n">
        <x:v>44327</x:v>
      </x:c>
      <x:c r="C560" s="155" t="n">
        <x:v>44330</x:v>
      </x:c>
      <x:c r="D560" s="159" t="n">
        <x:v>498693</x:v>
      </x:c>
      <x:c r="E560" s="159" t="n">
        <x:v>131295</x:v>
      </x:c>
      <x:c r="F560" s="159" t="n">
        <x:v>49680</x:v>
      </x:c>
      <x:c r="G560" s="159" t="n">
        <x:f>E560-F560</x:f>
        <x:v>81615</x:v>
      </x:c>
      <x:c r="H560" s="154" t="n">
        <x:f>IFERROR(G560/D560,"")</x:f>
        <x:v>0.16365780149310297</x:v>
      </x:c>
      <x:c r="I560" s="159" t="n">
        <x:v>16359</x:v>
      </x:c>
      <x:c r="J560" s="159" t="n">
        <x:v>87150</x:v>
      </x:c>
      <x:c r="K560" s="159" t="n">
        <x:f>I560-J560</x:f>
        <x:v>-70791</x:v>
      </x:c>
      <x:c r="L560" s="154" t="n">
        <x:f>IFERROR(K560/D560,"")</x:f>
        <x:v>-0.14195306531272747</x:v>
      </x:c>
    </x:row>
    <x:row r="561">
      <x:c r="A561" s="141" t="str">
        <x:v>Silver</x:v>
      </x:c>
      <x:c r="B561" s="155" t="n">
        <x:v>44327</x:v>
      </x:c>
      <x:c r="C561" s="155" t="n">
        <x:v>44330</x:v>
      </x:c>
      <x:c r="D561" s="159" t="n">
        <x:v>178250</x:v>
      </x:c>
      <x:c r="E561" s="159" t="n">
        <x:v>73342</x:v>
      </x:c>
      <x:c r="F561" s="159" t="n">
        <x:v>26851</x:v>
      </x:c>
      <x:c r="G561" s="159" t="n">
        <x:f>E561-F561</x:f>
        <x:v>46491</x:v>
      </x:c>
      <x:c r="H561" s="154" t="n">
        <x:f>IFERROR(G561/D561,"")</x:f>
        <x:v>0.26081907433380086</x:v>
      </x:c>
      <x:c r="I561" s="159" t="n">
        <x:v>9440</x:v>
      </x:c>
      <x:c r="J561" s="159" t="n">
        <x:v>64357</x:v>
      </x:c>
      <x:c r="K561" s="159" t="n">
        <x:f>I561-J561</x:f>
        <x:v>-54917</x:v>
      </x:c>
      <x:c r="L561" s="154" t="n">
        <x:f>IFERROR(K561/D561,"")</x:f>
        <x:v>-0.3080897615708275</x:v>
      </x:c>
    </x:row>
    <x:row r="562">
      <x:c r="A562" s="141" t="str">
        <x:v>Gold</x:v>
      </x:c>
      <x:c r="B562" s="155" t="n">
        <x:v>44334</x:v>
      </x:c>
      <x:c r="C562" s="155" t="n">
        <x:v>44337</x:v>
      </x:c>
      <x:c r="D562" s="159" t="n">
        <x:v>520410</x:v>
      </x:c>
      <x:c r="E562" s="159" t="n">
        <x:v>141776</x:v>
      </x:c>
      <x:c r="F562" s="159" t="n">
        <x:v>49786</x:v>
      </x:c>
      <x:c r="G562" s="159" t="n">
        <x:f>E562-F562</x:f>
        <x:v>91990</x:v>
      </x:c>
      <x:c r="H562" s="154" t="n">
        <x:f>IFERROR(G562/D562,"")</x:f>
        <x:v>0.17676447416460098</x:v>
      </x:c>
      <x:c r="I562" s="159" t="n">
        <x:v>18969</x:v>
      </x:c>
      <x:c r="J562" s="159" t="n">
        <x:v>84133</x:v>
      </x:c>
      <x:c r="K562" s="159" t="n">
        <x:f>I562-J562</x:f>
        <x:v>-65164</x:v>
      </x:c>
      <x:c r="L562" s="154" t="n">
        <x:f>IFERROR(K562/D562,"")</x:f>
        <x:v>-0.12521665609807653</x:v>
      </x:c>
    </x:row>
    <x:row r="563">
      <x:c r="A563" s="141" t="str">
        <x:v>Silver</x:v>
      </x:c>
      <x:c r="B563" s="155" t="n">
        <x:v>44334</x:v>
      </x:c>
      <x:c r="C563" s="155" t="n">
        <x:v>44337</x:v>
      </x:c>
      <x:c r="D563" s="159" t="n">
        <x:v>181606</x:v>
      </x:c>
      <x:c r="E563" s="159" t="n">
        <x:v>73685</x:v>
      </x:c>
      <x:c r="F563" s="159" t="n">
        <x:v>28674</x:v>
      </x:c>
      <x:c r="G563" s="159" t="n">
        <x:f>E563-F563</x:f>
        <x:v>45011</x:v>
      </x:c>
      <x:c r="H563" s="154" t="n">
        <x:f>IFERROR(G563/D563,"")</x:f>
        <x:v>0.24784974064733545</x:v>
      </x:c>
      <x:c r="I563" s="159" t="n">
        <x:v>9339</x:v>
      </x:c>
      <x:c r="J563" s="159" t="n">
        <x:v>63545</x:v>
      </x:c>
      <x:c r="K563" s="159" t="n">
        <x:f>I563-J563</x:f>
        <x:v>-54206</x:v>
      </x:c>
      <x:c r="L563" s="154" t="n">
        <x:f>IFERROR(K563/D563,"")</x:f>
        <x:v>-0.2984813277094369</x:v>
      </x:c>
    </x:row>
    <x:row r="564">
      <x:c r="A564" s="141" t="str">
        <x:v>Gold</x:v>
      </x:c>
      <x:c r="B564" s="155" t="n">
        <x:v>44341</x:v>
      </x:c>
      <x:c r="C564" s="155" t="n">
        <x:v>44344</x:v>
      </x:c>
      <x:c r="D564" s="159" t="n">
        <x:v>510164</x:v>
      </x:c>
      <x:c r="E564" s="159" t="n">
        <x:v>143862</x:v>
      </x:c>
      <x:c r="F564" s="159" t="n">
        <x:v>36607</x:v>
      </x:c>
      <x:c r="G564" s="159" t="n">
        <x:f>E564-F564</x:f>
        <x:v>107255</x:v>
      </x:c>
      <x:c r="H564" s="154" t="n">
        <x:f>IFERROR(G564/D564,"")</x:f>
        <x:v>0.2102363161649979</x:v>
      </x:c>
      <x:c r="I564" s="159" t="n">
        <x:v>12526</x:v>
      </x:c>
      <x:c r="J564" s="159" t="n">
        <x:v>90986</x:v>
      </x:c>
      <x:c r="K564" s="159" t="n">
        <x:f>I564-J564</x:f>
        <x:v>-78460</x:v>
      </x:c>
      <x:c r="L564" s="154" t="n">
        <x:f>IFERROR(K564/D564,"")</x:f>
        <x:v>-0.1537936820316604</x:v>
      </x:c>
    </x:row>
    <x:row r="565">
      <x:c r="A565" s="141" t="str">
        <x:v>Silver</x:v>
      </x:c>
      <x:c r="B565" s="155" t="n">
        <x:v>44341</x:v>
      </x:c>
      <x:c r="C565" s="155" t="n">
        <x:v>44344</x:v>
      </x:c>
      <x:c r="D565" s="159" t="n">
        <x:v>180830</x:v>
      </x:c>
      <x:c r="E565" s="159" t="n">
        <x:v>72629</x:v>
      </x:c>
      <x:c r="F565" s="159" t="n">
        <x:v>28963</x:v>
      </x:c>
      <x:c r="G565" s="159" t="n">
        <x:f>E565-F565</x:f>
        <x:v>43666</x:v>
      </x:c>
      <x:c r="H565" s="154" t="n">
        <x:f>IFERROR(G565/D565,"")</x:f>
        <x:v>0.2414754189017309</x:v>
      </x:c>
      <x:c r="I565" s="159" t="n">
        <x:v>9799</x:v>
      </x:c>
      <x:c r="J565" s="159" t="n">
        <x:v>63727</x:v>
      </x:c>
      <x:c r="K565" s="159" t="n">
        <x:f>I565-J565</x:f>
        <x:v>-53928</x:v>
      </x:c>
      <x:c r="L565" s="154" t="n">
        <x:f>IFERROR(K565/D565,"")</x:f>
        <x:v>-0.2982248520710059</x:v>
      </x:c>
    </x:row>
    <x:row r="566">
      <x:c r="A566" s="141" t="str">
        <x:v>Gold</x:v>
      </x:c>
      <x:c r="B566" s="155" t="n">
        <x:v>44348</x:v>
      </x:c>
      <x:c r="C566" s="155" t="n">
        <x:v>44351</x:v>
      </x:c>
      <x:c r="D566" s="159" t="n">
        <x:v>489198</x:v>
      </x:c>
      <x:c r="E566" s="159" t="n">
        <x:v>147270</x:v>
      </x:c>
      <x:c r="F566" s="159" t="n">
        <x:v>37297</x:v>
      </x:c>
      <x:c r="G566" s="159" t="n">
        <x:f>E566-F566</x:f>
        <x:v>109973</x:v>
      </x:c>
      <x:c r="H566" s="154" t="n">
        <x:f>IFERROR(G566/D566,"")</x:f>
        <x:v>0.22480263615141519</x:v>
      </x:c>
      <x:c r="I566" s="159" t="n">
        <x:v>11017</x:v>
      </x:c>
      <x:c r="J566" s="159" t="n">
        <x:v>80820</x:v>
      </x:c>
      <x:c r="K566" s="159" t="n">
        <x:f>I566-J566</x:f>
        <x:v>-69803</x:v>
      </x:c>
      <x:c r="L566" s="154" t="n">
        <x:f>IFERROR(K566/D566,"")</x:f>
        <x:v>-0.14268864549732418</x:v>
      </x:c>
    </x:row>
    <x:row r="567">
      <x:c r="A567" s="141" t="str">
        <x:v>Silver</x:v>
      </x:c>
      <x:c r="B567" s="155" t="n">
        <x:v>44348</x:v>
      </x:c>
      <x:c r="C567" s="155" t="n">
        <x:v>44351</x:v>
      </x:c>
      <x:c r="D567" s="159" t="n">
        <x:v>182312</x:v>
      </x:c>
      <x:c r="E567" s="159" t="n">
        <x:v>70120</x:v>
      </x:c>
      <x:c r="F567" s="159" t="n">
        <x:v>29441</x:v>
      </x:c>
      <x:c r="G567" s="159" t="n">
        <x:f>E567-F567</x:f>
        <x:v>40679</x:v>
      </x:c>
      <x:c r="H567" s="154" t="n">
        <x:f>IFERROR(G567/D567,"")</x:f>
        <x:v>0.2231284830400632</x:v>
      </x:c>
      <x:c r="I567" s="159" t="n">
        <x:v>9991</x:v>
      </x:c>
      <x:c r="J567" s="159" t="n">
        <x:v>63755</x:v>
      </x:c>
      <x:c r="K567" s="159" t="n">
        <x:f>I567-J567</x:f>
        <x:v>-53764</x:v>
      </x:c>
      <x:c r="L567" s="154" t="n">
        <x:f>IFERROR(K567/D567,"")</x:f>
        <x:v>-0.2949010487515907</x:v>
      </x:c>
    </x:row>
    <x:row r="568">
      <x:c r="A568" s="141" t="str">
        <x:v>Gold</x:v>
      </x:c>
      <x:c r="B568" s="155" t="n">
        <x:v>44355</x:v>
      </x:c>
      <x:c r="C568" s="155" t="n">
        <x:v>44358</x:v>
      </x:c>
      <x:c r="D568" s="159" t="n">
        <x:v>491858</x:v>
      </x:c>
      <x:c r="E568" s="159" t="n">
        <x:v>145037</x:v>
      </x:c>
      <x:c r="F568" s="159" t="n">
        <x:v>37373</x:v>
      </x:c>
      <x:c r="G568" s="159" t="n">
        <x:f>E568-F568</x:f>
        <x:v>107664</x:v>
      </x:c>
      <x:c r="H568" s="154" t="n">
        <x:f>IFERROR(G568/D568,"")</x:f>
        <x:v>0.21889244456733448</x:v>
      </x:c>
      <x:c r="I568" s="159" t="n">
        <x:v>13828</x:v>
      </x:c>
      <x:c r="J568" s="159" t="n">
        <x:v>78884</x:v>
      </x:c>
      <x:c r="K568" s="159" t="n">
        <x:f>I568-J568</x:f>
        <x:v>-65056</x:v>
      </x:c>
      <x:c r="L568" s="154" t="n">
        <x:f>IFERROR(K568/D568,"")</x:f>
        <x:v>-0.1322658165568111</x:v>
      </x:c>
    </x:row>
    <x:row r="569">
      <x:c r="A569" s="141" t="str">
        <x:v>Silver</x:v>
      </x:c>
      <x:c r="B569" s="155" t="n">
        <x:v>44355</x:v>
      </x:c>
      <x:c r="C569" s="155" t="n">
        <x:v>44358</x:v>
      </x:c>
      <x:c r="D569" s="159" t="n">
        <x:v>184841</x:v>
      </x:c>
      <x:c r="E569" s="159" t="n">
        <x:v>68150</x:v>
      </x:c>
      <x:c r="F569" s="159" t="n">
        <x:v>25766</x:v>
      </x:c>
      <x:c r="G569" s="159" t="n">
        <x:f>E569-F569</x:f>
        <x:v>42384</x:v>
      </x:c>
      <x:c r="H569" s="154" t="n">
        <x:f>IFERROR(G569/D569,"")</x:f>
        <x:v>0.2292997765647232</x:v>
      </x:c>
      <x:c r="I569" s="159" t="n">
        <x:v>11013</x:v>
      </x:c>
      <x:c r="J569" s="159" t="n">
        <x:v>63056</x:v>
      </x:c>
      <x:c r="K569" s="159" t="n">
        <x:f>I569-J569</x:f>
        <x:v>-52043</x:v>
      </x:c>
      <x:c r="L569" s="154" t="n">
        <x:f>IFERROR(K569/D569,"")</x:f>
        <x:v>-0.28155549905053534</x:v>
      </x:c>
    </x:row>
    <x:row r="570">
      <x:c r="A570" s="141" t="str">
        <x:v>Gold</x:v>
      </x:c>
      <x:c r="B570" s="155" t="n">
        <x:v>44362</x:v>
      </x:c>
      <x:c r="C570" s="155" t="n">
        <x:v>44365</x:v>
      </x:c>
      <x:c r="D570" s="159" t="n">
        <x:v>480127</x:v>
      </x:c>
      <x:c r="E570" s="159" t="n">
        <x:v>138546</x:v>
      </x:c>
      <x:c r="F570" s="159" t="n">
        <x:v>41754</x:v>
      </x:c>
      <x:c r="G570" s="159" t="n">
        <x:f>E570-F570</x:f>
        <x:v>96792</x:v>
      </x:c>
      <x:c r="H570" s="154" t="n">
        <x:f>IFERROR(G570/D570,"")</x:f>
        <x:v>0.20159666088347458</x:v>
      </x:c>
      <x:c r="I570" s="159" t="n">
        <x:v>15205</x:v>
      </x:c>
      <x:c r="J570" s="159" t="n">
        <x:v>79346</x:v>
      </x:c>
      <x:c r="K570" s="159" t="n">
        <x:f>I570-J570</x:f>
        <x:v>-64141</x:v>
      </x:c>
      <x:c r="L570" s="154" t="n">
        <x:f>IFERROR(K570/D570,"")</x:f>
        <x:v>-0.13359173718620282</x:v>
      </x:c>
    </x:row>
    <x:row r="571">
      <x:c r="A571" s="141" t="str">
        <x:v>Silver</x:v>
      </x:c>
      <x:c r="B571" s="155" t="n">
        <x:v>44362</x:v>
      </x:c>
      <x:c r="C571" s="155" t="n">
        <x:v>44365</x:v>
      </x:c>
      <x:c r="D571" s="159" t="n">
        <x:v>194268</x:v>
      </x:c>
      <x:c r="E571" s="159" t="n">
        <x:v>72624</x:v>
      </x:c>
      <x:c r="F571" s="159" t="n">
        <x:v>28359</x:v>
      </x:c>
      <x:c r="G571" s="159" t="n">
        <x:f>E571-F571</x:f>
        <x:v>44265</x:v>
      </x:c>
      <x:c r="H571" s="154" t="n">
        <x:f>IFERROR(G571/D571,"")</x:f>
        <x:v>0.22785533386867626</x:v>
      </x:c>
      <x:c r="I571" s="159" t="n">
        <x:v>12311</x:v>
      </x:c>
      <x:c r="J571" s="159" t="n">
        <x:v>63296</x:v>
      </x:c>
      <x:c r="K571" s="159" t="n">
        <x:f>I571-J571</x:f>
        <x:v>-50985</x:v>
      </x:c>
      <x:c r="L571" s="154" t="n">
        <x:f>IFERROR(K571/D571,"")</x:f>
        <x:v>-0.26244672308357525</x:v>
      </x:c>
    </x:row>
    <x:row r="572">
      <x:c r="A572" s="141" t="str">
        <x:v>Gold</x:v>
      </x:c>
      <x:c r="B572" s="155" t="n">
        <x:v>44369</x:v>
      </x:c>
      <x:c r="C572" s="155" t="n">
        <x:v>44372</x:v>
      </x:c>
      <x:c r="D572" s="159" t="n">
        <x:v>453940</x:v>
      </x:c>
      <x:c r="E572" s="159" t="n">
        <x:v>110038</x:v>
      </x:c>
      <x:c r="F572" s="159" t="n">
        <x:v>47502</x:v>
      </x:c>
      <x:c r="G572" s="159" t="n">
        <x:f>E572-F572</x:f>
        <x:v>62536</x:v>
      </x:c>
      <x:c r="H572" s="154" t="n">
        <x:f>IFERROR(G572/D572,"")</x:f>
        <x:v>0.1377626999162885</x:v>
      </x:c>
      <x:c r="I572" s="159" t="n">
        <x:v>14480</x:v>
      </x:c>
      <x:c r="J572" s="159" t="n">
        <x:v>70690</x:v>
      </x:c>
      <x:c r="K572" s="159" t="n">
        <x:f>I572-J572</x:f>
        <x:v>-56210</x:v>
      </x:c>
      <x:c r="L572" s="154" t="n">
        <x:f>IFERROR(K572/D572,"")</x:f>
        <x:v>-0.12382693748072432</x:v>
      </x:c>
    </x:row>
    <x:row r="573">
      <x:c r="A573" s="141" t="str">
        <x:v>Silver</x:v>
      </x:c>
      <x:c r="B573" s="155" t="n">
        <x:v>44369</x:v>
      </x:c>
      <x:c r="C573" s="155" t="n">
        <x:v>44372</x:v>
      </x:c>
      <x:c r="D573" s="159" t="n">
        <x:v>175703</x:v>
      </x:c>
      <x:c r="E573" s="159" t="n">
        <x:v>56371</x:v>
      </x:c>
      <x:c r="F573" s="159" t="n">
        <x:v>26839</x:v>
      </x:c>
      <x:c r="G573" s="159" t="n">
        <x:f>E573-F573</x:f>
        <x:v>29532</x:v>
      </x:c>
      <x:c r="H573" s="154" t="n">
        <x:f>IFERROR(G573/D573,"")</x:f>
        <x:v>0.16807908800646545</x:v>
      </x:c>
      <x:c r="I573" s="159" t="n">
        <x:v>11083</x:v>
      </x:c>
      <x:c r="J573" s="159" t="n">
        <x:v>55729</x:v>
      </x:c>
      <x:c r="K573" s="159" t="n">
        <x:f>I573-J573</x:f>
        <x:v>-44646</x:v>
      </x:c>
      <x:c r="L573" s="154" t="n">
        <x:f>IFERROR(K573/D573,"")</x:f>
        <x:v>-0.2540992470248089</x:v>
      </x:c>
    </x:row>
    <x:row r="574">
      <x:c r="A574" s="141" t="str">
        <x:v>Gold</x:v>
      </x:c>
      <x:c r="B574" s="155" t="n">
        <x:v>44376</x:v>
      </x:c>
      <x:c r="C574" s="155" t="n">
        <x:v>44379</x:v>
      </x:c>
      <x:c r="D574" s="159" t="n">
        <x:v>453360</x:v>
      </x:c>
      <x:c r="E574" s="159" t="n">
        <x:v>115438</x:v>
      </x:c>
      <x:c r="F574" s="159" t="n">
        <x:v>54056</x:v>
      </x:c>
      <x:c r="G574" s="159" t="n">
        <x:f>E574-F574</x:f>
        <x:v>61382</x:v>
      </x:c>
      <x:c r="H574" s="154" t="n">
        <x:f>IFERROR(G574/D574,"")</x:f>
        <x:v>0.13539350626433738</x:v>
      </x:c>
      <x:c r="I574" s="159" t="n">
        <x:v>14517</x:v>
      </x:c>
      <x:c r="J574" s="159" t="n">
        <x:v>68972</x:v>
      </x:c>
      <x:c r="K574" s="159" t="n">
        <x:f>I574-J574</x:f>
        <x:v>-54455</x:v>
      </x:c>
      <x:c r="L574" s="154" t="n">
        <x:f>IFERROR(K574/D574,"")</x:f>
        <x:v>-0.12011425798482442</x:v>
      </x:c>
    </x:row>
    <x:row r="575">
      <x:c r="A575" s="141" t="str">
        <x:v>Silver</x:v>
      </x:c>
      <x:c r="B575" s="155" t="n">
        <x:v>44376</x:v>
      </x:c>
      <x:c r="C575" s="155" t="n">
        <x:v>44379</x:v>
      </x:c>
      <x:c r="D575" s="159" t="n">
        <x:v>157119</x:v>
      </x:c>
      <x:c r="E575" s="159" t="n">
        <x:v>56930</x:v>
      </x:c>
      <x:c r="F575" s="159" t="n">
        <x:v>24076</x:v>
      </x:c>
      <x:c r="G575" s="159" t="n">
        <x:f>E575-F575</x:f>
        <x:v>32854</x:v>
      </x:c>
      <x:c r="H575" s="154" t="n">
        <x:f>IFERROR(G575/D575,"")</x:f>
        <x:v>0.2091026546757553</x:v>
      </x:c>
      <x:c r="I575" s="159" t="n">
        <x:v>6249</x:v>
      </x:c>
      <x:c r="J575" s="159" t="n">
        <x:v>50887</x:v>
      </x:c>
      <x:c r="K575" s="159" t="n">
        <x:f>I575-J575</x:f>
        <x:v>-44638</x:v>
      </x:c>
      <x:c r="L575" s="154" t="n">
        <x:f>IFERROR(K575/D575,"")</x:f>
        <x:v>-0.2841031320209523</x:v>
      </x:c>
    </x:row>
    <x:row r="576">
      <x:c r="A576" s="141" t="str">
        <x:v>Gold</x:v>
      </x:c>
      <x:c r="B576" s="155" t="n">
        <x:v>44383</x:v>
      </x:c>
      <x:c r="C576" s="155" t="n">
        <x:v>44386</x:v>
      </x:c>
      <x:c r="D576" s="159" t="n">
        <x:v>465811</x:v>
      </x:c>
      <x:c r="E576" s="159" t="n">
        <x:v>131218</x:v>
      </x:c>
      <x:c r="F576" s="159" t="n">
        <x:v>53258</x:v>
      </x:c>
      <x:c r="G576" s="159" t="n">
        <x:f>E576-F576</x:f>
        <x:v>77960</x:v>
      </x:c>
      <x:c r="H576" s="154" t="n">
        <x:f>IFERROR(G576/D576,"")</x:f>
        <x:v>0.16736401673640167</x:v>
      </x:c>
      <x:c r="I576" s="159" t="n">
        <x:v>14158</x:v>
      </x:c>
      <x:c r="J576" s="159" t="n">
        <x:v>75008</x:v>
      </x:c>
      <x:c r="K576" s="159" t="n">
        <x:f>I576-J576</x:f>
        <x:v>-60850</x:v>
      </x:c>
      <x:c r="L576" s="154" t="n">
        <x:f>IFERROR(K576/D576,"")</x:f>
        <x:v>-0.13063238094420268</x:v>
      </x:c>
    </x:row>
    <x:row r="577">
      <x:c r="A577" s="141" t="str">
        <x:v>Silver</x:v>
      </x:c>
      <x:c r="B577" s="155" t="n">
        <x:v>44383</x:v>
      </x:c>
      <x:c r="C577" s="155" t="n">
        <x:v>44386</x:v>
      </x:c>
      <x:c r="D577" s="159" t="n">
        <x:v>157216</x:v>
      </x:c>
      <x:c r="E577" s="159" t="n">
        <x:v>60782</x:v>
      </x:c>
      <x:c r="F577" s="159" t="n">
        <x:v>25783</x:v>
      </x:c>
      <x:c r="G577" s="159" t="n">
        <x:f>E577-F577</x:f>
        <x:v>34999</x:v>
      </x:c>
      <x:c r="H577" s="154" t="n">
        <x:f>IFERROR(G577/D577,"")</x:f>
        <x:v>0.22261729086098106</x:v>
      </x:c>
      <x:c r="I577" s="159" t="n">
        <x:v>5041</x:v>
      </x:c>
      <x:c r="J577" s="159" t="n">
        <x:v>53942</x:v>
      </x:c>
      <x:c r="K577" s="159" t="n">
        <x:f>I577-J577</x:f>
        <x:v>-48901</x:v>
      </x:c>
      <x:c r="L577" s="154" t="n">
        <x:f>IFERROR(K577/D577,"")</x:f>
        <x:v>-0.3110434052513739</x:v>
      </x:c>
    </x:row>
    <x:row r="578">
      <x:c r="A578" s="141" t="str">
        <x:v>Gold</x:v>
      </x:c>
      <x:c r="B578" s="155" t="n">
        <x:v>44390</x:v>
      </x:c>
      <x:c r="C578" s="155" t="n">
        <x:v>44393</x:v>
      </x:c>
      <x:c r="D578" s="159" t="n">
        <x:v>495798</x:v>
      </x:c>
      <x:c r="E578" s="159" t="n">
        <x:v>135938</x:v>
      </x:c>
      <x:c r="F578" s="159" t="n">
        <x:v>49647</x:v>
      </x:c>
      <x:c r="G578" s="159" t="n">
        <x:f>E578-F578</x:f>
        <x:v>86291</x:v>
      </x:c>
      <x:c r="H578" s="154" t="n">
        <x:f>IFERROR(G578/D578,"")</x:f>
        <x:v>0.17404467141860194</x:v>
      </x:c>
      <x:c r="I578" s="159" t="n">
        <x:v>14757</x:v>
      </x:c>
      <x:c r="J578" s="159" t="n">
        <x:v>75926</x:v>
      </x:c>
      <x:c r="K578" s="159" t="n">
        <x:f>I578-J578</x:f>
        <x:v>-61169</x:v>
      </x:c>
      <x:c r="L578" s="154" t="n">
        <x:f>IFERROR(K578/D578,"")</x:f>
        <x:v>-0.12337484217362717</x:v>
      </x:c>
    </x:row>
    <x:row r="579">
      <x:c r="A579" s="141" t="str">
        <x:v>Silver</x:v>
      </x:c>
      <x:c r="B579" s="155" t="n">
        <x:v>44390</x:v>
      </x:c>
      <x:c r="C579" s="155" t="n">
        <x:v>44393</x:v>
      </x:c>
      <x:c r="D579" s="159" t="n">
        <x:v>154699</x:v>
      </x:c>
      <x:c r="E579" s="159" t="n">
        <x:v>59448</x:v>
      </x:c>
      <x:c r="F579" s="159" t="n">
        <x:v>25293</x:v>
      </x:c>
      <x:c r="G579" s="159" t="n">
        <x:f>E579-F579</x:f>
        <x:v>34155</x:v>
      </x:c>
      <x:c r="H579" s="154" t="n">
        <x:f>IFERROR(G579/D579,"")</x:f>
        <x:v>0.22078358618995597</x:v>
      </x:c>
      <x:c r="I579" s="159" t="n">
        <x:v>5217</x:v>
      </x:c>
      <x:c r="J579" s="159" t="n">
        <x:v>52204</x:v>
      </x:c>
      <x:c r="K579" s="159" t="n">
        <x:f>I579-J579</x:f>
        <x:v>-46987</x:v>
      </x:c>
      <x:c r="L579" s="154" t="n">
        <x:f>IFERROR(K579/D579,"")</x:f>
        <x:v>-0.3037317629719649</x:v>
      </x:c>
    </x:row>
    <x:row r="580">
      <x:c r="A580" s="141" t="str">
        <x:v>Gold</x:v>
      </x:c>
      <x:c r="B580" s="155" t="n">
        <x:v>44397</x:v>
      </x:c>
      <x:c r="C580" s="155" t="n">
        <x:v>44400</x:v>
      </x:c>
      <x:c r="D580" s="159" t="n">
        <x:v>490520</x:v>
      </x:c>
      <x:c r="E580" s="159" t="n">
        <x:v>135163</x:v>
      </x:c>
      <x:c r="F580" s="159" t="n">
        <x:v>44735</x:v>
      </x:c>
      <x:c r="G580" s="159" t="n">
        <x:f>E580-F580</x:f>
        <x:v>90428</x:v>
      </x:c>
      <x:c r="H580" s="154" t="n">
        <x:f>IFERROR(G580/D580,"")</x:f>
        <x:v>0.18435130066052352</x:v>
      </x:c>
      <x:c r="I580" s="159" t="n">
        <x:v>14367</x:v>
      </x:c>
      <x:c r="J580" s="159" t="n">
        <x:v>78197</x:v>
      </x:c>
      <x:c r="K580" s="159" t="n">
        <x:f>I580-J580</x:f>
        <x:v>-63830</x:v>
      </x:c>
      <x:c r="L580" s="154" t="n">
        <x:f>IFERROR(K580/D580,"")</x:f>
        <x:v>-0.13012721193835114</x:v>
      </x:c>
    </x:row>
    <x:row r="581">
      <x:c r="A581" s="141" t="str">
        <x:v>Silver</x:v>
      </x:c>
      <x:c r="B581" s="155" t="n">
        <x:v>44397</x:v>
      </x:c>
      <x:c r="C581" s="155" t="n">
        <x:v>44400</x:v>
      </x:c>
      <x:c r="D581" s="159" t="n">
        <x:v>151763</x:v>
      </x:c>
      <x:c r="E581" s="159" t="n">
        <x:v>53215</x:v>
      </x:c>
      <x:c r="F581" s="159" t="n">
        <x:v>27133</x:v>
      </x:c>
      <x:c r="G581" s="159" t="n">
        <x:f>E581-F581</x:f>
        <x:v>26082</x:v>
      </x:c>
      <x:c r="H581" s="154" t="n">
        <x:f>IFERROR(G581/D581,"")</x:f>
        <x:v>0.17186007129537503</x:v>
      </x:c>
      <x:c r="I581" s="159" t="n">
        <x:v>5719</x:v>
      </x:c>
      <x:c r="J581" s="159" t="n">
        <x:v>49029</x:v>
      </x:c>
      <x:c r="K581" s="159" t="n">
        <x:f>I581-J581</x:f>
        <x:v>-43310</x:v>
      </x:c>
      <x:c r="L581" s="154" t="n">
        <x:f>IFERROR(K581/D581,"")</x:f>
        <x:v>-0.2853791767426843</x:v>
      </x:c>
    </x:row>
    <x:row r="582">
      <x:c r="A582" s="141" t="str">
        <x:v>Gold</x:v>
      </x:c>
      <x:c r="B582" s="155" t="n">
        <x:v>44404</x:v>
      </x:c>
      <x:c r="C582" s="155" t="n">
        <x:v>44407</x:v>
      </x:c>
      <x:c r="D582" s="159" t="n">
        <x:v>500187</x:v>
      </x:c>
      <x:c r="E582" s="159" t="n">
        <x:v>131635</x:v>
      </x:c>
      <x:c r="F582" s="159" t="n">
        <x:v>41405</x:v>
      </x:c>
      <x:c r="G582" s="159" t="n">
        <x:f>E582-F582</x:f>
        <x:v>90230</x:v>
      </x:c>
      <x:c r="H582" s="154" t="n">
        <x:f>IFERROR(G582/D582,"")</x:f>
        <x:v>0.18039253319258597</x:v>
      </x:c>
      <x:c r="I582" s="159" t="n">
        <x:v>13874</x:v>
      </x:c>
      <x:c r="J582" s="159" t="n">
        <x:v>70160</x:v>
      </x:c>
      <x:c r="K582" s="159" t="n">
        <x:f>I582-J582</x:f>
        <x:v>-56286</x:v>
      </x:c>
      <x:c r="L582" s="154" t="n">
        <x:f>IFERROR(K582/D582,"")</x:f>
        <x:v>-0.11252991381223422</x:v>
      </x:c>
    </x:row>
    <x:row r="583">
      <x:c r="A583" s="141" t="str">
        <x:v>Silver</x:v>
      </x:c>
      <x:c r="B583" s="155" t="n">
        <x:v>44404</x:v>
      </x:c>
      <x:c r="C583" s="155" t="n">
        <x:v>44407</x:v>
      </x:c>
      <x:c r="D583" s="159" t="n">
        <x:v>150814</x:v>
      </x:c>
      <x:c r="E583" s="159" t="n">
        <x:v>50846</x:v>
      </x:c>
      <x:c r="F583" s="159" t="n">
        <x:v>29920</x:v>
      </x:c>
      <x:c r="G583" s="159" t="n">
        <x:f>E583-F583</x:f>
        <x:v>20926</x:v>
      </x:c>
      <x:c r="H583" s="154" t="n">
        <x:f>IFERROR(G583/D583,"")</x:f>
        <x:v>0.13875369660641584</x:v>
      </x:c>
      <x:c r="I583" s="159" t="n">
        <x:v>5698</x:v>
      </x:c>
      <x:c r="J583" s="159" t="n">
        <x:v>46203</x:v>
      </x:c>
      <x:c r="K583" s="159" t="n">
        <x:f>I583-J583</x:f>
        <x:v>-40505</x:v>
      </x:c>
      <x:c r="L583" s="154" t="n">
        <x:f>IFERROR(K583/D583,"")</x:f>
        <x:v>-0.2685758616574058</x:v>
      </x:c>
    </x:row>
    <x:row r="584">
      <x:c r="A584" s="141" t="str">
        <x:v>Gold</x:v>
      </x:c>
      <x:c r="B584" s="155" t="n">
        <x:v>44411</x:v>
      </x:c>
      <x:c r="C584" s="155" t="n">
        <x:v>44414</x:v>
      </x:c>
      <x:c r="D584" s="159" t="n">
        <x:v>485663</x:v>
      </x:c>
      <x:c r="E584" s="159" t="n">
        <x:v>132920</x:v>
      </x:c>
      <x:c r="F584" s="159" t="n">
        <x:v>43047</x:v>
      </x:c>
      <x:c r="G584" s="159" t="n">
        <x:f>E584-F584</x:f>
        <x:v>89873</x:v>
      </x:c>
      <x:c r="H584" s="154" t="n">
        <x:f>IFERROR(G584/D584,"")</x:f>
        <x:v>0.18505218639262205</x:v>
      </x:c>
      <x:c r="I584" s="159" t="n">
        <x:v>17427</x:v>
      </x:c>
      <x:c r="J584" s="159" t="n">
        <x:v>73826</x:v>
      </x:c>
      <x:c r="K584" s="159" t="n">
        <x:f>I584-J584</x:f>
        <x:v>-56399</x:v>
      </x:c>
      <x:c r="L584" s="154" t="n">
        <x:f>IFERROR(K584/D584,"")</x:f>
        <x:v>-0.11612784997004096</x:v>
      </x:c>
    </x:row>
    <x:row r="585">
      <x:c r="A585" s="141" t="str">
        <x:v>Silver</x:v>
      </x:c>
      <x:c r="B585" s="155" t="n">
        <x:v>44411</x:v>
      </x:c>
      <x:c r="C585" s="155" t="n">
        <x:v>44414</x:v>
      </x:c>
      <x:c r="D585" s="159" t="n">
        <x:v>146196</x:v>
      </x:c>
      <x:c r="E585" s="159" t="n">
        <x:v>50878</x:v>
      </x:c>
      <x:c r="F585" s="159" t="n">
        <x:v>25468</x:v>
      </x:c>
      <x:c r="G585" s="159" t="n">
        <x:f>E585-F585</x:f>
        <x:v>25410</x:v>
      </x:c>
      <x:c r="H585" s="154" t="n">
        <x:f>IFERROR(G585/D585,"")</x:f>
        <x:v>0.1738077649183288</x:v>
      </x:c>
      <x:c r="I585" s="159" t="n">
        <x:v>4864</x:v>
      </x:c>
      <x:c r="J585" s="159" t="n">
        <x:v>46645</x:v>
      </x:c>
      <x:c r="K585" s="159" t="n">
        <x:f>I585-J585</x:f>
        <x:v>-41781</x:v>
      </x:c>
      <x:c r="L585" s="154" t="n">
        <x:f>IFERROR(K585/D585,"")</x:f>
        <x:v>-0.2857875728474103</x:v>
      </x:c>
    </x:row>
    <x:row r="586">
      <x:c r="A586" s="141" t="str">
        <x:v>Gold</x:v>
      </x:c>
      <x:c r="B586" s="155" t="n">
        <x:v>44418</x:v>
      </x:c>
      <x:c r="C586" s="155" t="n">
        <x:v>44421</x:v>
      </x:c>
      <x:c r="D586" s="159" t="n">
        <x:v>477232</x:v>
      </x:c>
      <x:c r="E586" s="159" t="n">
        <x:v>111892</x:v>
      </x:c>
      <x:c r="F586" s="159" t="n">
        <x:v>76489</x:v>
      </x:c>
      <x:c r="G586" s="159" t="n">
        <x:f>E586-F586</x:f>
        <x:v>35403</x:v>
      </x:c>
      <x:c r="H586" s="154" t="n">
        <x:f>IFERROR(G586/D586,"")</x:f>
        <x:v>0.07418404465752507</x:v>
      </x:c>
      <x:c r="I586" s="159" t="n">
        <x:v>15344</x:v>
      </x:c>
      <x:c r="J586" s="159" t="n">
        <x:v>62975</x:v>
      </x:c>
      <x:c r="K586" s="159" t="n">
        <x:f>I586-J586</x:f>
        <x:v>-47631</x:v>
      </x:c>
      <x:c r="L586" s="154" t="n">
        <x:f>IFERROR(K586/D586,"")</x:f>
        <x:v>-0.09980680256143762</x:v>
      </x:c>
    </x:row>
    <x:row r="587">
      <x:c r="A587" s="141" t="str">
        <x:v>Silver</x:v>
      </x:c>
      <x:c r="B587" s="155" t="n">
        <x:v>44418</x:v>
      </x:c>
      <x:c r="C587" s="155" t="n">
        <x:v>44421</x:v>
      </x:c>
      <x:c r="D587" s="159" t="n">
        <x:v>154491</x:v>
      </x:c>
      <x:c r="E587" s="159" t="n">
        <x:v>46631</x:v>
      </x:c>
      <x:c r="F587" s="159" t="n">
        <x:v>34891</x:v>
      </x:c>
      <x:c r="G587" s="159" t="n">
        <x:f>E587-F587</x:f>
        <x:v>11740</x:v>
      </x:c>
      <x:c r="H587" s="154" t="n">
        <x:f>IFERROR(G587/D587,"")</x:f>
        <x:v>0.07599148170443586</x:v>
      </x:c>
      <x:c r="I587" s="159" t="n">
        <x:v>5545</x:v>
      </x:c>
      <x:c r="J587" s="159" t="n">
        <x:v>41776</x:v>
      </x:c>
      <x:c r="K587" s="159" t="n">
        <x:f>I587-J587</x:f>
        <x:v>-36231</x:v>
      </x:c>
      <x:c r="L587" s="154" t="n">
        <x:f>IFERROR(K587/D587,"")</x:f>
        <x:v>-0.23451851564168785</x:v>
      </x:c>
    </x:row>
    <x:row r="588">
      <x:c r="A588" s="141" t="str">
        <x:v>Gold</x:v>
      </x:c>
      <x:c r="B588" s="155" t="n">
        <x:v>44425</x:v>
      </x:c>
      <x:c r="C588" s="155" t="n">
        <x:v>44428</x:v>
      </x:c>
      <x:c r="D588" s="159" t="n">
        <x:v>485485</x:v>
      </x:c>
      <x:c r="E588" s="159" t="n">
        <x:v>117272</x:v>
      </x:c>
      <x:c r="F588" s="159" t="n">
        <x:v>58194</x:v>
      </x:c>
      <x:c r="G588" s="159" t="n">
        <x:f>E588-F588</x:f>
        <x:v>59078</x:v>
      </x:c>
      <x:c r="H588" s="154" t="n">
        <x:f>IFERROR(G588/D588,"")</x:f>
        <x:v>0.12168862065769283</x:v>
      </x:c>
      <x:c r="I588" s="159" t="n">
        <x:v>14549</x:v>
      </x:c>
      <x:c r="J588" s="159" t="n">
        <x:v>66385</x:v>
      </x:c>
      <x:c r="K588" s="159" t="n">
        <x:f>I588-J588</x:f>
        <x:v>-51836</x:v>
      </x:c>
      <x:c r="L588" s="154" t="n">
        <x:f>IFERROR(K588/D588,"")</x:f>
        <x:v>-0.10677157893652739</x:v>
      </x:c>
    </x:row>
    <x:row r="589">
      <x:c r="A589" s="141" t="str">
        <x:v>Silver</x:v>
      </x:c>
      <x:c r="B589" s="155" t="n">
        <x:v>44425</x:v>
      </x:c>
      <x:c r="C589" s="155" t="n">
        <x:v>44428</x:v>
      </x:c>
      <x:c r="D589" s="159" t="n">
        <x:v>153825</x:v>
      </x:c>
      <x:c r="E589" s="159" t="n">
        <x:v>48227</x:v>
      </x:c>
      <x:c r="F589" s="159" t="n">
        <x:v>38472</x:v>
      </x:c>
      <x:c r="G589" s="159" t="n">
        <x:f>E589-F589</x:f>
        <x:v>9755</x:v>
      </x:c>
      <x:c r="H589" s="154" t="n">
        <x:f>IFERROR(G589/D589,"")</x:f>
        <x:v>0.0634162197302129</x:v>
      </x:c>
      <x:c r="I589" s="159" t="n">
        <x:v>5832</x:v>
      </x:c>
      <x:c r="J589" s="159" t="n">
        <x:v>40707</x:v>
      </x:c>
      <x:c r="K589" s="159" t="n">
        <x:f>I589-J589</x:f>
        <x:v>-34875</x:v>
      </x:c>
      <x:c r="L589" s="154" t="n">
        <x:f>IFERROR(K589/D589,"")</x:f>
        <x:v>-0.22671867381764993</x:v>
      </x:c>
    </x:row>
    <x:row r="590">
      <x:c r="A590" s="141" t="str">
        <x:v>Gold</x:v>
      </x:c>
      <x:c r="B590" s="155" t="n">
        <x:v>44432</x:v>
      </x:c>
      <x:c r="C590" s="155" t="n">
        <x:v>44435</x:v>
      </x:c>
      <x:c r="D590" s="159" t="n">
        <x:v>504735</x:v>
      </x:c>
      <x:c r="E590" s="159" t="n">
        <x:v>126636</x:v>
      </x:c>
      <x:c r="F590" s="159" t="n">
        <x:v>51192</x:v>
      </x:c>
      <x:c r="G590" s="159" t="n">
        <x:f>E590-F590</x:f>
        <x:v>75444</x:v>
      </x:c>
      <x:c r="H590" s="154" t="n">
        <x:f>IFERROR(G590/D590,"")</x:f>
        <x:v>0.1494724954679188</x:v>
      </x:c>
      <x:c r="I590" s="159" t="n">
        <x:v>14405</x:v>
      </x:c>
      <x:c r="J590" s="159" t="n">
        <x:v>69571</x:v>
      </x:c>
      <x:c r="K590" s="159" t="n">
        <x:f>I590-J590</x:f>
        <x:v>-55166</x:v>
      </x:c>
      <x:c r="L590" s="154" t="n">
        <x:f>IFERROR(K590/D590,"")</x:f>
        <x:v>-0.10929695780954363</x:v>
      </x:c>
    </x:row>
    <x:row r="591">
      <x:c r="A591" s="141" t="str">
        <x:v>Silver</x:v>
      </x:c>
      <x:c r="B591" s="155" t="n">
        <x:v>44432</x:v>
      </x:c>
      <x:c r="C591" s="155" t="n">
        <x:v>44435</x:v>
      </x:c>
      <x:c r="D591" s="159" t="n">
        <x:v>149847</x:v>
      </x:c>
      <x:c r="E591" s="159" t="n">
        <x:v>48094</x:v>
      </x:c>
      <x:c r="F591" s="159" t="n">
        <x:v>37470</x:v>
      </x:c>
      <x:c r="G591" s="159" t="n">
        <x:f>E591-F591</x:f>
        <x:v>10624</x:v>
      </x:c>
      <x:c r="H591" s="154" t="n">
        <x:f>IFERROR(G591/D591,"")</x:f>
        <x:v>0.07089898362996924</x:v>
      </x:c>
      <x:c r="I591" s="159" t="n">
        <x:v>5294</x:v>
      </x:c>
      <x:c r="J591" s="159" t="n">
        <x:v>41069</x:v>
      </x:c>
      <x:c r="K591" s="159" t="n">
        <x:f>I591-J591</x:f>
        <x:v>-35775</x:v>
      </x:c>
      <x:c r="L591" s="154" t="n">
        <x:f>IFERROR(K591/D591,"")</x:f>
        <x:v>-0.23874351838875654</x:v>
      </x:c>
    </x:row>
    <x:row r="592">
      <x:c r="A592" s="141" t="str">
        <x:v>Gold</x:v>
      </x:c>
      <x:c r="B592" s="155" t="n">
        <x:v>44439</x:v>
      </x:c>
      <x:c r="C592" s="155" t="n">
        <x:v>44442</x:v>
      </x:c>
      <x:c r="D592" s="159" t="n">
        <x:v>507113</x:v>
      </x:c>
      <x:c r="E592" s="159" t="n">
        <x:v>136555</x:v>
      </x:c>
      <x:c r="F592" s="159" t="n">
        <x:v>54878</x:v>
      </x:c>
      <x:c r="G592" s="159" t="n">
        <x:f>E592-F592</x:f>
        <x:v>81677</x:v>
      </x:c>
      <x:c r="H592" s="154" t="n">
        <x:f>IFERROR(G592/D592,"")</x:f>
        <x:v>0.1610627217207999</x:v>
      </x:c>
      <x:c r="I592" s="159" t="n">
        <x:v>13580</x:v>
      </x:c>
      <x:c r="J592" s="159" t="n">
        <x:v>66321</x:v>
      </x:c>
      <x:c r="K592" s="159" t="n">
        <x:f>I592-J592</x:f>
        <x:v>-52741</x:v>
      </x:c>
      <x:c r="L592" s="154" t="n">
        <x:f>IFERROR(K592/D592,"")</x:f>
        <x:v>-0.10400246098995687</x:v>
      </x:c>
    </x:row>
    <x:row r="593">
      <x:c r="A593" s="141" t="str">
        <x:v>Silver</x:v>
      </x:c>
      <x:c r="B593" s="155" t="n">
        <x:v>44439</x:v>
      </x:c>
      <x:c r="C593" s="155" t="n">
        <x:v>44442</x:v>
      </x:c>
      <x:c r="D593" s="159" t="n">
        <x:v>140937</x:v>
      </x:c>
      <x:c r="E593" s="159" t="n">
        <x:v>49008</x:v>
      </x:c>
      <x:c r="F593" s="159" t="n">
        <x:v>36735</x:v>
      </x:c>
      <x:c r="G593" s="159" t="n">
        <x:f>E593-F593</x:f>
        <x:v>12273</x:v>
      </x:c>
      <x:c r="H593" s="154" t="n">
        <x:f>IFERROR(G593/D593,"")</x:f>
        <x:v>0.08708146192979842</x:v>
      </x:c>
      <x:c r="I593" s="159" t="n">
        <x:v>5197</x:v>
      </x:c>
      <x:c r="J593" s="159" t="n">
        <x:v>39826</x:v>
      </x:c>
      <x:c r="K593" s="159" t="n">
        <x:f>I593-J593</x:f>
        <x:v>-34629</x:v>
      </x:c>
      <x:c r="L593" s="154" t="n">
        <x:f>IFERROR(K593/D593,"")</x:f>
        <x:v>-0.24570552800187317</x:v>
      </x:c>
    </x:row>
    <x:row r="594">
      <x:c r="A594" s="141" t="str">
        <x:v>Gold</x:v>
      </x:c>
      <x:c r="B594" s="155" t="n">
        <x:v>44446</x:v>
      </x:c>
      <x:c r="C594" s="155" t="n">
        <x:v>44449</x:v>
      </x:c>
      <x:c r="D594" s="159" t="n">
        <x:v>506772</x:v>
      </x:c>
      <x:c r="E594" s="159" t="n">
        <x:v>129044</x:v>
      </x:c>
      <x:c r="F594" s="159" t="n">
        <x:v>61449</x:v>
      </x:c>
      <x:c r="G594" s="159" t="n">
        <x:f>E594-F594</x:f>
        <x:v>67595</x:v>
      </x:c>
      <x:c r="H594" s="154" t="n">
        <x:f>IFERROR(G594/D594,"")</x:f>
        <x:v>0.13338345449235553</x:v>
      </x:c>
      <x:c r="I594" s="159" t="n">
        <x:v>14223</x:v>
      </x:c>
      <x:c r="J594" s="159" t="n">
        <x:v>66798</x:v>
      </x:c>
      <x:c r="K594" s="159" t="n">
        <x:f>I594-J594</x:f>
        <x:v>-52575</x:v>
      </x:c>
      <x:c r="L594" s="154" t="n">
        <x:f>IFERROR(K594/D594,"")</x:f>
        <x:v>-0.10374487935402903</x:v>
      </x:c>
    </x:row>
    <x:row r="595">
      <x:c r="A595" s="141" t="str">
        <x:v>Silver</x:v>
      </x:c>
      <x:c r="B595" s="155" t="n">
        <x:v>44446</x:v>
      </x:c>
      <x:c r="C595" s="155" t="n">
        <x:v>44449</x:v>
      </x:c>
      <x:c r="D595" s="159" t="n">
        <x:v>139187</x:v>
      </x:c>
      <x:c r="E595" s="159" t="n">
        <x:v>49406</x:v>
      </x:c>
      <x:c r="F595" s="159" t="n">
        <x:v>31630</x:v>
      </x:c>
      <x:c r="G595" s="159" t="n">
        <x:f>E595-F595</x:f>
        <x:v>17776</x:v>
      </x:c>
      <x:c r="H595" s="154" t="n">
        <x:f>IFERROR(G595/D595,"")</x:f>
        <x:v>0.12771307665227355</x:v>
      </x:c>
      <x:c r="I595" s="159" t="n">
        <x:v>4927</x:v>
      </x:c>
      <x:c r="J595" s="159" t="n">
        <x:v>40895</x:v>
      </x:c>
      <x:c r="K595" s="159" t="n">
        <x:f>I595-J595</x:f>
        <x:v>-35968</x:v>
      </x:c>
      <x:c r="L595" s="154" t="n">
        <x:f>IFERROR(K595/D595,"")</x:f>
        <x:v>-0.25841493817669753</x:v>
      </x:c>
    </x:row>
    <x:row r="596">
      <x:c r="A596" s="141" t="str">
        <x:v>Gold</x:v>
      </x:c>
      <x:c r="B596" s="155" t="n">
        <x:v>44453</x:v>
      </x:c>
      <x:c r="C596" s="155" t="n">
        <x:v>44456</x:v>
      </x:c>
      <x:c r="D596" s="159" t="n">
        <x:v>506356</x:v>
      </x:c>
      <x:c r="E596" s="159" t="n">
        <x:v>130837</x:v>
      </x:c>
      <x:c r="F596" s="159" t="n">
        <x:v>59615</x:v>
      </x:c>
      <x:c r="G596" s="159" t="n">
        <x:f>E596-F596</x:f>
        <x:v>71222</x:v>
      </x:c>
      <x:c r="H596" s="154" t="n">
        <x:f>IFERROR(G596/D596,"")</x:f>
        <x:v>0.14065598116740002</x:v>
      </x:c>
      <x:c r="I596" s="159" t="n">
        <x:v>13149</x:v>
      </x:c>
      <x:c r="J596" s="159" t="n">
        <x:v>67186</x:v>
      </x:c>
      <x:c r="K596" s="159" t="n">
        <x:f>I596-J596</x:f>
        <x:v>-54037</x:v>
      </x:c>
      <x:c r="L596" s="154" t="n">
        <x:f>IFERROR(K596/D596,"")</x:f>
        <x:v>-0.10671740830561897</x:v>
      </x:c>
    </x:row>
    <x:row r="597">
      <x:c r="A597" s="141" t="str">
        <x:v>Silver</x:v>
      </x:c>
      <x:c r="B597" s="155" t="n">
        <x:v>44453</x:v>
      </x:c>
      <x:c r="C597" s="155" t="n">
        <x:v>44456</x:v>
      </x:c>
      <x:c r="D597" s="159" t="n">
        <x:v>140540</x:v>
      </x:c>
      <x:c r="E597" s="159" t="n">
        <x:v>48598</x:v>
      </x:c>
      <x:c r="F597" s="159" t="n">
        <x:v>34512</x:v>
      </x:c>
      <x:c r="G597" s="159" t="n">
        <x:f>E597-F597</x:f>
        <x:v>14086</x:v>
      </x:c>
      <x:c r="H597" s="154" t="n">
        <x:f>IFERROR(G597/D597,"")</x:f>
        <x:v>0.10022769318343532</x:v>
      </x:c>
      <x:c r="I597" s="159" t="n">
        <x:v>4864</x:v>
      </x:c>
      <x:c r="J597" s="159" t="n">
        <x:v>40400</x:v>
      </x:c>
      <x:c r="K597" s="159" t="n">
        <x:f>I597-J597</x:f>
        <x:v>-35536</x:v>
      </x:c>
      <x:c r="L597" s="154" t="n">
        <x:f>IFERROR(K597/D597,"")</x:f>
        <x:v>-0.25285328020492387</x:v>
      </x:c>
    </x:row>
    <x:row r="598">
      <x:c r="A598" s="141" t="str">
        <x:v>Gold</x:v>
      </x:c>
      <x:c r="B598" s="155" t="n">
        <x:v>44460</x:v>
      </x:c>
      <x:c r="C598" s="155" t="n">
        <x:v>44463</x:v>
      </x:c>
      <x:c r="D598" s="159" t="n">
        <x:v>492765</x:v>
      </x:c>
      <x:c r="E598" s="159" t="n">
        <x:v>119777</x:v>
      </x:c>
      <x:c r="F598" s="159" t="n">
        <x:v>72933</x:v>
      </x:c>
      <x:c r="G598" s="159" t="n">
        <x:f>E598-F598</x:f>
        <x:v>46844</x:v>
      </x:c>
      <x:c r="H598" s="154" t="n">
        <x:f>IFERROR(G598/D598,"")</x:f>
        <x:v>0.09506356985581363</x:v>
      </x:c>
      <x:c r="I598" s="159" t="n">
        <x:v>15089</x:v>
      </x:c>
      <x:c r="J598" s="159" t="n">
        <x:v>61902</x:v>
      </x:c>
      <x:c r="K598" s="159" t="n">
        <x:f>I598-J598</x:f>
        <x:v>-46813</x:v>
      </x:c>
      <x:c r="L598" s="154" t="n">
        <x:f>IFERROR(K598/D598,"")</x:f>
        <x:v>-0.09500065954359584</x:v>
      </x:c>
    </x:row>
    <x:row r="599">
      <x:c r="A599" s="141" t="str">
        <x:v>Silver</x:v>
      </x:c>
      <x:c r="B599" s="155" t="n">
        <x:v>44460</x:v>
      </x:c>
      <x:c r="C599" s="155" t="n">
        <x:v>44463</x:v>
      </x:c>
      <x:c r="D599" s="159" t="n">
        <x:v>145537</x:v>
      </x:c>
      <x:c r="E599" s="159" t="n">
        <x:v>48233</x:v>
      </x:c>
      <x:c r="F599" s="159" t="n">
        <x:v>46923</x:v>
      </x:c>
      <x:c r="G599" s="159" t="n">
        <x:f>E599-F599</x:f>
        <x:v>1310</x:v>
      </x:c>
      <x:c r="H599" s="154" t="n">
        <x:f>IFERROR(G599/D599,"")</x:f>
        <x:v>0.009001147474525378</x:v>
      </x:c>
      <x:c r="I599" s="159" t="n">
        <x:v>5362</x:v>
      </x:c>
      <x:c r="J599" s="159" t="n">
        <x:v>36377</x:v>
      </x:c>
      <x:c r="K599" s="159" t="n">
        <x:f>I599-J599</x:f>
        <x:v>-31015</x:v>
      </x:c>
      <x:c r="L599" s="154" t="n">
        <x:f>IFERROR(K599/D599,"")</x:f>
        <x:v>-0.21310731978809513</x:v>
      </x:c>
    </x:row>
    <x:row r="600">
      <x:c r="A600" s="141" t="str">
        <x:v>Gold</x:v>
      </x:c>
      <x:c r="B600" s="155" t="n">
        <x:v>44467</x:v>
      </x:c>
      <x:c r="C600" s="155" t="n">
        <x:v>44470</x:v>
      </x:c>
      <x:c r="D600" s="159" t="n">
        <x:v>490858</x:v>
      </x:c>
      <x:c r="E600" s="159" t="n">
        <x:v>118923</x:v>
      </x:c>
      <x:c r="F600" s="159" t="n">
        <x:v>88062</x:v>
      </x:c>
      <x:c r="G600" s="159" t="n">
        <x:f>E600-F600</x:f>
        <x:v>30861</x:v>
      </x:c>
      <x:c r="H600" s="154" t="n">
        <x:f>IFERROR(G600/D600,"")</x:f>
        <x:v>0.0628715432976543</x:v>
      </x:c>
      <x:c r="I600" s="159" t="n">
        <x:v>18460</x:v>
      </x:c>
      <x:c r="J600" s="159" t="n">
        <x:v>60320</x:v>
      </x:c>
      <x:c r="K600" s="159" t="n">
        <x:f>I600-J600</x:f>
        <x:v>-41860</x:v>
      </x:c>
      <x:c r="L600" s="154" t="n">
        <x:f>IFERROR(K600/D600,"")</x:f>
        <x:v>-0.08527924572890734</x:v>
      </x:c>
    </x:row>
    <x:row r="601">
      <x:c r="A601" s="141" t="str">
        <x:v>Silver</x:v>
      </x:c>
      <x:c r="B601" s="155" t="n">
        <x:v>44467</x:v>
      </x:c>
      <x:c r="C601" s="155" t="n">
        <x:v>44470</x:v>
      </x:c>
      <x:c r="D601" s="159" t="n">
        <x:v>142163</x:v>
      </x:c>
      <x:c r="E601" s="159" t="n">
        <x:v>47442</x:v>
      </x:c>
      <x:c r="F601" s="159" t="n">
        <x:v>43918</x:v>
      </x:c>
      <x:c r="G601" s="159" t="n">
        <x:f>E601-F601</x:f>
        <x:v>3524</x:v>
      </x:c>
      <x:c r="H601" s="154" t="n">
        <x:f>IFERROR(G601/D601,"")</x:f>
        <x:v>0.024788447064285363</x:v>
      </x:c>
      <x:c r="I601" s="159" t="n">
        <x:v>5245</x:v>
      </x:c>
      <x:c r="J601" s="159" t="n">
        <x:v>36380</x:v>
      </x:c>
      <x:c r="K601" s="159" t="n">
        <x:f>I601-J601</x:f>
        <x:v>-31135</x:v>
      </x:c>
      <x:c r="L601" s="154" t="n">
        <x:f>IFERROR(K601/D601,"")</x:f>
        <x:v>-0.2190091655353362</x:v>
      </x:c>
    </x:row>
    <x:row r="602">
      <x:c r="A602" s="141" t="str">
        <x:v>Gold</x:v>
      </x:c>
      <x:c r="B602" s="155" t="n">
        <x:v>44474</x:v>
      </x:c>
      <x:c r="C602" s="155" t="n">
        <x:v>44477</x:v>
      </x:c>
      <x:c r="D602" s="159" t="n">
        <x:v>483789</x:v>
      </x:c>
      <x:c r="E602" s="159" t="n">
        <x:v>126745</x:v>
      </x:c>
      <x:c r="F602" s="159" t="n">
        <x:v>72579</x:v>
      </x:c>
      <x:c r="G602" s="159" t="n">
        <x:f>E602-F602</x:f>
        <x:v>54166</x:v>
      </x:c>
      <x:c r="H602" s="154" t="n">
        <x:f>IFERROR(G602/D602,"")</x:f>
        <x:v>0.1119620330350628</x:v>
      </x:c>
      <x:c r="I602" s="159" t="n">
        <x:v>14867</x:v>
      </x:c>
      <x:c r="J602" s="159" t="n">
        <x:v>57675</x:v>
      </x:c>
      <x:c r="K602" s="159" t="n">
        <x:f>I602-J602</x:f>
        <x:v>-42808</x:v>
      </x:c>
      <x:c r="L602" s="154" t="n">
        <x:f>IFERROR(K602/D602,"")</x:f>
        <x:v>-0.08848485600127329</x:v>
      </x:c>
    </x:row>
    <x:row r="603">
      <x:c r="A603" s="141" t="str">
        <x:v>Silver</x:v>
      </x:c>
      <x:c r="B603" s="155" t="n">
        <x:v>44474</x:v>
      </x:c>
      <x:c r="C603" s="155" t="n">
        <x:v>44477</x:v>
      </x:c>
      <x:c r="D603" s="159" t="n">
        <x:v>139763</x:v>
      </x:c>
      <x:c r="E603" s="159" t="n">
        <x:v>47463</x:v>
      </x:c>
      <x:c r="F603" s="159" t="n">
        <x:v>42819</x:v>
      </x:c>
      <x:c r="G603" s="159" t="n">
        <x:f>E603-F603</x:f>
        <x:v>4644</x:v>
      </x:c>
      <x:c r="H603" s="154" t="n">
        <x:f>IFERROR(G603/D603,"")</x:f>
        <x:v>0.03322767828395212</x:v>
      </x:c>
      <x:c r="I603" s="159" t="n">
        <x:v>5454</x:v>
      </x:c>
      <x:c r="J603" s="159" t="n">
        <x:v>36320</x:v>
      </x:c>
      <x:c r="K603" s="159" t="n">
        <x:f>I603-J603</x:f>
        <x:v>-30866</x:v>
      </x:c>
      <x:c r="L603" s="154" t="n">
        <x:f>IFERROR(K603/D603,"")</x:f>
        <x:v>-0.22084528809484627</x:v>
      </x:c>
    </x:row>
    <x:row r="604">
      <x:c r="A604" s="141" t="str">
        <x:v>Gold</x:v>
      </x:c>
      <x:c r="B604" s="155" t="n">
        <x:v>44481</x:v>
      </x:c>
      <x:c r="C604" s="155" t="n">
        <x:v>44484</x:v>
      </x:c>
      <x:c r="D604" s="159" t="n">
        <x:v>484382</x:v>
      </x:c>
      <x:c r="E604" s="159" t="n">
        <x:v>131668</x:v>
      </x:c>
      <x:c r="F604" s="159" t="n">
        <x:v>73149</x:v>
      </x:c>
      <x:c r="G604" s="159" t="n">
        <x:f>E604-F604</x:f>
        <x:v>58519</x:v>
      </x:c>
      <x:c r="H604" s="154" t="n">
        <x:f>IFERROR(G604/D604,"")</x:f>
        <x:v>0.12081167343130009</x:v>
      </x:c>
      <x:c r="I604" s="159" t="n">
        <x:v>14259</x:v>
      </x:c>
      <x:c r="J604" s="159" t="n">
        <x:v>62099</x:v>
      </x:c>
      <x:c r="K604" s="159" t="n">
        <x:f>I604-J604</x:f>
        <x:v>-47840</x:v>
      </x:c>
      <x:c r="L604" s="154" t="n">
        <x:f>IFERROR(K604/D604,"")</x:f>
        <x:v>-0.09876502429900368</x:v>
      </x:c>
    </x:row>
    <x:row r="605">
      <x:c r="A605" s="141" t="str">
        <x:v>Silver</x:v>
      </x:c>
      <x:c r="B605" s="155" t="n">
        <x:v>44481</x:v>
      </x:c>
      <x:c r="C605" s="155" t="n">
        <x:v>44484</x:v>
      </x:c>
      <x:c r="D605" s="159" t="n">
        <x:v>139403</x:v>
      </x:c>
      <x:c r="E605" s="159" t="n">
        <x:v>47447</x:v>
      </x:c>
      <x:c r="F605" s="159" t="n">
        <x:v>42391</x:v>
      </x:c>
      <x:c r="G605" s="159" t="n">
        <x:f>E605-F605</x:f>
        <x:v>5056</x:v>
      </x:c>
      <x:c r="H605" s="154" t="n">
        <x:f>IFERROR(G605/D605,"")</x:f>
        <x:v>0.03626894686627978</x:v>
      </x:c>
      <x:c r="I605" s="159" t="n">
        <x:v>4968</x:v>
      </x:c>
      <x:c r="J605" s="159" t="n">
        <x:v>37046</x:v>
      </x:c>
      <x:c r="K605" s="159" t="n">
        <x:f>I605-J605</x:f>
        <x:v>-32078</x:v>
      </x:c>
      <x:c r="L605" s="154" t="n">
        <x:f>IFERROR(K605/D605,"")</x:f>
        <x:v>-0.2301098254700401</x:v>
      </x:c>
    </x:row>
    <x:row r="606">
      <x:c r="A606" s="141" t="str">
        <x:v>Gold</x:v>
      </x:c>
      <x:c r="B606" s="155" t="n">
        <x:v>44488</x:v>
      </x:c>
      <x:c r="C606" s="155" t="n">
        <x:v>44491</x:v>
      </x:c>
      <x:c r="D606" s="159" t="n">
        <x:v>485974</x:v>
      </x:c>
      <x:c r="E606" s="159" t="n">
        <x:v>124560</x:v>
      </x:c>
      <x:c r="F606" s="159" t="n">
        <x:v>66761</x:v>
      </x:c>
      <x:c r="G606" s="159" t="n">
        <x:f>E606-F606</x:f>
        <x:v>57799</x:v>
      </x:c>
      <x:c r="H606" s="154" t="n">
        <x:f>IFERROR(G606/D606,"")</x:f>
        <x:v>0.11893434628189986</x:v>
      </x:c>
      <x:c r="I606" s="159" t="n">
        <x:v>12474</x:v>
      </x:c>
      <x:c r="J606" s="159" t="n">
        <x:v>63126</x:v>
      </x:c>
      <x:c r="K606" s="159" t="n">
        <x:f>I606-J606</x:f>
        <x:v>-50652</x:v>
      </x:c>
      <x:c r="L606" s="154" t="n">
        <x:f>IFERROR(K606/D606,"")</x:f>
        <x:v>-0.10422779819496517</x:v>
      </x:c>
    </x:row>
    <x:row r="607">
      <x:c r="A607" s="141" t="str">
        <x:v>Silver</x:v>
      </x:c>
      <x:c r="B607" s="155" t="n">
        <x:v>44488</x:v>
      </x:c>
      <x:c r="C607" s="155" t="n">
        <x:v>44491</x:v>
      </x:c>
      <x:c r="D607" s="159" t="n">
        <x:v>143664</x:v>
      </x:c>
      <x:c r="E607" s="159" t="n">
        <x:v>50040</x:v>
      </x:c>
      <x:c r="F607" s="159" t="n">
        <x:v>30603</x:v>
      </x:c>
      <x:c r="G607" s="159" t="n">
        <x:f>E607-F607</x:f>
        <x:v>19437</x:v>
      </x:c>
      <x:c r="H607" s="154" t="n">
        <x:f>IFERROR(G607/D607,"")</x:f>
        <x:v>0.13529485466087537</x:v>
      </x:c>
      <x:c r="I607" s="159" t="n">
        <x:v>3747</x:v>
      </x:c>
      <x:c r="J607" s="159" t="n">
        <x:v>42051</x:v>
      </x:c>
      <x:c r="K607" s="159" t="n">
        <x:f>I607-J607</x:f>
        <x:v>-38304</x:v>
      </x:c>
      <x:c r="L607" s="154" t="n">
        <x:f>IFERROR(K607/D607,"")</x:f>
        <x:v>-0.26662211827597726</x:v>
      </x:c>
    </x:row>
    <x:row r="608">
      <x:c r="A608" s="141" t="str">
        <x:v>Gold</x:v>
      </x:c>
      <x:c r="B608" s="155" t="n">
        <x:v>44495</x:v>
      </x:c>
      <x:c r="C608" s="155" t="n">
        <x:v>44498</x:v>
      </x:c>
      <x:c r="D608" s="159" t="n">
        <x:v>509794</x:v>
      </x:c>
      <x:c r="E608" s="159" t="n">
        <x:v>141280</x:v>
      </x:c>
      <x:c r="F608" s="159" t="n">
        <x:v>54918</x:v>
      </x:c>
      <x:c r="G608" s="159" t="n">
        <x:f>E608-F608</x:f>
        <x:v>86362</x:v>
      </x:c>
      <x:c r="H608" s="154" t="n">
        <x:f>IFERROR(G608/D608,"")</x:f>
        <x:v>0.16940568151057095</x:v>
      </x:c>
      <x:c r="I608" s="159" t="n">
        <x:v>13505</x:v>
      </x:c>
      <x:c r="J608" s="159" t="n">
        <x:v>64600</x:v>
      </x:c>
      <x:c r="K608" s="159" t="n">
        <x:f>I608-J608</x:f>
        <x:v>-51095</x:v>
      </x:c>
      <x:c r="L608" s="154" t="n">
        <x:f>IFERROR(K608/D608,"")</x:f>
        <x:v>-0.10022675825921842</x:v>
      </x:c>
    </x:row>
    <x:row r="609">
      <x:c r="A609" s="141" t="str">
        <x:v>Silver</x:v>
      </x:c>
      <x:c r="B609" s="155" t="n">
        <x:v>44495</x:v>
      </x:c>
      <x:c r="C609" s="155" t="n">
        <x:v>44498</x:v>
      </x:c>
      <x:c r="D609" s="159" t="n">
        <x:v>141581</x:v>
      </x:c>
      <x:c r="E609" s="159" t="n">
        <x:v>52646</x:v>
      </x:c>
      <x:c r="F609" s="159" t="n">
        <x:v>23514</x:v>
      </x:c>
      <x:c r="G609" s="159" t="n">
        <x:f>E609-F609</x:f>
        <x:v>29132</x:v>
      </x:c>
      <x:c r="H609" s="154" t="n">
        <x:f>IFERROR(G609/D609,"")</x:f>
        <x:v>0.20576207259448656</x:v>
      </x:c>
      <x:c r="I609" s="159" t="n">
        <x:v>3361</x:v>
      </x:c>
      <x:c r="J609" s="159" t="n">
        <x:v>45213</x:v>
      </x:c>
      <x:c r="K609" s="159" t="n">
        <x:f>I609-J609</x:f>
        <x:v>-41852</x:v>
      </x:c>
      <x:c r="L609" s="154" t="n">
        <x:f>IFERROR(K609/D609,"")</x:f>
        <x:v>-0.29560463621531136</x:v>
      </x:c>
    </x:row>
    <x:row r="610">
      <x:c r="A610" s="141" t="str">
        <x:v>Gold</x:v>
      </x:c>
      <x:c r="B610" s="155" t="n">
        <x:v>44502</x:v>
      </x:c>
      <x:c r="C610" s="155" t="n">
        <x:v>44505</x:v>
      </x:c>
      <x:c r="D610" s="159" t="n">
        <x:v>507616</x:v>
      </x:c>
      <x:c r="E610" s="159" t="n">
        <x:v>136944</x:v>
      </x:c>
      <x:c r="F610" s="159" t="n">
        <x:v>51705</x:v>
      </x:c>
      <x:c r="G610" s="159" t="n">
        <x:f>E610-F610</x:f>
        <x:v>85239</x:v>
      </x:c>
      <x:c r="H610" s="154" t="n">
        <x:f>IFERROR(G610/D610,"")</x:f>
        <x:v>0.167920238920759</x:v>
      </x:c>
      <x:c r="I610" s="159" t="n">
        <x:v>13986</x:v>
      </x:c>
      <x:c r="J610" s="159" t="n">
        <x:v>66307</x:v>
      </x:c>
      <x:c r="K610" s="159" t="n">
        <x:f>I610-J610</x:f>
        <x:v>-52321</x:v>
      </x:c>
      <x:c r="L610" s="154" t="n">
        <x:f>IFERROR(K610/D610,"")</x:f>
        <x:v>-0.1030720071865347</x:v>
      </x:c>
    </x:row>
    <x:row r="611">
      <x:c r="A611" s="141" t="str">
        <x:v>Silver</x:v>
      </x:c>
      <x:c r="B611" s="155" t="n">
        <x:v>44502</x:v>
      </x:c>
      <x:c r="C611" s="155" t="n">
        <x:v>44505</x:v>
      </x:c>
      <x:c r="D611" s="159" t="n">
        <x:v>141394</x:v>
      </x:c>
      <x:c r="E611" s="159" t="n">
        <x:v>50391</x:v>
      </x:c>
      <x:c r="F611" s="159" t="n">
        <x:v>26422</x:v>
      </x:c>
      <x:c r="G611" s="159" t="n">
        <x:f>E611-F611</x:f>
        <x:v>23969</x:v>
      </x:c>
      <x:c r="H611" s="154" t="n">
        <x:f>IFERROR(G611/D611,"")</x:f>
        <x:v>0.1695192158083087</x:v>
      </x:c>
      <x:c r="I611" s="159" t="n">
        <x:v>3508</x:v>
      </x:c>
      <x:c r="J611" s="159" t="n">
        <x:v>44388</x:v>
      </x:c>
      <x:c r="K611" s="159" t="n">
        <x:f>I611-J611</x:f>
        <x:v>-40880</x:v>
      </x:c>
      <x:c r="L611" s="154" t="n">
        <x:f>IFERROR(K611/D611,"")</x:f>
        <x:v>-0.2891211791165113</x:v>
      </x:c>
    </x:row>
    <x:row r="612">
      <x:c r="A612" s="141" t="str">
        <x:v>Gold</x:v>
      </x:c>
      <x:c r="B612" s="155" t="n">
        <x:v>44509</x:v>
      </x:c>
      <x:c r="C612" s="155" t="n">
        <x:v>44512</x:v>
      </x:c>
      <x:c r="D612" s="159" t="n">
        <x:v>571025</x:v>
      </x:c>
      <x:c r="E612" s="159" t="n">
        <x:v>168133</x:v>
      </x:c>
      <x:c r="F612" s="159" t="n">
        <x:v>42523</x:v>
      </x:c>
      <x:c r="G612" s="159" t="n">
        <x:f>E612-F612</x:f>
        <x:v>125610</x:v>
      </x:c>
      <x:c r="H612" s="154" t="n">
        <x:f>IFERROR(G612/D612,"")</x:f>
        <x:v>0.21997285582942955</x:v>
      </x:c>
      <x:c r="I612" s="159" t="n">
        <x:v>17412</x:v>
      </x:c>
      <x:c r="J612" s="159" t="n">
        <x:v>76212</x:v>
      </x:c>
      <x:c r="K612" s="159" t="n">
        <x:f>I612-J612</x:f>
        <x:v>-58800</x:v>
      </x:c>
      <x:c r="L612" s="154" t="n">
        <x:f>IFERROR(K612/D612,"")</x:f>
        <x:v>-0.1029727244866687</x:v>
      </x:c>
    </x:row>
    <x:row r="613">
      <x:c r="A613" s="141" t="str">
        <x:v>Silver</x:v>
      </x:c>
      <x:c r="B613" s="155" t="n">
        <x:v>44509</x:v>
      </x:c>
      <x:c r="C613" s="155" t="n">
        <x:v>44512</x:v>
      </x:c>
      <x:c r="D613" s="159" t="n">
        <x:v>144370</x:v>
      </x:c>
      <x:c r="E613" s="159" t="n">
        <x:v>50950</x:v>
      </x:c>
      <x:c r="F613" s="159" t="n">
        <x:v>23702</x:v>
      </x:c>
      <x:c r="G613" s="159" t="n">
        <x:f>E613-F613</x:f>
        <x:v>27248</x:v>
      </x:c>
      <x:c r="H613" s="154" t="n">
        <x:f>IFERROR(G613/D613,"")</x:f>
        <x:v>0.18873727228648612</x:v>
      </x:c>
      <x:c r="I613" s="159" t="n">
        <x:v>3013</x:v>
      </x:c>
      <x:c r="J613" s="159" t="n">
        <x:v>46879</x:v>
      </x:c>
      <x:c r="K613" s="159" t="n">
        <x:f>I613-J613</x:f>
        <x:v>-43866</x:v>
      </x:c>
      <x:c r="L613" s="154" t="n">
        <x:f>IFERROR(K613/D613,"")</x:f>
        <x:v>-0.30384428897970495</x:v>
      </x:c>
    </x:row>
    <x:row r="614">
      <x:c r="A614" s="141" t="str">
        <x:v>Gold</x:v>
      </x:c>
      <x:c r="B614" s="155" t="n">
        <x:v>44516</x:v>
      </x:c>
      <x:c r="C614" s="155" t="n">
        <x:v>44519</x:v>
      </x:c>
      <x:c r="D614" s="159" t="n">
        <x:v>612612</x:v>
      </x:c>
      <x:c r="E614" s="159" t="n">
        <x:v>185468</x:v>
      </x:c>
      <x:c r="F614" s="159" t="n">
        <x:v>43083</x:v>
      </x:c>
      <x:c r="G614" s="159" t="n">
        <x:f>E614-F614</x:f>
        <x:v>142385</x:v>
      </x:c>
      <x:c r="H614" s="154" t="n">
        <x:f>IFERROR(G614/D614,"")</x:f>
        <x:v>0.2324228059522177</x:v>
      </x:c>
      <x:c r="I614" s="159" t="n">
        <x:v>17998</x:v>
      </x:c>
      <x:c r="J614" s="159" t="n">
        <x:v>86192</x:v>
      </x:c>
      <x:c r="K614" s="159" t="n">
        <x:f>I614-J614</x:f>
        <x:v>-68194</x:v>
      </x:c>
      <x:c r="L614" s="154" t="n">
        <x:f>IFERROR(K614/D614,"")</x:f>
        <x:v>-0.11131678778737603</x:v>
      </x:c>
    </x:row>
    <x:row r="615">
      <x:c r="A615" s="141" t="str">
        <x:v>Silver</x:v>
      </x:c>
      <x:c r="B615" s="155" t="n">
        <x:v>44516</x:v>
      </x:c>
      <x:c r="C615" s="155" t="n">
        <x:v>44519</x:v>
      </x:c>
      <x:c r="D615" s="159" t="n">
        <x:v>152404</x:v>
      </x:c>
      <x:c r="E615" s="159" t="n">
        <x:v>59631</x:v>
      </x:c>
      <x:c r="F615" s="159" t="n">
        <x:v>24341</x:v>
      </x:c>
      <x:c r="G615" s="159" t="n">
        <x:f>E615-F615</x:f>
        <x:v>35290</x:v>
      </x:c>
      <x:c r="H615" s="154" t="n">
        <x:f>IFERROR(G615/D615,"")</x:f>
        <x:v>0.23155560221516497</x:v>
      </x:c>
      <x:c r="I615" s="159" t="n">
        <x:v>2642</x:v>
      </x:c>
      <x:c r="J615" s="159" t="n">
        <x:v>48301</x:v>
      </x:c>
      <x:c r="K615" s="159" t="n">
        <x:f>I615-J615</x:f>
        <x:v>-45659</x:v>
      </x:c>
      <x:c r="L615" s="154" t="n">
        <x:f>IFERROR(K615/D615,"")</x:f>
        <x:v>-0.29959187422902284</x:v>
      </x:c>
    </x:row>
    <x:row r="616">
      <x:c r="A616" s="141" t="str">
        <x:v>Gold</x:v>
      </x:c>
      <x:c r="B616" s="155" t="n">
        <x:v>44523</x:v>
      </x:c>
      <x:c r="C616" s="155" t="n">
        <x:v>44526</x:v>
      </x:c>
      <x:c r="D616" s="159" t="n">
        <x:v>559823</x:v>
      </x:c>
      <x:c r="E616" s="159" t="n">
        <x:v>152273</x:v>
      </x:c>
      <x:c r="F616" s="159" t="n">
        <x:v>46934</x:v>
      </x:c>
      <x:c r="G616" s="159" t="n">
        <x:f>E616-F616</x:f>
        <x:v>105339</x:v>
      </x:c>
      <x:c r="H616" s="154" t="n">
        <x:f>IFERROR(G616/D616,"")</x:f>
        <x:v>0.1881648306696938</x:v>
      </x:c>
      <x:c r="I616" s="159" t="n">
        <x:v>14322</x:v>
      </x:c>
      <x:c r="J616" s="159" t="n">
        <x:v>82848</x:v>
      </x:c>
      <x:c r="K616" s="159" t="n">
        <x:f>I616-J616</x:f>
        <x:v>-68526</x:v>
      </x:c>
      <x:c r="L616" s="154" t="n">
        <x:f>IFERROR(K616/D616,"")</x:f>
        <x:v>-0.12240654635483</x:v>
      </x:c>
    </x:row>
    <x:row r="617">
      <x:c r="A617" s="141" t="str">
        <x:v>Silver</x:v>
      </x:c>
      <x:c r="B617" s="155" t="n">
        <x:v>44523</x:v>
      </x:c>
      <x:c r="C617" s="155" t="n">
        <x:v>44526</x:v>
      </x:c>
      <x:c r="D617" s="159" t="n">
        <x:v>149642</x:v>
      </x:c>
      <x:c r="E617" s="159" t="n">
        <x:v>54714</x:v>
      </x:c>
      <x:c r="F617" s="159" t="n">
        <x:v>24901</x:v>
      </x:c>
      <x:c r="G617" s="159" t="n">
        <x:f>E617-F617</x:f>
        <x:v>29813</x:v>
      </x:c>
      <x:c r="H617" s="154" t="n">
        <x:f>IFERROR(G617/D617,"")</x:f>
        <x:v>0.19922882613170098</x:v>
      </x:c>
      <x:c r="I617" s="159" t="n">
        <x:v>4283</x:v>
      </x:c>
      <x:c r="J617" s="159" t="n">
        <x:v>48644</x:v>
      </x:c>
      <x:c r="K617" s="159" t="n">
        <x:f>I617-J617</x:f>
        <x:v>-44361</x:v>
      </x:c>
      <x:c r="L617" s="154" t="n">
        <x:f>IFERROR(K617/D617,"")</x:f>
        <x:v>-0.2964475214177838</x:v>
      </x:c>
    </x:row>
    <x:row r="618">
      <x:c r="A618" s="141" t="str">
        <x:v>Gold</x:v>
      </x:c>
      <x:c r="B618" s="155" t="n">
        <x:v>44530</x:v>
      </x:c>
      <x:c r="C618" s="155" t="n">
        <x:v>44533</x:v>
      </x:c>
      <x:c r="D618" s="159" t="n">
        <x:v>531868</x:v>
      </x:c>
      <x:c r="E618" s="159" t="n">
        <x:v>137469</x:v>
      </x:c>
      <x:c r="F618" s="159" t="n">
        <x:v>45384</x:v>
      </x:c>
      <x:c r="G618" s="159" t="n">
        <x:f>E618-F618</x:f>
        <x:v>92085</x:v>
      </x:c>
      <x:c r="H618" s="154" t="n">
        <x:f>IFERROR(G618/D618,"")</x:f>
        <x:v>0.17313506358720585</x:v>
      </x:c>
      <x:c r="I618" s="159" t="n">
        <x:v>13584</x:v>
      </x:c>
      <x:c r="J618" s="159" t="n">
        <x:v>67407</x:v>
      </x:c>
      <x:c r="K618" s="159" t="n">
        <x:f>I618-J618</x:f>
        <x:v>-53823</x:v>
      </x:c>
      <x:c r="L618" s="154" t="n">
        <x:f>IFERROR(K618/D618,"")</x:f>
        <x:v>-0.10119616145359375</x:v>
      </x:c>
    </x:row>
    <x:row r="619">
      <x:c r="A619" s="141" t="str">
        <x:v>Silver</x:v>
      </x:c>
      <x:c r="B619" s="155" t="n">
        <x:v>44530</x:v>
      </x:c>
      <x:c r="C619" s="155" t="n">
        <x:v>44533</x:v>
      </x:c>
      <x:c r="D619" s="159" t="n">
        <x:v>138003</x:v>
      </x:c>
      <x:c r="E619" s="159" t="n">
        <x:v>48877</x:v>
      </x:c>
      <x:c r="F619" s="159" t="n">
        <x:v>21353</x:v>
      </x:c>
      <x:c r="G619" s="159" t="n">
        <x:f>E619-F619</x:f>
        <x:v>27524</x:v>
      </x:c>
      <x:c r="H619" s="154" t="n">
        <x:f>IFERROR(G619/D619,"")</x:f>
        <x:v>0.19944493960276227</x:v>
      </x:c>
      <x:c r="I619" s="159" t="n">
        <x:v>3915</x:v>
      </x:c>
      <x:c r="J619" s="159" t="n">
        <x:v>44277</x:v>
      </x:c>
      <x:c r="K619" s="159" t="n">
        <x:f>I619-J619</x:f>
        <x:v>-40362</x:v>
      </x:c>
      <x:c r="L619" s="154" t="n">
        <x:f>IFERROR(K619/D619,"")</x:f>
        <x:v>-0.29247190278472207</x:v>
      </x:c>
    </x:row>
    <x:row r="620">
      <x:c r="A620" s="141" t="str">
        <x:v>Gold</x:v>
      </x:c>
      <x:c r="B620" s="155" t="n">
        <x:v>44537</x:v>
      </x:c>
      <x:c r="C620" s="155" t="n">
        <x:v>44540</x:v>
      </x:c>
      <x:c r="D620" s="159" t="n">
        <x:v>499307</x:v>
      </x:c>
      <x:c r="E620" s="159" t="n">
        <x:v>125067</x:v>
      </x:c>
      <x:c r="F620" s="159" t="n">
        <x:v>44326</x:v>
      </x:c>
      <x:c r="G620" s="159" t="n">
        <x:f>E620-F620</x:f>
        <x:v>80741</x:v>
      </x:c>
      <x:c r="H620" s="154" t="n">
        <x:f>IFERROR(G620/D620,"")</x:f>
        <x:v>0.1617061246888187</x:v>
      </x:c>
      <x:c r="I620" s="159" t="n">
        <x:v>11713</x:v>
      </x:c>
      <x:c r="J620" s="159" t="n">
        <x:v>65860</x:v>
      </x:c>
      <x:c r="K620" s="159" t="n">
        <x:f>I620-J620</x:f>
        <x:v>-54147</x:v>
      </x:c>
      <x:c r="L620" s="154" t="n">
        <x:f>IFERROR(K620/D620,"")</x:f>
        <x:v>-0.10844430380507383</x:v>
      </x:c>
    </x:row>
    <x:row r="621">
      <x:c r="A621" s="141" t="str">
        <x:v>Silver</x:v>
      </x:c>
      <x:c r="B621" s="155" t="n">
        <x:v>44537</x:v>
      </x:c>
      <x:c r="C621" s="155" t="n">
        <x:v>44540</x:v>
      </x:c>
      <x:c r="D621" s="159" t="n">
        <x:v>136572</x:v>
      </x:c>
      <x:c r="E621" s="159" t="n">
        <x:v>47419</x:v>
      </x:c>
      <x:c r="F621" s="159" t="n">
        <x:v>29754</x:v>
      </x:c>
      <x:c r="G621" s="159" t="n">
        <x:f>E621-F621</x:f>
        <x:v>17665</x:v>
      </x:c>
      <x:c r="H621" s="154" t="n">
        <x:f>IFERROR(G621/D621,"")</x:f>
        <x:v>0.12934569311425476</x:v>
      </x:c>
      <x:c r="I621" s="159" t="n">
        <x:v>4490</x:v>
      </x:c>
      <x:c r="J621" s="159" t="n">
        <x:v>43304</x:v>
      </x:c>
      <x:c r="K621" s="159" t="n">
        <x:f>I621-J621</x:f>
        <x:v>-38814</x:v>
      </x:c>
      <x:c r="L621" s="154" t="n">
        <x:f>IFERROR(K621/D621,"")</x:f>
        <x:v>-0.28420173974167473</x:v>
      </x:c>
    </x:row>
    <x:row r="622">
      <x:c r="A622" s="141" t="str">
        <x:v>Gold</x:v>
      </x:c>
      <x:c r="B622" s="155" t="n">
        <x:v>44544</x:v>
      </x:c>
      <x:c r="C622" s="155" t="n">
        <x:v>44547</x:v>
      </x:c>
      <x:c r="D622" s="159" t="n">
        <x:v>503709</x:v>
      </x:c>
      <x:c r="E622" s="159" t="n">
        <x:v>121492</x:v>
      </x:c>
      <x:c r="F622" s="159" t="n">
        <x:v>58075</x:v>
      </x:c>
      <x:c r="G622" s="159" t="n">
        <x:f>E622-F622</x:f>
        <x:v>63417</x:v>
      </x:c>
      <x:c r="H622" s="154" t="n">
        <x:f>IFERROR(G622/D622,"")</x:f>
        <x:v>0.12590007325658267</x:v>
      </x:c>
      <x:c r="I622" s="159" t="n">
        <x:v>11823</x:v>
      </x:c>
      <x:c r="J622" s="159" t="n">
        <x:v>63346</x:v>
      </x:c>
      <x:c r="K622" s="159" t="n">
        <x:f>I622-J622</x:f>
        <x:v>-51523</x:v>
      </x:c>
      <x:c r="L622" s="154" t="n">
        <x:f>IFERROR(K622/D622,"")</x:f>
        <x:v>-0.1022872333033557</x:v>
      </x:c>
    </x:row>
    <x:row r="623">
      <x:c r="A623" s="141" t="str">
        <x:v>Silver</x:v>
      </x:c>
      <x:c r="B623" s="155" t="n">
        <x:v>44544</x:v>
      </x:c>
      <x:c r="C623" s="155" t="n">
        <x:v>44547</x:v>
      </x:c>
      <x:c r="D623" s="159" t="n">
        <x:v>142384</x:v>
      </x:c>
      <x:c r="E623" s="159" t="n">
        <x:v>47486</x:v>
      </x:c>
      <x:c r="F623" s="159" t="n">
        <x:v>38281</x:v>
      </x:c>
      <x:c r="G623" s="159" t="n">
        <x:f>E623-F623</x:f>
        <x:v>9205</x:v>
      </x:c>
      <x:c r="H623" s="154" t="n">
        <x:f>IFERROR(G623/D623,"")</x:f>
        <x:v>0.0646491178784133</x:v>
      </x:c>
      <x:c r="I623" s="159" t="n">
        <x:v>6477</x:v>
      </x:c>
      <x:c r="J623" s="159" t="n">
        <x:v>41904</x:v>
      </x:c>
      <x:c r="K623" s="159" t="n">
        <x:f>I623-J623</x:f>
        <x:v>-35427</x:v>
      </x:c>
      <x:c r="L623" s="154" t="n">
        <x:f>IFERROR(K623/D623,"")</x:f>
        <x:v>-0.24881306888414428</x:v>
      </x:c>
    </x:row>
    <x:row r="624">
      <x:c r="A624" s="141" t="str">
        <x:v>Gold</x:v>
      </x:c>
      <x:c r="B624" s="155" t="n">
        <x:v>44551</x:v>
      </x:c>
      <x:c r="C624" s="155" t="n">
        <x:v>44554</x:v>
      </x:c>
      <x:c r="D624" s="159" t="n">
        <x:v>500846</x:v>
      </x:c>
      <x:c r="E624" s="159" t="n">
        <x:v>124120</x:v>
      </x:c>
      <x:c r="F624" s="159" t="n">
        <x:v>52372</x:v>
      </x:c>
      <x:c r="G624" s="159" t="n">
        <x:f>E624-F624</x:f>
        <x:v>71748</x:v>
      </x:c>
      <x:c r="H624" s="154" t="n">
        <x:f>IFERROR(G624/D624,"")</x:f>
        <x:v>0.14325361488361693</x:v>
      </x:c>
      <x:c r="I624" s="159" t="n">
        <x:v>11693</x:v>
      </x:c>
      <x:c r="J624" s="159" t="n">
        <x:v>67486</x:v>
      </x:c>
      <x:c r="K624" s="159" t="n">
        <x:f>I624-J624</x:f>
        <x:v>-55793</x:v>
      </x:c>
      <x:c r="L624" s="154" t="n">
        <x:f>IFERROR(K624/D624,"")</x:f>
        <x:v>-0.11139751540393654</x:v>
      </x:c>
    </x:row>
    <x:row r="625">
      <x:c r="A625" s="141" t="str">
        <x:v>Silver</x:v>
      </x:c>
      <x:c r="B625" s="155" t="n">
        <x:v>44551</x:v>
      </x:c>
      <x:c r="C625" s="155" t="n">
        <x:v>44554</x:v>
      </x:c>
      <x:c r="D625" s="159" t="n">
        <x:v>141119</x:v>
      </x:c>
      <x:c r="E625" s="159" t="n">
        <x:v>48399</x:v>
      </x:c>
      <x:c r="F625" s="159" t="n">
        <x:v>37741</x:v>
      </x:c>
      <x:c r="G625" s="159" t="n">
        <x:f>E625-F625</x:f>
        <x:v>10658</x:v>
      </x:c>
      <x:c r="H625" s="154" t="n">
        <x:f>IFERROR(G625/D625,"")</x:f>
        <x:v>0.07552491159943027</x:v>
      </x:c>
      <x:c r="I625" s="159" t="n">
        <x:v>6221</x:v>
      </x:c>
      <x:c r="J625" s="159" t="n">
        <x:v>41047</x:v>
      </x:c>
      <x:c r="K625" s="159" t="n">
        <x:f>I625-J625</x:f>
        <x:v>-34826</x:v>
      </x:c>
      <x:c r="L625" s="154" t="n">
        <x:f>IFERROR(K625/D625,"")</x:f>
        <x:v>-0.24678462857588276</x:v>
      </x:c>
    </x:row>
    <x:row r="626">
      <x:c r="A626" s="141" t="str">
        <x:v>Gold</x:v>
      </x:c>
      <x:c r="B626" s="155" t="n">
        <x:v>44558</x:v>
      </x:c>
      <x:c r="C626" s="155" t="n">
        <x:v>44561</x:v>
      </x:c>
      <x:c r="D626" s="159" t="n">
        <x:v>508912</x:v>
      </x:c>
      <x:c r="E626" s="159" t="n">
        <x:v>130389</x:v>
      </x:c>
      <x:c r="F626" s="159" t="n">
        <x:v>46726</x:v>
      </x:c>
      <x:c r="G626" s="159" t="n">
        <x:f>E626-F626</x:f>
        <x:v>83663</x:v>
      </x:c>
      <x:c r="H626" s="154" t="n">
        <x:f>IFERROR(G626/D626,"")</x:f>
        <x:v>0.16439580909862608</x:v>
      </x:c>
      <x:c r="I626" s="159" t="n">
        <x:v>11047</x:v>
      </x:c>
      <x:c r="J626" s="159" t="n">
        <x:v>69200</x:v>
      </x:c>
      <x:c r="K626" s="159" t="n">
        <x:f>I626-J626</x:f>
        <x:v>-58153</x:v>
      </x:c>
      <x:c r="L626" s="154" t="n">
        <x:f>IFERROR(K626/D626,"")</x:f>
        <x:v>-0.1142692646272833</x:v>
      </x:c>
    </x:row>
    <x:row r="627">
      <x:c r="A627" s="141" t="str">
        <x:v>Silver</x:v>
      </x:c>
      <x:c r="B627" s="155" t="n">
        <x:v>44558</x:v>
      </x:c>
      <x:c r="C627" s="155" t="n">
        <x:v>44561</x:v>
      </x:c>
      <x:c r="D627" s="159" t="n">
        <x:v>141246</x:v>
      </x:c>
      <x:c r="E627" s="159" t="n">
        <x:v>50454</x:v>
      </x:c>
      <x:c r="F627" s="159" t="n">
        <x:v>33008</x:v>
      </x:c>
      <x:c r="G627" s="159" t="n">
        <x:f>E627-F627</x:f>
        <x:v>17446</x:v>
      </x:c>
      <x:c r="H627" s="154" t="n">
        <x:f>IFERROR(G627/D627,"")</x:f>
        <x:v>0.12351500219475242</x:v>
      </x:c>
      <x:c r="I627" s="159" t="n">
        <x:v>6018</x:v>
      </x:c>
      <x:c r="J627" s="159" t="n">
        <x:v>42440</x:v>
      </x:c>
      <x:c r="K627" s="159" t="n">
        <x:f>I627-J627</x:f>
        <x:v>-36422</x:v>
      </x:c>
      <x:c r="L627" s="154" t="n">
        <x:f>IFERROR(K627/D627,"")</x:f>
        <x:v>-0.2578621695481642</x:v>
      </x:c>
    </x:row>
    <x:row r="628">
      <x:c r="A628" s="141" t="str">
        <x:v>Gold</x:v>
      </x:c>
      <x:c r="B628" s="155" t="n">
        <x:v>44565</x:v>
      </x:c>
      <x:c r="C628" s="155" t="n">
        <x:v>44568</x:v>
      </x:c>
      <x:c r="D628" s="159" t="n">
        <x:v>502717</x:v>
      </x:c>
      <x:c r="E628" s="159" t="n">
        <x:v>124252</x:v>
      </x:c>
      <x:c r="F628" s="159" t="n">
        <x:v>44744</x:v>
      </x:c>
      <x:c r="G628" s="159" t="n">
        <x:f>E628-F628</x:f>
        <x:v>79508</x:v>
      </x:c>
      <x:c r="H628" s="154" t="n">
        <x:f>IFERROR(G628/D628,"")</x:f>
        <x:v>0.15815657715971412</x:v>
      </x:c>
      <x:c r="I628" s="159" t="n">
        <x:v>11574</x:v>
      </x:c>
      <x:c r="J628" s="159" t="n">
        <x:v>65049</x:v>
      </x:c>
      <x:c r="K628" s="159" t="n">
        <x:f>I628-J628</x:f>
        <x:v>-53475</x:v>
      </x:c>
      <x:c r="L628" s="154" t="n">
        <x:f>IFERROR(K628/D628,"")</x:f>
        <x:v>-0.10637197468953706</x:v>
      </x:c>
    </x:row>
    <x:row r="629">
      <x:c r="A629" s="141" t="str">
        <x:v>Silver</x:v>
      </x:c>
      <x:c r="B629" s="155" t="n">
        <x:v>44565</x:v>
      </x:c>
      <x:c r="C629" s="155" t="n">
        <x:v>44568</x:v>
      </x:c>
      <x:c r="D629" s="159" t="n">
        <x:v>139521</x:v>
      </x:c>
      <x:c r="E629" s="159" t="n">
        <x:v>51595</x:v>
      </x:c>
      <x:c r="F629" s="159" t="n">
        <x:v>29818</x:v>
      </x:c>
      <x:c r="G629" s="159" t="n">
        <x:f>E629-F629</x:f>
        <x:v>21777</x:v>
      </x:c>
      <x:c r="H629" s="154" t="n">
        <x:f>IFERROR(G629/D629,"")</x:f>
        <x:v>0.15608403036102092</x:v>
      </x:c>
      <x:c r="I629" s="159" t="n">
        <x:v>5466</x:v>
      </x:c>
      <x:c r="J629" s="159" t="n">
        <x:v>43248</x:v>
      </x:c>
      <x:c r="K629" s="159" t="n">
        <x:f>I629-J629</x:f>
        <x:v>-37782</x:v>
      </x:c>
      <x:c r="L629" s="154" t="n">
        <x:f>IFERROR(K629/D629,"")</x:f>
        <x:v>-0.27079794439546734</x:v>
      </x:c>
    </x:row>
    <x:row r="630">
      <x:c r="A630" s="141" t="str">
        <x:v>Gold</x:v>
      </x:c>
      <x:c r="B630" s="155" t="n">
        <x:v>44572</x:v>
      </x:c>
      <x:c r="C630" s="155" t="n">
        <x:v>44575</x:v>
      </x:c>
      <x:c r="D630" s="159" t="n">
        <x:v>546516</x:v>
      </x:c>
      <x:c r="E630" s="159" t="n">
        <x:v>119297</x:v>
      </x:c>
      <x:c r="F630" s="159" t="n">
        <x:v>44987</x:v>
      </x:c>
      <x:c r="G630" s="159" t="n">
        <x:f>E630-F630</x:f>
        <x:v>74310</x:v>
      </x:c>
      <x:c r="H630" s="154" t="n">
        <x:f>IFERROR(G630/D630,"")</x:f>
        <x:v>0.13597040159848933</x:v>
      </x:c>
      <x:c r="I630" s="159" t="n">
        <x:v>15004</x:v>
      </x:c>
      <x:c r="J630" s="159" t="n">
        <x:v>65710</x:v>
      </x:c>
      <x:c r="K630" s="159" t="n">
        <x:f>I630-J630</x:f>
        <x:v>-50706</x:v>
      </x:c>
      <x:c r="L630" s="154" t="n">
        <x:f>IFERROR(K630/D630,"")</x:f>
        <x:v>-0.09278044924576774</x:v>
      </x:c>
    </x:row>
    <x:row r="631">
      <x:c r="A631" s="141" t="str">
        <x:v>Silver</x:v>
      </x:c>
      <x:c r="B631" s="155" t="n">
        <x:v>44572</x:v>
      </x:c>
      <x:c r="C631" s="155" t="n">
        <x:v>44575</x:v>
      </x:c>
      <x:c r="D631" s="159" t="n">
        <x:v>144442</x:v>
      </x:c>
      <x:c r="E631" s="159" t="n">
        <x:v>50316</x:v>
      </x:c>
      <x:c r="F631" s="159" t="n">
        <x:v>32514</x:v>
      </x:c>
      <x:c r="G631" s="159" t="n">
        <x:f>E631-F631</x:f>
        <x:v>17802</x:v>
      </x:c>
      <x:c r="H631" s="154" t="n">
        <x:f>IFERROR(G631/D631,"")</x:f>
        <x:v>0.12324670109801858</x:v>
      </x:c>
      <x:c r="I631" s="159" t="n">
        <x:v>5749</x:v>
      </x:c>
      <x:c r="J631" s="159" t="n">
        <x:v>43334</x:v>
      </x:c>
      <x:c r="K631" s="159" t="n">
        <x:f>I631-J631</x:f>
        <x:v>-37585</x:v>
      </x:c>
      <x:c r="L631" s="154" t="n">
        <x:f>IFERROR(K631/D631,"")</x:f>
        <x:v>-0.2602082496780715</x:v>
      </x:c>
    </x:row>
    <x:row r="632">
      <x:c r="A632" s="141" t="str">
        <x:v>Gold</x:v>
      </x:c>
      <x:c r="B632" s="155" t="n">
        <x:v>44579</x:v>
      </x:c>
      <x:c r="C632" s="155" t="n">
        <x:v>44582</x:v>
      </x:c>
      <x:c r="D632" s="159" t="n">
        <x:v>539204</x:v>
      </x:c>
      <x:c r="E632" s="159" t="n">
        <x:v>119807</x:v>
      </x:c>
      <x:c r="F632" s="159" t="n">
        <x:v>48014</x:v>
      </x:c>
      <x:c r="G632" s="159" t="n">
        <x:f>E632-F632</x:f>
        <x:v>71793</x:v>
      </x:c>
      <x:c r="H632" s="154" t="n">
        <x:f>IFERROR(G632/D632,"")</x:f>
        <x:v>0.13314626746092387</x:v>
      </x:c>
      <x:c r="I632" s="159" t="n">
        <x:v>19188</x:v>
      </x:c>
      <x:c r="J632" s="159" t="n">
        <x:v>70150</x:v>
      </x:c>
      <x:c r="K632" s="159" t="n">
        <x:f>I632-J632</x:f>
        <x:v>-50962</x:v>
      </x:c>
      <x:c r="L632" s="154" t="n">
        <x:f>IFERROR(K632/D632,"")</x:f>
        <x:v>-0.09451339381755328</x:v>
      </x:c>
    </x:row>
    <x:row r="633">
      <x:c r="A633" s="141" t="str">
        <x:v>Silver</x:v>
      </x:c>
      <x:c r="B633" s="155" t="n">
        <x:v>44579</x:v>
      </x:c>
      <x:c r="C633" s="155" t="n">
        <x:v>44582</x:v>
      </x:c>
      <x:c r="D633" s="159" t="n">
        <x:v>148737</x:v>
      </x:c>
      <x:c r="E633" s="159" t="n">
        <x:v>53143</x:v>
      </x:c>
      <x:c r="F633" s="159" t="n">
        <x:v>29427</x:v>
      </x:c>
      <x:c r="G633" s="159" t="n">
        <x:f>E633-F633</x:f>
        <x:v>23716</x:v>
      </x:c>
      <x:c r="H633" s="154" t="n">
        <x:f>IFERROR(G633/D633,"")</x:f>
        <x:v>0.15944922917633136</x:v>
      </x:c>
      <x:c r="I633" s="159" t="n">
        <x:v>5561</x:v>
      </x:c>
      <x:c r="J633" s="159" t="n">
        <x:v>47992</x:v>
      </x:c>
      <x:c r="K633" s="159" t="n">
        <x:f>I633-J633</x:f>
        <x:v>-42431</x:v>
      </x:c>
      <x:c r="L633" s="154" t="n">
        <x:f>IFERROR(K633/D633,"")</x:f>
        <x:v>-0.28527535179545105</x:v>
      </x:c>
    </x:row>
    <x:row r="634">
      <x:c r="A634" s="141" t="str">
        <x:v>Gold</x:v>
      </x:c>
      <x:c r="B634" s="155" t="n">
        <x:v>44586</x:v>
      </x:c>
      <x:c r="C634" s="155" t="n">
        <x:v>44589</x:v>
      </x:c>
      <x:c r="D634" s="159" t="n">
        <x:v>572078</x:v>
      </x:c>
      <x:c r="E634" s="159" t="n">
        <x:v>140640</x:v>
      </x:c>
      <x:c r="F634" s="159" t="n">
        <x:v>39265</x:v>
      </x:c>
      <x:c r="G634" s="159" t="n">
        <x:f>E634-F634</x:f>
        <x:v>101375</x:v>
      </x:c>
      <x:c r="H634" s="154" t="n">
        <x:f>IFERROR(G634/D634,"")</x:f>
        <x:v>0.17720485668038274</x:v>
      </x:c>
      <x:c r="I634" s="159" t="n">
        <x:v>13494</x:v>
      </x:c>
      <x:c r="J634" s="159" t="n">
        <x:v>79264</x:v>
      </x:c>
      <x:c r="K634" s="159" t="n">
        <x:f>I634-J634</x:f>
        <x:v>-65770</x:v>
      </x:c>
      <x:c r="L634" s="154" t="n">
        <x:f>IFERROR(K634/D634,"")</x:f>
        <x:v>-0.11496684018612846</x:v>
      </x:c>
    </x:row>
    <x:row r="635">
      <x:c r="A635" s="141" t="str">
        <x:v>Silver</x:v>
      </x:c>
      <x:c r="B635" s="155" t="n">
        <x:v>44586</x:v>
      </x:c>
      <x:c r="C635" s="155" t="n">
        <x:v>44589</x:v>
      </x:c>
      <x:c r="D635" s="159" t="n">
        <x:v>151779</x:v>
      </x:c>
      <x:c r="E635" s="159" t="n">
        <x:v>51622</x:v>
      </x:c>
      <x:c r="F635" s="159" t="n">
        <x:v>24203</x:v>
      </x:c>
      <x:c r="G635" s="159" t="n">
        <x:f>E635-F635</x:f>
        <x:v>27419</x:v>
      </x:c>
      <x:c r="H635" s="154" t="n">
        <x:f>IFERROR(G635/D635,"")</x:f>
        <x:v>0.18065081467133134</x:v>
      </x:c>
      <x:c r="I635" s="159" t="n">
        <x:v>5207</x:v>
      </x:c>
      <x:c r="J635" s="159" t="n">
        <x:v>49276</x:v>
      </x:c>
      <x:c r="K635" s="159" t="n">
        <x:f>I635-J635</x:f>
        <x:v>-44069</x:v>
      </x:c>
      <x:c r="L635" s="154" t="n">
        <x:f>IFERROR(K635/D635,"")</x:f>
        <x:v>-0.29034978488460195</x:v>
      </x:c>
    </x:row>
    <x:row r="636">
      <x:c r="A636" s="141" t="str">
        <x:v>Gold</x:v>
      </x:c>
      <x:c r="B636" s="155" t="n">
        <x:v>44593</x:v>
      </x:c>
      <x:c r="C636" s="155" t="n">
        <x:v>44596</x:v>
      </x:c>
      <x:c r="D636" s="159" t="n">
        <x:v>515331</x:v>
      </x:c>
      <x:c r="E636" s="159" t="n">
        <x:v>108309</x:v>
      </x:c>
      <x:c r="F636" s="159" t="n">
        <x:v>58395</x:v>
      </x:c>
      <x:c r="G636" s="159" t="n">
        <x:f>E636-F636</x:f>
        <x:v>49914</x:v>
      </x:c>
      <x:c r="H636" s="154" t="n">
        <x:f>IFERROR(G636/D636,"")</x:f>
        <x:v>0.09685813583890741</x:v>
      </x:c>
      <x:c r="I636" s="159" t="n">
        <x:v>13294</x:v>
      </x:c>
      <x:c r="J636" s="159" t="n">
        <x:v>65627</x:v>
      </x:c>
      <x:c r="K636" s="159" t="n">
        <x:f>I636-J636</x:f>
        <x:v>-52333</x:v>
      </x:c>
      <x:c r="L636" s="154" t="n">
        <x:f>IFERROR(K636/D636,"")</x:f>
        <x:v>-0.10155220625190411</x:v>
      </x:c>
    </x:row>
    <x:row r="637">
      <x:c r="A637" s="141" t="str">
        <x:v>Silver</x:v>
      </x:c>
      <x:c r="B637" s="155" t="n">
        <x:v>44593</x:v>
      </x:c>
      <x:c r="C637" s="155" t="n">
        <x:v>44596</x:v>
      </x:c>
      <x:c r="D637" s="159" t="n">
        <x:v>149136</x:v>
      </x:c>
      <x:c r="E637" s="159" t="n">
        <x:v>46101</x:v>
      </x:c>
      <x:c r="F637" s="159" t="n">
        <x:v>34142</x:v>
      </x:c>
      <x:c r="G637" s="159" t="n">
        <x:f>E637-F637</x:f>
        <x:v>11959</x:v>
      </x:c>
      <x:c r="H637" s="154" t="n">
        <x:f>IFERROR(G637/D637,"")</x:f>
        <x:v>0.08018855273039373</x:v>
      </x:c>
      <x:c r="I637" s="159" t="n">
        <x:v>6738</x:v>
      </x:c>
      <x:c r="J637" s="159" t="n">
        <x:v>44913</x:v>
      </x:c>
      <x:c r="K637" s="159" t="n">
        <x:f>I637-J637</x:f>
        <x:v>-38175</x:v>
      </x:c>
      <x:c r="L637" s="154" t="n">
        <x:f>IFERROR(K637/D637,"")</x:f>
        <x:v>-0.25597441261667203</x:v>
      </x:c>
    </x:row>
    <x:row r="638">
      <x:c r="A638" s="141" t="str">
        <x:v>Gold</x:v>
      </x:c>
      <x:c r="B638" s="155" t="n">
        <x:v>44600</x:v>
      </x:c>
      <x:c r="C638" s="155" t="n">
        <x:v>44603</x:v>
      </x:c>
      <x:c r="D638" s="159" t="n">
        <x:v>512842</x:v>
      </x:c>
      <x:c r="E638" s="159" t="n">
        <x:v>117234</x:v>
      </x:c>
      <x:c r="F638" s="159" t="n">
        <x:v>47767</x:v>
      </x:c>
      <x:c r="G638" s="159" t="n">
        <x:f>E638-F638</x:f>
        <x:v>69467</x:v>
      </x:c>
      <x:c r="H638" s="154" t="n">
        <x:f>IFERROR(G638/D638,"")</x:f>
        <x:v>0.13545497443657112</x:v>
      </x:c>
      <x:c r="I638" s="159" t="n">
        <x:v>12653</x:v>
      </x:c>
      <x:c r="J638" s="159" t="n">
        <x:v>66144</x:v>
      </x:c>
      <x:c r="K638" s="159" t="n">
        <x:f>I638-J638</x:f>
        <x:v>-53491</x:v>
      </x:c>
      <x:c r="L638" s="154" t="n">
        <x:f>IFERROR(K638/D638,"")</x:f>
        <x:v>-0.10430307970096053</x:v>
      </x:c>
    </x:row>
    <x:row r="639">
      <x:c r="A639" s="141" t="str">
        <x:v>Silver</x:v>
      </x:c>
      <x:c r="B639" s="155" t="n">
        <x:v>44600</x:v>
      </x:c>
      <x:c r="C639" s="155" t="n">
        <x:v>44603</x:v>
      </x:c>
      <x:c r="D639" s="159" t="n">
        <x:v>147379</x:v>
      </x:c>
      <x:c r="E639" s="159" t="n">
        <x:v>43252</x:v>
      </x:c>
      <x:c r="F639" s="159" t="n">
        <x:v>33091</x:v>
      </x:c>
      <x:c r="G639" s="159" t="n">
        <x:f>E639-F639</x:f>
        <x:v>10161</x:v>
      </x:c>
      <x:c r="H639" s="154" t="n">
        <x:f>IFERROR(G639/D639,"")</x:f>
        <x:v>0.06894469361306563</x:v>
      </x:c>
      <x:c r="I639" s="159" t="n">
        <x:v>6490</x:v>
      </x:c>
      <x:c r="J639" s="159" t="n">
        <x:v>43357</x:v>
      </x:c>
      <x:c r="K639" s="159" t="n">
        <x:f>I639-J639</x:f>
        <x:v>-36867</x:v>
      </x:c>
      <x:c r="L639" s="154" t="n">
        <x:f>IFERROR(K639/D639,"")</x:f>
        <x:v>-0.25015097130527414</x:v>
      </x:c>
    </x:row>
    <x:row r="640">
      <x:c r="A640" s="141" t="str">
        <x:v>Gold</x:v>
      </x:c>
      <x:c r="B640" s="155" t="n">
        <x:v>44607</x:v>
      </x:c>
      <x:c r="C640" s="155" t="n">
        <x:v>44610</x:v>
      </x:c>
      <x:c r="D640" s="159" t="n">
        <x:v>558645</x:v>
      </x:c>
      <x:c r="E640" s="159" t="n">
        <x:v>151530</x:v>
      </x:c>
      <x:c r="F640" s="159" t="n">
        <x:v>43824</x:v>
      </x:c>
      <x:c r="G640" s="159" t="n">
        <x:f>E640-F640</x:f>
        <x:v>107706</x:v>
      </x:c>
      <x:c r="H640" s="154" t="n">
        <x:f>IFERROR(G640/D640,"")</x:f>
        <x:v>0.19279864672555916</x:v>
      </x:c>
      <x:c r="I640" s="159" t="n">
        <x:v>13840</x:v>
      </x:c>
      <x:c r="J640" s="159" t="n">
        <x:v>77522</x:v>
      </x:c>
      <x:c r="K640" s="159" t="n">
        <x:f>I640-J640</x:f>
        <x:v>-63682</x:v>
      </x:c>
      <x:c r="L640" s="154" t="n">
        <x:f>IFERROR(K640/D640,"")</x:f>
        <x:v>-0.113993681139185</x:v>
      </x:c>
    </x:row>
    <x:row r="641">
      <x:c r="A641" s="141" t="str">
        <x:v>Silver</x:v>
      </x:c>
      <x:c r="B641" s="155" t="n">
        <x:v>44607</x:v>
      </x:c>
      <x:c r="C641" s="155" t="n">
        <x:v>44610</x:v>
      </x:c>
      <x:c r="D641" s="159" t="n">
        <x:v>156968</x:v>
      </x:c>
      <x:c r="E641" s="159" t="n">
        <x:v>44274</x:v>
      </x:c>
      <x:c r="F641" s="159" t="n">
        <x:v>26809</x:v>
      </x:c>
      <x:c r="G641" s="159" t="n">
        <x:f>E641-F641</x:f>
        <x:v>17465</x:v>
      </x:c>
      <x:c r="H641" s="154" t="n">
        <x:f>IFERROR(G641/D641,"")</x:f>
        <x:v>0.11126471637531217</x:v>
      </x:c>
      <x:c r="I641" s="159" t="n">
        <x:v>5951</x:v>
      </x:c>
      <x:c r="J641" s="159" t="n">
        <x:v>43793</x:v>
      </x:c>
      <x:c r="K641" s="159" t="n">
        <x:f>I641-J641</x:f>
        <x:v>-37842</x:v>
      </x:c>
      <x:c r="L641" s="154" t="n">
        <x:f>IFERROR(K641/D641,"")</x:f>
        <x:v>-0.24108098465929362</x:v>
      </x:c>
    </x:row>
    <x:row r="642">
      <x:c r="A642" s="141" t="str">
        <x:v>Gold</x:v>
      </x:c>
      <x:c r="B642" s="155" t="n">
        <x:v>44614</x:v>
      </x:c>
      <x:c r="C642" s="155" t="n">
        <x:v>44617</x:v>
      </x:c>
      <x:c r="D642" s="159" t="n">
        <x:v>611488</x:v>
      </x:c>
      <x:c r="E642" s="159" t="n">
        <x:v>183356</x:v>
      </x:c>
      <x:c r="F642" s="159" t="n">
        <x:v>44380</x:v>
      </x:c>
      <x:c r="G642" s="159" t="n">
        <x:f>E642-F642</x:f>
        <x:v>138976</x:v>
      </x:c>
      <x:c r="H642" s="154" t="n">
        <x:f>IFERROR(G642/D642,"")</x:f>
        <x:v>0.22727510597100842</x:v>
      </x:c>
      <x:c r="I642" s="159" t="n">
        <x:v>14747</x:v>
      </x:c>
      <x:c r="J642" s="159" t="n">
        <x:v>85658</x:v>
      </x:c>
      <x:c r="K642" s="159" t="n">
        <x:f>I642-J642</x:f>
        <x:v>-70911</x:v>
      </x:c>
      <x:c r="L642" s="154" t="n">
        <x:f>IFERROR(K642/D642,"")</x:f>
        <x:v>-0.11596466324768434</x:v>
      </x:c>
    </x:row>
    <x:row r="643">
      <x:c r="A643" s="141" t="str">
        <x:v>Silver</x:v>
      </x:c>
      <x:c r="B643" s="155" t="n">
        <x:v>44614</x:v>
      </x:c>
      <x:c r="C643" s="155" t="n">
        <x:v>44617</x:v>
      </x:c>
      <x:c r="D643" s="159" t="n">
        <x:v>163745</x:v>
      </x:c>
      <x:c r="E643" s="159" t="n">
        <x:v>46736</x:v>
      </x:c>
      <x:c r="F643" s="159" t="n">
        <x:v>21087</x:v>
      </x:c>
      <x:c r="G643" s="159" t="n">
        <x:f>E643-F643</x:f>
        <x:v>25649</x:v>
      </x:c>
      <x:c r="H643" s="154" t="n">
        <x:f>IFERROR(G643/D643,"")</x:f>
        <x:v>0.15663989740144738</x:v>
      </x:c>
      <x:c r="I643" s="159" t="n">
        <x:v>4903</x:v>
      </x:c>
      <x:c r="J643" s="159" t="n">
        <x:v>46798</x:v>
      </x:c>
      <x:c r="K643" s="159" t="n">
        <x:f>I643-J643</x:f>
        <x:v>-41895</x:v>
      </x:c>
      <x:c r="L643" s="154" t="n">
        <x:f>IFERROR(K643/D643,"")</x:f>
        <x:v>-0.2558551406149806</x:v>
      </x:c>
    </x:row>
    <x:row r="644">
      <x:c r="A644" s="141" t="str">
        <x:v>Gold</x:v>
      </x:c>
      <x:c r="B644" s="155" t="n">
        <x:v>44621</x:v>
      </x:c>
      <x:c r="C644" s="155" t="n">
        <x:v>44624</x:v>
      </x:c>
      <x:c r="D644" s="159" t="n">
        <x:v>615600</x:v>
      </x:c>
      <x:c r="E644" s="159" t="n">
        <x:v>187215</x:v>
      </x:c>
      <x:c r="F644" s="159" t="n">
        <x:v>38594</x:v>
      </x:c>
      <x:c r="G644" s="159" t="n">
        <x:f>E644-F644</x:f>
        <x:v>148621</x:v>
      </x:c>
      <x:c r="H644" s="154" t="n">
        <x:f>IFERROR(G644/D644,"")</x:f>
        <x:v>0.24142462638076673</x:v>
      </x:c>
      <x:c r="I644" s="159" t="n">
        <x:v>18689</x:v>
      </x:c>
      <x:c r="J644" s="159" t="n">
        <x:v>94503</x:v>
      </x:c>
      <x:c r="K644" s="159" t="n">
        <x:f>I644-J644</x:f>
        <x:v>-75814</x:v>
      </x:c>
      <x:c r="L644" s="154" t="n">
        <x:f>IFERROR(K644/D644,"")</x:f>
        <x:v>-0.12315464587394412</x:v>
      </x:c>
    </x:row>
    <x:row r="645">
      <x:c r="A645" s="141" t="str">
        <x:v>Silver</x:v>
      </x:c>
      <x:c r="B645" s="155" t="n">
        <x:v>44621</x:v>
      </x:c>
      <x:c r="C645" s="155" t="n">
        <x:v>44624</x:v>
      </x:c>
      <x:c r="D645" s="159" t="n">
        <x:v>157391</x:v>
      </x:c>
      <x:c r="E645" s="159" t="n">
        <x:v>59592</x:v>
      </x:c>
      <x:c r="F645" s="159" t="n">
        <x:v>17297</x:v>
      </x:c>
      <x:c r="G645" s="159" t="n">
        <x:f>E645-F645</x:f>
        <x:v>42295</x:v>
      </x:c>
      <x:c r="H645" s="154" t="n">
        <x:f>IFERROR(G645/D645,"")</x:f>
        <x:v>0.26872565775679674</x:v>
      </x:c>
      <x:c r="I645" s="159" t="n">
        <x:v>3684</x:v>
      </x:c>
      <x:c r="J645" s="159" t="n">
        <x:v>49889</x:v>
      </x:c>
      <x:c r="K645" s="159" t="n">
        <x:f>I645-J645</x:f>
        <x:v>-46205</x:v>
      </x:c>
      <x:c r="L645" s="154" t="n">
        <x:f>IFERROR(K645/D645,"")</x:f>
        <x:v>-0.2935682472314173</x:v>
      </x:c>
    </x:row>
    <x:row r="646">
      <x:c r="A646" s="141" t="str">
        <x:v>Gold</x:v>
      </x:c>
      <x:c r="B646" s="155" t="n">
        <x:v>44628</x:v>
      </x:c>
      <x:c r="C646" s="155" t="n">
        <x:v>44631</x:v>
      </x:c>
      <x:c r="D646" s="159" t="n">
        <x:v>638502</x:v>
      </x:c>
      <x:c r="E646" s="159" t="n">
        <x:v>181510</x:v>
      </x:c>
      <x:c r="F646" s="159" t="n">
        <x:v>38537</x:v>
      </x:c>
      <x:c r="G646" s="159" t="n">
        <x:f>E646-F646</x:f>
        <x:v>142973</x:v>
      </x:c>
      <x:c r="H646" s="154" t="n">
        <x:f>IFERROR(G646/D646,"")</x:f>
        <x:v>0.2239194239015696</x:v>
      </x:c>
      <x:c r="I646" s="159" t="n">
        <x:v>23736</x:v>
      </x:c>
      <x:c r="J646" s="159" t="n">
        <x:v>99813</x:v>
      </x:c>
      <x:c r="K646" s="159" t="n">
        <x:f>I646-J646</x:f>
        <x:v>-76077</x:v>
      </x:c>
      <x:c r="L646" s="154" t="n">
        <x:f>IFERROR(K646/D646,"")</x:f>
        <x:v>-0.11914919608709135</x:v>
      </x:c>
    </x:row>
    <x:row r="647">
      <x:c r="A647" s="141" t="str">
        <x:v>Silver</x:v>
      </x:c>
      <x:c r="B647" s="155" t="n">
        <x:v>44628</x:v>
      </x:c>
      <x:c r="C647" s="155" t="n">
        <x:v>44631</x:v>
      </x:c>
      <x:c r="D647" s="159" t="n">
        <x:v>168283</x:v>
      </x:c>
      <x:c r="E647" s="159" t="n">
        <x:v>64367</x:v>
      </x:c>
      <x:c r="F647" s="159" t="n">
        <x:v>15687</x:v>
      </x:c>
      <x:c r="G647" s="159" t="n">
        <x:f>E647-F647</x:f>
        <x:v>48680</x:v>
      </x:c>
      <x:c r="H647" s="154" t="n">
        <x:f>IFERROR(G647/D647,"")</x:f>
        <x:v>0.28927461478580724</x:v>
      </x:c>
      <x:c r="I647" s="159" t="n">
        <x:v>4754</x:v>
      </x:c>
      <x:c r="J647" s="159" t="n">
        <x:v>55154</x:v>
      </x:c>
      <x:c r="K647" s="159" t="n">
        <x:f>I647-J647</x:f>
        <x:v>-50400</x:v>
      </x:c>
      <x:c r="L647" s="154" t="n">
        <x:f>IFERROR(K647/D647,"")</x:f>
        <x:v>-0.29949549271168213</x:v>
      </x:c>
    </x:row>
    <x:row r="648">
      <x:c r="A648" s="141" t="str">
        <x:v>Gold</x:v>
      </x:c>
      <x:c r="B648" s="155" t="n">
        <x:v>44635</x:v>
      </x:c>
      <x:c r="C648" s="155" t="n">
        <x:v>44638</x:v>
      </x:c>
      <x:c r="D648" s="159" t="n">
        <x:v>617605</x:v>
      </x:c>
      <x:c r="E648" s="159" t="n">
        <x:v>165597</x:v>
      </x:c>
      <x:c r="F648" s="159" t="n">
        <x:v>39060</x:v>
      </x:c>
      <x:c r="G648" s="159" t="n">
        <x:f>E648-F648</x:f>
        <x:v>126537</x:v>
      </x:c>
      <x:c r="H648" s="154" t="n">
        <x:f>IFERROR(G648/D648,"")</x:f>
        <x:v>0.20488338015398191</x:v>
      </x:c>
      <x:c r="I648" s="159" t="n">
        <x:v>26287</x:v>
      </x:c>
      <x:c r="J648" s="159" t="n">
        <x:v>93725</x:v>
      </x:c>
      <x:c r="K648" s="159" t="n">
        <x:f>I648-J648</x:f>
        <x:v>-67438</x:v>
      </x:c>
      <x:c r="L648" s="154" t="n">
        <x:f>IFERROR(K648/D648,"")</x:f>
        <x:v>-0.10919276884092584</x:v>
      </x:c>
    </x:row>
    <x:row r="649">
      <x:c r="A649" s="141" t="str">
        <x:v>Silver</x:v>
      </x:c>
      <x:c r="B649" s="155" t="n">
        <x:v>44635</x:v>
      </x:c>
      <x:c r="C649" s="155" t="n">
        <x:v>44638</x:v>
      </x:c>
      <x:c r="D649" s="159" t="n">
        <x:v>159571</x:v>
      </x:c>
      <x:c r="E649" s="159" t="n">
        <x:v>62249</x:v>
      </x:c>
      <x:c r="F649" s="159" t="n">
        <x:v>14206</x:v>
      </x:c>
      <x:c r="G649" s="159" t="n">
        <x:f>E649-F649</x:f>
        <x:v>48043</x:v>
      </x:c>
      <x:c r="H649" s="154" t="n">
        <x:f>IFERROR(G649/D649,"")</x:f>
        <x:v>0.3010760100519518</x:v>
      </x:c>
      <x:c r="I649" s="159" t="n">
        <x:v>3762</x:v>
      </x:c>
      <x:c r="J649" s="159" t="n">
        <x:v>49385</x:v>
      </x:c>
      <x:c r="K649" s="159" t="n">
        <x:f>I649-J649</x:f>
        <x:v>-45623</x:v>
      </x:c>
      <x:c r="L649" s="154" t="n">
        <x:f>IFERROR(K649/D649,"")</x:f>
        <x:v>-0.28591034711821073</x:v>
      </x:c>
    </x:row>
    <x:row r="650">
      <x:c r="A650" s="141" t="str">
        <x:v>Gold</x:v>
      </x:c>
      <x:c r="B650" s="155" t="n">
        <x:v>44642</x:v>
      </x:c>
      <x:c r="C650" s="155" t="n">
        <x:v>44645</x:v>
      </x:c>
      <x:c r="D650" s="159" t="n">
        <x:v>605191</x:v>
      </x:c>
      <x:c r="E650" s="159" t="n">
        <x:v>152589</x:v>
      </x:c>
      <x:c r="F650" s="159" t="n">
        <x:v>37457</x:v>
      </x:c>
      <x:c r="G650" s="159" t="n">
        <x:f>E650-F650</x:f>
        <x:v>115132</x:v>
      </x:c>
      <x:c r="H650" s="154" t="n">
        <x:f>IFERROR(G650/D650,"")</x:f>
        <x:v>0.19024076696447897</x:v>
      </x:c>
      <x:c r="I650" s="159" t="n">
        <x:v>28886</x:v>
      </x:c>
      <x:c r="J650" s="159" t="n">
        <x:v>93799</x:v>
      </x:c>
      <x:c r="K650" s="159" t="n">
        <x:f>I650-J650</x:f>
        <x:v>-64913</x:v>
      </x:c>
      <x:c r="L650" s="154" t="n">
        <x:f>IFERROR(K650/D650,"")</x:f>
        <x:v>-0.10726035251680874</x:v>
      </x:c>
    </x:row>
    <x:row r="651">
      <x:c r="A651" s="141" t="str">
        <x:v>Silver</x:v>
      </x:c>
      <x:c r="B651" s="155" t="n">
        <x:v>44642</x:v>
      </x:c>
      <x:c r="C651" s="155" t="n">
        <x:v>44645</x:v>
      </x:c>
      <x:c r="D651" s="159" t="n">
        <x:v>155456</x:v>
      </x:c>
      <x:c r="E651" s="159" t="n">
        <x:v>57604</x:v>
      </x:c>
      <x:c r="F651" s="159" t="n">
        <x:v>13776</x:v>
      </x:c>
      <x:c r="G651" s="159" t="n">
        <x:f>E651-F651</x:f>
        <x:v>43828</x:v>
      </x:c>
      <x:c r="H651" s="154" t="n">
        <x:f>IFERROR(G651/D651,"")</x:f>
        <x:v>0.28193186496500616</x:v>
      </x:c>
      <x:c r="I651" s="159" t="n">
        <x:v>3605</x:v>
      </x:c>
      <x:c r="J651" s="159" t="n">
        <x:v>48546</x:v>
      </x:c>
      <x:c r="K651" s="159" t="n">
        <x:f>I651-J651</x:f>
        <x:v>-44941</x:v>
      </x:c>
      <x:c r="L651" s="154" t="n">
        <x:f>IFERROR(K651/D651,"")</x:f>
        <x:v>-0.289091447097571</x:v>
      </x:c>
    </x:row>
    <x:row r="652">
      <x:c r="A652" s="141" t="str">
        <x:v>Gold</x:v>
      </x:c>
      <x:c r="B652" s="155" t="n">
        <x:v>44649</x:v>
      </x:c>
      <x:c r="C652" s="155" t="n">
        <x:v>44652</x:v>
      </x:c>
      <x:c r="D652" s="159" t="n">
        <x:v>574521</x:v>
      </x:c>
      <x:c r="E652" s="159" t="n">
        <x:v>146486</x:v>
      </x:c>
      <x:c r="F652" s="159" t="n">
        <x:v>38184</x:v>
      </x:c>
      <x:c r="G652" s="159" t="n">
        <x:f>E652-F652</x:f>
        <x:v>108302</x:v>
      </x:c>
      <x:c r="H652" s="154" t="n">
        <x:f>IFERROR(G652/D652,"")</x:f>
        <x:v>0.1885083399910534</x:v>
      </x:c>
      <x:c r="I652" s="159" t="n">
        <x:v>18389</x:v>
      </x:c>
      <x:c r="J652" s="159" t="n">
        <x:v>70315</x:v>
      </x:c>
      <x:c r="K652" s="159" t="n">
        <x:f>I652-J652</x:f>
        <x:v>-51926</x:v>
      </x:c>
      <x:c r="L652" s="154" t="n">
        <x:f>IFERROR(K652/D652,"")</x:f>
        <x:v>-0.09038137857449945</x:v>
      </x:c>
    </x:row>
    <x:row r="653">
      <x:c r="A653" s="141" t="str">
        <x:v>Silver</x:v>
      </x:c>
      <x:c r="B653" s="155" t="n">
        <x:v>44649</x:v>
      </x:c>
      <x:c r="C653" s="155" t="n">
        <x:v>44652</x:v>
      </x:c>
      <x:c r="D653" s="159" t="n">
        <x:v>147370</x:v>
      </x:c>
      <x:c r="E653" s="159" t="n">
        <x:v>54378</x:v>
      </x:c>
      <x:c r="F653" s="159" t="n">
        <x:v>12247</x:v>
      </x:c>
      <x:c r="G653" s="159" t="n">
        <x:f>E653-F653</x:f>
        <x:v>42131</x:v>
      </x:c>
      <x:c r="H653" s="154" t="n">
        <x:f>IFERROR(G653/D653,"")</x:f>
        <x:v>0.28588586550858386</x:v>
      </x:c>
      <x:c r="I653" s="159" t="n">
        <x:v>3747</x:v>
      </x:c>
      <x:c r="J653" s="159" t="n">
        <x:v>46729</x:v>
      </x:c>
      <x:c r="K653" s="159" t="n">
        <x:f>I653-J653</x:f>
        <x:v>-42982</x:v>
      </x:c>
      <x:c r="L653" s="154" t="n">
        <x:f>IFERROR(K653/D653,"")</x:f>
        <x:v>-0.2916604464952161</x:v>
      </x:c>
    </x:row>
    <x:row r="654">
      <x:c r="A654" s="141" t="str">
        <x:v>Gold</x:v>
      </x:c>
      <x:c r="B654" s="155" t="n">
        <x:v>44656</x:v>
      </x:c>
      <x:c r="C654" s="155" t="n">
        <x:v>44659</x:v>
      </x:c>
      <x:c r="D654" s="159" t="n">
        <x:v>560666</x:v>
      </x:c>
      <x:c r="E654" s="159" t="n">
        <x:v>148320</x:v>
      </x:c>
      <x:c r="F654" s="159" t="n">
        <x:v>46693</x:v>
      </x:c>
      <x:c r="G654" s="159" t="n">
        <x:f>E654-F654</x:f>
        <x:v>101627</x:v>
      </x:c>
      <x:c r="H654" s="154" t="n">
        <x:f>IFERROR(G654/D654,"")</x:f>
        <x:v>0.18126121434151526</x:v>
      </x:c>
      <x:c r="I654" s="159" t="n">
        <x:v>18989</x:v>
      </x:c>
      <x:c r="J654" s="159" t="n">
        <x:v>71333</x:v>
      </x:c>
      <x:c r="K654" s="159" t="n">
        <x:f>I654-J654</x:f>
        <x:v>-52344</x:v>
      </x:c>
      <x:c r="L654" s="154" t="n">
        <x:f>IFERROR(K654/D654,"")</x:f>
        <x:v>-0.09336039638572698</x:v>
      </x:c>
    </x:row>
    <x:row r="655">
      <x:c r="A655" s="141" t="str">
        <x:v>Silver</x:v>
      </x:c>
      <x:c r="B655" s="155" t="n">
        <x:v>44656</x:v>
      </x:c>
      <x:c r="C655" s="155" t="n">
        <x:v>44659</x:v>
      </x:c>
      <x:c r="D655" s="159" t="n">
        <x:v>148526</x:v>
      </x:c>
      <x:c r="E655" s="159" t="n">
        <x:v>52412</x:v>
      </x:c>
      <x:c r="F655" s="159" t="n">
        <x:v>13447</x:v>
      </x:c>
      <x:c r="G655" s="159" t="n">
        <x:f>E655-F655</x:f>
        <x:v>38965</x:v>
      </x:c>
      <x:c r="H655" s="154" t="n">
        <x:f>IFERROR(G655/D655,"")</x:f>
        <x:v>0.26234463999569096</x:v>
      </x:c>
      <x:c r="I655" s="159" t="n">
        <x:v>4275</x:v>
      </x:c>
      <x:c r="J655" s="159" t="n">
        <x:v>45011</x:v>
      </x:c>
      <x:c r="K655" s="159" t="n">
        <x:f>I655-J655</x:f>
        <x:v>-40736</x:v>
      </x:c>
      <x:c r="L655" s="154" t="n">
        <x:f>IFERROR(K655/D655,"")</x:f>
        <x:v>-0.27426847824623296</x:v>
      </x:c>
    </x:row>
    <x:row r="656">
      <x:c r="A656" s="141" t="str">
        <x:v>Gold</x:v>
      </x:c>
      <x:c r="B656" s="155" t="n">
        <x:v>44663</x:v>
      </x:c>
      <x:c r="C656" s="155" t="n">
        <x:v>44666</x:v>
      </x:c>
      <x:c r="D656" s="159" t="n">
        <x:v>577639</x:v>
      </x:c>
      <x:c r="E656" s="159" t="n">
        <x:v>165244</x:v>
      </x:c>
      <x:c r="F656" s="159" t="n">
        <x:v>48219</x:v>
      </x:c>
      <x:c r="G656" s="159" t="n">
        <x:f>E656-F656</x:f>
        <x:v>117025</x:v>
      </x:c>
      <x:c r="H656" s="154" t="n">
        <x:f>IFERROR(G656/D656,"")</x:f>
        <x:v>0.20259193025401678</x:v>
      </x:c>
      <x:c r="I656" s="159" t="n">
        <x:v>20272</x:v>
      </x:c>
      <x:c r="J656" s="159" t="n">
        <x:v>72001</x:v>
      </x:c>
      <x:c r="K656" s="159" t="n">
        <x:f>I656-J656</x:f>
        <x:v>-51729</x:v>
      </x:c>
      <x:c r="L656" s="154" t="n">
        <x:f>IFERROR(K656/D656,"")</x:f>
        <x:v>-0.08955247135321541</x:v>
      </x:c>
    </x:row>
    <x:row r="657">
      <x:c r="A657" s="141" t="str">
        <x:v>Silver</x:v>
      </x:c>
      <x:c r="B657" s="155" t="n">
        <x:v>44663</x:v>
      </x:c>
      <x:c r="C657" s="155" t="n">
        <x:v>44666</x:v>
      </x:c>
      <x:c r="D657" s="159" t="n">
        <x:v>158813</x:v>
      </x:c>
      <x:c r="E657" s="159" t="n">
        <x:v>54935</x:v>
      </x:c>
      <x:c r="F657" s="159" t="n">
        <x:v>12855</x:v>
      </x:c>
      <x:c r="G657" s="159" t="n">
        <x:f>E657-F657</x:f>
        <x:v>42080</x:v>
      </x:c>
      <x:c r="H657" s="154" t="n">
        <x:f>IFERROR(G657/D657,"")</x:f>
        <x:v>0.26496571439365796</x:v>
      </x:c>
      <x:c r="I657" s="159" t="n">
        <x:v>4279</x:v>
      </x:c>
      <x:c r="J657" s="159" t="n">
        <x:v>47501</x:v>
      </x:c>
      <x:c r="K657" s="159" t="n">
        <x:f>I657-J657</x:f>
        <x:v>-43222</x:v>
      </x:c>
      <x:c r="L657" s="154" t="n">
        <x:f>IFERROR(K657/D657,"")</x:f>
        <x:v>-0.27215656149055806</x:v>
      </x:c>
    </x:row>
    <x:row r="658">
      <x:c r="A658" s="141" t="str">
        <x:v>Gold</x:v>
      </x:c>
      <x:c r="B658" s="155" t="n">
        <x:v>44670</x:v>
      </x:c>
      <x:c r="C658" s="155" t="n">
        <x:v>44673</x:v>
      </x:c>
      <x:c r="D658" s="159" t="n">
        <x:v>575202</x:v>
      </x:c>
      <x:c r="E658" s="159" t="n">
        <x:v>157560</x:v>
      </x:c>
      <x:c r="F658" s="159" t="n">
        <x:v>56294</x:v>
      </x:c>
      <x:c r="G658" s="159" t="n">
        <x:f>E658-F658</x:f>
        <x:v>101266</x:v>
      </x:c>
      <x:c r="H658" s="154" t="n">
        <x:f>IFERROR(G658/D658,"")</x:f>
        <x:v>0.17605293444737674</x:v>
      </x:c>
      <x:c r="I658" s="159" t="n">
        <x:v>22596</x:v>
      </x:c>
      <x:c r="J658" s="159" t="n">
        <x:v>72545</x:v>
      </x:c>
      <x:c r="K658" s="159" t="n">
        <x:f>I658-J658</x:f>
        <x:v>-49949</x:v>
      </x:c>
      <x:c r="L658" s="154" t="n">
        <x:f>IFERROR(K658/D658,"")</x:f>
        <x:v>-0.08683731975897163</x:v>
      </x:c>
    </x:row>
    <x:row r="659">
      <x:c r="A659" s="141" t="str">
        <x:v>Silver</x:v>
      </x:c>
      <x:c r="B659" s="155" t="n">
        <x:v>44670</x:v>
      </x:c>
      <x:c r="C659" s="155" t="n">
        <x:v>44673</x:v>
      </x:c>
      <x:c r="D659" s="159" t="n">
        <x:v>170577</x:v>
      </x:c>
      <x:c r="E659" s="159" t="n">
        <x:v>57303</x:v>
      </x:c>
      <x:c r="F659" s="159" t="n">
        <x:v>16585</x:v>
      </x:c>
      <x:c r="G659" s="159" t="n">
        <x:f>E659-F659</x:f>
        <x:v>40718</x:v>
      </x:c>
      <x:c r="H659" s="154" t="n">
        <x:f>IFERROR(G659/D659,"")</x:f>
        <x:v>0.23870744590419576</x:v>
      </x:c>
      <x:c r="I659" s="159" t="n">
        <x:v>3456</x:v>
      </x:c>
      <x:c r="J659" s="159" t="n">
        <x:v>47109</x:v>
      </x:c>
      <x:c r="K659" s="159" t="n">
        <x:f>I659-J659</x:f>
        <x:v>-43653</x:v>
      </x:c>
      <x:c r="L659" s="154" t="n">
        <x:f>IFERROR(K659/D659,"")</x:f>
        <x:v>-0.25591375156087864</x:v>
      </x:c>
    </x:row>
    <x:row r="660">
      <x:c r="A660" s="141" t="str">
        <x:v>Gold</x:v>
      </x:c>
      <x:c r="B660" s="155" t="n">
        <x:v>44677</x:v>
      </x:c>
      <x:c r="C660" s="155" t="n">
        <x:v>44680</x:v>
      </x:c>
      <x:c r="D660" s="159" t="n">
        <x:v>557785</x:v>
      </x:c>
      <x:c r="E660" s="159" t="n">
        <x:v>138215</x:v>
      </x:c>
      <x:c r="F660" s="159" t="n">
        <x:v>57098</x:v>
      </x:c>
      <x:c r="G660" s="159" t="n">
        <x:f>E660-F660</x:f>
        <x:v>81117</x:v>
      </x:c>
      <x:c r="H660" s="154" t="n">
        <x:f>IFERROR(G660/D660,"")</x:f>
        <x:v>0.14542700144320841</x:v>
      </x:c>
      <x:c r="I660" s="159" t="n">
        <x:v>22665</x:v>
      </x:c>
      <x:c r="J660" s="159" t="n">
        <x:v>66838</x:v>
      </x:c>
      <x:c r="K660" s="159" t="n">
        <x:f>I660-J660</x:f>
        <x:v>-44173</x:v>
      </x:c>
      <x:c r="L660" s="154" t="n">
        <x:f>IFERROR(K660/D660,"")</x:f>
        <x:v>-0.07919359609885529</x:v>
      </x:c>
    </x:row>
    <x:row r="661">
      <x:c r="A661" s="141" t="str">
        <x:v>Silver</x:v>
      </x:c>
      <x:c r="B661" s="155" t="n">
        <x:v>44677</x:v>
      </x:c>
      <x:c r="C661" s="155" t="n">
        <x:v>44680</x:v>
      </x:c>
      <x:c r="D661" s="159" t="n">
        <x:v>145538</x:v>
      </x:c>
      <x:c r="E661" s="159" t="n">
        <x:v>44689</x:v>
      </x:c>
      <x:c r="F661" s="159" t="n">
        <x:v>18291</x:v>
      </x:c>
      <x:c r="G661" s="159" t="n">
        <x:f>E661-F661</x:f>
        <x:v>26398</x:v>
      </x:c>
      <x:c r="H661" s="154" t="n">
        <x:f>IFERROR(G661/D661,"")</x:f>
        <x:v>0.18138218197309294</x:v>
      </x:c>
      <x:c r="I661" s="159" t="n">
        <x:v>4365</x:v>
      </x:c>
      <x:c r="J661" s="159" t="n">
        <x:v>43649</x:v>
      </x:c>
      <x:c r="K661" s="159" t="n">
        <x:f>I661-J661</x:f>
        <x:v>-39284</x:v>
      </x:c>
      <x:c r="L661" s="154" t="n">
        <x:f>IFERROR(K661/D661,"")</x:f>
        <x:v>-0.26992263188995314</x:v>
      </x:c>
    </x:row>
    <x:row r="662">
      <x:c r="A662" s="141" t="str">
        <x:v>Gold</x:v>
      </x:c>
      <x:c r="B662" s="155" t="n">
        <x:v>44684</x:v>
      </x:c>
      <x:c r="C662" s="155" t="n">
        <x:v>44687</x:v>
      </x:c>
      <x:c r="D662" s="159" t="n">
        <x:v>560441</x:v>
      </x:c>
      <x:c r="E662" s="159" t="n">
        <x:v>128828</x:v>
      </x:c>
      <x:c r="F662" s="159" t="n">
        <x:v>60981</x:v>
      </x:c>
      <x:c r="G662" s="159" t="n">
        <x:f>E662-F662</x:f>
        <x:v>67847</x:v>
      </x:c>
      <x:c r="H662" s="154" t="n">
        <x:f>IFERROR(G662/D662,"")</x:f>
        <x:v>0.12106002237523665</x:v>
      </x:c>
      <x:c r="I662" s="159" t="n">
        <x:v>23431</x:v>
      </x:c>
      <x:c r="J662" s="159" t="n">
        <x:v>63612</x:v>
      </x:c>
      <x:c r="K662" s="159" t="n">
        <x:f>I662-J662</x:f>
        <x:v>-40181</x:v>
      </x:c>
      <x:c r="L662" s="154" t="n">
        <x:f>IFERROR(K662/D662,"")</x:f>
        <x:v>-0.07169532564534001</x:v>
      </x:c>
    </x:row>
    <x:row r="663">
      <x:c r="A663" s="141" t="str">
        <x:v>Silver</x:v>
      </x:c>
      <x:c r="B663" s="155" t="n">
        <x:v>44684</x:v>
      </x:c>
      <x:c r="C663" s="155" t="n">
        <x:v>44687</x:v>
      </x:c>
      <x:c r="D663" s="159" t="n">
        <x:v>137692</x:v>
      </x:c>
      <x:c r="E663" s="159" t="n">
        <x:v>40692</x:v>
      </x:c>
      <x:c r="F663" s="159" t="n">
        <x:v>25502</x:v>
      </x:c>
      <x:c r="G663" s="159" t="n">
        <x:f>E663-F663</x:f>
        <x:v>15190</x:v>
      </x:c>
      <x:c r="H663" s="154" t="n">
        <x:f>IFERROR(G663/D663,"")</x:f>
        <x:v>0.11031868227638497</x:v>
      </x:c>
      <x:c r="I663" s="159" t="n">
        <x:v>4197</x:v>
      </x:c>
      <x:c r="J663" s="159" t="n">
        <x:v>38907</x:v>
      </x:c>
      <x:c r="K663" s="159" t="n">
        <x:f>I663-J663</x:f>
        <x:v>-34710</x:v>
      </x:c>
      <x:c r="L663" s="154" t="n">
        <x:f>IFERROR(K663/D663,"")</x:f>
        <x:v>-0.25208436219969205</x:v>
      </x:c>
    </x:row>
    <x:row r="664">
      <x:c r="A664" s="141" t="str">
        <x:v>Gold</x:v>
      </x:c>
      <x:c r="B664" s="155" t="n">
        <x:v>44691</x:v>
      </x:c>
      <x:c r="C664" s="155" t="n">
        <x:v>44694</x:v>
      </x:c>
      <x:c r="D664" s="159" t="n">
        <x:v>571447</x:v>
      </x:c>
      <x:c r="E664" s="159" t="n">
        <x:v>123931</x:v>
      </x:c>
      <x:c r="F664" s="159" t="n">
        <x:v>61939</x:v>
      </x:c>
      <x:c r="G664" s="159" t="n">
        <x:f>E664-F664</x:f>
        <x:v>61992</x:v>
      </x:c>
      <x:c r="H664" s="154" t="n">
        <x:f>IFERROR(G664/D664,"")</x:f>
        <x:v>0.10848250143932858</x:v>
      </x:c>
      <x:c r="I664" s="159" t="n">
        <x:v>22242</x:v>
      </x:c>
      <x:c r="J664" s="159" t="n">
        <x:v>65143</x:v>
      </x:c>
      <x:c r="K664" s="159" t="n">
        <x:f>I664-J664</x:f>
        <x:v>-42901</x:v>
      </x:c>
      <x:c r="L664" s="154" t="n">
        <x:f>IFERROR(K664/D664,"")</x:f>
        <x:v>-0.0750743288528945</x:v>
      </x:c>
    </x:row>
    <x:row r="665">
      <x:c r="A665" s="141" t="str">
        <x:v>Silver</x:v>
      </x:c>
      <x:c r="B665" s="155" t="n">
        <x:v>44691</x:v>
      </x:c>
      <x:c r="C665" s="155" t="n">
        <x:v>44694</x:v>
      </x:c>
      <x:c r="D665" s="159" t="n">
        <x:v>142752</x:v>
      </x:c>
      <x:c r="E665" s="159" t="n">
        <x:v>39862</x:v>
      </x:c>
      <x:c r="F665" s="159" t="n">
        <x:v>38016</x:v>
      </x:c>
      <x:c r="G665" s="159" t="n">
        <x:f>E665-F665</x:f>
        <x:v>1846</x:v>
      </x:c>
      <x:c r="H665" s="154" t="n">
        <x:f>IFERROR(G665/D665,"")</x:f>
        <x:v>0.012931517596951356</x:v>
      </x:c>
      <x:c r="I665" s="159" t="n">
        <x:v>5397</x:v>
      </x:c>
      <x:c r="J665" s="159" t="n">
        <x:v>36108</x:v>
      </x:c>
      <x:c r="K665" s="159" t="n">
        <x:f>I665-J665</x:f>
        <x:v>-30711</x:v>
      </x:c>
      <x:c r="L665" s="154" t="n">
        <x:f>IFERROR(K665/D665,"")</x:f>
        <x:v>-0.21513533960995293</x:v>
      </x:c>
    </x:row>
    <x:row r="666">
      <x:c r="A666" s="141" t="str">
        <x:v>Gold</x:v>
      </x:c>
      <x:c r="B666" s="155" t="n">
        <x:v>44698</x:v>
      </x:c>
      <x:c r="C666" s="155" t="n">
        <x:v>44701</x:v>
      </x:c>
      <x:c r="D666" s="159" t="n">
        <x:v>555756</x:v>
      </x:c>
      <x:c r="E666" s="159" t="n">
        <x:v>115572</x:v>
      </x:c>
      <x:c r="F666" s="159" t="n">
        <x:v>72212</x:v>
      </x:c>
      <x:c r="G666" s="159" t="n">
        <x:f>E666-F666</x:f>
        <x:v>43360</x:v>
      </x:c>
      <x:c r="H666" s="154" t="n">
        <x:f>IFERROR(G666/D666,"")</x:f>
        <x:v>0.07801985043796199</x:v>
      </x:c>
      <x:c r="I666" s="159" t="n">
        <x:v>24468</x:v>
      </x:c>
      <x:c r="J666" s="159" t="n">
        <x:v>62025</x:v>
      </x:c>
      <x:c r="K666" s="159" t="n">
        <x:f>I666-J666</x:f>
        <x:v>-37557</x:v>
      </x:c>
      <x:c r="L666" s="154" t="n">
        <x:f>IFERROR(K666/D666,"")</x:f>
        <x:v>-0.06757821777902533</x:v>
      </x:c>
    </x:row>
    <x:row r="667">
      <x:c r="A667" s="141" t="str">
        <x:v>Silver</x:v>
      </x:c>
      <x:c r="B667" s="155" t="n">
        <x:v>44698</x:v>
      </x:c>
      <x:c r="C667" s="155" t="n">
        <x:v>44701</x:v>
      </x:c>
      <x:c r="D667" s="159" t="n">
        <x:v>144534</x:v>
      </x:c>
      <x:c r="E667" s="159" t="n">
        <x:v>40809</x:v>
      </x:c>
      <x:c r="F667" s="159" t="n">
        <x:v>40482</x:v>
      </x:c>
      <x:c r="G667" s="159" t="n">
        <x:f>E667-F667</x:f>
        <x:v>327</x:v>
      </x:c>
      <x:c r="H667" s="154" t="n">
        <x:f>IFERROR(G667/D667,"")</x:f>
        <x:v>0.0022624434389140274</x:v>
      </x:c>
      <x:c r="I667" s="159" t="n">
        <x:v>6566</x:v>
      </x:c>
      <x:c r="J667" s="159" t="n">
        <x:v>36352</x:v>
      </x:c>
      <x:c r="K667" s="159" t="n">
        <x:f>I667-J667</x:f>
        <x:v>-29786</x:v>
      </x:c>
      <x:c r="L667" s="154" t="n">
        <x:f>IFERROR(K667/D667,"")</x:f>
        <x:v>-0.2060829977721505</x:v>
      </x:c>
    </x:row>
    <x:row r="668">
      <x:c r="A668" s="141" t="str">
        <x:v>Gold</x:v>
      </x:c>
      <x:c r="B668" s="155" t="n">
        <x:v>44705</x:v>
      </x:c>
      <x:c r="C668" s="155" t="n">
        <x:v>44708</x:v>
      </x:c>
      <x:c r="D668" s="159" t="n">
        <x:v>530098</x:v>
      </x:c>
      <x:c r="E668" s="159" t="n">
        <x:v>121174</x:v>
      </x:c>
      <x:c r="F668" s="159" t="n">
        <x:v>60117</x:v>
      </x:c>
      <x:c r="G668" s="159" t="n">
        <x:f>E668-F668</x:f>
        <x:v>61057</x:v>
      </x:c>
      <x:c r="H668" s="154" t="n">
        <x:f>IFERROR(G668/D668,"")</x:f>
        <x:v>0.11518058924953499</x:v>
      </x:c>
      <x:c r="I668" s="159" t="n">
        <x:v>21184</x:v>
      </x:c>
      <x:c r="J668" s="159" t="n">
        <x:v>63194</x:v>
      </x:c>
      <x:c r="K668" s="159" t="n">
        <x:f>I668-J668</x:f>
        <x:v>-42010</x:v>
      </x:c>
      <x:c r="L668" s="154" t="n">
        <x:f>IFERROR(K668/D668,"")</x:f>
        <x:v>-0.07924949726277028</x:v>
      </x:c>
    </x:row>
    <x:row r="669">
      <x:c r="A669" s="141" t="str">
        <x:v>Silver</x:v>
      </x:c>
      <x:c r="B669" s="155" t="n">
        <x:v>44705</x:v>
      </x:c>
      <x:c r="C669" s="155" t="n">
        <x:v>44708</x:v>
      </x:c>
      <x:c r="D669" s="159" t="n">
        <x:v>146456</x:v>
      </x:c>
      <x:c r="E669" s="159" t="n">
        <x:v>41545</x:v>
      </x:c>
      <x:c r="F669" s="159" t="n">
        <x:v>42404</x:v>
      </x:c>
      <x:c r="G669" s="159" t="n">
        <x:f>E669-F669</x:f>
        <x:v>-859</x:v>
      </x:c>
      <x:c r="H669" s="154" t="n">
        <x:f>IFERROR(G669/D669,"")</x:f>
        <x:v>-0.005865242803299284</x:v>
      </x:c>
      <x:c r="I669" s="159" t="n">
        <x:v>7083</x:v>
      </x:c>
      <x:c r="J669" s="159" t="n">
        <x:v>36567</x:v>
      </x:c>
      <x:c r="K669" s="159" t="n">
        <x:f>I669-J669</x:f>
        <x:v>-29484</x:v>
      </x:c>
      <x:c r="L669" s="154" t="n">
        <x:f>IFERROR(K669/D669,"")</x:f>
        <x:v>-0.20131643633582783</x:v>
      </x:c>
    </x:row>
    <x:row r="670">
      <x:c r="A670" s="141" t="str">
        <x:v>Gold</x:v>
      </x:c>
      <x:c r="B670" s="155" t="n">
        <x:v>44712</x:v>
      </x:c>
      <x:c r="C670" s="155" t="n">
        <x:v>44715</x:v>
      </x:c>
      <x:c r="D670" s="159" t="n">
        <x:v>513722</x:v>
      </x:c>
      <x:c r="E670" s="159" t="n">
        <x:v>112731</x:v>
      </x:c>
      <x:c r="F670" s="159" t="n">
        <x:v>61938</x:v>
      </x:c>
      <x:c r="G670" s="159" t="n">
        <x:f>E670-F670</x:f>
        <x:v>50793</x:v>
      </x:c>
      <x:c r="H670" s="154" t="n">
        <x:f>IFERROR(G670/D670,"")</x:f>
        <x:v>0.09887254195849117</x:v>
      </x:c>
      <x:c r="I670" s="159" t="n">
        <x:v>19970</x:v>
      </x:c>
      <x:c r="J670" s="159" t="n">
        <x:v>65269</x:v>
      </x:c>
      <x:c r="K670" s="159" t="n">
        <x:f>I670-J670</x:f>
        <x:v>-45299</x:v>
      </x:c>
      <x:c r="L670" s="154" t="n">
        <x:f>IFERROR(K670/D670,"")</x:f>
        <x:v>-0.08817804182028412</x:v>
      </x:c>
    </x:row>
    <x:row r="671">
      <x:c r="A671" s="141" t="str">
        <x:v>Silver</x:v>
      </x:c>
      <x:c r="B671" s="155" t="n">
        <x:v>44712</x:v>
      </x:c>
      <x:c r="C671" s="155" t="n">
        <x:v>44715</x:v>
      </x:c>
      <x:c r="D671" s="159" t="n">
        <x:v>147301</x:v>
      </x:c>
      <x:c r="E671" s="159" t="n">
        <x:v>40984</x:v>
      </x:c>
      <x:c r="F671" s="159" t="n">
        <x:v>37933</x:v>
      </x:c>
      <x:c r="G671" s="159" t="n">
        <x:f>E671-F671</x:f>
        <x:v>3051</x:v>
      </x:c>
      <x:c r="H671" s="154" t="n">
        <x:f>IFERROR(G671/D671,"")</x:f>
        <x:v>0.020712690341545544</x:v>
      </x:c>
      <x:c r="I671" s="159" t="n">
        <x:v>6826</x:v>
      </x:c>
      <x:c r="J671" s="159" t="n">
        <x:v>37701</x:v>
      </x:c>
      <x:c r="K671" s="159" t="n">
        <x:f>I671-J671</x:f>
        <x:v>-30875</x:v>
      </x:c>
      <x:c r="L671" s="154" t="n">
        <x:f>IFERROR(K671/D671,"")</x:f>
        <x:v>-0.20960482277784945</x:v>
      </x:c>
    </x:row>
    <x:row r="672">
      <x:c r="A672" s="141" t="str">
        <x:v>Gold</x:v>
      </x:c>
      <x:c r="B672" s="155" t="n">
        <x:v>44719</x:v>
      </x:c>
      <x:c r="C672" s="155" t="n">
        <x:v>44722</x:v>
      </x:c>
      <x:c r="D672" s="159" t="n">
        <x:v>494130</x:v>
      </x:c>
      <x:c r="E672" s="159" t="n">
        <x:v>115215</x:v>
      </x:c>
      <x:c r="F672" s="159" t="n">
        <x:v>57684</x:v>
      </x:c>
      <x:c r="G672" s="159" t="n">
        <x:f>E672-F672</x:f>
        <x:v>57531</x:v>
      </x:c>
      <x:c r="H672" s="154" t="n">
        <x:f>IFERROR(G672/D672,"")</x:f>
        <x:v>0.1164288749924109</x:v>
      </x:c>
      <x:c r="I672" s="159" t="n">
        <x:v>16570</x:v>
      </x:c>
      <x:c r="J672" s="159" t="n">
        <x:v>61112</x:v>
      </x:c>
      <x:c r="K672" s="159" t="n">
        <x:f>I672-J672</x:f>
        <x:v>-44542</x:v>
      </x:c>
      <x:c r="L672" s="154" t="n">
        <x:f>IFERROR(K672/D672,"")</x:f>
        <x:v>-0.09014227025276748</x:v>
      </x:c>
    </x:row>
    <x:row r="673">
      <x:c r="A673" s="141" t="str">
        <x:v>Silver</x:v>
      </x:c>
      <x:c r="B673" s="155" t="n">
        <x:v>44719</x:v>
      </x:c>
      <x:c r="C673" s="155" t="n">
        <x:v>44722</x:v>
      </x:c>
      <x:c r="D673" s="159" t="n">
        <x:v>148294</x:v>
      </x:c>
      <x:c r="E673" s="159" t="n">
        <x:v>40650</x:v>
      </x:c>
      <x:c r="F673" s="159" t="n">
        <x:v>33818</x:v>
      </x:c>
      <x:c r="G673" s="159" t="n">
        <x:f>E673-F673</x:f>
        <x:v>6832</x:v>
      </x:c>
      <x:c r="H673" s="154" t="n">
        <x:f>IFERROR(G673/D673,"")</x:f>
        <x:v>0.046070643451521974</x:v>
      </x:c>
      <x:c r="I673" s="159" t="n">
        <x:v>6370</x:v>
      </x:c>
      <x:c r="J673" s="159" t="n">
        <x:v>39428</x:v>
      </x:c>
      <x:c r="K673" s="159" t="n">
        <x:f>I673-J673</x:f>
        <x:v>-33058</x:v>
      </x:c>
      <x:c r="L673" s="154" t="n">
        <x:f>IFERROR(K673/D673,"")</x:f>
        <x:v>-0.22292203325825724</x:v>
      </x:c>
    </x:row>
    <x:row r="674">
      <x:c r="A674" s="141" t="str">
        <x:v>Gold</x:v>
      </x:c>
      <x:c r="B674" s="155" t="n">
        <x:v>44726</x:v>
      </x:c>
      <x:c r="C674" s="155" t="n">
        <x:v>44729</x:v>
      </x:c>
      <x:c r="D674" s="159" t="n">
        <x:v>497456</x:v>
      </x:c>
      <x:c r="E674" s="159" t="n">
        <x:v>109111</x:v>
      </x:c>
      <x:c r="F674" s="159" t="n">
        <x:v>72206</x:v>
      </x:c>
      <x:c r="G674" s="159" t="n">
        <x:f>E674-F674</x:f>
        <x:v>36905</x:v>
      </x:c>
      <x:c r="H674" s="154" t="n">
        <x:f>IFERROR(G674/D674,"")</x:f>
        <x:v>0.07418746582612332</x:v>
      </x:c>
      <x:c r="I674" s="159" t="n">
        <x:v>14920</x:v>
      </x:c>
      <x:c r="J674" s="159" t="n">
        <x:v>55975</x:v>
      </x:c>
      <x:c r="K674" s="159" t="n">
        <x:f>I674-J674</x:f>
        <x:v>-41055</x:v>
      </x:c>
      <x:c r="L674" s="154" t="n">
        <x:f>IFERROR(K674/D674,"")</x:f>
        <x:v>-0.0825299121932392</x:v>
      </x:c>
    </x:row>
    <x:row r="675">
      <x:c r="A675" s="141" t="str">
        <x:v>Silver</x:v>
      </x:c>
      <x:c r="B675" s="155" t="n">
        <x:v>44726</x:v>
      </x:c>
      <x:c r="C675" s="155" t="n">
        <x:v>44729</x:v>
      </x:c>
      <x:c r="D675" s="159" t="n">
        <x:v>151978</x:v>
      </x:c>
      <x:c r="E675" s="159" t="n">
        <x:v>40712</x:v>
      </x:c>
      <x:c r="F675" s="159" t="n">
        <x:v>39103</x:v>
      </x:c>
      <x:c r="G675" s="159" t="n">
        <x:f>E675-F675</x:f>
        <x:v>1609</x:v>
      </x:c>
      <x:c r="H675" s="154" t="n">
        <x:f>IFERROR(G675/D675,"")</x:f>
        <x:v>0.010587058653226124</x:v>
      </x:c>
      <x:c r="I675" s="159" t="n">
        <x:v>8215</x:v>
      </x:c>
      <x:c r="J675" s="159" t="n">
        <x:v>37326</x:v>
      </x:c>
      <x:c r="K675" s="159" t="n">
        <x:f>I675-J675</x:f>
        <x:v>-29111</x:v>
      </x:c>
      <x:c r="L675" s="154" t="n">
        <x:f>IFERROR(K675/D675,"")</x:f>
        <x:v>-0.19154746081669716</x:v>
      </x:c>
    </x:row>
    <x:row r="676">
      <x:c r="A676" s="141" t="str">
        <x:v>Gold</x:v>
      </x:c>
      <x:c r="B676" s="155" t="n">
        <x:v>44733</x:v>
      </x:c>
      <x:c r="C676" s="155" t="n">
        <x:v>44736</x:v>
      </x:c>
      <x:c r="D676" s="159" t="n">
        <x:v>500276</x:v>
      </x:c>
      <x:c r="E676" s="159" t="n">
        <x:v>113220</x:v>
      </x:c>
      <x:c r="F676" s="159" t="n">
        <x:v>63417</x:v>
      </x:c>
      <x:c r="G676" s="159" t="n">
        <x:f>E676-F676</x:f>
        <x:v>49803</x:v>
      </x:c>
      <x:c r="H676" s="154" t="n">
        <x:f>IFERROR(G676/D676,"")</x:f>
        <x:v>0.09955104782160247</x:v>
      </x:c>
      <x:c r="I676" s="159" t="n">
        <x:v>13019</x:v>
      </x:c>
      <x:c r="J676" s="159" t="n">
        <x:v>57208</x:v>
      </x:c>
      <x:c r="K676" s="159" t="n">
        <x:f>I676-J676</x:f>
        <x:v>-44189</x:v>
      </x:c>
      <x:c r="L676" s="154" t="n">
        <x:f>IFERROR(K676/D676,"")</x:f>
        <x:v>-0.08832924225827343</x:v>
      </x:c>
    </x:row>
    <x:row r="677">
      <x:c r="A677" s="141" t="str">
        <x:v>Silver</x:v>
      </x:c>
      <x:c r="B677" s="155" t="n">
        <x:v>44733</x:v>
      </x:c>
      <x:c r="C677" s="155" t="n">
        <x:v>44736</x:v>
      </x:c>
      <x:c r="D677" s="159" t="n">
        <x:v>145356</x:v>
      </x:c>
      <x:c r="E677" s="159" t="n">
        <x:v>39405</x:v>
      </x:c>
      <x:c r="F677" s="159" t="n">
        <x:v>32175</x:v>
      </x:c>
      <x:c r="G677" s="159" t="n">
        <x:f>E677-F677</x:f>
        <x:v>7230</x:v>
      </x:c>
      <x:c r="H677" s="154" t="n">
        <x:f>IFERROR(G677/D677,"")</x:f>
        <x:v>0.04973994881532238</x:v>
      </x:c>
      <x:c r="I677" s="159" t="n">
        <x:v>5309</x:v>
      </x:c>
      <x:c r="J677" s="159" t="n">
        <x:v>36787</x:v>
      </x:c>
      <x:c r="K677" s="159" t="n">
        <x:f>I677-J677</x:f>
        <x:v>-31478</x:v>
      </x:c>
      <x:c r="L677" s="154" t="n">
        <x:f>IFERROR(K677/D677,"")</x:f>
        <x:v>-0.21655796802333582</x:v>
      </x:c>
    </x:row>
    <x:row r="678">
      <x:c r="A678" s="141" t="str">
        <x:v>Gold</x:v>
      </x:c>
      <x:c r="B678" s="155" t="n">
        <x:v>44740</x:v>
      </x:c>
      <x:c r="C678" s="155" t="n">
        <x:v>44743</x:v>
      </x:c>
      <x:c r="D678" s="159" t="n">
        <x:v>497005</x:v>
      </x:c>
      <x:c r="E678" s="159" t="n">
        <x:v>110850</x:v>
      </x:c>
      <x:c r="F678" s="159" t="n">
        <x:v>74748</x:v>
      </x:c>
      <x:c r="G678" s="159" t="n">
        <x:f>E678-F678</x:f>
        <x:v>36102</x:v>
      </x:c>
      <x:c r="H678" s="154" t="n">
        <x:f>IFERROR(G678/D678,"")</x:f>
        <x:v>0.07263910825846823</x:v>
      </x:c>
      <x:c r="I678" s="159" t="n">
        <x:v>13971</x:v>
      </x:c>
      <x:c r="J678" s="159" t="n">
        <x:v>57758</x:v>
      </x:c>
      <x:c r="K678" s="159" t="n">
        <x:f>I678-J678</x:f>
        <x:v>-43787</x:v>
      </x:c>
      <x:c r="L678" s="154" t="n">
        <x:f>IFERROR(K678/D678,"")</x:f>
        <x:v>-0.08810172935885957</x:v>
      </x:c>
    </x:row>
    <x:row r="679">
      <x:c r="A679" s="141" t="str">
        <x:v>Silver</x:v>
      </x:c>
      <x:c r="B679" s="155" t="n">
        <x:v>44740</x:v>
      </x:c>
      <x:c r="C679" s="155" t="n">
        <x:v>44743</x:v>
      </x:c>
      <x:c r="D679" s="159" t="n">
        <x:v>135775</x:v>
      </x:c>
      <x:c r="E679" s="159" t="n">
        <x:v>39039</x:v>
      </x:c>
      <x:c r="F679" s="159" t="n">
        <x:v>38294</x:v>
      </x:c>
      <x:c r="G679" s="159" t="n">
        <x:f>E679-F679</x:f>
        <x:v>745</x:v>
      </x:c>
      <x:c r="H679" s="154" t="n">
        <x:f>IFERROR(G679/D679,"")</x:f>
        <x:v>0.005487018965199779</x:v>
      </x:c>
      <x:c r="I679" s="159" t="n">
        <x:v>7147</x:v>
      </x:c>
      <x:c r="J679" s="159" t="n">
        <x:v>31629</x:v>
      </x:c>
      <x:c r="K679" s="159" t="n">
        <x:f>I679-J679</x:f>
        <x:v>-24482</x:v>
      </x:c>
      <x:c r="L679" s="154" t="n">
        <x:f>IFERROR(K679/D679,"")</x:f>
        <x:v>-0.18031301786043086</x:v>
      </x:c>
    </x:row>
    <x:row r="680">
      <x:c r="A680" s="141" t="str">
        <x:v>Gold</x:v>
      </x:c>
      <x:c r="B680" s="155" t="n">
        <x:v>44747</x:v>
      </x:c>
      <x:c r="C680" s="155" t="n">
        <x:v>44750</x:v>
      </x:c>
      <x:c r="D680" s="159" t="n">
        <x:v>498210</x:v>
      </x:c>
      <x:c r="E680" s="159" t="n">
        <x:v>103472</x:v>
      </x:c>
      <x:c r="F680" s="159" t="n">
        <x:v>86438</x:v>
      </x:c>
      <x:c r="G680" s="159" t="n">
        <x:f>E680-F680</x:f>
        <x:v>17034</x:v>
      </x:c>
      <x:c r="H680" s="154" t="n">
        <x:f>IFERROR(G680/D680,"")</x:f>
        <x:v>0.03419040163786355</x:v>
      </x:c>
      <x:c r="I680" s="159" t="n">
        <x:v>15404</x:v>
      </x:c>
      <x:c r="J680" s="159" t="n">
        <x:v>53894</x:v>
      </x:c>
      <x:c r="K680" s="159" t="n">
        <x:f>I680-J680</x:f>
        <x:v>-38490</x:v>
      </x:c>
      <x:c r="L680" s="154" t="n">
        <x:f>IFERROR(K680/D680,"")</x:f>
        <x:v>-0.07725657855121335</x:v>
      </x:c>
    </x:row>
    <x:row r="681">
      <x:c r="A681" s="141" t="str">
        <x:v>Silver</x:v>
      </x:c>
      <x:c r="B681" s="155" t="n">
        <x:v>44747</x:v>
      </x:c>
      <x:c r="C681" s="155" t="n">
        <x:v>44750</x:v>
      </x:c>
      <x:c r="D681" s="159" t="n">
        <x:v>140463</x:v>
      </x:c>
      <x:c r="E681" s="159" t="n">
        <x:v>37322</x:v>
      </x:c>
      <x:c r="F681" s="159" t="n">
        <x:v>46067</x:v>
      </x:c>
      <x:c r="G681" s="159" t="n">
        <x:f>E681-F681</x:f>
        <x:v>-8745</x:v>
      </x:c>
      <x:c r="H681" s="154" t="n">
        <x:f>IFERROR(G681/D681,"")</x:f>
        <x:v>-0.062258388330022854</x:v>
      </x:c>
      <x:c r="I681" s="159" t="n">
        <x:v>9022</x:v>
      </x:c>
      <x:c r="J681" s="159" t="n">
        <x:v>28082</x:v>
      </x:c>
      <x:c r="K681" s="159" t="n">
        <x:f>I681-J681</x:f>
        <x:v>-19060</x:v>
      </x:c>
      <x:c r="L681" s="154" t="n">
        <x:f>IFERROR(K681/D681,"")</x:f>
        <x:v>-0.13569409737795718</x:v>
      </x:c>
    </x:row>
    <x:row r="682">
      <x:c r="A682" s="141" t="str">
        <x:v>Gold</x:v>
      </x:c>
      <x:c r="B682" s="155" t="n">
        <x:v>44754</x:v>
      </x:c>
      <x:c r="C682" s="155" t="n">
        <x:v>44757</x:v>
      </x:c>
      <x:c r="D682" s="159" t="n">
        <x:v>542493</x:v>
      </x:c>
      <x:c r="E682" s="159" t="n">
        <x:v>91669</x:v>
      </x:c>
      <x:c r="F682" s="159" t="n">
        <x:v>97802</x:v>
      </x:c>
      <x:c r="G682" s="159" t="n">
        <x:f>E682-F682</x:f>
        <x:v>-6133</x:v>
      </x:c>
      <x:c r="H682" s="154" t="n">
        <x:f>IFERROR(G682/D682,"")</x:f>
        <x:v>-0.011305214998165876</x:v>
      </x:c>
      <x:c r="I682" s="159" t="n">
        <x:v>18149</x:v>
      </x:c>
      <x:c r="J682" s="159" t="n">
        <x:v>46218</x:v>
      </x:c>
      <x:c r="K682" s="159" t="n">
        <x:f>I682-J682</x:f>
        <x:v>-28069</x:v>
      </x:c>
      <x:c r="L682" s="154" t="n">
        <x:f>IFERROR(K682/D682,"")</x:f>
        <x:v>-0.05174075978860557</x:v>
      </x:c>
    </x:row>
    <x:row r="683">
      <x:c r="A683" s="141" t="str">
        <x:v>Silver</x:v>
      </x:c>
      <x:c r="B683" s="155" t="n">
        <x:v>44754</x:v>
      </x:c>
      <x:c r="C683" s="155" t="n">
        <x:v>44757</x:v>
      </x:c>
      <x:c r="D683" s="159" t="n">
        <x:v>142259</x:v>
      </x:c>
      <x:c r="E683" s="159" t="n">
        <x:v>37095</x:v>
      </x:c>
      <x:c r="F683" s="159" t="n">
        <x:v>47543</x:v>
      </x:c>
      <x:c r="G683" s="159" t="n">
        <x:f>E683-F683</x:f>
        <x:v>-10448</x:v>
      </x:c>
      <x:c r="H683" s="154" t="n">
        <x:f>IFERROR(G683/D683,"")</x:f>
        <x:v>-0.07344350796786143</x:v>
      </x:c>
      <x:c r="I683" s="159" t="n">
        <x:v>9491</x:v>
      </x:c>
      <x:c r="J683" s="159" t="n">
        <x:v>28263</x:v>
      </x:c>
      <x:c r="K683" s="159" t="n">
        <x:f>I683-J683</x:f>
        <x:v>-18772</x:v>
      </x:c>
      <x:c r="L683" s="154" t="n">
        <x:f>IFERROR(K683/D683,"")</x:f>
        <x:v>-0.13195650187334368</x:v>
      </x:c>
    </x:row>
    <x:row r="684">
      <x:c r="A684" s="141" t="str">
        <x:v>Gold</x:v>
      </x:c>
      <x:c r="B684" s="155" t="n">
        <x:v>44761</x:v>
      </x:c>
      <x:c r="C684" s="155" t="n">
        <x:v>44764</x:v>
      </x:c>
      <x:c r="D684" s="159" t="n">
        <x:v>524786</x:v>
      </x:c>
      <x:c r="E684" s="159" t="n">
        <x:v>91056</x:v>
      </x:c>
      <x:c r="F684" s="159" t="n">
        <x:v>109794</x:v>
      </x:c>
      <x:c r="G684" s="159" t="n">
        <x:f>E684-F684</x:f>
        <x:v>-18738</x:v>
      </x:c>
      <x:c r="H684" s="154" t="n">
        <x:f>IFERROR(G684/D684,"")</x:f>
        <x:v>-0.0357059830102175</x:v>
      </x:c>
      <x:c r="I684" s="159" t="n">
        <x:v>21601</x:v>
      </x:c>
      <x:c r="J684" s="159" t="n">
        <x:v>46644</x:v>
      </x:c>
      <x:c r="K684" s="159" t="n">
        <x:f>I684-J684</x:f>
        <x:v>-25043</x:v>
      </x:c>
      <x:c r="L684" s="154" t="n">
        <x:f>IFERROR(K684/D684,"")</x:f>
        <x:v>-0.047720404126634475</x:v>
      </x:c>
    </x:row>
    <x:row r="685">
      <x:c r="A685" s="141" t="str">
        <x:v>Silver</x:v>
      </x:c>
      <x:c r="B685" s="155" t="n">
        <x:v>44761</x:v>
      </x:c>
      <x:c r="C685" s="155" t="n">
        <x:v>44764</x:v>
      </x:c>
      <x:c r="D685" s="159" t="n">
        <x:v>145247</x:v>
      </x:c>
      <x:c r="E685" s="159" t="n">
        <x:v>36411</x:v>
      </x:c>
      <x:c r="F685" s="159" t="n">
        <x:v>50452</x:v>
      </x:c>
      <x:c r="G685" s="159" t="n">
        <x:f>E685-F685</x:f>
        <x:v>-14041</x:v>
      </x:c>
      <x:c r="H685" s="154" t="n">
        <x:f>IFERROR(G685/D685,"")</x:f>
        <x:v>-0.09666981073619421</x:v>
      </x:c>
      <x:c r="I685" s="159" t="n">
        <x:v>9538</x:v>
      </x:c>
      <x:c r="J685" s="159" t="n">
        <x:v>28061</x:v>
      </x:c>
      <x:c r="K685" s="159" t="n">
        <x:f>I685-J685</x:f>
        <x:v>-18523</x:v>
      </x:c>
      <x:c r="L685" s="154" t="n">
        <x:f>IFERROR(K685/D685,"")</x:f>
        <x:v>-0.1275275909313101</x:v>
      </x:c>
    </x:row>
    <x:row r="686">
      <x:c r="A686" s="141" t="str">
        <x:v>Gold</x:v>
      </x:c>
      <x:c r="B686" s="155" t="n">
        <x:v>44768</x:v>
      </x:c>
      <x:c r="C686" s="155" t="n">
        <x:v>44771</x:v>
      </x:c>
      <x:c r="D686" s="159" t="n">
        <x:v>487515</x:v>
      </x:c>
      <x:c r="E686" s="159" t="n">
        <x:v>92216</x:v>
      </x:c>
      <x:c r="F686" s="159" t="n">
        <x:v>111309</x:v>
      </x:c>
      <x:c r="G686" s="159" t="n">
        <x:f>E686-F686</x:f>
        <x:v>-19093</x:v>
      </x:c>
      <x:c r="H686" s="154" t="n">
        <x:f>IFERROR(G686/D686,"")</x:f>
        <x:v>-0.039163923161338626</x:v>
      </x:c>
      <x:c r="I686" s="159" t="n">
        <x:v>16057</x:v>
      </x:c>
      <x:c r="J686" s="159" t="n">
        <x:v>41222</x:v>
      </x:c>
      <x:c r="K686" s="159" t="n">
        <x:f>I686-J686</x:f>
        <x:v>-25165</x:v>
      </x:c>
      <x:c r="L686" s="154" t="n">
        <x:f>IFERROR(K686/D686,"")</x:f>
        <x:v>-0.05161892454591141</x:v>
      </x:c>
    </x:row>
    <x:row r="687">
      <x:c r="A687" s="141" t="str">
        <x:v>Silver</x:v>
      </x:c>
      <x:c r="B687" s="155" t="n">
        <x:v>44768</x:v>
      </x:c>
      <x:c r="C687" s="155" t="n">
        <x:v>44771</x:v>
      </x:c>
      <x:c r="D687" s="159" t="n">
        <x:v>147784</x:v>
      </x:c>
      <x:c r="E687" s="159" t="n">
        <x:v>36721</x:v>
      </x:c>
      <x:c r="F687" s="159" t="n">
        <x:v>54539</x:v>
      </x:c>
      <x:c r="G687" s="159" t="n">
        <x:f>E687-F687</x:f>
        <x:v>-17818</x:v>
      </x:c>
      <x:c r="H687" s="154" t="n">
        <x:f>IFERROR(G687/D687,"")</x:f>
        <x:v>-0.12056785578953066</x:v>
      </x:c>
      <x:c r="I687" s="159" t="n">
        <x:v>10547</x:v>
      </x:c>
      <x:c r="J687" s="159" t="n">
        <x:v>27760</x:v>
      </x:c>
      <x:c r="K687" s="159" t="n">
        <x:f>I687-J687</x:f>
        <x:v>-17213</x:v>
      </x:c>
      <x:c r="L687" s="154" t="n">
        <x:f>IFERROR(K687/D687,"")</x:f>
        <x:v>-0.11647404319818112</x:v>
      </x:c>
    </x:row>
    <x:row r="688">
      <x:c r="A688" s="141" t="str">
        <x:v>Gold</x:v>
      </x:c>
      <x:c r="B688" s="155" t="n">
        <x:v>44775</x:v>
      </x:c>
      <x:c r="C688" s="155" t="n">
        <x:v>44778</x:v>
      </x:c>
      <x:c r="D688" s="159" t="n">
        <x:v>459649</x:v>
      </x:c>
      <x:c r="E688" s="159" t="n">
        <x:v>96634</x:v>
      </x:c>
      <x:c r="F688" s="159" t="n">
        <x:v>80779</x:v>
      </x:c>
      <x:c r="G688" s="159" t="n">
        <x:f>E688-F688</x:f>
        <x:v>15855</x:v>
      </x:c>
      <x:c r="H688" s="154" t="n">
        <x:f>IFERROR(G688/D688,"")</x:f>
        <x:v>0.034493711505953456</x:v>
      </x:c>
      <x:c r="I688" s="159" t="n">
        <x:v>13831</x:v>
      </x:c>
      <x:c r="J688" s="159" t="n">
        <x:v>44218</x:v>
      </x:c>
      <x:c r="K688" s="159" t="n">
        <x:f>I688-J688</x:f>
        <x:v>-30387</x:v>
      </x:c>
      <x:c r="L688" s="154" t="n">
        <x:f>IFERROR(K688/D688,"")</x:f>
        <x:v>-0.06610913980015186</x:v>
      </x:c>
    </x:row>
    <x:row r="689">
      <x:c r="A689" s="141" t="str">
        <x:v>Silver</x:v>
      </x:c>
      <x:c r="B689" s="155" t="n">
        <x:v>44775</x:v>
      </x:c>
      <x:c r="C689" s="155" t="n">
        <x:v>44778</x:v>
      </x:c>
      <x:c r="D689" s="159" t="n">
        <x:v>136267</x:v>
      </x:c>
      <x:c r="E689" s="159" t="n">
        <x:v>33027</x:v>
      </x:c>
      <x:c r="F689" s="159" t="n">
        <x:v>41883</x:v>
      </x:c>
      <x:c r="G689" s="159" t="n">
        <x:f>E689-F689</x:f>
        <x:v>-8856</x:v>
      </x:c>
      <x:c r="H689" s="154" t="n">
        <x:f>IFERROR(G689/D689,"")</x:f>
        <x:v>-0.06499005628655508</x:v>
      </x:c>
      <x:c r="I689" s="159" t="n">
        <x:v>7282</x:v>
      </x:c>
      <x:c r="J689" s="159" t="n">
        <x:v>27589</x:v>
      </x:c>
      <x:c r="K689" s="159" t="n">
        <x:f>I689-J689</x:f>
        <x:v>-20307</x:v>
      </x:c>
      <x:c r="L689" s="154" t="n">
        <x:f>IFERROR(K689/D689,"")</x:f>
        <x:v>-0.14902360806358106</x:v>
      </x:c>
    </x:row>
    <x:row r="690">
      <x:c r="A690" s="141" t="str">
        <x:v>Gold</x:v>
      </x:c>
      <x:c r="B690" s="155" t="n">
        <x:v>44782</x:v>
      </x:c>
      <x:c r="C690" s="155" t="n">
        <x:v>44785</x:v>
      </x:c>
      <x:c r="D690" s="159" t="n">
        <x:v>453540</x:v>
      </x:c>
      <x:c r="E690" s="159" t="n">
        <x:v>100013</x:v>
      </x:c>
      <x:c r="F690" s="159" t="n">
        <x:v>59279</x:v>
      </x:c>
      <x:c r="G690" s="159" t="n">
        <x:f>E690-F690</x:f>
        <x:v>40734</x:v>
      </x:c>
      <x:c r="H690" s="154" t="n">
        <x:f>IFERROR(G690/D690,"")</x:f>
        <x:v>0.08981346738986638</x:v>
      </x:c>
      <x:c r="I690" s="159" t="n">
        <x:v>12940</x:v>
      </x:c>
      <x:c r="J690" s="159" t="n">
        <x:v>49401</x:v>
      </x:c>
      <x:c r="K690" s="159" t="n">
        <x:f>I690-J690</x:f>
        <x:v>-36461</x:v>
      </x:c>
      <x:c r="L690" s="154" t="n">
        <x:f>IFERROR(K690/D690,"")</x:f>
        <x:v>-0.08039202716408696</x:v>
      </x:c>
    </x:row>
    <x:row r="691">
      <x:c r="A691" s="141" t="str">
        <x:v>Silver</x:v>
      </x:c>
      <x:c r="B691" s="155" t="n">
        <x:v>44782</x:v>
      </x:c>
      <x:c r="C691" s="155" t="n">
        <x:v>44785</x:v>
      </x:c>
      <x:c r="D691" s="159" t="n">
        <x:v>141093</x:v>
      </x:c>
      <x:c r="E691" s="159" t="n">
        <x:v>32469</x:v>
      </x:c>
      <x:c r="F691" s="159" t="n">
        <x:v>39012</x:v>
      </x:c>
      <x:c r="G691" s="159" t="n">
        <x:f>E691-F691</x:f>
        <x:v>-6543</x:v>
      </x:c>
      <x:c r="H691" s="154" t="n">
        <x:f>IFERROR(G691/D691,"")</x:f>
        <x:v>-0.046373668431460104</x:v>
      </x:c>
      <x:c r="I691" s="159" t="n">
        <x:v>7092</x:v>
      </x:c>
      <x:c r="J691" s="159" t="n">
        <x:v>30055</x:v>
      </x:c>
      <x:c r="K691" s="159" t="n">
        <x:f>I691-J691</x:f>
        <x:v>-22963</x:v>
      </x:c>
      <x:c r="L691" s="154" t="n">
        <x:f>IFERROR(K691/D691,"")</x:f>
        <x:v>-0.1627508097495978</x:v>
      </x:c>
    </x:row>
    <x:row r="692">
      <x:c r="A692" s="141" t="str">
        <x:v>Gold</x:v>
      </x:c>
      <x:c r="B692" s="155" t="n">
        <x:v>44789</x:v>
      </x:c>
      <x:c r="C692" s="155" t="n">
        <x:v>44792</x:v>
      </x:c>
      <x:c r="D692" s="159" t="n">
        <x:v>453960</x:v>
      </x:c>
      <x:c r="E692" s="159" t="n">
        <x:v>96765</x:v>
      </x:c>
      <x:c r="F692" s="159" t="n">
        <x:v>60392</x:v>
      </x:c>
      <x:c r="G692" s="159" t="n">
        <x:f>E692-F692</x:f>
        <x:v>36373</x:v>
      </x:c>
      <x:c r="H692" s="154" t="n">
        <x:f>IFERROR(G692/D692,"")</x:f>
        <x:v>0.08012379945369637</x:v>
      </x:c>
      <x:c r="I692" s="159" t="n">
        <x:v>14278</x:v>
      </x:c>
      <x:c r="J692" s="159" t="n">
        <x:v>48802</x:v>
      </x:c>
      <x:c r="K692" s="159" t="n">
        <x:f>I692-J692</x:f>
        <x:v>-34524</x:v>
      </x:c>
      <x:c r="L692" s="154" t="n">
        <x:f>IFERROR(K692/D692,"")</x:f>
        <x:v>-0.07605075337034099</x:v>
      </x:c>
    </x:row>
    <x:row r="693">
      <x:c r="A693" s="141" t="str">
        <x:v>Silver</x:v>
      </x:c>
      <x:c r="B693" s="155" t="n">
        <x:v>44789</x:v>
      </x:c>
      <x:c r="C693" s="155" t="n">
        <x:v>44792</x:v>
      </x:c>
      <x:c r="D693" s="159" t="n">
        <x:v>144314</x:v>
      </x:c>
      <x:c r="E693" s="159" t="n">
        <x:v>31781</x:v>
      </x:c>
      <x:c r="F693" s="159" t="n">
        <x:v>37872</x:v>
      </x:c>
      <x:c r="G693" s="159" t="n">
        <x:f>E693-F693</x:f>
        <x:v>-6091</x:v>
      </x:c>
      <x:c r="H693" s="154" t="n">
        <x:f>IFERROR(G693/D693,"")</x:f>
        <x:v>-0.042206577324445306</x:v>
      </x:c>
      <x:c r="I693" s="159" t="n">
        <x:v>8488</x:v>
      </x:c>
      <x:c r="J693" s="159" t="n">
        <x:v>31264</x:v>
      </x:c>
      <x:c r="K693" s="159" t="n">
        <x:f>I693-J693</x:f>
        <x:v>-22776</x:v>
      </x:c>
      <x:c r="L693" s="154" t="n">
        <x:f>IFERROR(K693/D693,"")</x:f>
        <x:v>-0.1578225258810649</x:v>
      </x:c>
    </x:row>
    <x:row r="694">
      <x:c r="A694" s="141" t="str">
        <x:v>Gold</x:v>
      </x:c>
      <x:c r="B694" s="155" t="n">
        <x:v>44796</x:v>
      </x:c>
      <x:c r="C694" s="155" t="n">
        <x:v>44799</x:v>
      </x:c>
      <x:c r="D694" s="159" t="n">
        <x:v>457762</x:v>
      </x:c>
      <x:c r="E694" s="159" t="n">
        <x:v>95850</x:v>
      </x:c>
      <x:c r="F694" s="159" t="n">
        <x:v>73739</x:v>
      </x:c>
      <x:c r="G694" s="159" t="n">
        <x:f>E694-F694</x:f>
        <x:v>22111</x:v>
      </x:c>
      <x:c r="H694" s="154" t="n">
        <x:f>IFERROR(G694/D694,"")</x:f>
        <x:v>0.04830239294655301</x:v>
      </x:c>
      <x:c r="I694" s="159" t="n">
        <x:v>14957</x:v>
      </x:c>
      <x:c r="J694" s="159" t="n">
        <x:v>47144</x:v>
      </x:c>
      <x:c r="K694" s="159" t="n">
        <x:f>I694-J694</x:f>
        <x:v>-32187</x:v>
      </x:c>
      <x:c r="L694" s="154" t="n">
        <x:f>IFERROR(K694/D694,"")</x:f>
        <x:v>-0.07031383120486191</x:v>
      </x:c>
    </x:row>
    <x:row r="695">
      <x:c r="A695" s="141" t="str">
        <x:v>Silver</x:v>
      </x:c>
      <x:c r="B695" s="155" t="n">
        <x:v>44796</x:v>
      </x:c>
      <x:c r="C695" s="155" t="n">
        <x:v>44799</x:v>
      </x:c>
      <x:c r="D695" s="159" t="n">
        <x:v>144357</x:v>
      </x:c>
      <x:c r="E695" s="159" t="n">
        <x:v>31703</x:v>
      </x:c>
      <x:c r="F695" s="159" t="n">
        <x:v>47527</x:v>
      </x:c>
      <x:c r="G695" s="159" t="n">
        <x:f>E695-F695</x:f>
        <x:v>-15824</x:v>
      </x:c>
      <x:c r="H695" s="154" t="n">
        <x:f>IFERROR(G695/D695,"")</x:f>
        <x:v>-0.10961712975470535</x:v>
      </x:c>
      <x:c r="I695" s="159" t="n">
        <x:v>9700</x:v>
      </x:c>
      <x:c r="J695" s="159" t="n">
        <x:v>29462</x:v>
      </x:c>
      <x:c r="K695" s="159" t="n">
        <x:f>I695-J695</x:f>
        <x:v>-19762</x:v>
      </x:c>
      <x:c r="L695" s="154" t="n">
        <x:f>IFERROR(K695/D695,"")</x:f>
        <x:v>-0.1368967213228316</x:v>
      </x:c>
    </x:row>
    <x:row r="696">
      <x:c r="A696" s="141" t="str">
        <x:v>Gold</x:v>
      </x:c>
      <x:c r="B696" s="155" t="n">
        <x:v>44803</x:v>
      </x:c>
      <x:c r="C696" s="155" t="n">
        <x:v>44806</x:v>
      </x:c>
      <x:c r="D696" s="159" t="n">
        <x:v>459165</x:v>
      </x:c>
      <x:c r="E696" s="159" t="n">
        <x:v>91761</x:v>
      </x:c>
      <x:c r="F696" s="159" t="n">
        <x:v>79973</x:v>
      </x:c>
      <x:c r="G696" s="159" t="n">
        <x:f>E696-F696</x:f>
        <x:v>11788</x:v>
      </x:c>
      <x:c r="H696" s="154" t="n">
        <x:f>IFERROR(G696/D696,"")</x:f>
        <x:v>0.025672688467108774</x:v>
      </x:c>
      <x:c r="I696" s="159" t="n">
        <x:v>14612</x:v>
      </x:c>
      <x:c r="J696" s="159" t="n">
        <x:v>45959</x:v>
      </x:c>
      <x:c r="K696" s="159" t="n">
        <x:f>I696-J696</x:f>
        <x:v>-31347</x:v>
      </x:c>
      <x:c r="L696" s="154" t="n">
        <x:f>IFERROR(K696/D696,"")</x:f>
        <x:v>-0.06826957629610271</x:v>
      </x:c>
    </x:row>
    <x:row r="697">
      <x:c r="A697" s="141" t="str">
        <x:v>Silver</x:v>
      </x:c>
      <x:c r="B697" s="155" t="n">
        <x:v>44803</x:v>
      </x:c>
      <x:c r="C697" s="155" t="n">
        <x:v>44806</x:v>
      </x:c>
      <x:c r="D697" s="159" t="n">
        <x:v>138714</x:v>
      </x:c>
      <x:c r="E697" s="159" t="n">
        <x:v>31139</x:v>
      </x:c>
      <x:c r="F697" s="159" t="n">
        <x:v>52170</x:v>
      </x:c>
      <x:c r="G697" s="159" t="n">
        <x:f>E697-F697</x:f>
        <x:v>-21031</x:v>
      </x:c>
      <x:c r="H697" s="154" t="n">
        <x:f>IFERROR(G697/D697,"")</x:f>
        <x:v>-0.15161411249044798</x:v>
      </x:c>
      <x:c r="I697" s="159" t="n">
        <x:v>8098</x:v>
      </x:c>
      <x:c r="J697" s="159" t="n">
        <x:v>25972</x:v>
      </x:c>
      <x:c r="K697" s="159" t="n">
        <x:f>I697-J697</x:f>
        <x:v>-17874</x:v>
      </x:c>
      <x:c r="L697" s="154" t="n">
        <x:f>IFERROR(K697/D697,"")</x:f>
        <x:v>-0.12885505428435487</x:v>
      </x:c>
    </x:row>
    <x:row r="698">
      <x:c r="A698" s="141" t="str">
        <x:v>Gold</x:v>
      </x:c>
      <x:c r="B698" s="155" t="n">
        <x:v>44810</x:v>
      </x:c>
      <x:c r="C698" s="155" t="n">
        <x:v>44813</x:v>
      </x:c>
      <x:c r="D698" s="159" t="n">
        <x:v>465908</x:v>
      </x:c>
      <x:c r="E698" s="159" t="n">
        <x:v>85842</x:v>
      </x:c>
      <x:c r="F698" s="159" t="n">
        <x:v>92804</x:v>
      </x:c>
      <x:c r="G698" s="159" t="n">
        <x:f>E698-F698</x:f>
        <x:v>-6962</x:v>
      </x:c>
      <x:c r="H698" s="154" t="n">
        <x:f>IFERROR(G698/D698,"")</x:f>
        <x:v>-0.01494286425646265</x:v>
      </x:c>
      <x:c r="I698" s="159" t="n">
        <x:v>15564</x:v>
      </x:c>
      <x:c r="J698" s="159" t="n">
        <x:v>41624</x:v>
      </x:c>
      <x:c r="K698" s="159" t="n">
        <x:f>I698-J698</x:f>
        <x:v>-26060</x:v>
      </x:c>
      <x:c r="L698" s="154" t="n">
        <x:f>IFERROR(K698/D698,"")</x:f>
        <x:v>-0.05593378950350713</x:v>
      </x:c>
    </x:row>
    <x:row r="699">
      <x:c r="A699" s="141" t="str">
        <x:v>Silver</x:v>
      </x:c>
      <x:c r="B699" s="155" t="n">
        <x:v>44810</x:v>
      </x:c>
      <x:c r="C699" s="155" t="n">
        <x:v>44813</x:v>
      </x:c>
      <x:c r="D699" s="159" t="n">
        <x:v>138300</x:v>
      </x:c>
      <x:c r="E699" s="159" t="n">
        <x:v>33857</x:v>
      </x:c>
      <x:c r="F699" s="159" t="n">
        <x:v>58600</x:v>
      </x:c>
      <x:c r="G699" s="159" t="n">
        <x:f>E699-F699</x:f>
        <x:v>-24743</x:v>
      </x:c>
      <x:c r="H699" s="154" t="n">
        <x:f>IFERROR(G699/D699,"")</x:f>
        <x:v>-0.17890817064352857</x:v>
      </x:c>
      <x:c r="I699" s="159" t="n">
        <x:v>8266</x:v>
      </x:c>
      <x:c r="J699" s="159" t="n">
        <x:v>24998</x:v>
      </x:c>
      <x:c r="K699" s="159" t="n">
        <x:f>I699-J699</x:f>
        <x:v>-16732</x:v>
      </x:c>
      <x:c r="L699" s="154" t="n">
        <x:f>IFERROR(K699/D699,"")</x:f>
        <x:v>-0.12098336948662328</x:v>
      </x:c>
    </x:row>
    <x:row r="700">
      <x:c r="A700" s="141" t="str">
        <x:v>Gold</x:v>
      </x:c>
      <x:c r="B700" s="155" t="n">
        <x:v>44817</x:v>
      </x:c>
      <x:c r="C700" s="155" t="n">
        <x:v>44820</x:v>
      </x:c>
      <x:c r="D700" s="159" t="n">
        <x:v>463674</x:v>
      </x:c>
      <x:c r="E700" s="159" t="n">
        <x:v>80300</x:v>
      </x:c>
      <x:c r="F700" s="159" t="n">
        <x:v>98637</x:v>
      </x:c>
      <x:c r="G700" s="159" t="n">
        <x:f>E700-F700</x:f>
        <x:v>-18337</x:v>
      </x:c>
      <x:c r="H700" s="154" t="n">
        <x:f>IFERROR(G700/D700,"")</x:f>
        <x:v>-0.039547181856217944</x:v>
      </x:c>
      <x:c r="I700" s="159" t="n">
        <x:v>12589</x:v>
      </x:c>
      <x:c r="J700" s="159" t="n">
        <x:v>39708</x:v>
      </x:c>
      <x:c r="K700" s="159" t="n">
        <x:f>I700-J700</x:f>
        <x:v>-27119</x:v>
      </x:c>
      <x:c r="L700" s="154" t="n">
        <x:f>IFERROR(K700/D700,"")</x:f>
        <x:v>-0.058487212998787945</x:v>
      </x:c>
    </x:row>
    <x:row r="701">
      <x:c r="A701" s="141" t="str">
        <x:v>Silver</x:v>
      </x:c>
      <x:c r="B701" s="155" t="n">
        <x:v>44817</x:v>
      </x:c>
      <x:c r="C701" s="155" t="n">
        <x:v>44820</x:v>
      </x:c>
      <x:c r="D701" s="159" t="n">
        <x:v>135530</x:v>
      </x:c>
      <x:c r="E701" s="159" t="n">
        <x:v>38352</x:v>
      </x:c>
      <x:c r="F701" s="159" t="n">
        <x:v>46637</x:v>
      </x:c>
      <x:c r="G701" s="159" t="n">
        <x:f>E701-F701</x:f>
        <x:v>-8285</x:v>
      </x:c>
      <x:c r="H701" s="154" t="n">
        <x:f>IFERROR(G701/D701,"")</x:f>
        <x:v>-0.061130377038294104</x:v>
      </x:c>
      <x:c r="I701" s="159" t="n">
        <x:v>5673</x:v>
      </x:c>
      <x:c r="J701" s="159" t="n">
        <x:v>26081</x:v>
      </x:c>
      <x:c r="K701" s="159" t="n">
        <x:f>I701-J701</x:f>
        <x:v>-20408</x:v>
      </x:c>
      <x:c r="L701" s="154" t="n">
        <x:f>IFERROR(K701/D701,"")</x:f>
        <x:v>-0.15057920755552276</x:v>
      </x:c>
    </x:row>
    <x:row r="702">
      <x:c r="A702" s="141" t="str">
        <x:v>Gold</x:v>
      </x:c>
      <x:c r="B702" s="155" t="n">
        <x:v>44824</x:v>
      </x:c>
      <x:c r="C702" s="155" t="n">
        <x:v>44827</x:v>
      </x:c>
      <x:c r="D702" s="159" t="n">
        <x:v>469395</x:v>
      </x:c>
      <x:c r="E702" s="159" t="n">
        <x:v>78544</x:v>
      </x:c>
      <x:c r="F702" s="159" t="n">
        <x:v>115239</x:v>
      </x:c>
      <x:c r="G702" s="159" t="n">
        <x:f>E702-F702</x:f>
        <x:v>-36695</x:v>
      </x:c>
      <x:c r="H702" s="154" t="n">
        <x:f>IFERROR(G702/D702,"")</x:f>
        <x:v>-0.07817509773218717</x:v>
      </x:c>
      <x:c r="I702" s="159" t="n">
        <x:v>16194</x:v>
      </x:c>
      <x:c r="J702" s="159" t="n">
        <x:v>33858</x:v>
      </x:c>
      <x:c r="K702" s="159" t="n">
        <x:f>I702-J702</x:f>
        <x:v>-17664</x:v>
      </x:c>
      <x:c r="L702" s="154" t="n">
        <x:f>IFERROR(K702/D702,"")</x:f>
        <x:v>-0.0376314191672259</x:v>
      </x:c>
    </x:row>
    <x:row r="703">
      <x:c r="A703" s="141" t="str">
        <x:v>Silver</x:v>
      </x:c>
      <x:c r="B703" s="155" t="n">
        <x:v>44824</x:v>
      </x:c>
      <x:c r="C703" s="155" t="n">
        <x:v>44827</x:v>
      </x:c>
      <x:c r="D703" s="159" t="n">
        <x:v>132107</x:v>
      </x:c>
      <x:c r="E703" s="159" t="n">
        <x:v>36594</x:v>
      </x:c>
      <x:c r="F703" s="159" t="n">
        <x:v>44615</x:v>
      </x:c>
      <x:c r="G703" s="159" t="n">
        <x:f>E703-F703</x:f>
        <x:v>-8021</x:v>
      </x:c>
      <x:c r="H703" s="154" t="n">
        <x:f>IFERROR(G703/D703,"")</x:f>
        <x:v>-0.06071593481041883</x:v>
      </x:c>
      <x:c r="I703" s="159" t="n">
        <x:v>4597</x:v>
      </x:c>
      <x:c r="J703" s="159" t="n">
        <x:v>27754</x:v>
      </x:c>
      <x:c r="K703" s="159" t="n">
        <x:f>I703-J703</x:f>
        <x:v>-23157</x:v>
      </x:c>
      <x:c r="L703" s="154" t="n">
        <x:f>IFERROR(K703/D703,"")</x:f>
        <x:v>-0.17528972726653394</x:v>
      </x:c>
    </x:row>
    <x:row r="704">
      <x:c r="A704" s="141" t="str">
        <x:v>Gold</x:v>
      </x:c>
      <x:c r="B704" s="155" t="n">
        <x:v>44831</x:v>
      </x:c>
      <x:c r="C704" s="155" t="n">
        <x:v>44834</x:v>
      </x:c>
      <x:c r="D704" s="159" t="n">
        <x:v>457061</x:v>
      </x:c>
      <x:c r="E704" s="159" t="n">
        <x:v>74171</x:v>
      </x:c>
      <x:c r="F704" s="159" t="n">
        <x:v>117265</x:v>
      </x:c>
      <x:c r="G704" s="159" t="n">
        <x:f>E704-F704</x:f>
        <x:v>-43094</x:v>
      </x:c>
      <x:c r="H704" s="154" t="n">
        <x:f>IFERROR(G704/D704,"")</x:f>
        <x:v>-0.09428500790922875</x:v>
      </x:c>
      <x:c r="I704" s="159" t="n">
        <x:v>15381</x:v>
      </x:c>
      <x:c r="J704" s="159" t="n">
        <x:v>28004</x:v>
      </x:c>
      <x:c r="K704" s="159" t="n">
        <x:f>I704-J704</x:f>
        <x:v>-12623</x:v>
      </x:c>
      <x:c r="L704" s="154" t="n">
        <x:f>IFERROR(K704/D704,"")</x:f>
        <x:v>-0.027617757804756914</x:v>
      </x:c>
    </x:row>
    <x:row r="705">
      <x:c r="A705" s="141" t="str">
        <x:v>Silver</x:v>
      </x:c>
      <x:c r="B705" s="155" t="n">
        <x:v>44831</x:v>
      </x:c>
      <x:c r="C705" s="155" t="n">
        <x:v>44834</x:v>
      </x:c>
      <x:c r="D705" s="159" t="n">
        <x:v>129000</x:v>
      </x:c>
      <x:c r="E705" s="159" t="n">
        <x:v>34429</x:v>
      </x:c>
      <x:c r="F705" s="159" t="n">
        <x:v>42522</x:v>
      </x:c>
      <x:c r="G705" s="159" t="n">
        <x:f>E705-F705</x:f>
        <x:v>-8093</x:v>
      </x:c>
      <x:c r="H705" s="154" t="n">
        <x:f>IFERROR(G705/D705,"")</x:f>
        <x:v>-0.06273643410852713</x:v>
      </x:c>
      <x:c r="I705" s="159" t="n">
        <x:v>4221</x:v>
      </x:c>
      <x:c r="J705" s="159" t="n">
        <x:v>27760</x:v>
      </x:c>
      <x:c r="K705" s="159" t="n">
        <x:f>I705-J705</x:f>
        <x:v>-23539</x:v>
      </x:c>
      <x:c r="L705" s="154" t="n">
        <x:f>IFERROR(K705/D705,"")</x:f>
        <x:v>-0.18247286821705427</x:v>
      </x:c>
    </x:row>
    <x:row r="706">
      <x:c r="A706" s="141" t="str">
        <x:v>Gold</x:v>
      </x:c>
      <x:c r="B706" s="155" t="n">
        <x:v>44838</x:v>
      </x:c>
      <x:c r="C706" s="155" t="n">
        <x:v>44841</x:v>
      </x:c>
      <x:c r="D706" s="159" t="n">
        <x:v>437065</x:v>
      </x:c>
      <x:c r="E706" s="159" t="n">
        <x:v>82806</x:v>
      </x:c>
      <x:c r="F706" s="159" t="n">
        <x:v>89681</x:v>
      </x:c>
      <x:c r="G706" s="159" t="n">
        <x:f>E706-F706</x:f>
        <x:v>-6875</x:v>
      </x:c>
      <x:c r="H706" s="154" t="n">
        <x:f>IFERROR(G706/D706,"")</x:f>
        <x:v>-0.015729925754750438</x:v>
      </x:c>
      <x:c r="I706" s="159" t="n">
        <x:v>12114</x:v>
      </x:c>
      <x:c r="J706" s="159" t="n">
        <x:v>31266</x:v>
      </x:c>
      <x:c r="K706" s="159" t="n">
        <x:f>I706-J706</x:f>
        <x:v>-19152</x:v>
      </x:c>
      <x:c r="L706" s="154" t="n">
        <x:f>IFERROR(K706/D706,"")</x:f>
        <x:v>-0.04381956917163351</x:v>
      </x:c>
    </x:row>
    <x:row r="707">
      <x:c r="A707" s="141" t="str">
        <x:v>Silver</x:v>
      </x:c>
      <x:c r="B707" s="155" t="n">
        <x:v>44838</x:v>
      </x:c>
      <x:c r="C707" s="155" t="n">
        <x:v>44841</x:v>
      </x:c>
      <x:c r="D707" s="159" t="n">
        <x:v>129524</x:v>
      </x:c>
      <x:c r="E707" s="159" t="n">
        <x:v>37885</x:v>
      </x:c>
      <x:c r="F707" s="159" t="n">
        <x:v>32248</x:v>
      </x:c>
      <x:c r="G707" s="159" t="n">
        <x:f>E707-F707</x:f>
        <x:v>5637</x:v>
      </x:c>
      <x:c r="H707" s="154" t="n">
        <x:f>IFERROR(G707/D707,"")</x:f>
        <x:v>0.04352089188104135</x:v>
      </x:c>
      <x:c r="I707" s="159" t="n">
        <x:v>2928</x:v>
      </x:c>
      <x:c r="J707" s="159" t="n">
        <x:v>31734</x:v>
      </x:c>
      <x:c r="K707" s="159" t="n">
        <x:f>I707-J707</x:f>
        <x:v>-28806</x:v>
      </x:c>
      <x:c r="L707" s="154" t="n">
        <x:f>IFERROR(K707/D707,"")</x:f>
        <x:v>-0.2223989376486211</x:v>
      </x:c>
    </x:row>
    <x:row r="708">
      <x:c r="A708" s="141" t="str">
        <x:v>Gold</x:v>
      </x:c>
      <x:c r="B708" s="155" t="n">
        <x:v>44845</x:v>
      </x:c>
      <x:c r="C708" s="155" t="n">
        <x:v>44848</x:v>
      </x:c>
      <x:c r="D708" s="159" t="n">
        <x:v>431395</x:v>
      </x:c>
      <x:c r="E708" s="159" t="n">
        <x:v>78365</x:v>
      </x:c>
      <x:c r="F708" s="159" t="n">
        <x:v>83945</x:v>
      </x:c>
      <x:c r="G708" s="159" t="n">
        <x:f>E708-F708</x:f>
        <x:v>-5580</x:v>
      </x:c>
      <x:c r="H708" s="154" t="n">
        <x:f>IFERROR(G708/D708,"")</x:f>
        <x:v>-0.012934781348879798</x:v>
      </x:c>
      <x:c r="I708" s="159" t="n">
        <x:v>11578</x:v>
      </x:c>
      <x:c r="J708" s="159" t="n">
        <x:v>34246</x:v>
      </x:c>
      <x:c r="K708" s="159" t="n">
        <x:f>I708-J708</x:f>
        <x:v>-22668</x:v>
      </x:c>
      <x:c r="L708" s="154" t="n">
        <x:f>IFERROR(K708/D708,"")</x:f>
        <x:v>-0.05254581068394395</x:v>
      </x:c>
    </x:row>
    <x:row r="709">
      <x:c r="A709" s="141" t="str">
        <x:v>Silver</x:v>
      </x:c>
      <x:c r="B709" s="155" t="n">
        <x:v>44845</x:v>
      </x:c>
      <x:c r="C709" s="155" t="n">
        <x:v>44848</x:v>
      </x:c>
      <x:c r="D709" s="159" t="n">
        <x:v>125623</x:v>
      </x:c>
      <x:c r="E709" s="159" t="n">
        <x:v>33493</x:v>
      </x:c>
      <x:c r="F709" s="159" t="n">
        <x:v>33378</x:v>
      </x:c>
      <x:c r="G709" s="159" t="n">
        <x:f>E709-F709</x:f>
        <x:v>115</x:v>
      </x:c>
      <x:c r="H709" s="154" t="n">
        <x:f>IFERROR(G709/D709,"")</x:f>
        <x:v>0.0009154374597008509</x:v>
      </x:c>
      <x:c r="I709" s="159" t="n">
        <x:v>3773</x:v>
      </x:c>
      <x:c r="J709" s="159" t="n">
        <x:v>30804</x:v>
      </x:c>
      <x:c r="K709" s="159" t="n">
        <x:f>I709-J709</x:f>
        <x:v>-27031</x:v>
      </x:c>
      <x:c r="L709" s="154" t="n">
        <x:f>IFERROR(K709/D709,"")</x:f>
        <x:v>-0.21517556498411916</x:v>
      </x:c>
    </x:row>
    <x:row r="710">
      <x:c r="A710" s="141" t="str">
        <x:v>Gold</x:v>
      </x:c>
      <x:c r="B710" s="155" t="n">
        <x:v>44852</x:v>
      </x:c>
      <x:c r="C710" s="155" t="n">
        <x:v>44855</x:v>
      </x:c>
      <x:c r="D710" s="159" t="n">
        <x:v>434701</x:v>
      </x:c>
      <x:c r="E710" s="159" t="n">
        <x:v>73344</x:v>
      </x:c>
      <x:c r="F710" s="159" t="n">
        <x:v>99042</x:v>
      </x:c>
      <x:c r="G710" s="159" t="n">
        <x:f>E710-F710</x:f>
        <x:v>-25698</x:v>
      </x:c>
      <x:c r="H710" s="154" t="n">
        <x:f>IFERROR(G710/D710,"")</x:f>
        <x:v>-0.05911649616633042</x:v>
      </x:c>
      <x:c r="I710" s="159" t="n">
        <x:v>14351</x:v>
      </x:c>
      <x:c r="J710" s="159" t="n">
        <x:v>29916</x:v>
      </x:c>
      <x:c r="K710" s="159" t="n">
        <x:f>I710-J710</x:f>
        <x:v>-15565</x:v>
      </x:c>
      <x:c r="L710" s="154" t="n">
        <x:f>IFERROR(K710/D710,"")</x:f>
        <x:v>-0.03580622082764935</x:v>
      </x:c>
    </x:row>
    <x:row r="711">
      <x:c r="A711" s="141" t="str">
        <x:v>Silver</x:v>
      </x:c>
      <x:c r="B711" s="155" t="n">
        <x:v>44852</x:v>
      </x:c>
      <x:c r="C711" s="155" t="n">
        <x:v>44855</x:v>
      </x:c>
      <x:c r="D711" s="159" t="n">
        <x:v>136055</x:v>
      </x:c>
      <x:c r="E711" s="159" t="n">
        <x:v>36365</x:v>
      </x:c>
      <x:c r="F711" s="159" t="n">
        <x:v>44077</x:v>
      </x:c>
      <x:c r="G711" s="159" t="n">
        <x:f>E711-F711</x:f>
        <x:v>-7712</x:v>
      </x:c>
      <x:c r="H711" s="154" t="n">
        <x:f>IFERROR(G711/D711,"")</x:f>
        <x:v>-0.05668295909742384</x:v>
      </x:c>
      <x:c r="I711" s="159" t="n">
        <x:v>6748</x:v>
      </x:c>
      <x:c r="J711" s="159" t="n">
        <x:v>28136</x:v>
      </x:c>
      <x:c r="K711" s="159" t="n">
        <x:f>I711-J711</x:f>
        <x:v>-21388</x:v>
      </x:c>
      <x:c r="L711" s="154" t="n">
        <x:f>IFERROR(K711/D711,"")</x:f>
        <x:v>-0.15720113189518944</x:v>
      </x:c>
    </x:row>
    <x:row r="712">
      <x:c r="A712" s="141" t="str">
        <x:v>Gold</x:v>
      </x:c>
      <x:c r="B712" s="155" t="n">
        <x:v>44859</x:v>
      </x:c>
      <x:c r="C712" s="155" t="n">
        <x:v>44862</x:v>
      </x:c>
      <x:c r="D712" s="159" t="n">
        <x:v>456072</x:v>
      </x:c>
      <x:c r="E712" s="159" t="n">
        <x:v>72016</x:v>
      </x:c>
      <x:c r="F712" s="159" t="n">
        <x:v>110804</x:v>
      </x:c>
      <x:c r="G712" s="159" t="n">
        <x:f>E712-F712</x:f>
        <x:v>-38788</x:v>
      </x:c>
      <x:c r="H712" s="154" t="n">
        <x:f>IFERROR(G712/D712,"")</x:f>
        <x:v>-0.08504797488115912</x:v>
      </x:c>
      <x:c r="I712" s="159" t="n">
        <x:v>18036</x:v>
      </x:c>
      <x:c r="J712" s="159" t="n">
        <x:v>28462</x:v>
      </x:c>
      <x:c r="K712" s="159" t="n">
        <x:f>I712-J712</x:f>
        <x:v>-10426</x:v>
      </x:c>
      <x:c r="L712" s="154" t="n">
        <x:f>IFERROR(K712/D712,"")</x:f>
        <x:v>-0.02286042554684348</x:v>
      </x:c>
    </x:row>
    <x:row r="713">
      <x:c r="A713" s="141" t="str">
        <x:v>Silver</x:v>
      </x:c>
      <x:c r="B713" s="155" t="n">
        <x:v>44859</x:v>
      </x:c>
      <x:c r="C713" s="155" t="n">
        <x:v>44862</x:v>
      </x:c>
      <x:c r="D713" s="159" t="n">
        <x:v>139085</x:v>
      </x:c>
      <x:c r="E713" s="159" t="n">
        <x:v>35428</x:v>
      </x:c>
      <x:c r="F713" s="159" t="n">
        <x:v>43146</x:v>
      </x:c>
      <x:c r="G713" s="159" t="n">
        <x:f>E713-F713</x:f>
        <x:v>-7718</x:v>
      </x:c>
      <x:c r="H713" s="154" t="n">
        <x:f>IFERROR(G713/D713,"")</x:f>
        <x:v>-0.05549124636013948</x:v>
      </x:c>
      <x:c r="I713" s="159" t="n">
        <x:v>5335</x:v>
      </x:c>
      <x:c r="J713" s="159" t="n">
        <x:v>28640</x:v>
      </x:c>
      <x:c r="K713" s="159" t="n">
        <x:f>I713-J713</x:f>
        <x:v>-23305</x:v>
      </x:c>
      <x:c r="L713" s="154" t="n">
        <x:f>IFERROR(K713/D713,"")</x:f>
        <x:v>-0.1675594061185606</x:v>
      </x:c>
    </x:row>
    <x:row r="714">
      <x:c r="A714" s="141" t="str">
        <x:v>Gold</x:v>
      </x:c>
      <x:c r="B714" s="155" t="n">
        <x:v>44866</x:v>
      </x:c>
      <x:c r="C714" s="155" t="n">
        <x:v>44869</x:v>
      </x:c>
      <x:c r="D714" s="159" t="n">
        <x:v>467276</x:v>
      </x:c>
      <x:c r="E714" s="159" t="n">
        <x:v>78213</x:v>
      </x:c>
      <x:c r="F714" s="159" t="n">
        <x:v>119614</x:v>
      </x:c>
      <x:c r="G714" s="159" t="n">
        <x:f>E714-F714</x:f>
        <x:v>-41401</x:v>
      </x:c>
      <x:c r="H714" s="154" t="n">
        <x:f>IFERROR(G714/D714,"")</x:f>
        <x:v>-0.08860074131776509</x:v>
      </x:c>
      <x:c r="I714" s="159" t="n">
        <x:v>17255</x:v>
      </x:c>
      <x:c r="J714" s="159" t="n">
        <x:v>26028</x:v>
      </x:c>
      <x:c r="K714" s="159" t="n">
        <x:f>I714-J714</x:f>
        <x:v>-8773</x:v>
      </x:c>
      <x:c r="L714" s="154" t="n">
        <x:f>IFERROR(K714/D714,"")</x:f>
        <x:v>-0.018774771227283233</x:v>
      </x:c>
    </x:row>
    <x:row r="715">
      <x:c r="A715" s="141" t="str">
        <x:v>Silver</x:v>
      </x:c>
      <x:c r="B715" s="155" t="n">
        <x:v>44866</x:v>
      </x:c>
      <x:c r="C715" s="155" t="n">
        <x:v>44869</x:v>
      </x:c>
      <x:c r="D715" s="159" t="n">
        <x:v>138875</x:v>
      </x:c>
      <x:c r="E715" s="159" t="n">
        <x:v>36025</x:v>
      </x:c>
      <x:c r="F715" s="159" t="n">
        <x:v>41460</x:v>
      </x:c>
      <x:c r="G715" s="159" t="n">
        <x:f>E715-F715</x:f>
        <x:v>-5435</x:v>
      </x:c>
      <x:c r="H715" s="154" t="n">
        <x:f>IFERROR(G715/D715,"")</x:f>
        <x:v>-0.03913591359135914</x:v>
      </x:c>
      <x:c r="I715" s="159" t="n">
        <x:v>4537</x:v>
      </x:c>
      <x:c r="J715" s="159" t="n">
        <x:v>30431</x:v>
      </x:c>
      <x:c r="K715" s="159" t="n">
        <x:f>I715-J715</x:f>
        <x:v>-25894</x:v>
      </x:c>
      <x:c r="L715" s="154" t="n">
        <x:f>IFERROR(K715/D715,"")</x:f>
        <x:v>-0.18645544554455445</x:v>
      </x:c>
    </x:row>
    <x:row r="716">
      <x:c r="A716" s="141" t="str">
        <x:v>Gold</x:v>
      </x:c>
      <x:c r="B716" s="155" t="n">
        <x:v>44873</x:v>
      </x:c>
      <x:c r="C716" s="155" t="n">
        <x:v>44876</x:v>
      </x:c>
      <x:c r="D716" s="159" t="n">
        <x:v>488471</x:v>
      </x:c>
      <x:c r="E716" s="159" t="n">
        <x:v>88059</x:v>
      </x:c>
      <x:c r="F716" s="159" t="n">
        <x:v>104405</x:v>
      </x:c>
      <x:c r="G716" s="159" t="n">
        <x:f>E716-F716</x:f>
        <x:v>-16346</x:v>
      </x:c>
      <x:c r="H716" s="154" t="n">
        <x:f>IFERROR(G716/D716,"")</x:f>
        <x:v>-0.03346360377586387</x:v>
      </x:c>
      <x:c r="I716" s="159" t="n">
        <x:v>16738</x:v>
      </x:c>
      <x:c r="J716" s="159" t="n">
        <x:v>35324</x:v>
      </x:c>
      <x:c r="K716" s="159" t="n">
        <x:f>I716-J716</x:f>
        <x:v>-18586</x:v>
      </x:c>
      <x:c r="L716" s="154" t="n">
        <x:f>IFERROR(K716/D716,"")</x:f>
        <x:v>-0.038049341721412326</x:v>
      </x:c>
    </x:row>
    <x:row r="717">
      <x:c r="A717" s="141" t="str">
        <x:v>Silver</x:v>
      </x:c>
      <x:c r="B717" s="155" t="n">
        <x:v>44873</x:v>
      </x:c>
      <x:c r="C717" s="155" t="n">
        <x:v>44876</x:v>
      </x:c>
      <x:c r="D717" s="159" t="n">
        <x:v>140437</x:v>
      </x:c>
      <x:c r="E717" s="159" t="n">
        <x:v>38876</x:v>
      </x:c>
      <x:c r="F717" s="159" t="n">
        <x:v>29484</x:v>
      </x:c>
      <x:c r="G717" s="159" t="n">
        <x:f>E717-F717</x:f>
        <x:v>9392</x:v>
      </x:c>
      <x:c r="H717" s="154" t="n">
        <x:f>IFERROR(G717/D717,"")</x:f>
        <x:v>0.06687696262380996</x:v>
      </x:c>
      <x:c r="I717" s="159" t="n">
        <x:v>3855</x:v>
      </x:c>
      <x:c r="J717" s="159" t="n">
        <x:v>34876</x:v>
      </x:c>
      <x:c r="K717" s="159" t="n">
        <x:f>I717-J717</x:f>
        <x:v>-31021</x:v>
      </x:c>
      <x:c r="L717" s="154" t="n">
        <x:f>IFERROR(K717/D717,"")</x:f>
        <x:v>-0.22088908193709636</x:v>
      </x:c>
    </x:row>
    <x:row r="718">
      <x:c r="A718" s="141" t="str">
        <x:v>Gold</x:v>
      </x:c>
      <x:c r="B718" s="155" t="n">
        <x:v>44880</x:v>
      </x:c>
      <x:c r="C718" s="155" t="n">
        <x:v>44883</x:v>
      </x:c>
      <x:c r="D718" s="159" t="n">
        <x:v>495171</x:v>
      </x:c>
      <x:c r="E718" s="159" t="n">
        <x:v>95065</x:v>
      </x:c>
      <x:c r="F718" s="159" t="n">
        <x:v>69608</x:v>
      </x:c>
      <x:c r="G718" s="159" t="n">
        <x:f>E718-F718</x:f>
        <x:v>25457</x:v>
      </x:c>
      <x:c r="H718" s="154" t="n">
        <x:f>IFERROR(G718/D718,"")</x:f>
        <x:v>0.05141052282948719</x:v>
      </x:c>
      <x:c r="I718" s="159" t="n">
        <x:v>14602</x:v>
      </x:c>
      <x:c r="J718" s="159" t="n">
        <x:v>51584</x:v>
      </x:c>
      <x:c r="K718" s="159" t="n">
        <x:f>I718-J718</x:f>
        <x:v>-36982</x:v>
      </x:c>
      <x:c r="L718" s="154" t="n">
        <x:f>IFERROR(K718/D718,"")</x:f>
        <x:v>-0.07468531073104039</x:v>
      </x:c>
    </x:row>
    <x:row r="719">
      <x:c r="A719" s="141" t="str">
        <x:v>Silver</x:v>
      </x:c>
      <x:c r="B719" s="155" t="n">
        <x:v>44880</x:v>
      </x:c>
      <x:c r="C719" s="155" t="n">
        <x:v>44883</x:v>
      </x:c>
      <x:c r="D719" s="159" t="n">
        <x:v>141623</x:v>
      </x:c>
      <x:c r="E719" s="159" t="n">
        <x:v>38106</x:v>
      </x:c>
      <x:c r="F719" s="159" t="n">
        <x:v>24997</x:v>
      </x:c>
      <x:c r="G719" s="159" t="n">
        <x:f>E719-F719</x:f>
        <x:v>13109</x:v>
      </x:c>
      <x:c r="H719" s="154" t="n">
        <x:f>IFERROR(G719/D719,"")</x:f>
        <x:v>0.09256264872231205</x:v>
      </x:c>
      <x:c r="I719" s="159" t="n">
        <x:v>3258</x:v>
      </x:c>
      <x:c r="J719" s="159" t="n">
        <x:v>34421</x:v>
      </x:c>
      <x:c r="K719" s="159" t="n">
        <x:f>I719-J719</x:f>
        <x:v>-31163</x:v>
      </x:c>
      <x:c r="L719" s="154" t="n">
        <x:f>IFERROR(K719/D719,"")</x:f>
        <x:v>-0.22004194233987417</x:v>
      </x:c>
    </x:row>
    <x:row r="720">
      <x:c r="A720" s="141" t="str">
        <x:v>Gold</x:v>
      </x:c>
      <x:c r="B720" s="155" t="n">
        <x:v>44887</x:v>
      </x:c>
      <x:c r="C720" s="155" t="n">
        <x:v>44890</x:v>
      </x:c>
      <x:c r="D720" s="159" t="n">
        <x:v>449542</x:v>
      </x:c>
      <x:c r="E720" s="159" t="n">
        <x:v>92161</x:v>
      </x:c>
      <x:c r="F720" s="159" t="n">
        <x:v>72730</x:v>
      </x:c>
      <x:c r="G720" s="159" t="n">
        <x:f>E720-F720</x:f>
        <x:v>19431</x:v>
      </x:c>
      <x:c r="H720" s="154" t="n">
        <x:f>IFERROR(G720/D720,"")</x:f>
        <x:v>0.04322399241895084</x:v>
      </x:c>
      <x:c r="I720" s="159" t="n">
        <x:v>14133</x:v>
      </x:c>
      <x:c r="J720" s="159" t="n">
        <x:v>54527</x:v>
      </x:c>
      <x:c r="K720" s="159" t="n">
        <x:f>I720-J720</x:f>
        <x:v>-40394</x:v>
      </x:c>
      <x:c r="L720" s="154" t="n">
        <x:f>IFERROR(K720/D720,"")</x:f>
        <x:v>-0.08985589778040762</x:v>
      </x:c>
    </x:row>
    <x:row r="721">
      <x:c r="A721" s="141" t="str">
        <x:v>Silver</x:v>
      </x:c>
      <x:c r="B721" s="155" t="n">
        <x:v>44887</x:v>
      </x:c>
      <x:c r="C721" s="155" t="n">
        <x:v>44890</x:v>
      </x:c>
      <x:c r="D721" s="159" t="n">
        <x:v>128907</x:v>
      </x:c>
      <x:c r="E721" s="159" t="n">
        <x:v>37624</x:v>
      </x:c>
      <x:c r="F721" s="159" t="n">
        <x:v>25925</x:v>
      </x:c>
      <x:c r="G721" s="159" t="n">
        <x:f>E721-F721</x:f>
        <x:v>11699</x:v>
      </x:c>
      <x:c r="H721" s="154" t="n">
        <x:f>IFERROR(G721/D721,"")</x:f>
        <x:v>0.09075535075674711</x:v>
      </x:c>
      <x:c r="I721" s="159" t="n">
        <x:v>3021</x:v>
      </x:c>
      <x:c r="J721" s="159" t="n">
        <x:v>35409</x:v>
      </x:c>
      <x:c r="K721" s="159" t="n">
        <x:f>I721-J721</x:f>
        <x:v>-32388</x:v>
      </x:c>
      <x:c r="L721" s="154" t="n">
        <x:f>IFERROR(K721/D721,"")</x:f>
        <x:v>-0.2512509018129349</x:v>
      </x:c>
    </x:row>
    <x:row r="722">
      <x:c r="A722" s="141" t="str">
        <x:v>Gold</x:v>
      </x:c>
      <x:c r="B722" s="155" t="n">
        <x:v>44894</x:v>
      </x:c>
      <x:c r="C722" s="155" t="n">
        <x:v>44897</x:v>
      </x:c>
      <x:c r="D722" s="159" t="n">
        <x:v>433661</x:v>
      </x:c>
      <x:c r="E722" s="159" t="n">
        <x:v>88032</x:v>
      </x:c>
      <x:c r="F722" s="159" t="n">
        <x:v>73312</x:v>
      </x:c>
      <x:c r="G722" s="159" t="n">
        <x:f>E722-F722</x:f>
        <x:v>14720</x:v>
      </x:c>
      <x:c r="H722" s="154" t="n">
        <x:f>IFERROR(G722/D722,"")</x:f>
        <x:v>0.03394356421259924</x:v>
      </x:c>
      <x:c r="I722" s="159" t="n">
        <x:v>12158</x:v>
      </x:c>
      <x:c r="J722" s="159" t="n">
        <x:v>48784</x:v>
      </x:c>
      <x:c r="K722" s="159" t="n">
        <x:f>I722-J722</x:f>
        <x:v>-36626</x:v>
      </x:c>
      <x:c r="L722" s="154" t="n">
        <x:f>IFERROR(K722/D722,"")</x:f>
        <x:v>-0.08445767546539809</x:v>
      </x:c>
    </x:row>
    <x:row r="723">
      <x:c r="A723" s="141" t="str">
        <x:v>Silver</x:v>
      </x:c>
      <x:c r="B723" s="155" t="n">
        <x:v>44894</x:v>
      </x:c>
      <x:c r="C723" s="155" t="n">
        <x:v>44897</x:v>
      </x:c>
      <x:c r="D723" s="159" t="n">
        <x:v>121258</x:v>
      </x:c>
      <x:c r="E723" s="159" t="n">
        <x:v>36960</x:v>
      </x:c>
      <x:c r="F723" s="159" t="n">
        <x:v>23367</x:v>
      </x:c>
      <x:c r="G723" s="159" t="n">
        <x:f>E723-F723</x:f>
        <x:v>13593</x:v>
      </x:c>
      <x:c r="H723" s="154" t="n">
        <x:f>IFERROR(G723/D723,"")</x:f>
        <x:v>0.11209982021804747</x:v>
      </x:c>
      <x:c r="I723" s="159" t="n">
        <x:v>3137</x:v>
      </x:c>
      <x:c r="J723" s="159" t="n">
        <x:v>35082</x:v>
      </x:c>
      <x:c r="K723" s="159" t="n">
        <x:f>I723-J723</x:f>
        <x:v>-31945</x:v>
      </x:c>
      <x:c r="L723" s="154" t="n">
        <x:f>IFERROR(K723/D723,"")</x:f>
        <x:v>-0.2634465354863184</x:v>
      </x:c>
    </x:row>
    <x:row r="724">
      <x:c r="A724" s="141" t="str">
        <x:v>Gold</x:v>
      </x:c>
      <x:c r="B724" s="155" t="n">
        <x:v>44901</x:v>
      </x:c>
      <x:c r="C724" s="155" t="n">
        <x:v>44904</x:v>
      </x:c>
      <x:c r="D724" s="159" t="n">
        <x:v>422100</x:v>
      </x:c>
      <x:c r="E724" s="159" t="n">
        <x:v>93629</x:v>
      </x:c>
      <x:c r="F724" s="159" t="n">
        <x:v>70142</x:v>
      </x:c>
      <x:c r="G724" s="159" t="n">
        <x:f>E724-F724</x:f>
        <x:v>23487</x:v>
      </x:c>
      <x:c r="H724" s="154" t="n">
        <x:f>IFERROR(G724/D724,"")</x:f>
        <x:v>0.05564321250888415</x:v>
      </x:c>
      <x:c r="I724" s="159" t="n">
        <x:v>11712</x:v>
      </x:c>
      <x:c r="J724" s="159" t="n">
        <x:v>49665</x:v>
      </x:c>
      <x:c r="K724" s="159" t="n">
        <x:f>I724-J724</x:f>
        <x:v>-37953</x:v>
      </x:c>
      <x:c r="L724" s="154" t="n">
        <x:f>IFERROR(K724/D724,"")</x:f>
        <x:v>-0.08991471215351812</x:v>
      </x:c>
    </x:row>
    <x:row r="725">
      <x:c r="A725" s="141" t="str">
        <x:v>Silver</x:v>
      </x:c>
      <x:c r="B725" s="155" t="n">
        <x:v>44901</x:v>
      </x:c>
      <x:c r="C725" s="155" t="n">
        <x:v>44904</x:v>
      </x:c>
      <x:c r="D725" s="159" t="n">
        <x:v>122558</x:v>
      </x:c>
      <x:c r="E725" s="159" t="n">
        <x:v>37392</x:v>
      </x:c>
      <x:c r="F725" s="159" t="n">
        <x:v>24054</x:v>
      </x:c>
      <x:c r="G725" s="159" t="n">
        <x:f>E725-F725</x:f>
        <x:v>13338</x:v>
      </x:c>
      <x:c r="H725" s="154" t="n">
        <x:f>IFERROR(G725/D725,"")</x:f>
        <x:v>0.10883010492991074</x:v>
      </x:c>
      <x:c r="I725" s="159" t="n">
        <x:v>3444</x:v>
      </x:c>
      <x:c r="J725" s="159" t="n">
        <x:v>35563</x:v>
      </x:c>
      <x:c r="K725" s="159" t="n">
        <x:f>I725-J725</x:f>
        <x:v>-32119</x:v>
      </x:c>
      <x:c r="L725" s="154" t="n">
        <x:f>IFERROR(K725/D725,"")</x:f>
        <x:v>-0.2620718353759037</x:v>
      </x:c>
    </x:row>
    <x:row r="726">
      <x:c r="A726" s="141" t="str">
        <x:v>Gold</x:v>
      </x:c>
      <x:c r="B726" s="155" t="n">
        <x:v>44908</x:v>
      </x:c>
      <x:c r="C726" s="155" t="n">
        <x:v>44911</x:v>
      </x:c>
      <x:c r="D726" s="159" t="n">
        <x:v>437040</x:v>
      </x:c>
      <x:c r="E726" s="159" t="n">
        <x:v>103737</x:v>
      </x:c>
      <x:c r="F726" s="159" t="n">
        <x:v>66288</x:v>
      </x:c>
      <x:c r="G726" s="159" t="n">
        <x:f>E726-F726</x:f>
        <x:v>37449</x:v>
      </x:c>
      <x:c r="H726" s="154" t="n">
        <x:f>IFERROR(G726/D726,"")</x:f>
        <x:v>0.08568780889621087</x:v>
      </x:c>
      <x:c r="I726" s="159" t="n">
        <x:v>13758</x:v>
      </x:c>
      <x:c r="J726" s="159" t="n">
        <x:v>50601</x:v>
      </x:c>
      <x:c r="K726" s="159" t="n">
        <x:f>I726-J726</x:f>
        <x:v>-36843</x:v>
      </x:c>
      <x:c r="L726" s="154" t="n">
        <x:f>IFERROR(K726/D726,"")</x:f>
        <x:v>-0.08430120812740252</x:v>
      </x:c>
    </x:row>
    <x:row r="727">
      <x:c r="A727" s="141" t="str">
        <x:v>Silver</x:v>
      </x:c>
      <x:c r="B727" s="155" t="n">
        <x:v>44908</x:v>
      </x:c>
      <x:c r="C727" s="155" t="n">
        <x:v>44911</x:v>
      </x:c>
      <x:c r="D727" s="159" t="n">
        <x:v>125555</x:v>
      </x:c>
      <x:c r="E727" s="159" t="n">
        <x:v>40880</x:v>
      </x:c>
      <x:c r="F727" s="159" t="n">
        <x:v>21182</x:v>
      </x:c>
      <x:c r="G727" s="159" t="n">
        <x:f>E727-F727</x:f>
        <x:v>19698</x:v>
      </x:c>
      <x:c r="H727" s="154" t="n">
        <x:f>IFERROR(G727/D727,"")</x:f>
        <x:v>0.15688741985584007</x:v>
      </x:c>
      <x:c r="I727" s="159" t="n">
        <x:v>4548</x:v>
      </x:c>
      <x:c r="J727" s="159" t="n">
        <x:v>39590</x:v>
      </x:c>
      <x:c r="K727" s="159" t="n">
        <x:f>I727-J727</x:f>
        <x:v>-35042</x:v>
      </x:c>
      <x:c r="L727" s="154" t="n">
        <x:f>IFERROR(K727/D727,"")</x:f>
        <x:v>-0.27909681016287685</x:v>
      </x:c>
    </x:row>
    <x:row r="728">
      <x:c r="A728" s="141" t="str">
        <x:v>Gold</x:v>
      </x:c>
      <x:c r="B728" s="155" t="n">
        <x:v>44915</x:v>
      </x:c>
      <x:c r="C728" s="155" t="n">
        <x:v>44918</x:v>
      </x:c>
      <x:c r="D728" s="159" t="n">
        <x:v>436653</x:v>
      </x:c>
      <x:c r="E728" s="159" t="n">
        <x:v>104813</x:v>
      </x:c>
      <x:c r="F728" s="159" t="n">
        <x:v>65718</x:v>
      </x:c>
      <x:c r="G728" s="159" t="n">
        <x:f>E728-F728</x:f>
        <x:v>39095</x:v>
      </x:c>
      <x:c r="H728" s="154" t="n">
        <x:f>IFERROR(G728/D728,"")</x:f>
        <x:v>0.08953333653954056</x:v>
      </x:c>
      <x:c r="I728" s="159" t="n">
        <x:v>13860</x:v>
      </x:c>
      <x:c r="J728" s="159" t="n">
        <x:v>51557</x:v>
      </x:c>
      <x:c r="K728" s="159" t="n">
        <x:f>I728-J728</x:f>
        <x:v>-37697</x:v>
      </x:c>
      <x:c r="L728" s="154" t="n">
        <x:f>IFERROR(K728/D728,"")</x:f>
        <x:v>-0.08633170961839264</x:v>
      </x:c>
    </x:row>
    <x:row r="729">
      <x:c r="A729" s="141" t="str">
        <x:v>Silver</x:v>
      </x:c>
      <x:c r="B729" s="155" t="n">
        <x:v>44915</x:v>
      </x:c>
      <x:c r="C729" s="155" t="n">
        <x:v>44918</x:v>
      </x:c>
      <x:c r="D729" s="159" t="n">
        <x:v>129278</x:v>
      </x:c>
      <x:c r="E729" s="159" t="n">
        <x:v>45659</x:v>
      </x:c>
      <x:c r="F729" s="159" t="n">
        <x:v>17728</x:v>
      </x:c>
      <x:c r="G729" s="159" t="n">
        <x:f>E729-F729</x:f>
        <x:v>27931</x:v>
      </x:c>
      <x:c r="H729" s="154" t="n">
        <x:f>IFERROR(G729/D729,"")</x:f>
        <x:v>0.2160537755843995</x:v>
      </x:c>
      <x:c r="I729" s="159" t="n">
        <x:v>4507</x:v>
      </x:c>
      <x:c r="J729" s="159" t="n">
        <x:v>40870</x:v>
      </x:c>
      <x:c r="K729" s="159" t="n">
        <x:f>I729-J729</x:f>
        <x:v>-36363</x:v>
      </x:c>
      <x:c r="L729" s="154" t="n">
        <x:f>IFERROR(K729/D729,"")</x:f>
        <x:v>-0.28127755689289746</x:v>
      </x:c>
    </x:row>
    <x:row r="730">
      <x:c r="A730" s="141" t="str">
        <x:v>Gold</x:v>
      </x:c>
      <x:c r="B730" s="155" t="n">
        <x:v>44922</x:v>
      </x:c>
      <x:c r="C730" s="155" t="n">
        <x:v>44925</x:v>
      </x:c>
      <x:c r="D730" s="159" t="n">
        <x:v>440040</x:v>
      </x:c>
      <x:c r="E730" s="159" t="n">
        <x:v>106983</x:v>
      </x:c>
      <x:c r="F730" s="159" t="n">
        <x:v>56106</x:v>
      </x:c>
      <x:c r="G730" s="159" t="n">
        <x:f>E730-F730</x:f>
        <x:v>50877</x:v>
      </x:c>
      <x:c r="H730" s="154" t="n">
        <x:f>IFERROR(G730/D730,"")</x:f>
        <x:v>0.11561903463321516</x:v>
      </x:c>
      <x:c r="I730" s="159" t="n">
        <x:v>13950</x:v>
      </x:c>
      <x:c r="J730" s="159" t="n">
        <x:v>56342</x:v>
      </x:c>
      <x:c r="K730" s="159" t="n">
        <x:f>I730-J730</x:f>
        <x:v>-42392</x:v>
      </x:c>
      <x:c r="L730" s="154" t="n">
        <x:f>IFERROR(K730/D730,"")</x:f>
        <x:v>-0.09633669666393964</x:v>
      </x:c>
    </x:row>
    <x:row r="731">
      <x:c r="A731" s="141" t="str">
        <x:v>Silver</x:v>
      </x:c>
      <x:c r="B731" s="155" t="n">
        <x:v>44922</x:v>
      </x:c>
      <x:c r="C731" s="155" t="n">
        <x:v>44925</x:v>
      </x:c>
      <x:c r="D731" s="159" t="n">
        <x:v>128467</x:v>
      </x:c>
      <x:c r="E731" s="159" t="n">
        <x:v>45022</x:v>
      </x:c>
      <x:c r="F731" s="159" t="n">
        <x:v>16206</x:v>
      </x:c>
      <x:c r="G731" s="159" t="n">
        <x:f>E731-F731</x:f>
        <x:v>28816</x:v>
      </x:c>
      <x:c r="H731" s="154" t="n">
        <x:f>IFERROR(G731/D731,"")</x:f>
        <x:v>0.22430663127495779</x:v>
      </x:c>
      <x:c r="I731" s="159" t="n">
        <x:v>4702</x:v>
      </x:c>
      <x:c r="J731" s="159" t="n">
        <x:v>41386</x:v>
      </x:c>
      <x:c r="K731" s="159" t="n">
        <x:f>I731-J731</x:f>
        <x:v>-36684</x:v>
      </x:c>
      <x:c r="L731" s="154" t="n">
        <x:f>IFERROR(K731/D731,"")</x:f>
        <x:v>-0.28555193162446385</x:v>
      </x:c>
    </x:row>
    <x:row r="732">
      <x:c r="A732" s="141" t="str">
        <x:v>Gold</x:v>
      </x:c>
      <x:c r="B732" s="155" t="n">
        <x:v>44929</x:v>
      </x:c>
      <x:c r="C732" s="155" t="n">
        <x:v>44932</x:v>
      </x:c>
      <x:c r="D732" s="159" t="n">
        <x:v>449393</x:v>
      </x:c>
      <x:c r="E732" s="159" t="n">
        <x:v>109140</x:v>
      </x:c>
      <x:c r="F732" s="159" t="n">
        <x:v>54559</x:v>
      </x:c>
      <x:c r="G732" s="159" t="n">
        <x:f>E732-F732</x:f>
        <x:v>54581</x:v>
      </x:c>
      <x:c r="H732" s="154" t="n">
        <x:f>IFERROR(G732/D732,"")</x:f>
        <x:v>0.12145494033062375</x:v>
      </x:c>
      <x:c r="I732" s="159" t="n">
        <x:v>13217</x:v>
      </x:c>
      <x:c r="J732" s="159" t="n">
        <x:v>57119</x:v>
      </x:c>
      <x:c r="K732" s="159" t="n">
        <x:f>I732-J732</x:f>
        <x:v>-43902</x:v>
      </x:c>
      <x:c r="L732" s="154" t="n">
        <x:f>IFERROR(K732/D732,"")</x:f>
        <x:v>-0.09769177535030586</x:v>
      </x:c>
    </x:row>
    <x:row r="733">
      <x:c r="A733" s="141" t="str">
        <x:v>Silver</x:v>
      </x:c>
      <x:c r="B733" s="155" t="n">
        <x:v>44929</x:v>
      </x:c>
      <x:c r="C733" s="155" t="n">
        <x:v>44932</x:v>
      </x:c>
      <x:c r="D733" s="159" t="n">
        <x:v>131990</x:v>
      </x:c>
      <x:c r="E733" s="159" t="n">
        <x:v>46929</x:v>
      </x:c>
      <x:c r="F733" s="159" t="n">
        <x:v>19152</x:v>
      </x:c>
      <x:c r="G733" s="159" t="n">
        <x:f>E733-F733</x:f>
        <x:v>27777</x:v>
      </x:c>
      <x:c r="H733" s="154" t="n">
        <x:f>IFERROR(G733/D733,"")</x:f>
        <x:v>0.21044776119402986</x:v>
      </x:c>
      <x:c r="I733" s="159" t="n">
        <x:v>4990</x:v>
      </x:c>
      <x:c r="J733" s="159" t="n">
        <x:v>41490</x:v>
      </x:c>
      <x:c r="K733" s="159" t="n">
        <x:f>I733-J733</x:f>
        <x:v>-36500</x:v>
      </x:c>
      <x:c r="L733" s="154" t="n">
        <x:f>IFERROR(K733/D733,"")</x:f>
        <x:v>-0.2765361012197894</x:v>
      </x:c>
    </x:row>
    <x:row r="734">
      <x:c r="A734" s="141" t="str">
        <x:v>Gold</x:v>
      </x:c>
      <x:c r="B734" s="155" t="n">
        <x:v>44936</x:v>
      </x:c>
      <x:c r="C734" s="155" t="n">
        <x:v>44939</x:v>
      </x:c>
      <x:c r="D734" s="159" t="n">
        <x:v>481519</x:v>
      </x:c>
      <x:c r="E734" s="159" t="n">
        <x:v>116604</x:v>
      </x:c>
      <x:c r="F734" s="159" t="n">
        <x:v>54795</x:v>
      </x:c>
      <x:c r="G734" s="159" t="n">
        <x:f>E734-F734</x:f>
        <x:v>61809</x:v>
      </x:c>
      <x:c r="H734" s="154" t="n">
        <x:f>IFERROR(G734/D734,"")</x:f>
        <x:v>0.12836253605776718</x:v>
      </x:c>
      <x:c r="I734" s="159" t="n">
        <x:v>12243</x:v>
      </x:c>
      <x:c r="J734" s="159" t="n">
        <x:v>60946</x:v>
      </x:c>
      <x:c r="K734" s="159" t="n">
        <x:f>I734-J734</x:f>
        <x:v>-48703</x:v>
      </x:c>
      <x:c r="L734" s="154" t="n">
        <x:f>IFERROR(K734/D734,"")</x:f>
        <x:v>-0.1011445031244873</x:v>
      </x:c>
    </x:row>
    <x:row r="735">
      <x:c r="A735" s="141" t="str">
        <x:v>Silver</x:v>
      </x:c>
      <x:c r="B735" s="155" t="n">
        <x:v>44936</x:v>
      </x:c>
      <x:c r="C735" s="155" t="n">
        <x:v>44939</x:v>
      </x:c>
      <x:c r="D735" s="159" t="n">
        <x:v>129961</x:v>
      </x:c>
      <x:c r="E735" s="159" t="n">
        <x:v>44900</x:v>
      </x:c>
      <x:c r="F735" s="159" t="n">
        <x:v>21666</x:v>
      </x:c>
      <x:c r="G735" s="159" t="n">
        <x:f>E735-F735</x:f>
        <x:v>23234</x:v>
      </x:c>
      <x:c r="H735" s="154" t="n">
        <x:f>IFERROR(G735/D735,"")</x:f>
        <x:v>0.17877670993605774</x:v>
      </x:c>
      <x:c r="I735" s="159" t="n">
        <x:v>4858</x:v>
      </x:c>
      <x:c r="J735" s="159" t="n">
        <x:v>38596</x:v>
      </x:c>
      <x:c r="K735" s="159" t="n">
        <x:f>I735-J735</x:f>
        <x:v>-33738</x:v>
      </x:c>
      <x:c r="L735" s="154" t="n">
        <x:f>IFERROR(K735/D735,"")</x:f>
        <x:v>-0.25960095721024</x:v>
      </x:c>
    </x:row>
    <x:row r="736">
      <x:c r="A736" s="141" t="str">
        <x:v>Gold</x:v>
      </x:c>
      <x:c r="B736" s="155" t="n">
        <x:v>44943</x:v>
      </x:c>
      <x:c r="C736" s="155" t="n">
        <x:v>44946</x:v>
      </x:c>
      <x:c r="D736" s="159" t="n">
        <x:v>491818</x:v>
      </x:c>
      <x:c r="E736" s="159" t="n">
        <x:v>124222</x:v>
      </x:c>
      <x:c r="F736" s="159" t="n">
        <x:v>54845</x:v>
      </x:c>
      <x:c r="G736" s="159" t="n">
        <x:f>E736-F736</x:f>
        <x:v>69377</x:v>
      </x:c>
      <x:c r="H736" s="154" t="n">
        <x:f>IFERROR(G736/D736,"")</x:f>
        <x:v>0.14106234420049693</x:v>
      </x:c>
      <x:c r="I736" s="159" t="n">
        <x:v>14854</x:v>
      </x:c>
      <x:c r="J736" s="159" t="n">
        <x:v>58789</x:v>
      </x:c>
      <x:c r="K736" s="159" t="n">
        <x:f>I736-J736</x:f>
        <x:v>-43935</x:v>
      </x:c>
      <x:c r="L736" s="154" t="n">
        <x:f>IFERROR(K736/D736,"")</x:f>
        <x:v>-0.08933182600067505</x:v>
      </x:c>
    </x:row>
    <x:row r="737">
      <x:c r="A737" s="141" t="str">
        <x:v>Silver</x:v>
      </x:c>
      <x:c r="B737" s="155" t="n">
        <x:v>44943</x:v>
      </x:c>
      <x:c r="C737" s="155" t="n">
        <x:v>44946</x:v>
      </x:c>
      <x:c r="D737" s="159" t="n">
        <x:v>131862</x:v>
      </x:c>
      <x:c r="E737" s="159" t="n">
        <x:v>46115</x:v>
      </x:c>
      <x:c r="F737" s="159" t="n">
        <x:v>19647</x:v>
      </x:c>
      <x:c r="G737" s="159" t="n">
        <x:f>E737-F737</x:f>
        <x:v>26468</x:v>
      </x:c>
      <x:c r="H737" s="154" t="n">
        <x:f>IFERROR(G737/D737,"")</x:f>
        <x:v>0.2007250003791843</x:v>
      </x:c>
      <x:c r="I737" s="159" t="n">
        <x:v>4837</x:v>
      </x:c>
      <x:c r="J737" s="159" t="n">
        <x:v>41094</x:v>
      </x:c>
      <x:c r="K737" s="159" t="n">
        <x:f>I737-J737</x:f>
        <x:v>-36257</x:v>
      </x:c>
      <x:c r="L737" s="154" t="n">
        <x:f>IFERROR(K737/D737,"")</x:f>
        <x:v>-0.2749617023858276</x:v>
      </x:c>
    </x:row>
    <x:row r="738">
      <x:c r="A738" s="141" t="str">
        <x:v>Gold</x:v>
      </x:c>
      <x:c r="B738" s="155" t="n">
        <x:v>44950</x:v>
      </x:c>
      <x:c r="C738" s="155" t="n">
        <x:v>44953</x:v>
      </x:c>
      <x:c r="D738" s="159" t="n">
        <x:v>499927</x:v>
      </x:c>
      <x:c r="E738" s="159" t="n">
        <x:v>131501</x:v>
      </x:c>
      <x:c r="F738" s="159" t="n">
        <x:v>51622</x:v>
      </x:c>
      <x:c r="G738" s="159" t="n">
        <x:f>E738-F738</x:f>
        <x:v>79879</x:v>
      </x:c>
      <x:c r="H738" s="154" t="n">
        <x:f>IFERROR(G738/D738,"")</x:f>
        <x:v>0.15978132807389878</x:v>
      </x:c>
      <x:c r="I738" s="159" t="n">
        <x:v>12705</x:v>
      </x:c>
      <x:c r="J738" s="159" t="n">
        <x:v>54314</x:v>
      </x:c>
      <x:c r="K738" s="159" t="n">
        <x:f>I738-J738</x:f>
        <x:v>-41609</x:v>
      </x:c>
      <x:c r="L738" s="154" t="n">
        <x:f>IFERROR(K738/D738,"")</x:f>
        <x:v>-0.08323015160213391</x:v>
      </x:c>
    </x:row>
    <x:row r="739">
      <x:c r="A739" s="141" t="str">
        <x:v>Silver</x:v>
      </x:c>
      <x:c r="B739" s="155" t="n">
        <x:v>44950</x:v>
      </x:c>
      <x:c r="C739" s="155" t="n">
        <x:v>44953</x:v>
      </x:c>
      <x:c r="D739" s="159" t="n">
        <x:v>134922</x:v>
      </x:c>
      <x:c r="E739" s="159" t="n">
        <x:v>43507</x:v>
      </x:c>
      <x:c r="F739" s="159" t="n">
        <x:v>23686</x:v>
      </x:c>
      <x:c r="G739" s="159" t="n">
        <x:f>E739-F739</x:f>
        <x:v>19821</x:v>
      </x:c>
      <x:c r="H739" s="154" t="n">
        <x:f>IFERROR(G739/D739,"")</x:f>
        <x:v>0.14690710188108685</x:v>
      </x:c>
      <x:c r="I739" s="159" t="n">
        <x:v>4479</x:v>
      </x:c>
      <x:c r="J739" s="159" t="n">
        <x:v>38713</x:v>
      </x:c>
      <x:c r="K739" s="159" t="n">
        <x:f>I739-J739</x:f>
        <x:v>-34234</x:v>
      </x:c>
      <x:c r="L739" s="154" t="n">
        <x:f>IFERROR(K739/D739,"")</x:f>
        <x:v>-0.2537317857725204</x:v>
      </x:c>
    </x:row>
    <x:row r="740">
      <x:c r="A740" s="141" t="str">
        <x:v>Gold</x:v>
      </x:c>
      <x:c r="B740" s="155" t="n">
        <x:v>44957</x:v>
      </x:c>
      <x:c r="C740" s="155" t="n">
        <x:v>44960</x:v>
      </x:c>
      <x:c r="D740" s="159" t="n">
        <x:v>471642</x:v>
      </x:c>
      <x:c r="E740" s="159" t="n">
        <x:v>138125</x:v>
      </x:c>
      <x:c r="F740" s="159" t="n">
        <x:v>53678</x:v>
      </x:c>
      <x:c r="G740" s="159" t="n">
        <x:f>E740-F740</x:f>
        <x:v>84447</x:v>
      </x:c>
      <x:c r="H740" s="154" t="n">
        <x:f>IFERROR(G740/D740,"")</x:f>
        <x:v>0.17904893966186217</x:v>
      </x:c>
      <x:c r="I740" s="159" t="n">
        <x:v>14955</x:v>
      </x:c>
      <x:c r="J740" s="159" t="n">
        <x:v>51775</x:v>
      </x:c>
      <x:c r="K740" s="159" t="n">
        <x:f>I740-J740</x:f>
        <x:v>-36820</x:v>
      </x:c>
      <x:c r="L740" s="154" t="n">
        <x:f>IFERROR(K740/D740,"")</x:f>
        <x:v>-0.07806768693203743</x:v>
      </x:c>
    </x:row>
    <x:row r="741">
      <x:c r="A741" s="141" t="str">
        <x:v>Silver</x:v>
      </x:c>
      <x:c r="B741" s="155" t="n">
        <x:v>44957</x:v>
      </x:c>
      <x:c r="C741" s="155" t="n">
        <x:v>44960</x:v>
      </x:c>
      <x:c r="D741" s="159" t="n">
        <x:v>138263</x:v>
      </x:c>
      <x:c r="E741" s="159" t="n">
        <x:v>44661</x:v>
      </x:c>
      <x:c r="F741" s="159" t="n">
        <x:v>20874</x:v>
      </x:c>
      <x:c r="G741" s="159" t="n">
        <x:f>E741-F741</x:f>
        <x:v>23787</x:v>
      </x:c>
      <x:c r="H741" s="154" t="n">
        <x:f>IFERROR(G741/D741,"")</x:f>
        <x:v>0.17204168866580358</x:v>
      </x:c>
      <x:c r="I741" s="159" t="n">
        <x:v>5086</x:v>
      </x:c>
      <x:c r="J741" s="159" t="n">
        <x:v>39825</x:v>
      </x:c>
      <x:c r="K741" s="159" t="n">
        <x:f>I741-J741</x:f>
        <x:v>-34739</x:v>
      </x:c>
      <x:c r="L741" s="154" t="n">
        <x:f>IFERROR(K741/D741,"")</x:f>
        <x:v>-0.2512530467297831</x:v>
      </x:c>
    </x:row>
    <x:row r="742">
      <x:c r="A742" s="141" t="str">
        <x:v>Gold</x:v>
      </x:c>
      <x:c r="B742" s="155" t="n">
        <x:v>44964</x:v>
      </x:c>
      <x:c r="C742" s="155" t="n">
        <x:v>44967</x:v>
      </x:c>
      <x:c r="D742" s="159" t="n">
        <x:v>439755</x:v>
      </x:c>
      <x:c r="E742" s="159" t="n">
        <x:v>115521</x:v>
      </x:c>
      <x:c r="F742" s="159" t="n">
        <x:v>55945</x:v>
      </x:c>
      <x:c r="G742" s="159" t="n">
        <x:f>E742-F742</x:f>
        <x:v>59576</x:v>
      </x:c>
      <x:c r="H742" s="154" t="n">
        <x:f>IFERROR(G742/D742,"")</x:f>
        <x:v>0.135475435185501</x:v>
      </x:c>
      <x:c r="I742" s="159" t="n">
        <x:v>15251</x:v>
      </x:c>
      <x:c r="J742" s="159" t="n">
        <x:v>46233</x:v>
      </x:c>
      <x:c r="K742" s="159" t="n">
        <x:f>I742-J742</x:f>
        <x:v>-30982</x:v>
      </x:c>
      <x:c r="L742" s="154" t="n">
        <x:f>IFERROR(K742/D742,"")</x:f>
        <x:v>-0.07045286580027516</x:v>
      </x:c>
    </x:row>
    <x:row r="743">
      <x:c r="A743" s="141" t="str">
        <x:v>Silver</x:v>
      </x:c>
      <x:c r="B743" s="155" t="n">
        <x:v>44964</x:v>
      </x:c>
      <x:c r="C743" s="155" t="n">
        <x:v>44967</x:v>
      </x:c>
      <x:c r="D743" s="159" t="n">
        <x:v>133601</x:v>
      </x:c>
      <x:c r="E743" s="159" t="n">
        <x:v>35026</x:v>
      </x:c>
      <x:c r="F743" s="159" t="n">
        <x:v>29209</x:v>
      </x:c>
      <x:c r="G743" s="159" t="n">
        <x:f>E743-F743</x:f>
        <x:v>5817</x:v>
      </x:c>
      <x:c r="H743" s="154" t="n">
        <x:f>IFERROR(G743/D743,"")</x:f>
        <x:v>0.04354009326277498</x:v>
      </x:c>
      <x:c r="I743" s="159" t="n">
        <x:v>5292</x:v>
      </x:c>
      <x:c r="J743" s="159" t="n">
        <x:v>34026</x:v>
      </x:c>
      <x:c r="K743" s="159" t="n">
        <x:f>I743-J743</x:f>
        <x:v>-28734</x:v>
      </x:c>
      <x:c r="L743" s="154" t="n">
        <x:f>IFERROR(K743/D743,"")</x:f>
        <x:v>-0.21507324046975695</x:v>
      </x:c>
    </x:row>
    <x:row r="744">
      <x:c r="A744" s="141" t="str">
        <x:v>Gold</x:v>
      </x:c>
      <x:c r="B744" s="155" t="n">
        <x:v>44971</x:v>
      </x:c>
      <x:c r="C744" s="155" t="n">
        <x:v>44974</x:v>
      </x:c>
      <x:c r="D744" s="159" t="n">
        <x:v>426116</x:v>
      </x:c>
      <x:c r="E744" s="159" t="n">
        <x:v>106106</x:v>
      </x:c>
      <x:c r="F744" s="159" t="n">
        <x:v>64933</x:v>
      </x:c>
      <x:c r="G744" s="159" t="n">
        <x:f>E744-F744</x:f>
        <x:v>41173</x:v>
      </x:c>
      <x:c r="H744" s="154" t="n">
        <x:f>IFERROR(G744/D744,"")</x:f>
        <x:v>0.09662392400191497</x:v>
      </x:c>
      <x:c r="I744" s="159" t="n">
        <x:v>12225</x:v>
      </x:c>
      <x:c r="J744" s="159" t="n">
        <x:v>42118</x:v>
      </x:c>
      <x:c r="K744" s="159" t="n">
        <x:f>I744-J744</x:f>
        <x:v>-29893</x:v>
      </x:c>
      <x:c r="L744" s="154" t="n">
        <x:f>IFERROR(K744/D744,"")</x:f>
        <x:v>-0.07015225900928386</x:v>
      </x:c>
    </x:row>
    <x:row r="745">
      <x:c r="A745" s="141" t="str">
        <x:v>Silver</x:v>
      </x:c>
      <x:c r="B745" s="155" t="n">
        <x:v>44971</x:v>
      </x:c>
      <x:c r="C745" s="155" t="n">
        <x:v>44974</x:v>
      </x:c>
      <x:c r="D745" s="159" t="n">
        <x:v>132132</x:v>
      </x:c>
      <x:c r="E745" s="159" t="n">
        <x:v>33963</x:v>
      </x:c>
      <x:c r="F745" s="159" t="n">
        <x:v>28645</x:v>
      </x:c>
      <x:c r="G745" s="159" t="n">
        <x:f>E745-F745</x:f>
        <x:v>5318</x:v>
      </x:c>
      <x:c r="H745" s="154" t="n">
        <x:f>IFERROR(G745/D745,"")</x:f>
        <x:v>0.040247631156722065</x:v>
      </x:c>
      <x:c r="I745" s="159" t="n">
        <x:v>4670</x:v>
      </x:c>
      <x:c r="J745" s="159" t="n">
        <x:v>32829</x:v>
      </x:c>
      <x:c r="K745" s="159" t="n">
        <x:f>I745-J745</x:f>
        <x:v>-28159</x:v>
      </x:c>
      <x:c r="L745" s="154" t="n">
        <x:f>IFERROR(K745/D745,"")</x:f>
        <x:v>-0.21311264493082674</x:v>
      </x:c>
    </x:row>
    <x:row r="746">
      <x:c r="A746" s="141" t="str">
        <x:v>Gold</x:v>
      </x:c>
      <x:c r="B746" s="155" t="n">
        <x:v>44978</x:v>
      </x:c>
      <x:c r="C746" s="155" t="n">
        <x:v>44981</x:v>
      </x:c>
      <x:c r="D746" s="159" t="n">
        <x:v>422648</x:v>
      </x:c>
      <x:c r="E746" s="159" t="n">
        <x:v>104710</x:v>
      </x:c>
      <x:c r="F746" s="159" t="n">
        <x:v>68004</x:v>
      </x:c>
      <x:c r="G746" s="159" t="n">
        <x:f>E746-F746</x:f>
        <x:v>36706</x:v>
      </x:c>
      <x:c r="H746" s="154" t="n">
        <x:f>IFERROR(G746/D746,"")</x:f>
        <x:v>0.08684768412485094</x:v>
      </x:c>
      <x:c r="I746" s="159" t="n">
        <x:v>10696</x:v>
      </x:c>
      <x:c r="J746" s="159" t="n">
        <x:v>40479</x:v>
      </x:c>
      <x:c r="K746" s="159" t="n">
        <x:f>I746-J746</x:f>
        <x:v>-29783</x:v>
      </x:c>
      <x:c r="L746" s="154" t="n">
        <x:f>IFERROR(K746/D746,"")</x:f>
        <x:v>-0.07046762317578695</x:v>
      </x:c>
    </x:row>
    <x:row r="747">
      <x:c r="A747" s="141" t="str">
        <x:v>Silver</x:v>
      </x:c>
      <x:c r="B747" s="155" t="n">
        <x:v>44978</x:v>
      </x:c>
      <x:c r="C747" s="155" t="n">
        <x:v>44981</x:v>
      </x:c>
      <x:c r="D747" s="159" t="n">
        <x:v>123906</x:v>
      </x:c>
      <x:c r="E747" s="159" t="n">
        <x:v>32856</x:v>
      </x:c>
      <x:c r="F747" s="159" t="n">
        <x:v>27773</x:v>
      </x:c>
      <x:c r="G747" s="159" t="n">
        <x:f>E747-F747</x:f>
        <x:v>5083</x:v>
      </x:c>
      <x:c r="H747" s="154" t="n">
        <x:f>IFERROR(G747/D747,"")</x:f>
        <x:v>0.0410230335899795</x:v>
      </x:c>
      <x:c r="I747" s="159" t="n">
        <x:v>2195</x:v>
      </x:c>
      <x:c r="J747" s="159" t="n">
        <x:v>28664</x:v>
      </x:c>
      <x:c r="K747" s="159" t="n">
        <x:f>I747-J747</x:f>
        <x:v>-26469</x:v>
      </x:c>
      <x:c r="L747" s="154" t="n">
        <x:f>IFERROR(K747/D747,"")</x:f>
        <x:v>-0.21362161638661567</x:v>
      </x:c>
    </x:row>
    <x:row r="748">
      <x:c r="A748" s="141" t="str">
        <x:v>Gold</x:v>
      </x:c>
      <x:c r="B748" s="155" t="n">
        <x:v>44985</x:v>
      </x:c>
      <x:c r="C748" s="155" t="n">
        <x:v>44988</x:v>
      </x:c>
      <x:c r="D748" s="159" t="n">
        <x:v>426890</x:v>
      </x:c>
      <x:c r="E748" s="159" t="n">
        <x:v>99425</x:v>
      </x:c>
      <x:c r="F748" s="159" t="n">
        <x:v>72850</x:v>
      </x:c>
      <x:c r="G748" s="159" t="n">
        <x:f>E748-F748</x:f>
        <x:v>26575</x:v>
      </x:c>
      <x:c r="H748" s="154" t="n">
        <x:f>IFERROR(G748/D748,"")</x:f>
        <x:v>0.06225257091990911</x:v>
      </x:c>
      <x:c r="I748" s="159" t="n">
        <x:v>12772</x:v>
      </x:c>
      <x:c r="J748" s="159" t="n">
        <x:v>41995</x:v>
      </x:c>
      <x:c r="K748" s="159" t="n">
        <x:f>I748-J748</x:f>
        <x:v>-29223</x:v>
      </x:c>
      <x:c r="L748" s="154" t="n">
        <x:f>IFERROR(K748/D748,"")</x:f>
        <x:v>-0.06845557403546582</x:v>
      </x:c>
    </x:row>
    <x:row r="749">
      <x:c r="A749" s="141" t="str">
        <x:v>Silver</x:v>
      </x:c>
      <x:c r="B749" s="155" t="n">
        <x:v>44985</x:v>
      </x:c>
      <x:c r="C749" s="155" t="n">
        <x:v>44988</x:v>
      </x:c>
      <x:c r="D749" s="159" t="n">
        <x:v>123900</x:v>
      </x:c>
      <x:c r="E749" s="159" t="n">
        <x:v>30354</x:v>
      </x:c>
      <x:c r="F749" s="159" t="n">
        <x:v>37642</x:v>
      </x:c>
      <x:c r="G749" s="159" t="n">
        <x:f>E749-F749</x:f>
        <x:v>-7288</x:v>
      </x:c>
      <x:c r="H749" s="154" t="n">
        <x:f>IFERROR(G749/D749,"")</x:f>
        <x:v>-0.05882163034705407</x:v>
      </x:c>
      <x:c r="I749" s="159" t="n">
        <x:v>2616</x:v>
      </x:c>
      <x:c r="J749" s="159" t="n">
        <x:v>25385</x:v>
      </x:c>
      <x:c r="K749" s="159" t="n">
        <x:f>I749-J749</x:f>
        <x:v>-22769</x:v>
      </x:c>
      <x:c r="L749" s="154" t="n">
        <x:f>IFERROR(K749/D749,"")</x:f>
        <x:v>-0.18376916868442292</x:v>
      </x:c>
    </x:row>
    <x:row r="750">
      <x:c r="A750" s="141" t="str">
        <x:v>Gold</x:v>
      </x:c>
      <x:c r="B750" s="155" t="n">
        <x:v>44992</x:v>
      </x:c>
      <x:c r="C750" s="155" t="n">
        <x:v>44995</x:v>
      </x:c>
      <x:c r="D750" s="159" t="n">
        <x:v>458474</x:v>
      </x:c>
      <x:c r="E750" s="159" t="n">
        <x:v>103439</x:v>
      </x:c>
      <x:c r="F750" s="159" t="n">
        <x:v>89040</x:v>
      </x:c>
      <x:c r="G750" s="159" t="n">
        <x:f>E750-F750</x:f>
        <x:v>14399</x:v>
      </x:c>
      <x:c r="H750" s="154" t="n">
        <x:f>IFERROR(G750/D750,"")</x:f>
        <x:v>0.03140636110226534</x:v>
      </x:c>
      <x:c r="I750" s="159" t="n">
        <x:v>11617</x:v>
      </x:c>
      <x:c r="J750" s="159" t="n">
        <x:v>41216</x:v>
      </x:c>
      <x:c r="K750" s="159" t="n">
        <x:f>I750-J750</x:f>
        <x:v>-29599</x:v>
      </x:c>
      <x:c r="L750" s="154" t="n">
        <x:f>IFERROR(K750/D750,"")</x:f>
        <x:v>-0.06455982236724438</x:v>
      </x:c>
    </x:row>
    <x:row r="751">
      <x:c r="A751" s="141" t="str">
        <x:v>Silver</x:v>
      </x:c>
      <x:c r="B751" s="155" t="n">
        <x:v>44992</x:v>
      </x:c>
      <x:c r="C751" s="155" t="n">
        <x:v>44995</x:v>
      </x:c>
      <x:c r="D751" s="159" t="n">
        <x:v>127503</x:v>
      </x:c>
      <x:c r="E751" s="159" t="n">
        <x:v>27811</x:v>
      </x:c>
      <x:c r="F751" s="159" t="n">
        <x:v>45213</x:v>
      </x:c>
      <x:c r="G751" s="159" t="n">
        <x:f>E751-F751</x:f>
        <x:v>-17402</x:v>
      </x:c>
      <x:c r="H751" s="154" t="n">
        <x:f>IFERROR(G751/D751,"")</x:f>
        <x:v>-0.1364830631436123</x:v>
      </x:c>
      <x:c r="I751" s="159" t="n">
        <x:v>4089</x:v>
      </x:c>
      <x:c r="J751" s="159" t="n">
        <x:v>23724</x:v>
      </x:c>
      <x:c r="K751" s="159" t="n">
        <x:f>I751-J751</x:f>
        <x:v>-19635</x:v>
      </x:c>
      <x:c r="L751" s="154" t="n">
        <x:f>IFERROR(K751/D751,"")</x:f>
        <x:v>-0.15399637655584575</x:v>
      </x:c>
    </x:row>
    <x:row r="752">
      <x:c r="A752" s="141" t="str">
        <x:v>Gold</x:v>
      </x:c>
      <x:c r="B752" s="155" t="n">
        <x:v>44999</x:v>
      </x:c>
      <x:c r="C752" s="155" t="n">
        <x:v>45002</x:v>
      </x:c>
      <x:c r="D752" s="159" t="n">
        <x:v>459064</x:v>
      </x:c>
      <x:c r="E752" s="159" t="n">
        <x:v>118560</x:v>
      </x:c>
      <x:c r="F752" s="159" t="n">
        <x:v>58839</x:v>
      </x:c>
      <x:c r="G752" s="159" t="n">
        <x:f>E752-F752</x:f>
        <x:v>59721</x:v>
      </x:c>
      <x:c r="H752" s="154" t="n">
        <x:f>IFERROR(G752/D752,"")</x:f>
        <x:v>0.13009297178606904</x:v>
      </x:c>
      <x:c r="I752" s="159" t="n">
        <x:v>11602</x:v>
      </x:c>
      <x:c r="J752" s="159" t="n">
        <x:v>47669</x:v>
      </x:c>
      <x:c r="K752" s="159" t="n">
        <x:f>I752-J752</x:f>
        <x:v>-36067</x:v>
      </x:c>
      <x:c r="L752" s="154" t="n">
        <x:f>IFERROR(K752/D752,"")</x:f>
        <x:v>-0.07856638725755015</x:v>
      </x:c>
    </x:row>
    <x:row r="753">
      <x:c r="A753" s="141" t="str">
        <x:v>Silver</x:v>
      </x:c>
      <x:c r="B753" s="155" t="n">
        <x:v>44999</x:v>
      </x:c>
      <x:c r="C753" s="155" t="n">
        <x:v>45002</x:v>
      </x:c>
      <x:c r="D753" s="159" t="n">
        <x:v>121772</x:v>
      </x:c>
      <x:c r="E753" s="159" t="n">
        <x:v>30952</x:v>
      </x:c>
      <x:c r="F753" s="159" t="n">
        <x:v>35651</x:v>
      </x:c>
      <x:c r="G753" s="159" t="n">
        <x:f>E753-F753</x:f>
        <x:v>-4699</x:v>
      </x:c>
      <x:c r="H753" s="154" t="n">
        <x:f>IFERROR(G753/D753,"")</x:f>
        <x:v>-0.03858850967381664</x:v>
      </x:c>
      <x:c r="I753" s="159" t="n">
        <x:v>1897</x:v>
      </x:c>
      <x:c r="J753" s="159" t="n">
        <x:v>25395</x:v>
      </x:c>
      <x:c r="K753" s="159" t="n">
        <x:f>I753-J753</x:f>
        <x:v>-23498</x:v>
      </x:c>
      <x:c r="L753" s="154" t="n">
        <x:f>IFERROR(K753/D753,"")</x:f>
        <x:v>-0.1929671845744506</x:v>
      </x:c>
    </x:row>
    <x:row r="754">
      <x:c r="A754" s="141" t="str">
        <x:v>Gold</x:v>
      </x:c>
      <x:c r="B754" s="155" t="n">
        <x:v>45006</x:v>
      </x:c>
      <x:c r="C754" s="155" t="n">
        <x:v>45009</x:v>
      </x:c>
      <x:c r="D754" s="159" t="n">
        <x:v>469874</x:v>
      </x:c>
      <x:c r="E754" s="159" t="n">
        <x:v>125090</x:v>
      </x:c>
      <x:c r="F754" s="159" t="n">
        <x:v>43861</x:v>
      </x:c>
      <x:c r="G754" s="159" t="n">
        <x:f>E754-F754</x:f>
        <x:v>81229</x:v>
      </x:c>
      <x:c r="H754" s="154" t="n">
        <x:f>IFERROR(G754/D754,"")</x:f>
        <x:v>0.17287400452036078</x:v>
      </x:c>
      <x:c r="I754" s="159" t="n">
        <x:v>14502</x:v>
      </x:c>
      <x:c r="J754" s="159" t="n">
        <x:v>55788</x:v>
      </x:c>
      <x:c r="K754" s="159" t="n">
        <x:f>I754-J754</x:f>
        <x:v>-41286</x:v>
      </x:c>
      <x:c r="L754" s="154" t="n">
        <x:f>IFERROR(K754/D754,"")</x:f>
        <x:v>-0.08786610878661087</x:v>
      </x:c>
    </x:row>
    <x:row r="755">
      <x:c r="A755" s="141" t="str">
        <x:v>Silver</x:v>
      </x:c>
      <x:c r="B755" s="155" t="n">
        <x:v>45006</x:v>
      </x:c>
      <x:c r="C755" s="155" t="n">
        <x:v>45009</x:v>
      </x:c>
      <x:c r="D755" s="159" t="n">
        <x:v>119082</x:v>
      </x:c>
      <x:c r="E755" s="159" t="n">
        <x:v>30589</x:v>
      </x:c>
      <x:c r="F755" s="159" t="n">
        <x:v>30866</x:v>
      </x:c>
      <x:c r="G755" s="159" t="n">
        <x:f>E755-F755</x:f>
        <x:v>-277</x:v>
      </x:c>
      <x:c r="H755" s="154" t="n">
        <x:f>IFERROR(G755/D755,"")</x:f>
        <x:v>-0.0023261282141717474</x:v>
      </x:c>
      <x:c r="I755" s="159" t="n">
        <x:v>2487</x:v>
      </x:c>
      <x:c r="J755" s="159" t="n">
        <x:v>26878</x:v>
      </x:c>
      <x:c r="K755" s="159" t="n">
        <x:f>I755-J755</x:f>
        <x:v>-24391</x:v>
      </x:c>
      <x:c r="L755" s="154" t="n">
        <x:f>IFERROR(K755/D755,"")</x:f>
        <x:v>-0.2048252464688198</x:v>
      </x:c>
    </x:row>
    <x:row r="756">
      <x:c r="A756" s="141" t="str">
        <x:v>Gold</x:v>
      </x:c>
      <x:c r="B756" s="155" t="n">
        <x:v>45013</x:v>
      </x:c>
      <x:c r="C756" s="155" t="n">
        <x:v>45016</x:v>
      </x:c>
      <x:c r="D756" s="159" t="n">
        <x:v>478611</x:v>
      </x:c>
      <x:c r="E756" s="159" t="n">
        <x:v>130530</x:v>
      </x:c>
      <x:c r="F756" s="159" t="n">
        <x:v>31370</x:v>
      </x:c>
      <x:c r="G756" s="159" t="n">
        <x:f>E756-F756</x:f>
        <x:v>99160</x:v>
      </x:c>
      <x:c r="H756" s="154" t="n">
        <x:f>IFERROR(G756/D756,"")</x:f>
        <x:v>0.20718286875980702</x:v>
      </x:c>
      <x:c r="I756" s="159" t="n">
        <x:v>15709</x:v>
      </x:c>
      <x:c r="J756" s="159" t="n">
        <x:v>60038</x:v>
      </x:c>
      <x:c r="K756" s="159" t="n">
        <x:f>I756-J756</x:f>
        <x:v>-44329</x:v>
      </x:c>
      <x:c r="L756" s="154" t="n">
        <x:f>IFERROR(K756/D756,"")</x:f>
        <x:v>-0.0926201027556826</x:v>
      </x:c>
    </x:row>
    <x:row r="757">
      <x:c r="A757" s="141" t="str">
        <x:v>Silver</x:v>
      </x:c>
      <x:c r="B757" s="155" t="n">
        <x:v>45013</x:v>
      </x:c>
      <x:c r="C757" s="155" t="n">
        <x:v>45016</x:v>
      </x:c>
      <x:c r="D757" s="159" t="n">
        <x:v>117395</x:v>
      </x:c>
      <x:c r="E757" s="159" t="n">
        <x:v>31927</x:v>
      </x:c>
      <x:c r="F757" s="159" t="n">
        <x:v>21646</x:v>
      </x:c>
      <x:c r="G757" s="159" t="n">
        <x:f>E757-F757</x:f>
        <x:v>10281</x:v>
      </x:c>
      <x:c r="H757" s="154" t="n">
        <x:f>IFERROR(G757/D757,"")</x:f>
        <x:v>0.08757613186251544</x:v>
      </x:c>
      <x:c r="I757" s="159" t="n">
        <x:v>3024</x:v>
      </x:c>
      <x:c r="J757" s="159" t="n">
        <x:v>29748</x:v>
      </x:c>
      <x:c r="K757" s="159" t="n">
        <x:f>I757-J757</x:f>
        <x:v>-26724</x:v>
      </x:c>
      <x:c r="L757" s="154" t="n">
        <x:f>IFERROR(K757/D757,"")</x:f>
        <x:v>-0.22764172239022104</x:v>
      </x:c>
    </x:row>
    <x:row r="758">
      <x:c r="A758" s="141" t="str">
        <x:v>Gold</x:v>
      </x:c>
      <x:c r="B758" s="155" t="n">
        <x:v>45020</x:v>
      </x:c>
      <x:c r="C758" s="155" t="n">
        <x:v>45023</x:v>
      </x:c>
      <x:c r="D758" s="159" t="n">
        <x:v>476592</x:v>
      </x:c>
      <x:c r="E758" s="159" t="n">
        <x:v>142348</x:v>
      </x:c>
      <x:c r="F758" s="159" t="n">
        <x:v>32217</x:v>
      </x:c>
      <x:c r="G758" s="159" t="n">
        <x:f>E758-F758</x:f>
        <x:v>110131</x:v>
      </x:c>
      <x:c r="H758" s="154" t="n">
        <x:f>IFERROR(G758/D758,"")</x:f>
        <x:v>0.2310802531305603</x:v>
      </x:c>
      <x:c r="I758" s="159" t="n">
        <x:v>15763</x:v>
      </x:c>
      <x:c r="J758" s="159" t="n">
        <x:v>51702</x:v>
      </x:c>
      <x:c r="K758" s="159" t="n">
        <x:f>I758-J758</x:f>
        <x:v>-35939</x:v>
      </x:c>
      <x:c r="L758" s="154" t="n">
        <x:f>IFERROR(K758/D758,"")</x:f>
        <x:v>-0.07540831570819485</x:v>
      </x:c>
    </x:row>
    <x:row r="759">
      <x:c r="A759" s="141" t="str">
        <x:v>Silver</x:v>
      </x:c>
      <x:c r="B759" s="155" t="n">
        <x:v>45020</x:v>
      </x:c>
      <x:c r="C759" s="155" t="n">
        <x:v>45023</x:v>
      </x:c>
      <x:c r="D759" s="159" t="n">
        <x:v>131210</x:v>
      </x:c>
      <x:c r="E759" s="159" t="n">
        <x:v>38599</x:v>
      </x:c>
      <x:c r="F759" s="159" t="n">
        <x:v>20154</x:v>
      </x:c>
      <x:c r="G759" s="159" t="n">
        <x:f>E759-F759</x:f>
        <x:v>18445</x:v>
      </x:c>
      <x:c r="H759" s="154" t="n">
        <x:f>IFERROR(G759/D759,"")</x:f>
        <x:v>0.14057617559637223</x:v>
      </x:c>
      <x:c r="I759" s="159" t="n">
        <x:v>4354</x:v>
      </x:c>
      <x:c r="J759" s="159" t="n">
        <x:v>33930</x:v>
      </x:c>
      <x:c r="K759" s="159" t="n">
        <x:f>I759-J759</x:f>
        <x:v>-29576</x:v>
      </x:c>
      <x:c r="L759" s="154" t="n">
        <x:f>IFERROR(K759/D759,"")</x:f>
        <x:v>-0.22540964865482813</x:v>
      </x:c>
    </x:row>
    <x:row r="760">
      <x:c r="A760" s="141" t="str">
        <x:v>Gold</x:v>
      </x:c>
      <x:c r="B760" s="155" t="n">
        <x:v>45027</x:v>
      </x:c>
      <x:c r="C760" s="155" t="n">
        <x:v>45030</x:v>
      </x:c>
      <x:c r="D760" s="159" t="n">
        <x:v>476567</x:v>
      </x:c>
      <x:c r="E760" s="159" t="n">
        <x:v>135015</x:v>
      </x:c>
      <x:c r="F760" s="159" t="n">
        <x:v>30409</x:v>
      </x:c>
      <x:c r="G760" s="159" t="n">
        <x:f>E760-F760</x:f>
        <x:v>104606</x:v>
      </x:c>
      <x:c r="H760" s="154" t="n">
        <x:f>IFERROR(G760/D760,"")</x:f>
        <x:v>0.21949904210740567</x:v>
      </x:c>
      <x:c r="I760" s="159" t="n">
        <x:v>16516</x:v>
      </x:c>
      <x:c r="J760" s="159" t="n">
        <x:v>51449</x:v>
      </x:c>
      <x:c r="K760" s="159" t="n">
        <x:f>I760-J760</x:f>
        <x:v>-34933</x:v>
      </x:c>
      <x:c r="L760" s="154" t="n">
        <x:f>IFERROR(K760/D760,"")</x:f>
        <x:v>-0.0733013406299639</x:v>
      </x:c>
    </x:row>
    <x:row r="761">
      <x:c r="A761" s="141" t="str">
        <x:v>Silver</x:v>
      </x:c>
      <x:c r="B761" s="155" t="n">
        <x:v>45027</x:v>
      </x:c>
      <x:c r="C761" s="155" t="n">
        <x:v>45030</x:v>
      </x:c>
      <x:c r="D761" s="159" t="n">
        <x:v>142699</x:v>
      </x:c>
      <x:c r="E761" s="159" t="n">
        <x:v>42763</x:v>
      </x:c>
      <x:c r="F761" s="159" t="n">
        <x:v>24973</x:v>
      </x:c>
      <x:c r="G761" s="159" t="n">
        <x:f>E761-F761</x:f>
        <x:v>17790</x:v>
      </x:c>
      <x:c r="H761" s="154" t="n">
        <x:f>IFERROR(G761/D761,"")</x:f>
        <x:v>0.12466800748428511</x:v>
      </x:c>
      <x:c r="I761" s="159" t="n">
        <x:v>4314</x:v>
      </x:c>
      <x:c r="J761" s="159" t="n">
        <x:v>34517</x:v>
      </x:c>
      <x:c r="K761" s="159" t="n">
        <x:f>I761-J761</x:f>
        <x:v>-30203</x:v>
      </x:c>
      <x:c r="L761" s="154" t="n">
        <x:f>IFERROR(K761/D761,"")</x:f>
        <x:v>-0.2116553024197787</x:v>
      </x:c>
    </x:row>
    <x:row r="762">
      <x:c r="A762" s="141" t="str">
        <x:v>Gold</x:v>
      </x:c>
      <x:c r="B762" s="155" t="n">
        <x:v>45034</x:v>
      </x:c>
      <x:c r="C762" s="155" t="n">
        <x:v>45037</x:v>
      </x:c>
      <x:c r="D762" s="159" t="n">
        <x:v>482254</x:v>
      </x:c>
      <x:c r="E762" s="159" t="n">
        <x:v>137170</x:v>
      </x:c>
      <x:c r="F762" s="159" t="n">
        <x:v>34474</x:v>
      </x:c>
      <x:c r="G762" s="159" t="n">
        <x:f>E762-F762</x:f>
        <x:v>102696</x:v>
      </x:c>
      <x:c r="H762" s="154" t="n">
        <x:f>IFERROR(G762/D762,"")</x:f>
        <x:v>0.21295002218747797</x:v>
      </x:c>
      <x:c r="I762" s="159" t="n">
        <x:v>17347</x:v>
      </x:c>
      <x:c r="J762" s="159" t="n">
        <x:v>51291</x:v>
      </x:c>
      <x:c r="K762" s="159" t="n">
        <x:f>I762-J762</x:f>
        <x:v>-33944</x:v>
      </x:c>
      <x:c r="L762" s="154" t="n">
        <x:f>IFERROR(K762/D762,"")</x:f>
        <x:v>-0.0703861450604868</x:v>
      </x:c>
    </x:row>
    <x:row r="763">
      <x:c r="A763" s="141" t="str">
        <x:v>Silver</x:v>
      </x:c>
      <x:c r="B763" s="155" t="n">
        <x:v>45034</x:v>
      </x:c>
      <x:c r="C763" s="155" t="n">
        <x:v>45037</x:v>
      </x:c>
      <x:c r="D763" s="159" t="n">
        <x:v>158371</x:v>
      </x:c>
      <x:c r="E763" s="159" t="n">
        <x:v>49059</x:v>
      </x:c>
      <x:c r="F763" s="159" t="n">
        <x:v>29246</x:v>
      </x:c>
      <x:c r="G763" s="159" t="n">
        <x:f>E763-F763</x:f>
        <x:v>19813</x:v>
      </x:c>
      <x:c r="H763" s="154" t="n">
        <x:f>IFERROR(G763/D763,"")</x:f>
        <x:v>0.12510497502699358</x:v>
      </x:c>
      <x:c r="I763" s="159" t="n">
        <x:v>4323</x:v>
      </x:c>
      <x:c r="J763" s="159" t="n">
        <x:v>34988</x:v>
      </x:c>
      <x:c r="K763" s="159" t="n">
        <x:f>I763-J763</x:f>
        <x:v>-30665</x:v>
      </x:c>
      <x:c r="L763" s="154" t="n">
        <x:f>IFERROR(K763/D763,"")</x:f>
        <x:v>-0.19362762121853117</x:v>
      </x:c>
    </x:row>
    <x:row r="764">
      <x:c r="A764" s="141" t="str">
        <x:v>Gold</x:v>
      </x:c>
      <x:c r="B764" s="155" t="n">
        <x:v>45041</x:v>
      </x:c>
      <x:c r="C764" s="155" t="n">
        <x:v>45044</x:v>
      </x:c>
      <x:c r="D764" s="159" t="n">
        <x:v>473209</x:v>
      </x:c>
      <x:c r="E764" s="159" t="n">
        <x:v>135979</x:v>
      </x:c>
      <x:c r="F764" s="159" t="n">
        <x:v>33176</x:v>
      </x:c>
      <x:c r="G764" s="159" t="n">
        <x:f>E764-F764</x:f>
        <x:v>102803</x:v>
      </x:c>
      <x:c r="H764" s="154" t="n">
        <x:f>IFERROR(G764/D764,"")</x:f>
        <x:v>0.21724650207413637</x:v>
      </x:c>
      <x:c r="I764" s="159" t="n">
        <x:v>17543</x:v>
      </x:c>
      <x:c r="J764" s="159" t="n">
        <x:v>52563</x:v>
      </x:c>
      <x:c r="K764" s="159" t="n">
        <x:f>I764-J764</x:f>
        <x:v>-35020</x:v>
      </x:c>
      <x:c r="L764" s="154" t="n">
        <x:f>IFERROR(K764/D764,"")</x:f>
        <x:v>-0.07400535492773806</x:v>
      </x:c>
    </x:row>
    <x:row r="765">
      <x:c r="A765" s="141" t="str">
        <x:v>Silver</x:v>
      </x:c>
      <x:c r="B765" s="155" t="n">
        <x:v>45041</x:v>
      </x:c>
      <x:c r="C765" s="155" t="n">
        <x:v>45044</x:v>
      </x:c>
      <x:c r="D765" s="159" t="n">
        <x:v>149692</x:v>
      </x:c>
      <x:c r="E765" s="159" t="n">
        <x:v>53377</x:v>
      </x:c>
      <x:c r="F765" s="159" t="n">
        <x:v>29305</x:v>
      </x:c>
      <x:c r="G765" s="159" t="n">
        <x:f>E765-F765</x:f>
        <x:v>24072</x:v>
      </x:c>
      <x:c r="H765" s="154" t="n">
        <x:f>IFERROR(G765/D765,"")</x:f>
        <x:v>0.1608101969377121</x:v>
      </x:c>
      <x:c r="I765" s="159" t="n">
        <x:v>2618</x:v>
      </x:c>
      <x:c r="J765" s="159" t="n">
        <x:v>33414</x:v>
      </x:c>
      <x:c r="K765" s="159" t="n">
        <x:f>I765-J765</x:f>
        <x:v>-30796</x:v>
      </x:c>
      <x:c r="L765" s="154" t="n">
        <x:f>IFERROR(K765/D765,"")</x:f>
        <x:v>-0.20572909707933623</x:v>
      </x:c>
    </x:row>
    <x:row r="766">
      <x:c r="A766" s="141" t="str">
        <x:v>Gold</x:v>
      </x:c>
      <x:c r="B766" s="155" t="n">
        <x:v>45048</x:v>
      </x:c>
      <x:c r="C766" s="155" t="n">
        <x:v>45051</x:v>
      </x:c>
      <x:c r="D766" s="159" t="n">
        <x:v>493804</x:v>
      </x:c>
      <x:c r="E766" s="159" t="n">
        <x:v>143191</x:v>
      </x:c>
      <x:c r="F766" s="159" t="n">
        <x:v>29401</x:v>
      </x:c>
      <x:c r="G766" s="159" t="n">
        <x:f>E766-F766</x:f>
        <x:v>113790</x:v>
      </x:c>
      <x:c r="H766" s="154" t="n">
        <x:f>IFERROR(G766/D766,"")</x:f>
        <x:v>0.23043555742764335</x:v>
      </x:c>
      <x:c r="I766" s="159" t="n">
        <x:v>18762</x:v>
      </x:c>
      <x:c r="J766" s="159" t="n">
        <x:v>54293</x:v>
      </x:c>
      <x:c r="K766" s="159" t="n">
        <x:f>I766-J766</x:f>
        <x:v>-35531</x:v>
      </x:c>
      <x:c r="L766" s="154" t="n">
        <x:f>IFERROR(K766/D766,"")</x:f>
        <x:v>-0.07195364962616747</x:v>
      </x:c>
    </x:row>
    <x:row r="767">
      <x:c r="A767" s="141" t="str">
        <x:v>Silver</x:v>
      </x:c>
      <x:c r="B767" s="155" t="n">
        <x:v>45048</x:v>
      </x:c>
      <x:c r="C767" s="155" t="n">
        <x:v>45051</x:v>
      </x:c>
      <x:c r="D767" s="159" t="n">
        <x:v>142538</x:v>
      </x:c>
      <x:c r="E767" s="159" t="n">
        <x:v>54975</x:v>
      </x:c>
      <x:c r="F767" s="159" t="n">
        <x:v>29361</x:v>
      </x:c>
      <x:c r="G767" s="159" t="n">
        <x:f>E767-F767</x:f>
        <x:v>25614</x:v>
      </x:c>
      <x:c r="H767" s="154" t="n">
        <x:f>IFERROR(G767/D767,"")</x:f>
        <x:v>0.17969944856810113</x:v>
      </x:c>
      <x:c r="I767" s="159" t="n">
        <x:v>2401</x:v>
      </x:c>
      <x:c r="J767" s="159" t="n">
        <x:v>34351</x:v>
      </x:c>
      <x:c r="K767" s="159" t="n">
        <x:f>I767-J767</x:f>
        <x:v>-31950</x:v>
      </x:c>
      <x:c r="L767" s="154" t="n">
        <x:f>IFERROR(K767/D767,"")</x:f>
        <x:v>-0.22415075278171434</x:v>
      </x:c>
    </x:row>
    <x:row r="768">
      <x:c r="A768" s="141" t="str">
        <x:v>Gold</x:v>
      </x:c>
      <x:c r="B768" s="155" t="n">
        <x:v>45055</x:v>
      </x:c>
      <x:c r="C768" s="155" t="n">
        <x:v>45058</x:v>
      </x:c>
      <x:c r="D768" s="159" t="n">
        <x:v>518951</x:v>
      </x:c>
      <x:c r="E768" s="159" t="n">
        <x:v>143463</x:v>
      </x:c>
      <x:c r="F768" s="159" t="n">
        <x:v>32477</x:v>
      </x:c>
      <x:c r="G768" s="159" t="n">
        <x:f>E768-F768</x:f>
        <x:v>110986</x:v>
      </x:c>
      <x:c r="H768" s="154" t="n">
        <x:f>IFERROR(G768/D768,"")</x:f>
        <x:v>0.21386604901040754</x:v>
      </x:c>
      <x:c r="I768" s="159" t="n">
        <x:v>18250</x:v>
      </x:c>
      <x:c r="J768" s="159" t="n">
        <x:v>55018</x:v>
      </x:c>
      <x:c r="K768" s="159" t="n">
        <x:f>I768-J768</x:f>
        <x:v>-36768</x:v>
      </x:c>
      <x:c r="L768" s="154" t="n">
        <x:f>IFERROR(K768/D768,"")</x:f>
        <x:v>-0.07085061980803582</x:v>
      </x:c>
    </x:row>
    <x:row r="769">
      <x:c r="A769" s="141" t="str">
        <x:v>Silver</x:v>
      </x:c>
      <x:c r="B769" s="155" t="n">
        <x:v>45055</x:v>
      </x:c>
      <x:c r="C769" s="155" t="n">
        <x:v>45058</x:v>
      </x:c>
      <x:c r="D769" s="159" t="n">
        <x:v>145445</x:v>
      </x:c>
      <x:c r="E769" s="159" t="n">
        <x:v>56217</x:v>
      </x:c>
      <x:c r="F769" s="159" t="n">
        <x:v>30828</x:v>
      </x:c>
      <x:c r="G769" s="159" t="n">
        <x:f>E769-F769</x:f>
        <x:v>25389</x:v>
      </x:c>
      <x:c r="H769" s="154" t="n">
        <x:f>IFERROR(G769/D769,"")</x:f>
        <x:v>0.17456083055450514</x:v>
      </x:c>
      <x:c r="I769" s="159" t="n">
        <x:v>2559</x:v>
      </x:c>
      <x:c r="J769" s="159" t="n">
        <x:v>33624</x:v>
      </x:c>
      <x:c r="K769" s="159" t="n">
        <x:f>I769-J769</x:f>
        <x:v>-31065</x:v>
      </x:c>
      <x:c r="L769" s="154" t="n">
        <x:f>IFERROR(K769/D769,"")</x:f>
        <x:v>-0.21358589157413455</x:v>
      </x:c>
    </x:row>
    <x:row r="770">
      <x:c r="A770" s="141" t="str">
        <x:v>Gold</x:v>
      </x:c>
      <x:c r="B770" s="155" t="n">
        <x:v>45062</x:v>
      </x:c>
      <x:c r="C770" s="155" t="n">
        <x:v>45065</x:v>
      </x:c>
      <x:c r="D770" s="159" t="n">
        <x:v>521832</x:v>
      </x:c>
      <x:c r="E770" s="159" t="n">
        <x:v>139786</x:v>
      </x:c>
      <x:c r="F770" s="159" t="n">
        <x:v>35803</x:v>
      </x:c>
      <x:c r="G770" s="159" t="n">
        <x:f>E770-F770</x:f>
        <x:v>103983</x:v>
      </x:c>
      <x:c r="H770" s="154" t="n">
        <x:f>IFERROR(G770/D770,"")</x:f>
        <x:v>0.19926528078002115</x:v>
      </x:c>
      <x:c r="I770" s="159" t="n">
        <x:v>18148</x:v>
      </x:c>
      <x:c r="J770" s="159" t="n">
        <x:v>52362</x:v>
      </x:c>
      <x:c r="K770" s="159" t="n">
        <x:f>I770-J770</x:f>
        <x:v>-34214</x:v>
      </x:c>
      <x:c r="L770" s="154" t="n">
        <x:f>IFERROR(K770/D770,"")</x:f>
        <x:v>-0.06556516273436662</x:v>
      </x:c>
    </x:row>
    <x:row r="771">
      <x:c r="A771" s="141" t="str">
        <x:v>Silver</x:v>
      </x:c>
      <x:c r="B771" s="155" t="n">
        <x:v>45062</x:v>
      </x:c>
      <x:c r="C771" s="155" t="n">
        <x:v>45065</x:v>
      </x:c>
      <x:c r="D771" s="159" t="n">
        <x:v>140139</x:v>
      </x:c>
      <x:c r="E771" s="159" t="n">
        <x:v>45137</x:v>
      </x:c>
      <x:c r="F771" s="159" t="n">
        <x:v>32397</x:v>
      </x:c>
      <x:c r="G771" s="159" t="n">
        <x:f>E771-F771</x:f>
        <x:v>12740</x:v>
      </x:c>
      <x:c r="H771" s="154" t="n">
        <x:f>IFERROR(G771/D771,"")</x:f>
        <x:v>0.0909097396156673</x:v>
      </x:c>
      <x:c r="I771" s="159" t="n">
        <x:v>2369</x:v>
      </x:c>
      <x:c r="J771" s="159" t="n">
        <x:v>30457</x:v>
      </x:c>
      <x:c r="K771" s="159" t="n">
        <x:f>I771-J771</x:f>
        <x:v>-28088</x:v>
      </x:c>
      <x:c r="L771" s="154" t="n">
        <x:f>IFERROR(K771/D771,"")</x:f>
        <x:v>-0.20042957349488721</x:v>
      </x:c>
    </x:row>
    <x:row r="772">
      <x:c r="A772" s="141" t="str">
        <x:v>Gold</x:v>
      </x:c>
      <x:c r="B772" s="155" t="n">
        <x:v>45069</x:v>
      </x:c>
      <x:c r="C772" s="155" t="n">
        <x:v>45072</x:v>
      </x:c>
      <x:c r="D772" s="159" t="n">
        <x:v>479080</x:v>
      </x:c>
      <x:c r="E772" s="159" t="n">
        <x:v>128550</x:v>
      </x:c>
      <x:c r="F772" s="159" t="n">
        <x:v>35411</x:v>
      </x:c>
      <x:c r="G772" s="159" t="n">
        <x:f>E772-F772</x:f>
        <x:v>93139</x:v>
      </x:c>
      <x:c r="H772" s="154" t="n">
        <x:f>IFERROR(G772/D772,"")</x:f>
        <x:v>0.194412206729565</x:v>
      </x:c>
      <x:c r="I772" s="159" t="n">
        <x:v>18435</x:v>
      </x:c>
      <x:c r="J772" s="159" t="n">
        <x:v>44860</x:v>
      </x:c>
      <x:c r="K772" s="159" t="n">
        <x:f>I772-J772</x:f>
        <x:v>-26425</x:v>
      </x:c>
      <x:c r="L772" s="154" t="n">
        <x:f>IFERROR(K772/D772,"")</x:f>
        <x:v>-0.05515780245470485</x:v>
      </x:c>
    </x:row>
    <x:row r="773">
      <x:c r="A773" s="141" t="str">
        <x:v>Silver</x:v>
      </x:c>
      <x:c r="B773" s="155" t="n">
        <x:v>45069</x:v>
      </x:c>
      <x:c r="C773" s="155" t="n">
        <x:v>45072</x:v>
      </x:c>
      <x:c r="D773" s="159" t="n">
        <x:v>135740</x:v>
      </x:c>
      <x:c r="E773" s="159" t="n">
        <x:v>43270</x:v>
      </x:c>
      <x:c r="F773" s="159" t="n">
        <x:v>30590</x:v>
      </x:c>
      <x:c r="G773" s="159" t="n">
        <x:f>E773-F773</x:f>
        <x:v>12680</x:v>
      </x:c>
      <x:c r="H773" s="154" t="n">
        <x:f>IFERROR(G773/D773,"")</x:f>
        <x:v>0.09341387947546781</x:v>
      </x:c>
      <x:c r="I773" s="159" t="n">
        <x:v>2532</x:v>
      </x:c>
      <x:c r="J773" s="159" t="n">
        <x:v>28852</x:v>
      </x:c>
      <x:c r="K773" s="159" t="n">
        <x:f>I773-J773</x:f>
        <x:v>-26320</x:v>
      </x:c>
      <x:c r="L773" s="154" t="n">
        <x:f>IFERROR(K773/D773,"")</x:f>
        <x:v>-0.19390010313835274</x:v>
      </x:c>
    </x:row>
    <x:row r="774">
      <x:c r="A774" s="141" t="str">
        <x:v>Gold</x:v>
      </x:c>
      <x:c r="B774" s="155" t="n">
        <x:v>45076</x:v>
      </x:c>
      <x:c r="C774" s="155" t="n">
        <x:v>45079</x:v>
      </x:c>
      <x:c r="D774" s="159" t="n">
        <x:v>449515</x:v>
      </x:c>
      <x:c r="E774" s="159" t="n">
        <x:v>122904</x:v>
      </x:c>
      <x:c r="F774" s="159" t="n">
        <x:v>36201</x:v>
      </x:c>
      <x:c r="G774" s="159" t="n">
        <x:f>E774-F774</x:f>
        <x:v>86703</x:v>
      </x:c>
      <x:c r="H774" s="154" t="n">
        <x:f>IFERROR(G774/D774,"")</x:f>
        <x:v>0.19288121642214387</x:v>
      </x:c>
      <x:c r="I774" s="159" t="n">
        <x:v>12396</x:v>
      </x:c>
      <x:c r="J774" s="159" t="n">
        <x:v>43768</x:v>
      </x:c>
      <x:c r="K774" s="159" t="n">
        <x:f>I774-J774</x:f>
        <x:v>-31372</x:v>
      </x:c>
      <x:c r="L774" s="154" t="n">
        <x:f>IFERROR(K774/D774,"")</x:f>
        <x:v>-0.06979077450140707</x:v>
      </x:c>
    </x:row>
    <x:row r="775">
      <x:c r="A775" s="141" t="str">
        <x:v>Silver</x:v>
      </x:c>
      <x:c r="B775" s="155" t="n">
        <x:v>45076</x:v>
      </x:c>
      <x:c r="C775" s="155" t="n">
        <x:v>45079</x:v>
      </x:c>
      <x:c r="D775" s="159" t="n">
        <x:v>133619</x:v>
      </x:c>
      <x:c r="E775" s="159" t="n">
        <x:v>39203</x:v>
      </x:c>
      <x:c r="F775" s="159" t="n">
        <x:v>29929</x:v>
      </x:c>
      <x:c r="G775" s="159" t="n">
        <x:f>E775-F775</x:f>
        <x:v>9274</x:v>
      </x:c>
      <x:c r="H775" s="154" t="n">
        <x:f>IFERROR(G775/D775,"")</x:f>
        <x:v>0.06940629700865895</x:v>
      </x:c>
      <x:c r="I775" s="159" t="n">
        <x:v>1977</x:v>
      </x:c>
      <x:c r="J775" s="159" t="n">
        <x:v>28328</x:v>
      </x:c>
      <x:c r="K775" s="159" t="n">
        <x:f>I775-J775</x:f>
        <x:v>-26351</x:v>
      </x:c>
      <x:c r="L775" s="154" t="n">
        <x:f>IFERROR(K775/D775,"")</x:f>
        <x:v>-0.19720997762294284</x:v>
      </x:c>
    </x:row>
    <x:row r="776">
      <x:c r="A776" s="141" t="str">
        <x:v>Gold</x:v>
      </x:c>
      <x:c r="B776" s="155" t="n">
        <x:v>45083</x:v>
      </x:c>
      <x:c r="C776" s="155" t="n">
        <x:v>45086</x:v>
      </x:c>
      <x:c r="D776" s="159" t="n">
        <x:v>436301</x:v>
      </x:c>
      <x:c r="E776" s="159" t="n">
        <x:v>120985</x:v>
      </x:c>
      <x:c r="F776" s="159" t="n">
        <x:v>27557</x:v>
      </x:c>
      <x:c r="G776" s="159" t="n">
        <x:f>E776-F776</x:f>
        <x:v>93428</x:v>
      </x:c>
      <x:c r="H776" s="154" t="n">
        <x:f>IFERROR(G776/D776,"")</x:f>
        <x:v>0.21413657085360793</x:v>
      </x:c>
      <x:c r="I776" s="159" t="n">
        <x:v>13860</x:v>
      </x:c>
      <x:c r="J776" s="159" t="n">
        <x:v>43638</x:v>
      </x:c>
      <x:c r="K776" s="159" t="n">
        <x:f>I776-J776</x:f>
        <x:v>-29778</x:v>
      </x:c>
      <x:c r="L776" s="154" t="n">
        <x:f>IFERROR(K776/D776,"")</x:f>
        <x:v>-0.06825104686901932</x:v>
      </x:c>
    </x:row>
    <x:row r="777">
      <x:c r="A777" s="141" t="str">
        <x:v>Silver</x:v>
      </x:c>
      <x:c r="B777" s="155" t="n">
        <x:v>45083</x:v>
      </x:c>
      <x:c r="C777" s="155" t="n">
        <x:v>45086</x:v>
      </x:c>
      <x:c r="D777" s="159" t="n">
        <x:v>137871</x:v>
      </x:c>
      <x:c r="E777" s="159" t="n">
        <x:v>37526</x:v>
      </x:c>
      <x:c r="F777" s="159" t="n">
        <x:v>27531</x:v>
      </x:c>
      <x:c r="G777" s="159" t="n">
        <x:f>E777-F777</x:f>
        <x:v>9995</x:v>
      </x:c>
      <x:c r="H777" s="154" t="n">
        <x:f>IFERROR(G777/D777,"")</x:f>
        <x:v>0.07249530358088357</x:v>
      </x:c>
      <x:c r="I777" s="159" t="n">
        <x:v>3166</x:v>
      </x:c>
      <x:c r="J777" s="159" t="n">
        <x:v>28480</x:v>
      </x:c>
      <x:c r="K777" s="159" t="n">
        <x:f>I777-J777</x:f>
        <x:v>-25314</x:v>
      </x:c>
      <x:c r="L777" s="154" t="n">
        <x:f>IFERROR(K777/D777,"")</x:f>
        <x:v>-0.18360641469199468</x:v>
      </x:c>
    </x:row>
    <x:row r="778">
      <x:c r="A778" s="141" t="str">
        <x:v>Gold</x:v>
      </x:c>
      <x:c r="B778" s="155" t="n">
        <x:v>45090</x:v>
      </x:c>
      <x:c r="C778" s="155" t="n">
        <x:v>45093</x:v>
      </x:c>
      <x:c r="D778" s="159" t="n">
        <x:v>432898</x:v>
      </x:c>
      <x:c r="E778" s="159" t="n">
        <x:v>110512</x:v>
      </x:c>
      <x:c r="F778" s="159" t="n">
        <x:v>35869</x:v>
      </x:c>
      <x:c r="G778" s="159" t="n">
        <x:f>E778-F778</x:f>
        <x:v>74643</x:v>
      </x:c>
      <x:c r="H778" s="154" t="n">
        <x:f>IFERROR(G778/D778,"")</x:f>
        <x:v>0.1724262990358006</x:v>
      </x:c>
      <x:c r="I778" s="159" t="n">
        <x:v>14225</x:v>
      </x:c>
      <x:c r="J778" s="159" t="n">
        <x:v>41384</x:v>
      </x:c>
      <x:c r="K778" s="159" t="n">
        <x:f>I778-J778</x:f>
        <x:v>-27159</x:v>
      </x:c>
      <x:c r="L778" s="154" t="n">
        <x:f>IFERROR(K778/D778,"")</x:f>
        <x:v>-0.06273764258555133</x:v>
      </x:c>
    </x:row>
    <x:row r="779">
      <x:c r="A779" s="141" t="str">
        <x:v>Silver</x:v>
      </x:c>
      <x:c r="B779" s="155" t="n">
        <x:v>45090</x:v>
      </x:c>
      <x:c r="C779" s="155" t="n">
        <x:v>45093</x:v>
      </x:c>
      <x:c r="D779" s="159" t="n">
        <x:v>153853</x:v>
      </x:c>
      <x:c r="E779" s="159" t="n">
        <x:v>38968</x:v>
      </x:c>
      <x:c r="F779" s="159" t="n">
        <x:v>25971</x:v>
      </x:c>
      <x:c r="G779" s="159" t="n">
        <x:f>E779-F779</x:f>
        <x:v>12997</x:v>
      </x:c>
      <x:c r="H779" s="154" t="n">
        <x:f>IFERROR(G779/D779,"")</x:f>
        <x:v>0.08447674078503506</x:v>
      </x:c>
      <x:c r="I779" s="159" t="n">
        <x:v>3645</x:v>
      </x:c>
      <x:c r="J779" s="159" t="n">
        <x:v>30602</x:v>
      </x:c>
      <x:c r="K779" s="159" t="n">
        <x:f>I779-J779</x:f>
        <x:v>-26957</x:v>
      </x:c>
      <x:c r="L779" s="154" t="n">
        <x:f>IFERROR(K779/D779,"")</x:f>
        <x:v>-0.17521270303471495</x:v>
      </x:c>
    </x:row>
    <x:row r="780">
      <x:c r="A780" s="141" t="str">
        <x:v>Gold</x:v>
      </x:c>
      <x:c r="B780" s="155" t="n">
        <x:v>45097</x:v>
      </x:c>
      <x:c r="C780" s="155" t="n">
        <x:v>45100</x:v>
      </x:c>
      <x:c r="D780" s="159" t="n">
        <x:v>438037</x:v>
      </x:c>
      <x:c r="E780" s="159" t="n">
        <x:v>110314</x:v>
      </x:c>
      <x:c r="F780" s="159" t="n">
        <x:v>34275</x:v>
      </x:c>
      <x:c r="G780" s="159" t="n">
        <x:f>E780-F780</x:f>
        <x:v>76039</x:v>
      </x:c>
      <x:c r="H780" s="154" t="n">
        <x:f>IFERROR(G780/D780,"")</x:f>
        <x:v>0.1735903588053064</x:v>
      </x:c>
      <x:c r="I780" s="159" t="n">
        <x:v>13663</x:v>
      </x:c>
      <x:c r="J780" s="159" t="n">
        <x:v>40542</x:v>
      </x:c>
      <x:c r="K780" s="159" t="n">
        <x:f>I780-J780</x:f>
        <x:v>-26879</x:v>
      </x:c>
      <x:c r="L780" s="154" t="n">
        <x:f>IFERROR(K780/D780,"")</x:f>
        <x:v>-0.06136239632725089</x:v>
      </x:c>
    </x:row>
    <x:row r="781">
      <x:c r="A781" s="141" t="str">
        <x:v>Silver</x:v>
      </x:c>
      <x:c r="B781" s="155" t="n">
        <x:v>45097</x:v>
      </x:c>
      <x:c r="C781" s="155" t="n">
        <x:v>45100</x:v>
      </x:c>
      <x:c r="D781" s="159" t="n">
        <x:v>152633</x:v>
      </x:c>
      <x:c r="E781" s="159" t="n">
        <x:v>37289</x:v>
      </x:c>
      <x:c r="F781" s="159" t="n">
        <x:v>27033</x:v>
      </x:c>
      <x:c r="G781" s="159" t="n">
        <x:f>E781-F781</x:f>
        <x:v>10256</x:v>
      </x:c>
      <x:c r="H781" s="154" t="n">
        <x:f>IFERROR(G781/D781,"")</x:f>
        <x:v>0.06719385716064023</x:v>
      </x:c>
      <x:c r="I781" s="159" t="n">
        <x:v>3835</x:v>
      </x:c>
      <x:c r="J781" s="159" t="n">
        <x:v>31055</x:v>
      </x:c>
      <x:c r="K781" s="159" t="n">
        <x:f>I781-J781</x:f>
        <x:v>-27220</x:v>
      </x:c>
      <x:c r="L781" s="154" t="n">
        <x:f>IFERROR(K781/D781,"")</x:f>
        <x:v>-0.17833627066230762</x:v>
      </x:c>
    </x:row>
    <x:row r="782">
      <x:c r="A782" s="141" t="str">
        <x:v>Gold</x:v>
      </x:c>
      <x:c r="B782" s="155" t="n">
        <x:v>45104</x:v>
      </x:c>
      <x:c r="C782" s="155" t="n">
        <x:v>45107</x:v>
      </x:c>
      <x:c r="D782" s="159" t="n">
        <x:v>431861</x:v>
      </x:c>
      <x:c r="E782" s="159" t="n">
        <x:v>108209</x:v>
      </x:c>
      <x:c r="F782" s="159" t="n">
        <x:v>38534</x:v>
      </x:c>
      <x:c r="G782" s="159" t="n">
        <x:f>E782-F782</x:f>
        <x:v>69675</x:v>
      </x:c>
      <x:c r="H782" s="154" t="n">
        <x:f>IFERROR(G782/D782,"")</x:f>
        <x:v>0.161336633777998</x:v>
      </x:c>
      <x:c r="I782" s="159" t="n">
        <x:v>11393</x:v>
      </x:c>
      <x:c r="J782" s="159" t="n">
        <x:v>37626</x:v>
      </x:c>
      <x:c r="K782" s="159" t="n">
        <x:f>I782-J782</x:f>
        <x:v>-26233</x:v>
      </x:c>
      <x:c r="L782" s="154" t="n">
        <x:f>IFERROR(K782/D782,"")</x:f>
        <x:v>-0.06074408200786827</x:v>
      </x:c>
    </x:row>
    <x:row r="783">
      <x:c r="A783" s="141" t="str">
        <x:v>Silver</x:v>
      </x:c>
      <x:c r="B783" s="155" t="n">
        <x:v>45104</x:v>
      </x:c>
      <x:c r="C783" s="155" t="n">
        <x:v>45107</x:v>
      </x:c>
      <x:c r="D783" s="159" t="n">
        <x:v>123491</x:v>
      </x:c>
      <x:c r="E783" s="159" t="n">
        <x:v>33247</x:v>
      </x:c>
      <x:c r="F783" s="159" t="n">
        <x:v>22341</x:v>
      </x:c>
      <x:c r="G783" s="159" t="n">
        <x:f>E783-F783</x:f>
        <x:v>10906</x:v>
      </x:c>
      <x:c r="H783" s="154" t="n">
        <x:f>IFERROR(G783/D783,"")</x:f>
        <x:v>0.08831412815508823</x:v>
      </x:c>
      <x:c r="I783" s="159" t="n">
        <x:v>2481</x:v>
      </x:c>
      <x:c r="J783" s="159" t="n">
        <x:v>29487</x:v>
      </x:c>
      <x:c r="K783" s="159" t="n">
        <x:f>I783-J783</x:f>
        <x:v>-27006</x:v>
      </x:c>
      <x:c r="L783" s="154" t="n">
        <x:f>IFERROR(K783/D783,"")</x:f>
        <x:v>-0.21868800155476917</x:v>
      </x:c>
    </x:row>
    <x:row r="784">
      <x:c r="A784" s="141" t="str">
        <x:v>Gold</x:v>
      </x:c>
      <x:c r="B784" s="155" t="n">
        <x:v>45110</x:v>
      </x:c>
      <x:c r="C784" s="155" t="n">
        <x:v>45113</x:v>
      </x:c>
      <x:c r="D784" s="159" t="n">
        <x:v>448063</x:v>
      </x:c>
      <x:c r="E784" s="159" t="n">
        <x:v>123017</x:v>
      </x:c>
      <x:c r="F784" s="159" t="n">
        <x:v>39869</x:v>
      </x:c>
      <x:c r="G784" s="159" t="n">
        <x:f>E784-F784</x:f>
        <x:v>83148</x:v>
      </x:c>
      <x:c r="H784" s="154" t="n">
        <x:f>IFERROR(G784/D784,"")</x:f>
        <x:v>0.18557211820659147</x:v>
      </x:c>
      <x:c r="I784" s="159" t="n">
        <x:v>13966</x:v>
      </x:c>
      <x:c r="J784" s="159" t="n">
        <x:v>41391</x:v>
      </x:c>
      <x:c r="K784" s="159" t="n">
        <x:f>I784-J784</x:f>
        <x:v>-27425</x:v>
      </x:c>
      <x:c r="L784" s="154" t="n">
        <x:f>IFERROR(K784/D784,"")</x:f>
        <x:v>-0.06120791049472953</x:v>
      </x:c>
    </x:row>
    <x:row r="785">
      <x:c r="A785" s="141" t="str">
        <x:v>Silver</x:v>
      </x:c>
      <x:c r="B785" s="155" t="n">
        <x:v>45110</x:v>
      </x:c>
      <x:c r="C785" s="155" t="n">
        <x:v>45113</x:v>
      </x:c>
      <x:c r="D785" s="159" t="n">
        <x:v>114421</x:v>
      </x:c>
      <x:c r="E785" s="159" t="n">
        <x:v>32849</x:v>
      </x:c>
      <x:c r="F785" s="159" t="n">
        <x:v>23053</x:v>
      </x:c>
      <x:c r="G785" s="159" t="n">
        <x:f>E785-F785</x:f>
        <x:v>9796</x:v>
      </x:c>
      <x:c r="H785" s="154" t="n">
        <x:f>IFERROR(G785/D785,"")</x:f>
        <x:v>0.08561365483608778</x:v>
      </x:c>
      <x:c r="I785" s="159" t="n">
        <x:v>911</x:v>
      </x:c>
      <x:c r="J785" s="159" t="n">
        <x:v>29309</x:v>
      </x:c>
      <x:c r="K785" s="159" t="n">
        <x:f>I785-J785</x:f>
        <x:v>-28398</x:v>
      </x:c>
      <x:c r="L785" s="154" t="n">
        <x:f>IFERROR(K785/D785,"")</x:f>
        <x:v>-0.2481887066185403</x:v>
      </x:c>
    </x:row>
    <x:row r="786">
      <x:c r="A786" s="141" t="str">
        <x:v>Gold</x:v>
      </x:c>
      <x:c r="B786" s="155" t="n">
        <x:v>45118</x:v>
      </x:c>
      <x:c r="C786" s="155" t="n">
        <x:v>45121</x:v>
      </x:c>
      <x:c r="D786" s="159" t="n">
        <x:v>483170</x:v>
      </x:c>
      <x:c r="E786" s="159" t="n">
        <x:v>124394</x:v>
      </x:c>
      <x:c r="F786" s="159" t="n">
        <x:v>41951</x:v>
      </x:c>
      <x:c r="G786" s="159" t="n">
        <x:f>E786-F786</x:f>
        <x:v>82443</x:v>
      </x:c>
      <x:c r="H786" s="154" t="n">
        <x:f>IFERROR(G786/D786,"")</x:f>
        <x:v>0.1706293851025519</x:v>
      </x:c>
      <x:c r="I786" s="159" t="n">
        <x:v>13062</x:v>
      </x:c>
      <x:c r="J786" s="159" t="n">
        <x:v>42136</x:v>
      </x:c>
      <x:c r="K786" s="159" t="n">
        <x:f>I786-J786</x:f>
        <x:v>-29074</x:v>
      </x:c>
      <x:c r="L786" s="154" t="n">
        <x:f>IFERROR(K786/D786,"")</x:f>
        <x:v>-0.06017343792040069</x:v>
      </x:c>
    </x:row>
    <x:row r="787">
      <x:c r="A787" s="141" t="str">
        <x:v>Silver</x:v>
      </x:c>
      <x:c r="B787" s="155" t="n">
        <x:v>45118</x:v>
      </x:c>
      <x:c r="C787" s="155" t="n">
        <x:v>45121</x:v>
      </x:c>
      <x:c r="D787" s="159" t="n">
        <x:v>120282</x:v>
      </x:c>
      <x:c r="E787" s="159" t="n">
        <x:v>31522</x:v>
      </x:c>
      <x:c r="F787" s="159" t="n">
        <x:v>26024</x:v>
      </x:c>
      <x:c r="G787" s="159" t="n">
        <x:f>E787-F787</x:f>
        <x:v>5498</x:v>
      </x:c>
      <x:c r="H787" s="154" t="n">
        <x:f>IFERROR(G787/D787,"")</x:f>
        <x:v>0.045709249929332736</x:v>
      </x:c>
      <x:c r="I787" s="159" t="n">
        <x:v>877</x:v>
      </x:c>
      <x:c r="J787" s="159" t="n">
        <x:v>30585</x:v>
      </x:c>
      <x:c r="K787" s="159" t="n">
        <x:f>I787-J787</x:f>
        <x:v>-29708</x:v>
      </x:c>
      <x:c r="L787" s="154" t="n">
        <x:f>IFERROR(K787/D787,"")</x:f>
        <x:v>-0.24698624898156</x:v>
      </x:c>
    </x:row>
    <x:row r="788">
      <x:c r="A788" s="141" t="str">
        <x:v>Gold</x:v>
      </x:c>
      <x:c r="B788" s="155" t="n">
        <x:v>45125</x:v>
      </x:c>
      <x:c r="C788" s="155" t="n">
        <x:v>45128</x:v>
      </x:c>
      <x:c r="D788" s="159" t="n">
        <x:v>482104</x:v>
      </x:c>
      <x:c r="E788" s="159" t="n">
        <x:v>147644</x:v>
      </x:c>
      <x:c r="F788" s="159" t="n">
        <x:v>32326</x:v>
      </x:c>
      <x:c r="G788" s="159" t="n">
        <x:f>E788-F788</x:f>
        <x:v>115318</x:v>
      </x:c>
      <x:c r="H788" s="154" t="n">
        <x:f>IFERROR(G788/D788,"")</x:f>
        <x:v>0.2391973516087815</x:v>
      </x:c>
      <x:c r="I788" s="159" t="n">
        <x:v>14281</x:v>
      </x:c>
      <x:c r="J788" s="159" t="n">
        <x:v>53555</x:v>
      </x:c>
      <x:c r="K788" s="159" t="n">
        <x:f>I788-J788</x:f>
        <x:v>-39274</x:v>
      </x:c>
      <x:c r="L788" s="154" t="n">
        <x:f>IFERROR(K788/D788,"")</x:f>
        <x:v>-0.08146375056004514</x:v>
      </x:c>
    </x:row>
    <x:row r="789">
      <x:c r="A789" s="141" t="str">
        <x:v>Silver</x:v>
      </x:c>
      <x:c r="B789" s="155" t="n">
        <x:v>45125</x:v>
      </x:c>
      <x:c r="C789" s="155" t="n">
        <x:v>45128</x:v>
      </x:c>
      <x:c r="D789" s="159" t="n">
        <x:v>146863</x:v>
      </x:c>
      <x:c r="E789" s="159" t="n">
        <x:v>53781</x:v>
      </x:c>
      <x:c r="F789" s="159" t="n">
        <x:v>24092</x:v>
      </x:c>
      <x:c r="G789" s="159" t="n">
        <x:f>E789-F789</x:f>
        <x:v>29689</x:v>
      </x:c>
      <x:c r="H789" s="154" t="n">
        <x:f>IFERROR(G789/D789,"")</x:f>
        <x:v>0.2021543887841049</x:v>
      </x:c>
      <x:c r="I789" s="159" t="n">
        <x:v>942</x:v>
      </x:c>
      <x:c r="J789" s="159" t="n">
        <x:v>39079</x:v>
      </x:c>
      <x:c r="K789" s="159" t="n">
        <x:f>I789-J789</x:f>
        <x:v>-38137</x:v>
      </x:c>
      <x:c r="L789" s="154" t="n">
        <x:f>IFERROR(K789/D789,"")</x:f>
        <x:v>-0.2596773864077406</x:v>
      </x:c>
    </x:row>
    <x:row r="790">
      <x:c r="A790" s="141" t="str">
        <x:v>Gold</x:v>
      </x:c>
      <x:c r="B790" s="155" t="n">
        <x:v>45132</x:v>
      </x:c>
      <x:c r="C790" s="155" t="n">
        <x:v>45135</x:v>
      </x:c>
      <x:c r="D790" s="159" t="n">
        <x:v>476176</x:v>
      </x:c>
      <x:c r="E790" s="159" t="n">
        <x:v>132603</x:v>
      </x:c>
      <x:c r="F790" s="159" t="n">
        <x:v>37316</x:v>
      </x:c>
      <x:c r="G790" s="159" t="n">
        <x:f>E790-F790</x:f>
        <x:v>95287</x:v>
      </x:c>
      <x:c r="H790" s="154" t="n">
        <x:f>IFERROR(G790/D790,"")</x:f>
        <x:v>0.20010878330701254</x:v>
      </x:c>
      <x:c r="I790" s="159" t="n">
        <x:v>16452</x:v>
      </x:c>
      <x:c r="J790" s="159" t="n">
        <x:v>55396</x:v>
      </x:c>
      <x:c r="K790" s="159" t="n">
        <x:f>I790-J790</x:f>
        <x:v>-38944</x:v>
      </x:c>
      <x:c r="L790" s="154" t="n">
        <x:f>IFERROR(K790/D790,"")</x:f>
        <x:v>-0.08178488626054232</x:v>
      </x:c>
    </x:row>
    <x:row r="791">
      <x:c r="A791" s="141" t="str">
        <x:v>Silver</x:v>
      </x:c>
      <x:c r="B791" s="155" t="n">
        <x:v>45132</x:v>
      </x:c>
      <x:c r="C791" s="155" t="n">
        <x:v>45135</x:v>
      </x:c>
      <x:c r="D791" s="159" t="n">
        <x:v>146898</x:v>
      </x:c>
      <x:c r="E791" s="159" t="n">
        <x:v>48131</x:v>
      </x:c>
      <x:c r="F791" s="159" t="n">
        <x:v>28530</x:v>
      </x:c>
      <x:c r="G791" s="159" t="n">
        <x:f>E791-F791</x:f>
        <x:v>19601</x:v>
      </x:c>
      <x:c r="H791" s="154" t="n">
        <x:f>IFERROR(G791/D791,"")</x:f>
        <x:v>0.13343272202480633</x:v>
      </x:c>
      <x:c r="I791" s="159" t="n">
        <x:v>1442</x:v>
      </x:c>
      <x:c r="J791" s="159" t="n">
        <x:v>35579</x:v>
      </x:c>
      <x:c r="K791" s="159" t="n">
        <x:f>I791-J791</x:f>
        <x:v>-34137</x:v>
      </x:c>
      <x:c r="L791" s="154" t="n">
        <x:f>IFERROR(K791/D791,"")</x:f>
        <x:v>-0.23238573704202917</x:v>
      </x:c>
    </x:row>
    <x:row r="792">
      <x:c r="A792" s="141" t="str">
        <x:v>Gold</x:v>
      </x:c>
      <x:c r="B792" s="155" t="n">
        <x:v>45139</x:v>
      </x:c>
      <x:c r="C792" s="155" t="n">
        <x:v>45142</x:v>
      </x:c>
      <x:c r="D792" s="159" t="n">
        <x:v>439383</x:v>
      </x:c>
      <x:c r="E792" s="159" t="n">
        <x:v>123802</x:v>
      </x:c>
      <x:c r="F792" s="159" t="n">
        <x:v>43793</x:v>
      </x:c>
      <x:c r="G792" s="159" t="n">
        <x:f>E792-F792</x:f>
        <x:v>80009</x:v>
      </x:c>
      <x:c r="H792" s="154" t="n">
        <x:f>IFERROR(G792/D792,"")</x:f>
        <x:v>0.1820939817880983</x:v>
      </x:c>
      <x:c r="I792" s="159" t="n">
        <x:v>16334</x:v>
      </x:c>
      <x:c r="J792" s="159" t="n">
        <x:v>46546</x:v>
      </x:c>
      <x:c r="K792" s="159" t="n">
        <x:f>I792-J792</x:f>
        <x:v>-30212</x:v>
      </x:c>
      <x:c r="L792" s="154" t="n">
        <x:f>IFERROR(K792/D792,"")</x:f>
        <x:v>-0.06876005671589479</x:v>
      </x:c>
    </x:row>
    <x:row r="793">
      <x:c r="A793" s="141" t="str">
        <x:v>Silver</x:v>
      </x:c>
      <x:c r="B793" s="155" t="n">
        <x:v>45139</x:v>
      </x:c>
      <x:c r="C793" s="155" t="n">
        <x:v>45142</x:v>
      </x:c>
      <x:c r="D793" s="159" t="n">
        <x:v>144138</x:v>
      </x:c>
      <x:c r="E793" s="159" t="n">
        <x:v>44578</x:v>
      </x:c>
      <x:c r="F793" s="159" t="n">
        <x:v>31920</x:v>
      </x:c>
      <x:c r="G793" s="159" t="n">
        <x:f>E793-F793</x:f>
        <x:v>12658</x:v>
      </x:c>
      <x:c r="H793" s="154" t="n">
        <x:f>IFERROR(G793/D793,"")</x:f>
        <x:v>0.0878186182686037</x:v>
      </x:c>
      <x:c r="I793" s="159" t="n">
        <x:v>1638</x:v>
      </x:c>
      <x:c r="J793" s="159" t="n">
        <x:v>33314</x:v>
      </x:c>
      <x:c r="K793" s="159" t="n">
        <x:f>I793-J793</x:f>
        <x:v>-31676</x:v>
      </x:c>
      <x:c r="L793" s="154" t="n">
        <x:f>IFERROR(K793/D793,"")</x:f>
        <x:v>-0.21976161733893906</x:v>
      </x:c>
    </x:row>
    <x:row r="794">
      <x:c r="A794" s="141" t="str">
        <x:v>Gold</x:v>
      </x:c>
      <x:c r="B794" s="155" t="n">
        <x:v>45146</x:v>
      </x:c>
      <x:c r="C794" s="155" t="n">
        <x:v>45149</x:v>
      </x:c>
      <x:c r="D794" s="159" t="n">
        <x:v>427759</x:v>
      </x:c>
      <x:c r="E794" s="159" t="n">
        <x:v>114585</x:v>
      </x:c>
      <x:c r="F794" s="159" t="n">
        <x:v>55979</x:v>
      </x:c>
      <x:c r="G794" s="159" t="n">
        <x:f>E794-F794</x:f>
        <x:v>58606</x:v>
      </x:c>
      <x:c r="H794" s="154" t="n">
        <x:f>IFERROR(G794/D794,"")</x:f>
        <x:v>0.13700705303687358</x:v>
      </x:c>
      <x:c r="I794" s="159" t="n">
        <x:v>15411</x:v>
      </x:c>
      <x:c r="J794" s="159" t="n">
        <x:v>41861</x:v>
      </x:c>
      <x:c r="K794" s="159" t="n">
        <x:f>I794-J794</x:f>
        <x:v>-26450</x:v>
      </x:c>
      <x:c r="L794" s="154" t="n">
        <x:f>IFERROR(K794/D794,"")</x:f>
        <x:v>-0.06183388309772559</x:v>
      </x:c>
    </x:row>
    <x:row r="795">
      <x:c r="A795" s="141" t="str">
        <x:v>Silver</x:v>
      </x:c>
      <x:c r="B795" s="155" t="n">
        <x:v>45146</x:v>
      </x:c>
      <x:c r="C795" s="155" t="n">
        <x:v>45149</x:v>
      </x:c>
      <x:c r="D795" s="159" t="n">
        <x:v>137631</x:v>
      </x:c>
      <x:c r="E795" s="159" t="n">
        <x:v>31985</x:v>
      </x:c>
      <x:c r="F795" s="159" t="n">
        <x:v>35766</x:v>
      </x:c>
      <x:c r="G795" s="159" t="n">
        <x:f>E795-F795</x:f>
        <x:v>-3781</x:v>
      </x:c>
      <x:c r="H795" s="154" t="n">
        <x:f>IFERROR(G795/D795,"")</x:f>
        <x:v>-0.027472008486460173</x:v>
      </x:c>
      <x:c r="I795" s="159" t="n">
        <x:v>1586</x:v>
      </x:c>
      <x:c r="J795" s="159" t="n">
        <x:v>32434</x:v>
      </x:c>
      <x:c r="K795" s="159" t="n">
        <x:f>I795-J795</x:f>
        <x:v>-30848</x:v>
      </x:c>
      <x:c r="L795" s="154" t="n">
        <x:f>IFERROR(K795/D795,"")</x:f>
        <x:v>-0.22413555085700168</x:v>
      </x:c>
    </x:row>
    <x:row r="796">
      <x:c r="A796" s="141" t="str">
        <x:v>Gold</x:v>
      </x:c>
      <x:c r="B796" s="155" t="n">
        <x:v>45153</x:v>
      </x:c>
      <x:c r="C796" s="155" t="n">
        <x:v>45156</x:v>
      </x:c>
      <x:c r="D796" s="159" t="n">
        <x:v>433611</x:v>
      </x:c>
      <x:c r="E796" s="159" t="n">
        <x:v>113146</x:v>
      </x:c>
      <x:c r="F796" s="159" t="n">
        <x:v>83610</x:v>
      </x:c>
      <x:c r="G796" s="159" t="n">
        <x:f>E796-F796</x:f>
        <x:v>29536</x:v>
      </x:c>
      <x:c r="H796" s="154" t="n">
        <x:f>IFERROR(G796/D796,"")</x:f>
        <x:v>0.06811635313679773</x:v>
      </x:c>
      <x:c r="I796" s="159" t="n">
        <x:v>17862</x:v>
      </x:c>
      <x:c r="J796" s="159" t="n">
        <x:v>39392</x:v>
      </x:c>
      <x:c r="K796" s="159" t="n">
        <x:f>I796-J796</x:f>
        <x:v>-21530</x:v>
      </x:c>
      <x:c r="L796" s="154" t="n">
        <x:f>IFERROR(K796/D796,"")</x:f>
        <x:v>-0.04965279939853924</x:v>
      </x:c>
    </x:row>
    <x:row r="797">
      <x:c r="A797" s="141" t="str">
        <x:v>Silver</x:v>
      </x:c>
      <x:c r="B797" s="155" t="n">
        <x:v>45153</x:v>
      </x:c>
      <x:c r="C797" s="155" t="n">
        <x:v>45156</x:v>
      </x:c>
      <x:c r="D797" s="159" t="n">
        <x:v>138215</x:v>
      </x:c>
      <x:c r="E797" s="159" t="n">
        <x:v>31710</x:v>
      </x:c>
      <x:c r="F797" s="159" t="n">
        <x:v>38380</x:v>
      </x:c>
      <x:c r="G797" s="159" t="n">
        <x:f>E797-F797</x:f>
        <x:v>-6670</x:v>
      </x:c>
      <x:c r="H797" s="154" t="n">
        <x:f>IFERROR(G797/D797,"")</x:f>
        <x:v>-0.04825814853670007</x:v>
      </x:c>
      <x:c r="I797" s="159" t="n">
        <x:v>3312</x:v>
      </x:c>
      <x:c r="J797" s="159" t="n">
        <x:v>32554</x:v>
      </x:c>
      <x:c r="K797" s="159" t="n">
        <x:f>I797-J797</x:f>
        <x:v>-29242</x:v>
      </x:c>
      <x:c r="L797" s="154" t="n">
        <x:f>IFERROR(K797/D797,"")</x:f>
        <x:v>-0.21156893246029737</x:v>
      </x:c>
    </x:row>
    <x:row r="798">
      <x:c r="A798" s="141" t="str">
        <x:v>Gold</x:v>
      </x:c>
      <x:c r="B798" s="155" t="n">
        <x:v>45160</x:v>
      </x:c>
      <x:c r="C798" s="155" t="n">
        <x:v>45163</x:v>
      </x:c>
      <x:c r="D798" s="159" t="n">
        <x:v>430239</x:v>
      </x:c>
      <x:c r="E798" s="159" t="n">
        <x:v>105085</x:v>
      </x:c>
      <x:c r="F798" s="159" t="n">
        <x:v>95976</x:v>
      </x:c>
      <x:c r="G798" s="159" t="n">
        <x:f>E798-F798</x:f>
        <x:v>9109</x:v>
      </x:c>
      <x:c r="H798" s="154" t="n">
        <x:f>IFERROR(G798/D798,"")</x:f>
        <x:v>0.021171953263186275</x:v>
      </x:c>
      <x:c r="I798" s="159" t="n">
        <x:v>18338</x:v>
      </x:c>
      <x:c r="J798" s="159" t="n">
        <x:v>35940</x:v>
      </x:c>
      <x:c r="K798" s="159" t="n">
        <x:f>I798-J798</x:f>
        <x:v>-17602</x:v>
      </x:c>
      <x:c r="L798" s="154" t="n">
        <x:f>IFERROR(K798/D798,"")</x:f>
        <x:v>-0.04091214418032768</x:v>
      </x:c>
    </x:row>
    <x:row r="799">
      <x:c r="A799" s="141" t="str">
        <x:v>Silver</x:v>
      </x:c>
      <x:c r="B799" s="155" t="n">
        <x:v>45160</x:v>
      </x:c>
      <x:c r="C799" s="155" t="n">
        <x:v>45163</x:v>
      </x:c>
      <x:c r="D799" s="159" t="n">
        <x:v>136680</x:v>
      </x:c>
      <x:c r="E799" s="159" t="n">
        <x:v>36497</x:v>
      </x:c>
      <x:c r="F799" s="159" t="n">
        <x:v>35114</x:v>
      </x:c>
      <x:c r="G799" s="159" t="n">
        <x:f>E799-F799</x:f>
        <x:v>1383</x:v>
      </x:c>
      <x:c r="H799" s="154" t="n">
        <x:f>IFERROR(G799/D799,"")</x:f>
        <x:v>0.010118525021949078</x:v>
      </x:c>
      <x:c r="I799" s="159" t="n">
        <x:v>3897</x:v>
      </x:c>
      <x:c r="J799" s="159" t="n">
        <x:v>33557</x:v>
      </x:c>
      <x:c r="K799" s="159" t="n">
        <x:f>I799-J799</x:f>
        <x:v>-29660</x:v>
      </x:c>
      <x:c r="L799" s="154" t="n">
        <x:f>IFERROR(K799/D799,"")</x:f>
        <x:v>-0.217003219198127</x:v>
      </x:c>
    </x:row>
    <x:row r="800">
      <x:c r="A800" s="141" t="str">
        <x:v>Gold</x:v>
      </x:c>
      <x:c r="B800" s="155" t="n">
        <x:v>45167</x:v>
      </x:c>
      <x:c r="C800" s="155" t="n">
        <x:v>45170</x:v>
      </x:c>
      <x:c r="D800" s="159" t="n">
        <x:v>442806</x:v>
      </x:c>
      <x:c r="E800" s="159" t="n">
        <x:v>120609</x:v>
      </x:c>
      <x:c r="F800" s="159" t="n">
        <x:v>81367</x:v>
      </x:c>
      <x:c r="G800" s="159" t="n">
        <x:f>E800-F800</x:f>
        <x:v>39242</x:v>
      </x:c>
      <x:c r="H800" s="154" t="n">
        <x:f>IFERROR(G800/D800,"")</x:f>
        <x:v>0.08862120206139935</x:v>
      </x:c>
      <x:c r="I800" s="159" t="n">
        <x:v>20564</x:v>
      </x:c>
      <x:c r="J800" s="159" t="n">
        <x:v>41031</x:v>
      </x:c>
      <x:c r="K800" s="159" t="n">
        <x:f>I800-J800</x:f>
        <x:v>-20467</x:v>
      </x:c>
      <x:c r="L800" s="154" t="n">
        <x:f>IFERROR(K800/D800,"")</x:f>
        <x:v>-0.04622114424827125</x:v>
      </x:c>
    </x:row>
    <x:row r="801">
      <x:c r="A801" s="141" t="str">
        <x:v>Silver</x:v>
      </x:c>
      <x:c r="B801" s="155" t="n">
        <x:v>45167</x:v>
      </x:c>
      <x:c r="C801" s="155" t="n">
        <x:v>45170</x:v>
      </x:c>
      <x:c r="D801" s="159" t="n">
        <x:v>134993</x:v>
      </x:c>
      <x:c r="E801" s="159" t="n">
        <x:v>43477</x:v>
      </x:c>
      <x:c r="F801" s="159" t="n">
        <x:v>26998</x:v>
      </x:c>
      <x:c r="G801" s="159" t="n">
        <x:f>E801-F801</x:f>
        <x:v>16479</x:v>
      </x:c>
      <x:c r="H801" s="154" t="n">
        <x:f>IFERROR(G801/D801,"")</x:f>
        <x:v>0.12207299637758995</x:v>
      </x:c>
      <x:c r="I801" s="159" t="n">
        <x:v>3386</x:v>
      </x:c>
      <x:c r="J801" s="159" t="n">
        <x:v>35851</x:v>
      </x:c>
      <x:c r="K801" s="159" t="n">
        <x:f>I801-J801</x:f>
        <x:v>-32465</x:v>
      </x:c>
      <x:c r="L801" s="154" t="n">
        <x:f>IFERROR(K801/D801,"")</x:f>
        <x:v>-0.24049395153822792</x:v>
      </x:c>
    </x:row>
    <x:row r="802">
      <x:c r="A802" s="141" t="str">
        <x:v>Gold</x:v>
      </x:c>
      <x:c r="B802" s="155" t="n">
        <x:v>45174</x:v>
      </x:c>
      <x:c r="C802" s="155" t="n">
        <x:v>45177</x:v>
      </x:c>
      <x:c r="D802" s="159" t="n">
        <x:v>438672</x:v>
      </x:c>
      <x:c r="E802" s="159" t="n">
        <x:v>120222</x:v>
      </x:c>
      <x:c r="F802" s="159" t="n">
        <x:v>69857</x:v>
      </x:c>
      <x:c r="G802" s="159" t="n">
        <x:f>E802-F802</x:f>
        <x:v>50365</x:v>
      </x:c>
      <x:c r="H802" s="154" t="n">
        <x:f>IFERROR(G802/D802,"")</x:f>
        <x:v>0.11481243389138127</x:v>
      </x:c>
      <x:c r="I802" s="159" t="n">
        <x:v>17994</x:v>
      </x:c>
      <x:c r="J802" s="159" t="n">
        <x:v>42368</x:v>
      </x:c>
      <x:c r="K802" s="159" t="n">
        <x:f>I802-J802</x:f>
        <x:v>-24374</x:v>
      </x:c>
      <x:c r="L802" s="154" t="n">
        <x:f>IFERROR(K802/D802,"")</x:f>
        <x:v>-0.05556315424736477</x:v>
      </x:c>
    </x:row>
    <x:row r="803">
      <x:c r="A803" s="141" t="str">
        <x:v>Silver</x:v>
      </x:c>
      <x:c r="B803" s="155" t="n">
        <x:v>45174</x:v>
      </x:c>
      <x:c r="C803" s="155" t="n">
        <x:v>45177</x:v>
      </x:c>
      <x:c r="D803" s="159" t="n">
        <x:v>128279</x:v>
      </x:c>
      <x:c r="E803" s="159" t="n">
        <x:v>38143</x:v>
      </x:c>
      <x:c r="F803" s="159" t="n">
        <x:v>24795</x:v>
      </x:c>
      <x:c r="G803" s="159" t="n">
        <x:f>E803-F803</x:f>
        <x:v>13348</x:v>
      </x:c>
      <x:c r="H803" s="154" t="n">
        <x:f>IFERROR(G803/D803,"")</x:f>
        <x:v>0.10405444382946546</x:v>
      </x:c>
      <x:c r="I803" s="159" t="n">
        <x:v>3389</x:v>
      </x:c>
      <x:c r="J803" s="159" t="n">
        <x:v>34909</x:v>
      </x:c>
      <x:c r="K803" s="159" t="n">
        <x:f>I803-J803</x:f>
        <x:v>-31520</x:v>
      </x:c>
      <x:c r="L803" s="154" t="n">
        <x:f>IFERROR(K803/D803,"")</x:f>
        <x:v>-0.24571441935156962</x:v>
      </x:c>
    </x:row>
    <x:row r="804">
      <x:c r="A804" s="141" t="str">
        <x:v>Gold</x:v>
      </x:c>
      <x:c r="B804" s="155" t="n">
        <x:v>45181</x:v>
      </x:c>
      <x:c r="C804" s="155" t="n">
        <x:v>45184</x:v>
      </x:c>
      <x:c r="D804" s="159" t="n">
        <x:v>441221</x:v>
      </x:c>
      <x:c r="E804" s="159" t="n">
        <x:v>117737</x:v>
      </x:c>
      <x:c r="F804" s="159" t="n">
        <x:v>83166</x:v>
      </x:c>
      <x:c r="G804" s="159" t="n">
        <x:f>E804-F804</x:f>
        <x:v>34571</x:v>
      </x:c>
      <x:c r="H804" s="154" t="n">
        <x:f>IFERROR(G804/D804,"")</x:f>
        <x:v>0.07835302490135329</x:v>
      </x:c>
      <x:c r="I804" s="159" t="n">
        <x:v>17361</x:v>
      </x:c>
      <x:c r="J804" s="159" t="n">
        <x:v>39709</x:v>
      </x:c>
      <x:c r="K804" s="159" t="n">
        <x:f>I804-J804</x:f>
        <x:v>-22348</x:v>
      </x:c>
      <x:c r="L804" s="154" t="n">
        <x:f>IFERROR(K804/D804,"")</x:f>
        <x:v>-0.050650354357566846</x:v>
      </x:c>
    </x:row>
    <x:row r="805">
      <x:c r="A805" s="141" t="str">
        <x:v>Silver</x:v>
      </x:c>
      <x:c r="B805" s="155" t="n">
        <x:v>45181</x:v>
      </x:c>
      <x:c r="C805" s="155" t="n">
        <x:v>45184</x:v>
      </x:c>
      <x:c r="D805" s="159" t="n">
        <x:v>125292</x:v>
      </x:c>
      <x:c r="E805" s="159" t="n">
        <x:v>31715</x:v>
      </x:c>
      <x:c r="F805" s="159" t="n">
        <x:v>31147</x:v>
      </x:c>
      <x:c r="G805" s="159" t="n">
        <x:f>E805-F805</x:f>
        <x:v>568</x:v>
      </x:c>
      <x:c r="H805" s="154" t="n">
        <x:f>IFERROR(G805/D805,"")</x:f>
        <x:v>0.004533409954346646</x:v>
      </x:c>
      <x:c r="I805" s="159" t="n">
        <x:v>3201</x:v>
      </x:c>
      <x:c r="J805" s="159" t="n">
        <x:v>32511</x:v>
      </x:c>
      <x:c r="K805" s="159" t="n">
        <x:f>I805-J805</x:f>
        <x:v>-29310</x:v>
      </x:c>
      <x:c r="L805" s="154" t="n">
        <x:f>IFERROR(K805/D805,"")</x:f>
        <x:v>-0.23393353127095107</x:v>
      </x:c>
    </x:row>
    <x:row r="806">
      <x:c r="A806" s="141" t="str">
        <x:v>Gold</x:v>
      </x:c>
      <x:c r="B806" s="155" t="n">
        <x:v>45188</x:v>
      </x:c>
      <x:c r="C806" s="155" t="n">
        <x:v>45191</x:v>
      </x:c>
      <x:c r="D806" s="159" t="n">
        <x:v>438078</x:v>
      </x:c>
      <x:c r="E806" s="159" t="n">
        <x:v>121172</x:v>
      </x:c>
      <x:c r="F806" s="159" t="n">
        <x:v>73782</x:v>
      </x:c>
      <x:c r="G806" s="159" t="n">
        <x:f>E806-F806</x:f>
        <x:v>47390</x:v>
      </x:c>
      <x:c r="H806" s="154" t="n">
        <x:f>IFERROR(G806/D806,"")</x:f>
        <x:v>0.10817708261999005</x:v>
      </x:c>
      <x:c r="I806" s="159" t="n">
        <x:v>15305</x:v>
      </x:c>
      <x:c r="J806" s="159" t="n">
        <x:v>40593</x:v>
      </x:c>
      <x:c r="K806" s="159" t="n">
        <x:f>I806-J806</x:f>
        <x:v>-25288</x:v>
      </x:c>
      <x:c r="L806" s="154" t="n">
        <x:f>IFERROR(K806/D806,"")</x:f>
        <x:v>-0.057724880044193044</x:v>
      </x:c>
    </x:row>
    <x:row r="807">
      <x:c r="A807" s="141" t="str">
        <x:v>Silver</x:v>
      </x:c>
      <x:c r="B807" s="155" t="n">
        <x:v>45188</x:v>
      </x:c>
      <x:c r="C807" s="155" t="n">
        <x:v>45191</x:v>
      </x:c>
      <x:c r="D807" s="159" t="n">
        <x:v>125749</x:v>
      </x:c>
      <x:c r="E807" s="159" t="n">
        <x:v>32700</x:v>
      </x:c>
      <x:c r="F807" s="159" t="n">
        <x:v>31346</x:v>
      </x:c>
      <x:c r="G807" s="159" t="n">
        <x:f>E807-F807</x:f>
        <x:v>1354</x:v>
      </x:c>
      <x:c r="H807" s="154" t="n">
        <x:f>IFERROR(G807/D807,"")</x:f>
        <x:v>0.010767481252336003</x:v>
      </x:c>
      <x:c r="I807" s="159" t="n">
        <x:v>4017</x:v>
      </x:c>
      <x:c r="J807" s="159" t="n">
        <x:v>31819</x:v>
      </x:c>
      <x:c r="K807" s="159" t="n">
        <x:f>I807-J807</x:f>
        <x:v>-27802</x:v>
      </x:c>
      <x:c r="L807" s="154" t="n">
        <x:f>IFERROR(K807/D807,"")</x:f>
        <x:v>-0.22109122140136303</x:v>
      </x:c>
    </x:row>
    <x:row r="808">
      <x:c r="A808" s="141" t="str">
        <x:v>Gold</x:v>
      </x:c>
      <x:c r="B808" s="155" t="n">
        <x:v>45195</x:v>
      </x:c>
      <x:c r="C808" s="155" t="n">
        <x:v>45198</x:v>
      </x:c>
      <x:c r="D808" s="159" t="n">
        <x:v>435620</x:v>
      </x:c>
      <x:c r="E808" s="159" t="n">
        <x:v>114668</x:v>
      </x:c>
      <x:c r="F808" s="159" t="n">
        <x:v>91230</x:v>
      </x:c>
      <x:c r="G808" s="159" t="n">
        <x:f>E808-F808</x:f>
        <x:v>23438</x:v>
      </x:c>
      <x:c r="H808" s="154" t="n">
        <x:f>IFERROR(G808/D808,"")</x:f>
        <x:v>0.05380377393140811</x:v>
      </x:c>
      <x:c r="I808" s="159" t="n">
        <x:v>13152</x:v>
      </x:c>
      <x:c r="J808" s="159" t="n">
        <x:v>39819</x:v>
      </x:c>
      <x:c r="K808" s="159" t="n">
        <x:f>I808-J808</x:f>
        <x:v>-26667</x:v>
      </x:c>
      <x:c r="L808" s="154" t="n">
        <x:f>IFERROR(K808/D808,"")</x:f>
        <x:v>-0.061216197603415824</x:v>
      </x:c>
    </x:row>
    <x:row r="809">
      <x:c r="A809" s="141" t="str">
        <x:v>Silver</x:v>
      </x:c>
      <x:c r="B809" s="155" t="n">
        <x:v>45195</x:v>
      </x:c>
      <x:c r="C809" s="155" t="n">
        <x:v>45198</x:v>
      </x:c>
      <x:c r="D809" s="159" t="n">
        <x:v>126206</x:v>
      </x:c>
      <x:c r="E809" s="159" t="n">
        <x:v>32719</x:v>
      </x:c>
      <x:c r="F809" s="159" t="n">
        <x:v>27452</x:v>
      </x:c>
      <x:c r="G809" s="159" t="n">
        <x:f>E809-F809</x:f>
        <x:v>5267</x:v>
      </x:c>
      <x:c r="H809" s="154" t="n">
        <x:f>IFERROR(G809/D809,"")</x:f>
        <x:v>0.041733356575757094</x:v>
      </x:c>
      <x:c r="I809" s="159" t="n">
        <x:v>3583</x:v>
      </x:c>
      <x:c r="J809" s="159" t="n">
        <x:v>31776</x:v>
      </x:c>
      <x:c r="K809" s="159" t="n">
        <x:f>I809-J809</x:f>
        <x:v>-28193</x:v>
      </x:c>
      <x:c r="L809" s="154" t="n">
        <x:f>IFERROR(K809/D809,"")</x:f>
        <x:v>-0.22338874538453005</x:v>
      </x:c>
    </x:row>
    <x:row r="810">
      <x:c r="A810" s="141" t="str">
        <x:v>Gold</x:v>
      </x:c>
      <x:c r="B810" s="155" t="n">
        <x:v>45202</x:v>
      </x:c>
      <x:c r="C810" s="155" t="n">
        <x:v>45205</x:v>
      </x:c>
      <x:c r="D810" s="159" t="n">
        <x:v>431226</x:v>
      </x:c>
      <x:c r="E810" s="159" t="n">
        <x:v>100500</x:v>
      </x:c>
      <x:c r="F810" s="159" t="n">
        <x:v>108061</x:v>
      </x:c>
      <x:c r="G810" s="159" t="n">
        <x:f>E810-F810</x:f>
        <x:v>-7561</x:v>
      </x:c>
      <x:c r="H810" s="154" t="n">
        <x:f>IFERROR(G810/D810,"")</x:f>
        <x:v>-0.017533729413347063</x:v>
      </x:c>
      <x:c r="I810" s="159" t="n">
        <x:v>16614</x:v>
      </x:c>
      <x:c r="J810" s="159" t="n">
        <x:v>38810</x:v>
      </x:c>
      <x:c r="K810" s="159" t="n">
        <x:f>I810-J810</x:f>
        <x:v>-22196</x:v>
      </x:c>
      <x:c r="L810" s="154" t="n">
        <x:f>IFERROR(K810/D810,"")</x:f>
        <x:v>-0.05147185002759574</x:v>
      </x:c>
    </x:row>
    <x:row r="811">
      <x:c r="A811" s="141" t="str">
        <x:v>Silver</x:v>
      </x:c>
      <x:c r="B811" s="155" t="n">
        <x:v>45202</x:v>
      </x:c>
      <x:c r="C811" s="155" t="n">
        <x:v>45205</x:v>
      </x:c>
      <x:c r="D811" s="159" t="n">
        <x:v>125847</x:v>
      </x:c>
      <x:c r="E811" s="159" t="n">
        <x:v>29421</x:v>
      </x:c>
      <x:c r="F811" s="159" t="n">
        <x:v>31671</x:v>
      </x:c>
      <x:c r="G811" s="159" t="n">
        <x:f>E811-F811</x:f>
        <x:v>-2250</x:v>
      </x:c>
      <x:c r="H811" s="154" t="n">
        <x:f>IFERROR(G811/D811,"")</x:f>
        <x:v>-0.0178788528927984</x:v>
      </x:c>
      <x:c r="I811" s="159" t="n">
        <x:v>3322</x:v>
      </x:c>
      <x:c r="J811" s="159" t="n">
        <x:v>31880</x:v>
      </x:c>
      <x:c r="K811" s="159" t="n">
        <x:f>I811-J811</x:f>
        <x:v>-28558</x:v>
      </x:c>
      <x:c r="L811" s="154" t="n">
        <x:f>IFERROR(K811/D811,"")</x:f>
        <x:v>-0.22692634707223852</x:v>
      </x:c>
    </x:row>
    <x:row r="812">
      <x:c r="A812" s="141" t="str">
        <x:v>Gold</x:v>
      </x:c>
      <x:c r="B812" s="155" t="n">
        <x:v>45209</x:v>
      </x:c>
      <x:c r="C812" s="155" t="n">
        <x:v>45212</x:v>
      </x:c>
      <x:c r="D812" s="159" t="n">
        <x:v>436499</x:v>
      </x:c>
      <x:c r="E812" s="159" t="n">
        <x:v>93934</x:v>
      </x:c>
      <x:c r="F812" s="159" t="n">
        <x:v>120701</x:v>
      </x:c>
      <x:c r="G812" s="159" t="n">
        <x:f>E812-F812</x:f>
        <x:v>-26767</x:v>
      </x:c>
      <x:c r="H812" s="154" t="n">
        <x:f>IFERROR(G812/D812,"")</x:f>
        <x:v>-0.06132201906533578</x:v>
      </x:c>
      <x:c r="I812" s="159" t="n">
        <x:v>19010</x:v>
      </x:c>
      <x:c r="J812" s="159" t="n">
        <x:v>37437</x:v>
      </x:c>
      <x:c r="K812" s="159" t="n">
        <x:f>I812-J812</x:f>
        <x:v>-18427</x:v>
      </x:c>
      <x:c r="L812" s="154" t="n">
        <x:f>IFERROR(K812/D812,"")</x:f>
        <x:v>-0.04221544608349618</x:v>
      </x:c>
    </x:row>
    <x:row r="813">
      <x:c r="A813" s="141" t="str">
        <x:v>Silver</x:v>
      </x:c>
      <x:c r="B813" s="155" t="n">
        <x:v>45209</x:v>
      </x:c>
      <x:c r="C813" s="155" t="n">
        <x:v>45212</x:v>
      </x:c>
      <x:c r="D813" s="159" t="n">
        <x:v>126971</x:v>
      </x:c>
      <x:c r="E813" s="159" t="n">
        <x:v>29895</x:v>
      </x:c>
      <x:c r="F813" s="159" t="n">
        <x:v>34842</x:v>
      </x:c>
      <x:c r="G813" s="159" t="n">
        <x:f>E813-F813</x:f>
        <x:v>-4947</x:v>
      </x:c>
      <x:c r="H813" s="154" t="n">
        <x:f>IFERROR(G813/D813,"")</x:f>
        <x:v>-0.03896165266084382</x:v>
      </x:c>
      <x:c r="I813" s="159" t="n">
        <x:v>4035</x:v>
      </x:c>
      <x:c r="J813" s="159" t="n">
        <x:v>32567</x:v>
      </x:c>
      <x:c r="K813" s="159" t="n">
        <x:f>I813-J813</x:f>
        <x:v>-28532</x:v>
      </x:c>
      <x:c r="L813" s="154" t="n">
        <x:f>IFERROR(K813/D813,"")</x:f>
        <x:v>-0.2247127296784305</x:v>
      </x:c>
    </x:row>
    <x:row r="814">
      <x:c r="A814" s="141" t="str">
        <x:v>Gold</x:v>
      </x:c>
      <x:c r="B814" s="155" t="n">
        <x:v>45216</x:v>
      </x:c>
      <x:c r="C814" s="155" t="n">
        <x:v>45219</x:v>
      </x:c>
      <x:c r="D814" s="159" t="n">
        <x:v>439581</x:v>
      </x:c>
      <x:c r="E814" s="159" t="n">
        <x:v>104708</x:v>
      </x:c>
      <x:c r="F814" s="159" t="n">
        <x:v>89605</x:v>
      </x:c>
      <x:c r="G814" s="159" t="n">
        <x:f>E814-F814</x:f>
        <x:v>15103</x:v>
      </x:c>
      <x:c r="H814" s="154" t="n">
        <x:f>IFERROR(G814/D814,"")</x:f>
        <x:v>0.0343577179177444</x:v>
      </x:c>
      <x:c r="I814" s="159" t="n">
        <x:v>11737</x:v>
      </x:c>
      <x:c r="J814" s="159" t="n">
        <x:v>41703</x:v>
      </x:c>
      <x:c r="K814" s="159" t="n">
        <x:f>I814-J814</x:f>
        <x:v>-29966</x:v>
      </x:c>
      <x:c r="L814" s="154" t="n">
        <x:f>IFERROR(K814/D814,"")</x:f>
        <x:v>-0.06816946137344426</x:v>
      </x:c>
    </x:row>
    <x:row r="815">
      <x:c r="A815" s="141" t="str">
        <x:v>Silver</x:v>
      </x:c>
      <x:c r="B815" s="155" t="n">
        <x:v>45216</x:v>
      </x:c>
      <x:c r="C815" s="155" t="n">
        <x:v>45219</x:v>
      </x:c>
      <x:c r="D815" s="159" t="n">
        <x:v>123640</x:v>
      </x:c>
      <x:c r="E815" s="159" t="n">
        <x:v>31027</x:v>
      </x:c>
      <x:c r="F815" s="159" t="n">
        <x:v>27701</x:v>
      </x:c>
      <x:c r="G815" s="159" t="n">
        <x:f>E815-F815</x:f>
        <x:v>3326</x:v>
      </x:c>
      <x:c r="H815" s="154" t="n">
        <x:f>IFERROR(G815/D815,"")</x:f>
        <x:v>0.026900679391782596</x:v>
      </x:c>
      <x:c r="I815" s="159" t="n">
        <x:v>3025</x:v>
      </x:c>
      <x:c r="J815" s="159" t="n">
        <x:v>34073</x:v>
      </x:c>
      <x:c r="K815" s="159" t="n">
        <x:f>I815-J815</x:f>
        <x:v>-31048</x:v>
      </x:c>
      <x:c r="L815" s="154" t="n">
        <x:f>IFERROR(K815/D815,"")</x:f>
        <x:v>-0.251116143642834</x:v>
      </x:c>
    </x:row>
    <x:row r="816">
      <x:c r="A816" s="141" t="str">
        <x:v>Gold</x:v>
      </x:c>
      <x:c r="B816" s="155" t="n">
        <x:v>45223</x:v>
      </x:c>
      <x:c r="C816" s="155" t="n">
        <x:v>45226</x:v>
      </x:c>
      <x:c r="D816" s="159" t="n">
        <x:v>463476</x:v>
      </x:c>
      <x:c r="E816" s="159" t="n">
        <x:v>122456</x:v>
      </x:c>
      <x:c r="F816" s="159" t="n">
        <x:v>66708</x:v>
      </x:c>
      <x:c r="G816" s="159" t="n">
        <x:f>E816-F816</x:f>
        <x:v>55748</x:v>
      </x:c>
      <x:c r="H816" s="154" t="n">
        <x:f>IFERROR(G816/D816,"")</x:f>
        <x:v>0.12028238786905902</x:v>
      </x:c>
      <x:c r="I816" s="159" t="n">
        <x:v>10642</x:v>
      </x:c>
      <x:c r="J816" s="159" t="n">
        <x:v>50787</x:v>
      </x:c>
      <x:c r="K816" s="159" t="n">
        <x:f>I816-J816</x:f>
        <x:v>-40145</x:v>
      </x:c>
      <x:c r="L816" s="154" t="n">
        <x:f>IFERROR(K816/D816,"")</x:f>
        <x:v>-0.08661721426783696</x:v>
      </x:c>
    </x:row>
    <x:row r="817">
      <x:c r="A817" s="141" t="str">
        <x:v>Silver</x:v>
      </x:c>
      <x:c r="B817" s="155" t="n">
        <x:v>45223</x:v>
      </x:c>
      <x:c r="C817" s="155" t="n">
        <x:v>45226</x:v>
      </x:c>
      <x:c r="D817" s="159" t="n">
        <x:v>123980</x:v>
      </x:c>
      <x:c r="E817" s="159" t="n">
        <x:v>29617</x:v>
      </x:c>
      <x:c r="F817" s="159" t="n">
        <x:v>22373</x:v>
      </x:c>
      <x:c r="G817" s="159" t="n">
        <x:f>E817-F817</x:f>
        <x:v>7244</x:v>
      </x:c>
      <x:c r="H817" s="154" t="n">
        <x:f>IFERROR(G817/D817,"")</x:f>
        <x:v>0.058428778835296014</x:v>
      </x:c>
      <x:c r="I817" s="159" t="n">
        <x:v>2810</x:v>
      </x:c>
      <x:c r="J817" s="159" t="n">
        <x:v>35009</x:v>
      </x:c>
      <x:c r="K817" s="159" t="n">
        <x:f>I817-J817</x:f>
        <x:v>-32199</x:v>
      </x:c>
      <x:c r="L817" s="154" t="n">
        <x:f>IFERROR(K817/D817,"")</x:f>
        <x:v>-0.2597112437489918</x:v>
      </x:c>
    </x:row>
    <x:row r="818">
      <x:c r="A818" s="141" t="str">
        <x:v>Gold</x:v>
      </x:c>
      <x:c r="B818" s="155" t="n">
        <x:v>45230</x:v>
      </x:c>
      <x:c r="C818" s="155" t="n">
        <x:v>45233</x:v>
      </x:c>
      <x:c r="D818" s="159" t="n">
        <x:v>475808</x:v>
      </x:c>
      <x:c r="E818" s="159" t="n">
        <x:v>140111</x:v>
      </x:c>
      <x:c r="F818" s="159" t="n">
        <x:v>65271</x:v>
      </x:c>
      <x:c r="G818" s="159" t="n">
        <x:f>E818-F818</x:f>
        <x:v>74840</x:v>
      </x:c>
      <x:c r="H818" s="154" t="n">
        <x:f>IFERROR(G818/D818,"")</x:f>
        <x:v>0.15729033559755196</x:v>
      </x:c>
      <x:c r="I818" s="159" t="n">
        <x:v>11165</x:v>
      </x:c>
      <x:c r="J818" s="159" t="n">
        <x:v>55350</x:v>
      </x:c>
      <x:c r="K818" s="159" t="n">
        <x:f>I818-J818</x:f>
        <x:v>-44185</x:v>
      </x:c>
      <x:c r="L818" s="154" t="n">
        <x:f>IFERROR(K818/D818,"")</x:f>
        <x:v>-0.09286308763198602</x:v>
      </x:c>
    </x:row>
    <x:row r="819">
      <x:c r="A819" s="141" t="str">
        <x:v>Silver</x:v>
      </x:c>
      <x:c r="B819" s="155" t="n">
        <x:v>45230</x:v>
      </x:c>
      <x:c r="C819" s="155" t="n">
        <x:v>45233</x:v>
      </x:c>
      <x:c r="D819" s="159" t="n">
        <x:v>126549</x:v>
      </x:c>
      <x:c r="E819" s="159" t="n">
        <x:v>28019</x:v>
      </x:c>
      <x:c r="F819" s="159" t="n">
        <x:v>23384</x:v>
      </x:c>
      <x:c r="G819" s="159" t="n">
        <x:f>E819-F819</x:f>
        <x:v>4635</x:v>
      </x:c>
      <x:c r="H819" s="154" t="n">
        <x:f>IFERROR(G819/D819,"")</x:f>
        <x:v>0.03662612900931655</x:v>
      </x:c>
      <x:c r="I819" s="159" t="n">
        <x:v>3571</x:v>
      </x:c>
      <x:c r="J819" s="159" t="n">
        <x:v>33701</x:v>
      </x:c>
      <x:c r="K819" s="159" t="n">
        <x:f>I819-J819</x:f>
        <x:v>-30130</x:v>
      </x:c>
      <x:c r="L819" s="154" t="n">
        <x:f>IFERROR(K819/D819,"")</x:f>
        <x:v>-0.23808959375419797</x:v>
      </x:c>
    </x:row>
    <x:row r="820">
      <x:c r="A820" s="141" t="str">
        <x:v>Gold</x:v>
      </x:c>
      <x:c r="B820" s="155" t="n">
        <x:v>45237</x:v>
      </x:c>
      <x:c r="C820" s="155" t="n">
        <x:v>45240</x:v>
      </x:c>
      <x:c r="D820" s="159" t="n">
        <x:v>484347</x:v>
      </x:c>
      <x:c r="E820" s="159" t="n">
        <x:v>140609</x:v>
      </x:c>
      <x:c r="F820" s="159" t="n">
        <x:v>62374</x:v>
      </x:c>
      <x:c r="G820" s="159" t="n">
        <x:f>E820-F820</x:f>
        <x:v>78235</x:v>
      </x:c>
      <x:c r="H820" s="154" t="n">
        <x:f>IFERROR(G820/D820,"")</x:f>
        <x:v>0.16152675664348082</x:v>
      </x:c>
      <x:c r="I820" s="159" t="n">
        <x:v>10487</x:v>
      </x:c>
      <x:c r="J820" s="159" t="n">
        <x:v>55470</x:v>
      </x:c>
      <x:c r="K820" s="159" t="n">
        <x:f>I820-J820</x:f>
        <x:v>-44983</x:v>
      </x:c>
      <x:c r="L820" s="154" t="n">
        <x:f>IFERROR(K820/D820,"")</x:f>
        <x:v>-0.09287349771961012</x:v>
      </x:c>
    </x:row>
    <x:row r="821">
      <x:c r="A821" s="141" t="str">
        <x:v>Silver</x:v>
      </x:c>
      <x:c r="B821" s="155" t="n">
        <x:v>45237</x:v>
      </x:c>
      <x:c r="C821" s="155" t="n">
        <x:v>45240</x:v>
      </x:c>
      <x:c r="D821" s="159" t="n">
        <x:v>131073</x:v>
      </x:c>
      <x:c r="E821" s="159" t="n">
        <x:v>25457</x:v>
      </x:c>
      <x:c r="F821" s="159" t="n">
        <x:v>25107</x:v>
      </x:c>
      <x:c r="G821" s="159" t="n">
        <x:f>E821-F821</x:f>
        <x:v>350</x:v>
      </x:c>
      <x:c r="H821" s="154" t="n">
        <x:f>IFERROR(G821/D821,"")</x:f>
        <x:v>0.00267026771341161</x:v>
      </x:c>
      <x:c r="I821" s="159" t="n">
        <x:v>4243</x:v>
      </x:c>
      <x:c r="J821" s="159" t="n">
        <x:v>33847</x:v>
      </x:c>
      <x:c r="K821" s="159" t="n">
        <x:f>I821-J821</x:f>
        <x:v>-29604</x:v>
      </x:c>
      <x:c r="L821" s="154" t="n">
        <x:f>IFERROR(K821/D821,"")</x:f>
        <x:v>-0.22585887253667802</x:v>
      </x:c>
    </x:row>
    <x:row r="822">
      <x:c r="A822" s="141" t="str">
        <x:v>Gold</x:v>
      </x:c>
      <x:c r="B822" s="155" t="n">
        <x:v>45244</x:v>
      </x:c>
      <x:c r="C822" s="155" t="n">
        <x:v>45247</x:v>
      </x:c>
      <x:c r="D822" s="159" t="n">
        <x:v>486634</x:v>
      </x:c>
      <x:c r="E822" s="159" t="n">
        <x:v>132924</x:v>
      </x:c>
      <x:c r="F822" s="159" t="n">
        <x:v>68609</x:v>
      </x:c>
      <x:c r="G822" s="159" t="n">
        <x:f>E822-F822</x:f>
        <x:v>64315</x:v>
      </x:c>
      <x:c r="H822" s="154" t="n">
        <x:f>IFERROR(G822/D822,"")</x:f>
        <x:v>0.13216298080282102</x:v>
      </x:c>
      <x:c r="I822" s="159" t="n">
        <x:v>12176</x:v>
      </x:c>
      <x:c r="J822" s="159" t="n">
        <x:v>55241</x:v>
      </x:c>
      <x:c r="K822" s="159" t="n">
        <x:f>I822-J822</x:f>
        <x:v>-43065</x:v>
      </x:c>
      <x:c r="L822" s="154" t="n">
        <x:f>IFERROR(K822/D822,"")</x:f>
        <x:v>-0.08849566614745373</x:v>
      </x:c>
    </x:row>
    <x:row r="823">
      <x:c r="A823" s="141" t="str">
        <x:v>Silver</x:v>
      </x:c>
      <x:c r="B823" s="155" t="n">
        <x:v>45244</x:v>
      </x:c>
      <x:c r="C823" s="155" t="n">
        <x:v>45247</x:v>
      </x:c>
      <x:c r="D823" s="159" t="n">
        <x:v>134826</x:v>
      </x:c>
      <x:c r="E823" s="159" t="n">
        <x:v>30527</x:v>
      </x:c>
      <x:c r="F823" s="159" t="n">
        <x:v>23822</x:v>
      </x:c>
      <x:c r="G823" s="159" t="n">
        <x:f>E823-F823</x:f>
        <x:v>6705</x:v>
      </x:c>
      <x:c r="H823" s="154" t="n">
        <x:f>IFERROR(G823/D823,"")</x:f>
        <x:v>0.04973076409594589</x:v>
      </x:c>
      <x:c r="I823" s="159" t="n">
        <x:v>3722</x:v>
      </x:c>
      <x:c r="J823" s="159" t="n">
        <x:v>33610</x:v>
      </x:c>
      <x:c r="K823" s="159" t="n">
        <x:f>I823-J823</x:f>
        <x:v>-29888</x:v>
      </x:c>
      <x:c r="L823" s="154" t="n">
        <x:f>IFERROR(K823/D823,"")</x:f>
        <x:v>-0.22167831130494117</x:v>
      </x:c>
    </x:row>
    <x:row r="824">
      <x:c r="A824" s="141" t="str">
        <x:v>Gold</x:v>
      </x:c>
      <x:c r="B824" s="155" t="n">
        <x:v>45251</x:v>
      </x:c>
      <x:c r="C824" s="155" t="n">
        <x:v>45254</x:v>
      </x:c>
      <x:c r="D824" s="159" t="n">
        <x:v>508429</x:v>
      </x:c>
      <x:c r="E824" s="159" t="n">
        <x:v>144381</x:v>
      </x:c>
      <x:c r="F824" s="159" t="n">
        <x:v>65246</x:v>
      </x:c>
      <x:c r="G824" s="159" t="n">
        <x:f>E824-F824</x:f>
        <x:v>79135</x:v>
      </x:c>
      <x:c r="H824" s="154" t="n">
        <x:f>IFERROR(G824/D824,"")</x:f>
        <x:v>0.15564611774702072</x:v>
      </x:c>
      <x:c r="I824" s="159" t="n">
        <x:v>14081</x:v>
      </x:c>
      <x:c r="J824" s="159" t="n">
        <x:v>59990</x:v>
      </x:c>
      <x:c r="K824" s="159" t="n">
        <x:f>I824-J824</x:f>
        <x:v>-45909</x:v>
      </x:c>
      <x:c r="L824" s="154" t="n">
        <x:f>IFERROR(K824/D824,"")</x:f>
        <x:v>-0.09029579351295855</x:v>
      </x:c>
    </x:row>
    <x:row r="825">
      <x:c r="A825" s="141" t="str">
        <x:v>Silver</x:v>
      </x:c>
      <x:c r="B825" s="155" t="n">
        <x:v>45251</x:v>
      </x:c>
      <x:c r="C825" s="155" t="n">
        <x:v>45254</x:v>
      </x:c>
      <x:c r="D825" s="159" t="n">
        <x:v>134333</x:v>
      </x:c>
      <x:c r="E825" s="159" t="n">
        <x:v>33308</x:v>
      </x:c>
      <x:c r="F825" s="159" t="n">
        <x:v>21839</x:v>
      </x:c>
      <x:c r="G825" s="159" t="n">
        <x:f>E825-F825</x:f>
        <x:v>11469</x:v>
      </x:c>
      <x:c r="H825" s="154" t="n">
        <x:f>IFERROR(G825/D825,"")</x:f>
        <x:v>0.08537738307042946</x:v>
      </x:c>
      <x:c r="I825" s="159" t="n">
        <x:v>3582</x:v>
      </x:c>
      <x:c r="J825" s="159" t="n">
        <x:v>36975</x:v>
      </x:c>
      <x:c r="K825" s="159" t="n">
        <x:f>I825-J825</x:f>
        <x:v>-33393</x:v>
      </x:c>
      <x:c r="L825" s="154" t="n">
        <x:f>IFERROR(K825/D825,"")</x:f>
        <x:v>-0.24858374338397862</x:v>
      </x:c>
    </x:row>
    <x:row r="826">
      <x:c r="A826" s="141" t="str">
        <x:v>Gold</x:v>
      </x:c>
      <x:c r="B826" s="155" t="n">
        <x:v>45258</x:v>
      </x:c>
      <x:c r="C826" s="155" t="n">
        <x:v>45261</x:v>
      </x:c>
      <x:c r="D826" s="159" t="n">
        <x:v>505658</x:v>
      </x:c>
      <x:c r="E826" s="159" t="n">
        <x:v>169695</x:v>
      </x:c>
      <x:c r="F826" s="159" t="n">
        <x:v>54802</x:v>
      </x:c>
      <x:c r="G826" s="159" t="n">
        <x:f>E826-F826</x:f>
        <x:v>114893</x:v>
      </x:c>
      <x:c r="H826" s="154" t="n">
        <x:f>IFERROR(G826/D826,"")</x:f>
        <x:v>0.2272148369055765</x:v>
      </x:c>
      <x:c r="I826" s="159" t="n">
        <x:v>14333</x:v>
      </x:c>
      <x:c r="J826" s="159" t="n">
        <x:v>64941</x:v>
      </x:c>
      <x:c r="K826" s="159" t="n">
        <x:f>I826-J826</x:f>
        <x:v>-50608</x:v>
      </x:c>
      <x:c r="L826" s="154" t="n">
        <x:f>IFERROR(K826/D826,"")</x:f>
        <x:v>-0.10008345561624656</x:v>
      </x:c>
    </x:row>
    <x:row r="827">
      <x:c r="A827" s="141" t="str">
        <x:v>Silver</x:v>
      </x:c>
      <x:c r="B827" s="155" t="n">
        <x:v>45258</x:v>
      </x:c>
      <x:c r="C827" s="155" t="n">
        <x:v>45261</x:v>
      </x:c>
      <x:c r="D827" s="159" t="n">
        <x:v>139144</x:v>
      </x:c>
      <x:c r="E827" s="159" t="n">
        <x:v>45604</x:v>
      </x:c>
      <x:c r="F827" s="159" t="n">
        <x:v>21842</x:v>
      </x:c>
      <x:c r="G827" s="159" t="n">
        <x:f>E827-F827</x:f>
        <x:v>23762</x:v>
      </x:c>
      <x:c r="H827" s="154" t="n">
        <x:f>IFERROR(G827/D827,"")</x:f>
        <x:v>0.1707727246593457</x:v>
      </x:c>
      <x:c r="I827" s="159" t="n">
        <x:v>3472</x:v>
      </x:c>
      <x:c r="J827" s="159" t="n">
        <x:v>40323</x:v>
      </x:c>
      <x:c r="K827" s="159" t="n">
        <x:f>I827-J827</x:f>
        <x:v>-36851</x:v>
      </x:c>
      <x:c r="L827" s="154" t="n">
        <x:f>IFERROR(K827/D827,"")</x:f>
        <x:v>-0.26484074052779855</x:v>
      </x:c>
    </x:row>
    <x:row r="828">
      <x:c r="A828" s="141" t="str">
        <x:v>Gold</x:v>
      </x:c>
      <x:c r="B828" s="155" t="n">
        <x:v>45265</x:v>
      </x:c>
      <x:c r="C828" s="155" t="n">
        <x:v>45268</x:v>
      </x:c>
      <x:c r="D828" s="159" t="n">
        <x:v>487469</x:v>
      </x:c>
      <x:c r="E828" s="159" t="n">
        <x:v>159907</x:v>
      </x:c>
      <x:c r="F828" s="159" t="n">
        <x:v>50520</x:v>
      </x:c>
      <x:c r="G828" s="159" t="n">
        <x:f>E828-F828</x:f>
        <x:v>109387</x:v>
      </x:c>
      <x:c r="H828" s="154" t="n">
        <x:f>IFERROR(G828/D828,"")</x:f>
        <x:v>0.22439785914591492</x:v>
      </x:c>
      <x:c r="I828" s="159" t="n">
        <x:v>12631</x:v>
      </x:c>
      <x:c r="J828" s="159" t="n">
        <x:v>62325</x:v>
      </x:c>
      <x:c r="K828" s="159" t="n">
        <x:f>I828-J828</x:f>
        <x:v>-49694</x:v>
      </x:c>
      <x:c r="L828" s="154" t="n">
        <x:f>IFERROR(K828/D828,"")</x:f>
        <x:v>-0.10194289277882286</x:v>
      </x:c>
    </x:row>
    <x:row r="829">
      <x:c r="A829" s="141" t="str">
        <x:v>Silver</x:v>
      </x:c>
      <x:c r="B829" s="155" t="n">
        <x:v>45265</x:v>
      </x:c>
      <x:c r="C829" s="155" t="n">
        <x:v>45268</x:v>
      </x:c>
      <x:c r="D829" s="159" t="n">
        <x:v>139753</x:v>
      </x:c>
      <x:c r="E829" s="159" t="n">
        <x:v>43852</x:v>
      </x:c>
      <x:c r="F829" s="159" t="n">
        <x:v>22322</x:v>
      </x:c>
      <x:c r="G829" s="159" t="n">
        <x:f>E829-F829</x:f>
        <x:v>21530</x:v>
      </x:c>
      <x:c r="H829" s="154" t="n">
        <x:f>IFERROR(G829/D829,"")</x:f>
        <x:v>0.15405751575994792</x:v>
      </x:c>
      <x:c r="I829" s="159" t="n">
        <x:v>4714</x:v>
      </x:c>
      <x:c r="J829" s="159" t="n">
        <x:v>41340</x:v>
      </x:c>
      <x:c r="K829" s="159" t="n">
        <x:f>I829-J829</x:f>
        <x:v>-36626</x:v>
      </x:c>
      <x:c r="L829" s="154" t="n">
        <x:f>IFERROR(K829/D829,"")</x:f>
        <x:v>-0.2620766638283257</x:v>
      </x:c>
    </x:row>
    <x:row r="830">
      <x:c r="A830" s="141" t="str">
        <x:v>Gold</x:v>
      </x:c>
      <x:c r="B830" s="155" t="n">
        <x:v>45272</x:v>
      </x:c>
      <x:c r="C830" s="155" t="n">
        <x:v>45275</x:v>
      </x:c>
      <x:c r="D830" s="159" t="n">
        <x:v>469939</x:v>
      </x:c>
      <x:c r="E830" s="159" t="n">
        <x:v>149634</x:v>
      </x:c>
      <x:c r="F830" s="159" t="n">
        <x:v>54106</x:v>
      </x:c>
      <x:c r="G830" s="159" t="n">
        <x:f>E830-F830</x:f>
        <x:v>95528</x:v>
      </x:c>
      <x:c r="H830" s="154" t="n">
        <x:f>IFERROR(G830/D830,"")</x:f>
        <x:v>0.20327744664733083</x:v>
      </x:c>
      <x:c r="I830" s="159" t="n">
        <x:v>13420</x:v>
      </x:c>
      <x:c r="J830" s="159" t="n">
        <x:v>58535</x:v>
      </x:c>
      <x:c r="K830" s="159" t="n">
        <x:f>I830-J830</x:f>
        <x:v>-45115</x:v>
      </x:c>
      <x:c r="L830" s="154" t="n">
        <x:f>IFERROR(K830/D830,"")</x:f>
        <x:v>-0.09600182151300488</x:v>
      </x:c>
    </x:row>
    <x:row r="831">
      <x:c r="A831" s="141" t="str">
        <x:v>Silver</x:v>
      </x:c>
      <x:c r="B831" s="155" t="n">
        <x:v>45272</x:v>
      </x:c>
      <x:c r="C831" s="155" t="n">
        <x:v>45275</x:v>
      </x:c>
      <x:c r="D831" s="159" t="n">
        <x:v>134281</x:v>
      </x:c>
      <x:c r="E831" s="159" t="n">
        <x:v>33472</x:v>
      </x:c>
      <x:c r="F831" s="159" t="n">
        <x:v>24805</x:v>
      </x:c>
      <x:c r="G831" s="159" t="n">
        <x:f>E831-F831</x:f>
        <x:v>8667</x:v>
      </x:c>
      <x:c r="H831" s="154" t="n">
        <x:f>IFERROR(G831/D831,"")</x:f>
        <x:v>0.06454375525949316</x:v>
      </x:c>
      <x:c r="I831" s="159" t="n">
        <x:v>4311</x:v>
      </x:c>
      <x:c r="J831" s="159" t="n">
        <x:v>38849</x:v>
      </x:c>
      <x:c r="K831" s="159" t="n">
        <x:f>I831-J831</x:f>
        <x:v>-34538</x:v>
      </x:c>
      <x:c r="L831" s="154" t="n">
        <x:f>IFERROR(K831/D831,"")</x:f>
        <x:v>-0.25720690194442997</x:v>
      </x:c>
    </x:row>
    <x:row r="832">
      <x:c r="A832" s="141" t="str">
        <x:v>Gold</x:v>
      </x:c>
      <x:c r="B832" s="155" t="n">
        <x:v>45279</x:v>
      </x:c>
      <x:c r="C832" s="155" t="n">
        <x:v>45282</x:v>
      </x:c>
      <x:c r="D832" s="159" t="n">
        <x:v>481203</x:v>
      </x:c>
      <x:c r="E832" s="159" t="n">
        <x:v>155697</x:v>
      </x:c>
      <x:c r="F832" s="159" t="n">
        <x:v>47421</x:v>
      </x:c>
      <x:c r="G832" s="159" t="n">
        <x:f>E832-F832</x:f>
        <x:v>108276</x:v>
      </x:c>
      <x:c r="H832" s="154" t="n">
        <x:f>IFERROR(G832/D832,"")</x:f>
        <x:v>0.2250110660157979</x:v>
      </x:c>
      <x:c r="I832" s="159" t="n">
        <x:v>12836</x:v>
      </x:c>
      <x:c r="J832" s="159" t="n">
        <x:v>60852</x:v>
      </x:c>
      <x:c r="K832" s="159" t="n">
        <x:f>I832-J832</x:f>
        <x:v>-48016</x:v>
      </x:c>
      <x:c r="L832" s="154" t="n">
        <x:f>IFERROR(K832/D832,"")</x:f>
        <x:v>-0.0997832515591133</x:v>
      </x:c>
    </x:row>
    <x:row r="833">
      <x:c r="A833" s="141" t="str">
        <x:v>Silver</x:v>
      </x:c>
      <x:c r="B833" s="155" t="n">
        <x:v>45279</x:v>
      </x:c>
      <x:c r="C833" s="155" t="n">
        <x:v>45282</x:v>
      </x:c>
      <x:c r="D833" s="159" t="n">
        <x:v>127549</x:v>
      </x:c>
      <x:c r="E833" s="159" t="n">
        <x:v>34931</x:v>
      </x:c>
      <x:c r="F833" s="159" t="n">
        <x:v>20060</x:v>
      </x:c>
      <x:c r="G833" s="159" t="n">
        <x:f>E833-F833</x:f>
        <x:v>14871</x:v>
      </x:c>
      <x:c r="H833" s="154" t="n">
        <x:f>IFERROR(G833/D833,"")</x:f>
        <x:v>0.1165904867933108</x:v>
      </x:c>
      <x:c r="I833" s="159" t="n">
        <x:v>3701</x:v>
      </x:c>
      <x:c r="J833" s="159" t="n">
        <x:v>39714</x:v>
      </x:c>
      <x:c r="K833" s="159" t="n">
        <x:f>I833-J833</x:f>
        <x:v>-36013</x:v>
      </x:c>
      <x:c r="L833" s="154" t="n">
        <x:f>IFERROR(K833/D833,"")</x:f>
        <x:v>-0.2823463923668551</x:v>
      </x:c>
    </x:row>
    <x:row r="834">
      <x:c r="A834" s="141" t="str">
        <x:v>Gold</x:v>
      </x:c>
      <x:c r="B834" s="155" t="n">
        <x:v>45286</x:v>
      </x:c>
      <x:c r="C834" s="155" t="n">
        <x:v>45289</x:v>
      </x:c>
      <x:c r="D834" s="159" t="n">
        <x:v>491343</x:v>
      </x:c>
      <x:c r="E834" s="159" t="n">
        <x:v>152801</x:v>
      </x:c>
      <x:c r="F834" s="159" t="n">
        <x:v>46347</x:v>
      </x:c>
      <x:c r="G834" s="159" t="n">
        <x:f>E834-F834</x:f>
        <x:v>106454</x:v>
      </x:c>
      <x:c r="H834" s="154" t="n">
        <x:f>IFERROR(G834/D834,"")</x:f>
        <x:v>0.21665923804755538</x:v>
      </x:c>
      <x:c r="I834" s="159" t="n">
        <x:v>13243</x:v>
      </x:c>
      <x:c r="J834" s="159" t="n">
        <x:v>58256</x:v>
      </x:c>
      <x:c r="K834" s="159" t="n">
        <x:f>I834-J834</x:f>
        <x:v>-45013</x:v>
      </x:c>
      <x:c r="L834" s="154" t="n">
        <x:f>IFERROR(K834/D834,"")</x:f>
        <x:v>-0.09161217316619957</x:v>
      </x:c>
    </x:row>
    <x:row r="835">
      <x:c r="A835" s="141" t="str">
        <x:v>Silver</x:v>
      </x:c>
      <x:c r="B835" s="155" t="n">
        <x:v>45286</x:v>
      </x:c>
      <x:c r="C835" s="155" t="n">
        <x:v>45289</x:v>
      </x:c>
      <x:c r="D835" s="159" t="n">
        <x:v>131408</x:v>
      </x:c>
      <x:c r="E835" s="159" t="n">
        <x:v>36546</x:v>
      </x:c>
      <x:c r="F835" s="159" t="n">
        <x:v>19749</x:v>
      </x:c>
      <x:c r="G835" s="159" t="n">
        <x:f>E835-F835</x:f>
        <x:v>16797</x:v>
      </x:c>
      <x:c r="H835" s="154" t="n">
        <x:f>IFERROR(G835/D835,"")</x:f>
        <x:v>0.1278232679897723</x:v>
      </x:c>
      <x:c r="I835" s="159" t="n">
        <x:v>4063</x:v>
      </x:c>
      <x:c r="J835" s="159" t="n">
        <x:v>41011</x:v>
      </x:c>
      <x:c r="K835" s="159" t="n">
        <x:f>I835-J835</x:f>
        <x:v>-36948</x:v>
      </x:c>
      <x:c r="L835" s="154" t="n">
        <x:f>IFERROR(K835/D835,"")</x:f>
        <x:v>-0.2811700961889687</x:v>
      </x:c>
    </x:row>
    <x:row r="836">
      <x:c r="A836" s="141" t="str">
        <x:v>Gold</x:v>
      </x:c>
      <x:c r="B836" s="155" t="n">
        <x:v>45293</x:v>
      </x:c>
      <x:c r="C836" s="155" t="n">
        <x:v>45296</x:v>
      </x:c>
      <x:c r="D836" s="159" t="n">
        <x:v>500364</x:v>
      </x:c>
      <x:c r="E836" s="159" t="n">
        <x:v>154384</x:v>
      </x:c>
      <x:c r="F836" s="159" t="n">
        <x:v>45235</x:v>
      </x:c>
      <x:c r="G836" s="159" t="n">
        <x:f>E836-F836</x:f>
        <x:v>109149</x:v>
      </x:c>
      <x:c r="H836" s="154" t="n">
        <x:f>IFERROR(G836/D836,"")</x:f>
        <x:v>0.21813919466628295</x:v>
      </x:c>
      <x:c r="I836" s="159" t="n">
        <x:v>13674</x:v>
      </x:c>
      <x:c r="J836" s="159" t="n">
        <x:v>55375</x:v>
      </x:c>
      <x:c r="K836" s="159" t="n">
        <x:f>I836-J836</x:f>
        <x:v>-41701</x:v>
      </x:c>
      <x:c r="L836" s="154" t="n">
        <x:f>IFERROR(K836/D836,"")</x:f>
        <x:v>-0.08334132751357012</x:v>
      </x:c>
    </x:row>
    <x:row r="837">
      <x:c r="A837" s="141" t="str">
        <x:v>Silver</x:v>
      </x:c>
      <x:c r="B837" s="155" t="n">
        <x:v>45293</x:v>
      </x:c>
      <x:c r="C837" s="155" t="n">
        <x:v>45296</x:v>
      </x:c>
      <x:c r="D837" s="159" t="n">
        <x:v>134725</x:v>
      </x:c>
      <x:c r="E837" s="159" t="n">
        <x:v>38424</x:v>
      </x:c>
      <x:c r="F837" s="159" t="n">
        <x:v>22367</x:v>
      </x:c>
      <x:c r="G837" s="159" t="n">
        <x:f>E837-F837</x:f>
        <x:v>16057</x:v>
      </x:c>
      <x:c r="H837" s="154" t="n">
        <x:f>IFERROR(G837/D837,"")</x:f>
        <x:v>0.11918352198923733</x:v>
      </x:c>
      <x:c r="I837" s="159" t="n">
        <x:v>4483</x:v>
      </x:c>
      <x:c r="J837" s="159" t="n">
        <x:v>42194</x:v>
      </x:c>
      <x:c r="K837" s="159" t="n">
        <x:f>I837-J837</x:f>
        <x:v>-37711</x:v>
      </x:c>
      <x:c r="L837" s="154" t="n">
        <x:f>IFERROR(K837/D837,"")</x:f>
        <x:v>-0.2799109296715532</x:v>
      </x:c>
    </x:row>
    <x:row r="838">
      <x:c r="A838" s="141" t="str">
        <x:v>Gold</x:v>
      </x:c>
      <x:c r="B838" s="155" t="n">
        <x:v>45300</x:v>
      </x:c>
      <x:c r="C838" s="155" t="n">
        <x:v>45303</x:v>
      </x:c>
      <x:c r="D838" s="159" t="n">
        <x:v>489849</x:v>
      </x:c>
      <x:c r="E838" s="159" t="n">
        <x:v>134333</x:v>
      </x:c>
      <x:c r="F838" s="159" t="n">
        <x:v>45874</x:v>
      </x:c>
      <x:c r="G838" s="159" t="n">
        <x:f>E838-F838</x:f>
        <x:v>88459</x:v>
      </x:c>
      <x:c r="H838" s="154" t="n">
        <x:f>IFERROR(G838/D838,"")</x:f>
        <x:v>0.18058422085173187</x:v>
      </x:c>
      <x:c r="I838" s="159" t="n">
        <x:v>11949</x:v>
      </x:c>
      <x:c r="J838" s="159" t="n">
        <x:v>56950</x:v>
      </x:c>
      <x:c r="K838" s="159" t="n">
        <x:f>I838-J838</x:f>
        <x:v>-45001</x:v>
      </x:c>
      <x:c r="L838" s="154" t="n">
        <x:f>IFERROR(K838/D838,"")</x:f>
        <x:v>-0.09186708557126788</x:v>
      </x:c>
    </x:row>
    <x:row r="839">
      <x:c r="A839" s="141" t="str">
        <x:v>Silver</x:v>
      </x:c>
      <x:c r="B839" s="155" t="n">
        <x:v>45300</x:v>
      </x:c>
      <x:c r="C839" s="155" t="n">
        <x:v>45303</x:v>
      </x:c>
      <x:c r="D839" s="159" t="n">
        <x:v>131992</x:v>
      </x:c>
      <x:c r="E839" s="159" t="n">
        <x:v>32392</x:v>
      </x:c>
      <x:c r="F839" s="159" t="n">
        <x:v>24044</x:v>
      </x:c>
      <x:c r="G839" s="159" t="n">
        <x:f>E839-F839</x:f>
        <x:v>8348</x:v>
      </x:c>
      <x:c r="H839" s="154" t="n">
        <x:f>IFERROR(G839/D839,"")</x:f>
        <x:v>0.06324625734893023</x:v>
      </x:c>
      <x:c r="I839" s="159" t="n">
        <x:v>4454</x:v>
      </x:c>
      <x:c r="J839" s="159" t="n">
        <x:v>41495</x:v>
      </x:c>
      <x:c r="K839" s="159" t="n">
        <x:f>I839-J839</x:f>
        <x:v>-37041</x:v>
      </x:c>
      <x:c r="L839" s="154" t="n">
        <x:f>IFERROR(K839/D839,"")</x:f>
        <x:v>-0.2806306442814716</x:v>
      </x:c>
    </x:row>
    <x:row r="840">
      <x:c r="A840" s="141" t="str">
        <x:v>Gold</x:v>
      </x:c>
      <x:c r="B840" s="155" t="n">
        <x:v>45307</x:v>
      </x:c>
      <x:c r="C840" s="155" t="n">
        <x:v>45310</x:v>
      </x:c>
      <x:c r="D840" s="159" t="n">
        <x:v>489334</x:v>
      </x:c>
      <x:c r="E840" s="159" t="n">
        <x:v>130931</x:v>
      </x:c>
      <x:c r="F840" s="159" t="n">
        <x:v>47702</x:v>
      </x:c>
      <x:c r="G840" s="159" t="n">
        <x:f>E840-F840</x:f>
        <x:v>83229</x:v>
      </x:c>
      <x:c r="H840" s="154" t="n">
        <x:f>IFERROR(G840/D840,"")</x:f>
        <x:v>0.17008628053640254</x:v>
      </x:c>
      <x:c r="I840" s="159" t="n">
        <x:v>12864</x:v>
      </x:c>
      <x:c r="J840" s="159" t="n">
        <x:v>53418</x:v>
      </x:c>
      <x:c r="K840" s="159" t="n">
        <x:f>I840-J840</x:f>
        <x:v>-40554</x:v>
      </x:c>
      <x:c r="L840" s="154" t="n">
        <x:f>IFERROR(K840/D840,"")</x:f>
        <x:v>-0.08287590888840751</x:v>
      </x:c>
    </x:row>
    <x:row r="841">
      <x:c r="A841" s="141" t="str">
        <x:v>Silver</x:v>
      </x:c>
      <x:c r="B841" s="155" t="n">
        <x:v>45307</x:v>
      </x:c>
      <x:c r="C841" s="155" t="n">
        <x:v>45310</x:v>
      </x:c>
      <x:c r="D841" s="159" t="n">
        <x:v>131956</x:v>
      </x:c>
      <x:c r="E841" s="159" t="n">
        <x:v>31698</x:v>
      </x:c>
      <x:c r="F841" s="159" t="n">
        <x:v>25475</x:v>
      </x:c>
      <x:c r="G841" s="159" t="n">
        <x:f>E841-F841</x:f>
        <x:v>6223</x:v>
      </x:c>
      <x:c r="H841" s="154" t="n">
        <x:f>IFERROR(G841/D841,"")</x:f>
        <x:v>0.04715965928036618</x:v>
      </x:c>
      <x:c r="I841" s="159" t="n">
        <x:v>3996</x:v>
      </x:c>
      <x:c r="J841" s="159" t="n">
        <x:v>41203</x:v>
      </x:c>
      <x:c r="K841" s="159" t="n">
        <x:f>I841-J841</x:f>
        <x:v>-37207</x:v>
      </x:c>
      <x:c r="L841" s="154" t="n">
        <x:f>IFERROR(K841/D841,"")</x:f>
        <x:v>-0.2819652005213859</x:v>
      </x:c>
    </x:row>
    <x:row r="842">
      <x:c r="A842" s="141" t="str">
        <x:v>Gold</x:v>
      </x:c>
      <x:c r="B842" s="155" t="n">
        <x:v>45314</x:v>
      </x:c>
      <x:c r="C842" s="155" t="n">
        <x:v>45317</x:v>
      </x:c>
      <x:c r="D842" s="159" t="n">
        <x:v>465872</x:v>
      </x:c>
      <x:c r="E842" s="159" t="n">
        <x:v>111298</x:v>
      </x:c>
      <x:c r="F842" s="159" t="n">
        <x:v>50265</x:v>
      </x:c>
      <x:c r="G842" s="159" t="n">
        <x:f>E842-F842</x:f>
        <x:v>61033</x:v>
      </x:c>
      <x:c r="H842" s="154" t="n">
        <x:f>IFERROR(G842/D842,"")</x:f>
        <x:v>0.13100808805852251</x:v>
      </x:c>
      <x:c r="I842" s="159" t="n">
        <x:v>13724</x:v>
      </x:c>
      <x:c r="J842" s="159" t="n">
        <x:v>52673</x:v>
      </x:c>
      <x:c r="K842" s="159" t="n">
        <x:f>I842-J842</x:f>
        <x:v>-38949</x:v>
      </x:c>
      <x:c r="L842" s="154" t="n">
        <x:f>IFERROR(K842/D842,"")</x:f>
        <x:v>-0.08360450939313803</x:v>
      </x:c>
    </x:row>
    <x:row r="843">
      <x:c r="A843" s="141" t="str">
        <x:v>Silver</x:v>
      </x:c>
      <x:c r="B843" s="155" t="n">
        <x:v>45314</x:v>
      </x:c>
      <x:c r="C843" s="155" t="n">
        <x:v>45317</x:v>
      </x:c>
      <x:c r="D843" s="159" t="n">
        <x:v>138617</x:v>
      </x:c>
      <x:c r="E843" s="159" t="n">
        <x:v>29434</x:v>
      </x:c>
      <x:c r="F843" s="159" t="n">
        <x:v>32088</x:v>
      </x:c>
      <x:c r="G843" s="159" t="n">
        <x:f>E843-F843</x:f>
        <x:v>-2654</x:v>
      </x:c>
      <x:c r="H843" s="154" t="n">
        <x:f>IFERROR(G843/D843,"")</x:f>
        <x:v>-0.019146280759214238</x:v>
      </x:c>
      <x:c r="I843" s="159" t="n">
        <x:v>5416</x:v>
      </x:c>
      <x:c r="J843" s="159" t="n">
        <x:v>38275</x:v>
      </x:c>
      <x:c r="K843" s="159" t="n">
        <x:f>I843-J843</x:f>
        <x:v>-32859</x:v>
      </x:c>
      <x:c r="L843" s="154" t="n">
        <x:f>IFERROR(K843/D843,"")</x:f>
        <x:v>-0.2370488468225398</x:v>
      </x:c>
    </x:row>
    <x:row r="844">
      <x:c r="A844" s="141" t="str">
        <x:v>Gold</x:v>
      </x:c>
      <x:c r="B844" s="155" t="n">
        <x:v>45321</x:v>
      </x:c>
      <x:c r="C844" s="155" t="n">
        <x:v>45324</x:v>
      </x:c>
      <x:c r="D844" s="159" t="n">
        <x:v>430328</x:v>
      </x:c>
      <x:c r="E844" s="159" t="n">
        <x:v>108093</x:v>
      </x:c>
      <x:c r="F844" s="159" t="n">
        <x:v>52069</x:v>
      </x:c>
      <x:c r="G844" s="159" t="n">
        <x:f>E844-F844</x:f>
        <x:v>56024</x:v>
      </x:c>
      <x:c r="H844" s="154" t="n">
        <x:f>IFERROR(G844/D844,"")</x:f>
        <x:v>0.1301890650852373</x:v>
      </x:c>
      <x:c r="I844" s="159" t="n">
        <x:v>15272</x:v>
      </x:c>
      <x:c r="J844" s="159" t="n">
        <x:v>49631</x:v>
      </x:c>
      <x:c r="K844" s="159" t="n">
        <x:f>I844-J844</x:f>
        <x:v>-34359</x:v>
      </x:c>
      <x:c r="L844" s="154" t="n">
        <x:f>IFERROR(K844/D844,"")</x:f>
        <x:v>-0.07984374709523898</x:v>
      </x:c>
    </x:row>
    <x:row r="845">
      <x:c r="A845" s="141" t="str">
        <x:v>Silver</x:v>
      </x:c>
      <x:c r="B845" s="155" t="n">
        <x:v>45321</x:v>
      </x:c>
      <x:c r="C845" s="155" t="n">
        <x:v>45324</x:v>
      </x:c>
      <x:c r="D845" s="159" t="n">
        <x:v>136544</x:v>
      </x:c>
      <x:c r="E845" s="159" t="n">
        <x:v>32840</x:v>
      </x:c>
      <x:c r="F845" s="159" t="n">
        <x:v>28509</x:v>
      </x:c>
      <x:c r="G845" s="159" t="n">
        <x:f>E845-F845</x:f>
        <x:v>4331</x:v>
      </x:c>
      <x:c r="H845" s="154" t="n">
        <x:f>IFERROR(G845/D845,"")</x:f>
        <x:v>0.03171871338176705</x:v>
      </x:c>
      <x:c r="I845" s="159" t="n">
        <x:v>4103</x:v>
      </x:c>
      <x:c r="J845" s="159" t="n">
        <x:v>40136</x:v>
      </x:c>
      <x:c r="K845" s="159" t="n">
        <x:f>I845-J845</x:f>
        <x:v>-36033</x:v>
      </x:c>
      <x:c r="L845" s="154" t="n">
        <x:f>IFERROR(K845/D845,"")</x:f>
        <x:v>-0.26389295758143894</x:v>
      </x:c>
    </x:row>
    <x:row r="846">
      <x:c r="A846" s="141" t="str">
        <x:v>Gold</x:v>
      </x:c>
      <x:c r="B846" s="155" t="n">
        <x:v>45328</x:v>
      </x:c>
      <x:c r="C846" s="155" t="n">
        <x:v>45331</x:v>
      </x:c>
      <x:c r="D846" s="159" t="n">
        <x:v>419121</x:v>
      </x:c>
      <x:c r="E846" s="159" t="n">
        <x:v>114316</x:v>
      </x:c>
      <x:c r="F846" s="159" t="n">
        <x:v>46247</x:v>
      </x:c>
      <x:c r="G846" s="159" t="n">
        <x:f>E846-F846</x:f>
        <x:v>68069</x:v>
      </x:c>
      <x:c r="H846" s="154" t="n">
        <x:f>IFERROR(G846/D846,"")</x:f>
        <x:v>0.16240894634246436</x:v>
      </x:c>
      <x:c r="I846" s="159" t="n">
        <x:v>14285</x:v>
      </x:c>
      <x:c r="J846" s="159" t="n">
        <x:v>50903</x:v>
      </x:c>
      <x:c r="K846" s="159" t="n">
        <x:f>I846-J846</x:f>
        <x:v>-36618</x:v>
      </x:c>
      <x:c r="L846" s="154" t="n">
        <x:f>IFERROR(K846/D846,"")</x:f>
        <x:v>-0.08736856420938106</x:v>
      </x:c>
    </x:row>
    <x:row r="847">
      <x:c r="A847" s="141" t="str">
        <x:v>Silver</x:v>
      </x:c>
      <x:c r="B847" s="155" t="n">
        <x:v>45328</x:v>
      </x:c>
      <x:c r="C847" s="155" t="n">
        <x:v>45331</x:v>
      </x:c>
      <x:c r="D847" s="159" t="n">
        <x:v>147333</x:v>
      </x:c>
      <x:c r="E847" s="159" t="n">
        <x:v>32101</x:v>
      </x:c>
      <x:c r="F847" s="159" t="n">
        <x:v>36700</x:v>
      </x:c>
      <x:c r="G847" s="159" t="n">
        <x:f>E847-F847</x:f>
        <x:v>-4599</x:v>
      </x:c>
      <x:c r="H847" s="154" t="n">
        <x:f>IFERROR(G847/D847,"")</x:f>
        <x:v>-0.031215002748875</x:v>
      </x:c>
      <x:c r="I847" s="159" t="n">
        <x:v>6697</x:v>
      </x:c>
      <x:c r="J847" s="159" t="n">
        <x:v>39360</x:v>
      </x:c>
      <x:c r="K847" s="159" t="n">
        <x:f>I847-J847</x:f>
        <x:v>-32663</x:v>
      </x:c>
      <x:c r="L847" s="154" t="n">
        <x:f>IFERROR(K847/D847,"")</x:f>
        <x:v>-0.22169507170830705</x:v>
      </x:c>
    </x:row>
    <x:row r="848">
      <x:c r="A848" s="141" t="str">
        <x:v>Gold</x:v>
      </x:c>
      <x:c r="B848" s="155" t="n">
        <x:v>45335</x:v>
      </x:c>
      <x:c r="C848" s="155" t="n">
        <x:v>45338</x:v>
      </x:c>
      <x:c r="D848" s="159" t="n">
        <x:v>420812</x:v>
      </x:c>
      <x:c r="E848" s="159" t="n">
        <x:v>100642</x:v>
      </x:c>
      <x:c r="F848" s="159" t="n">
        <x:v>66466</x:v>
      </x:c>
      <x:c r="G848" s="159" t="n">
        <x:f>E848-F848</x:f>
        <x:v>34176</x:v>
      </x:c>
      <x:c r="H848" s="154" t="n">
        <x:f>IFERROR(G848/D848,"")</x:f>
        <x:v>0.0812144140376225</x:v>
      </x:c>
      <x:c r="I848" s="159" t="n">
        <x:v>15888</x:v>
      </x:c>
      <x:c r="J848" s="159" t="n">
        <x:v>48131</x:v>
      </x:c>
      <x:c r="K848" s="159" t="n">
        <x:f>I848-J848</x:f>
        <x:v>-32243</x:v>
      </x:c>
      <x:c r="L848" s="154" t="n">
        <x:f>IFERROR(K848/D848,"")</x:f>
        <x:v>-0.07662091385226658</x:v>
      </x:c>
    </x:row>
    <x:row r="849">
      <x:c r="A849" s="141" t="str">
        <x:v>Silver</x:v>
      </x:c>
      <x:c r="B849" s="155" t="n">
        <x:v>45335</x:v>
      </x:c>
      <x:c r="C849" s="155" t="n">
        <x:v>45338</x:v>
      </x:c>
      <x:c r="D849" s="159" t="n">
        <x:v>152544</x:v>
      </x:c>
      <x:c r="E849" s="159" t="n">
        <x:v>33004</x:v>
      </x:c>
      <x:c r="F849" s="159" t="n">
        <x:v>41987</x:v>
      </x:c>
      <x:c r="G849" s="159" t="n">
        <x:f>E849-F849</x:f>
        <x:v>-8983</x:v>
      </x:c>
      <x:c r="H849" s="154" t="n">
        <x:f>IFERROR(G849/D849,"")</x:f>
        <x:v>-0.0588879274176631</x:v>
      </x:c>
      <x:c r="I849" s="159" t="n">
        <x:v>8067</x:v>
      </x:c>
      <x:c r="J849" s="159" t="n">
        <x:v>39577</x:v>
      </x:c>
      <x:c r="K849" s="159" t="n">
        <x:f>I849-J849</x:f>
        <x:v>-31510</x:v>
      </x:c>
      <x:c r="L849" s="154" t="n">
        <x:f>IFERROR(K849/D849,"")</x:f>
        <x:v>-0.20656335221313196</x:v>
      </x:c>
    </x:row>
    <x:row r="850">
      <x:c r="A850" s="141" t="str">
        <x:v>Gold</x:v>
      </x:c>
      <x:c r="B850" s="155" t="n">
        <x:v>45342</x:v>
      </x:c>
      <x:c r="C850" s="155" t="n">
        <x:v>45345</x:v>
      </x:c>
      <x:c r="D850" s="159" t="n">
        <x:v>407063</x:v>
      </x:c>
      <x:c r="E850" s="159" t="n">
        <x:v>98840</x:v>
      </x:c>
      <x:c r="F850" s="159" t="n">
        <x:v>48917</x:v>
      </x:c>
      <x:c r="G850" s="159" t="n">
        <x:f>E850-F850</x:f>
        <x:v>49923</x:v>
      </x:c>
      <x:c r="H850" s="154" t="n">
        <x:f>IFERROR(G850/D850,"")</x:f>
        <x:v>0.12264194977190263</x:v>
      </x:c>
      <x:c r="I850" s="159" t="n">
        <x:v>10614</x:v>
      </x:c>
      <x:c r="J850" s="159" t="n">
        <x:v>49065</x:v>
      </x:c>
      <x:c r="K850" s="159" t="n">
        <x:f>I850-J850</x:f>
        <x:v>-38451</x:v>
      </x:c>
      <x:c r="L850" s="154" t="n">
        <x:f>IFERROR(K850/D850,"")</x:f>
        <x:v>-0.09445957996673733</x:v>
      </x:c>
    </x:row>
    <x:row r="851">
      <x:c r="A851" s="141" t="str">
        <x:v>Silver</x:v>
      </x:c>
      <x:c r="B851" s="155" t="n">
        <x:v>45342</x:v>
      </x:c>
      <x:c r="C851" s="155" t="n">
        <x:v>45345</x:v>
      </x:c>
      <x:c r="D851" s="159" t="n">
        <x:v>146584</x:v>
      </x:c>
      <x:c r="E851" s="159" t="n">
        <x:v>36252</x:v>
      </x:c>
      <x:c r="F851" s="159" t="n">
        <x:v>31327</x:v>
      </x:c>
      <x:c r="G851" s="159" t="n">
        <x:f>E851-F851</x:f>
        <x:v>4925</x:v>
      </x:c>
      <x:c r="H851" s="154" t="n">
        <x:f>IFERROR(G851/D851,"")</x:f>
        <x:v>0.033598482781203955</x:v>
      </x:c>
      <x:c r="I851" s="159" t="n">
        <x:v>6607</x:v>
      </x:c>
      <x:c r="J851" s="159" t="n">
        <x:v>42883</x:v>
      </x:c>
      <x:c r="K851" s="159" t="n">
        <x:f>I851-J851</x:f>
        <x:v>-36276</x:v>
      </x:c>
      <x:c r="L851" s="154" t="n">
        <x:f>IFERROR(K851/D851,"")</x:f>
        <x:v>-0.2474758500245593</x:v>
      </x:c>
    </x:row>
    <x:row r="852">
      <x:c r="A852" s="141" t="str">
        <x:v>Gold</x:v>
      </x:c>
      <x:c r="B852" s="155" t="n">
        <x:v>45349</x:v>
      </x:c>
      <x:c r="C852" s="155" t="n">
        <x:v>45352</x:v>
      </x:c>
      <x:c r="D852" s="159" t="n">
        <x:v>411195</x:v>
      </x:c>
      <x:c r="E852" s="159" t="n">
        <x:v>103885</x:v>
      </x:c>
      <x:c r="F852" s="159" t="n">
        <x:v>47732</x:v>
      </x:c>
      <x:c r="G852" s="159" t="n">
        <x:f>E852-F852</x:f>
        <x:v>56153</x:v>
      </x:c>
      <x:c r="H852" s="154" t="n">
        <x:f>IFERROR(G852/D852,"")</x:f>
        <x:v>0.136560512652148</x:v>
      </x:c>
      <x:c r="I852" s="159" t="n">
        <x:v>11378</x:v>
      </x:c>
      <x:c r="J852" s="159" t="n">
        <x:v>51050</x:v>
      </x:c>
      <x:c r="K852" s="159" t="n">
        <x:f>I852-J852</x:f>
        <x:v>-39672</x:v>
      </x:c>
      <x:c r="L852" s="154" t="n">
        <x:f>IFERROR(K852/D852,"")</x:f>
        <x:v>-0.09647977237077299</x:v>
      </x:c>
    </x:row>
    <x:row r="853">
      <x:c r="A853" s="141" t="str">
        <x:v>Silver</x:v>
      </x:c>
      <x:c r="B853" s="155" t="n">
        <x:v>45349</x:v>
      </x:c>
      <x:c r="C853" s="155" t="n">
        <x:v>45352</x:v>
      </x:c>
      <x:c r="D853" s="159" t="n">
        <x:v>144382</x:v>
      </x:c>
      <x:c r="E853" s="159" t="n">
        <x:v>33292</x:v>
      </x:c>
      <x:c r="F853" s="159" t="n">
        <x:v>37375</x:v>
      </x:c>
      <x:c r="G853" s="159" t="n">
        <x:f>E853-F853</x:f>
        <x:v>-4083</x:v>
      </x:c>
      <x:c r="H853" s="154" t="n">
        <x:f>IFERROR(G853/D853,"")</x:f>
        <x:v>-0.028279148370295465</x:v>
      </x:c>
      <x:c r="I853" s="159" t="n">
        <x:v>8336</x:v>
      </x:c>
      <x:c r="J853" s="159" t="n">
        <x:v>42541</x:v>
      </x:c>
      <x:c r="K853" s="159" t="n">
        <x:f>I853-J853</x:f>
        <x:v>-34205</x:v>
      </x:c>
      <x:c r="L853" s="154" t="n">
        <x:f>IFERROR(K853/D853,"")</x:f>
        <x:v>-0.2369062625535039</x:v>
      </x:c>
    </x:row>
    <x:row r="854">
      <x:c r="A854" s="141" t="str">
        <x:v>Gold</x:v>
      </x:c>
      <x:c r="B854" s="155" t="n">
        <x:v>45356</x:v>
      </x:c>
      <x:c r="C854" s="155" t="n">
        <x:v>45359</x:v>
      </x:c>
      <x:c r="D854" s="159" t="n">
        <x:v>471616</x:v>
      </x:c>
      <x:c r="E854" s="159" t="n">
        <x:v>145106</x:v>
      </x:c>
      <x:c r="F854" s="159" t="n">
        <x:v>35343</x:v>
      </x:c>
      <x:c r="G854" s="159" t="n">
        <x:f>E854-F854</x:f>
        <x:v>109763</x:v>
      </x:c>
      <x:c r="H854" s="154" t="n">
        <x:f>IFERROR(G854/D854,"")</x:f>
        <x:v>0.23273807504410368</x:v>
      </x:c>
      <x:c r="I854" s="159" t="n">
        <x:v>11650</x:v>
      </x:c>
      <x:c r="J854" s="159" t="n">
        <x:v>60537</x:v>
      </x:c>
      <x:c r="K854" s="159" t="n">
        <x:f>I854-J854</x:f>
        <x:v>-48887</x:v>
      </x:c>
      <x:c r="L854" s="154" t="n">
        <x:f>IFERROR(K854/D854,"")</x:f>
        <x:v>-0.103658484869046</x:v>
      </x:c>
    </x:row>
    <x:row r="855">
      <x:c r="A855" s="141" t="str">
        <x:v>Silver</x:v>
      </x:c>
      <x:c r="B855" s="155" t="n">
        <x:v>45356</x:v>
      </x:c>
      <x:c r="C855" s="155" t="n">
        <x:v>45359</x:v>
      </x:c>
      <x:c r="D855" s="159" t="n">
        <x:v>141026</x:v>
      </x:c>
      <x:c r="E855" s="159" t="n">
        <x:v>40556</x:v>
      </x:c>
      <x:c r="F855" s="159" t="n">
        <x:v>25744</x:v>
      </x:c>
      <x:c r="G855" s="159" t="n">
        <x:f>E855-F855</x:f>
        <x:v>14812</x:v>
      </x:c>
      <x:c r="H855" s="154" t="n">
        <x:f>IFERROR(G855/D855,"")</x:f>
        <x:v>0.10503027810474665</x:v>
      </x:c>
      <x:c r="I855" s="159" t="n">
        <x:v>5570</x:v>
      </x:c>
      <x:c r="J855" s="159" t="n">
        <x:v>41326</x:v>
      </x:c>
      <x:c r="K855" s="159" t="n">
        <x:f>I855-J855</x:f>
        <x:v>-35756</x:v>
      </x:c>
      <x:c r="L855" s="154" t="n">
        <x:f>IFERROR(K855/D855,"")</x:f>
        <x:v>-0.2535419000751634</x:v>
      </x:c>
    </x:row>
    <x:row r="856">
      <x:c r="A856" s="141" t="str">
        <x:v>Gold</x:v>
      </x:c>
      <x:c r="B856" s="155" t="n">
        <x:v>45363</x:v>
      </x:c>
      <x:c r="C856" s="155" t="n">
        <x:v>45366</x:v>
      </x:c>
      <x:c r="D856" s="159" t="n">
        <x:v>516057</x:v>
      </x:c>
      <x:c r="E856" s="159" t="n">
        <x:v>173994</x:v>
      </x:c>
      <x:c r="F856" s="159" t="n">
        <x:v>32911</x:v>
      </x:c>
      <x:c r="G856" s="159" t="n">
        <x:f>E856-F856</x:f>
        <x:v>141083</x:v>
      </x:c>
      <x:c r="H856" s="154" t="n">
        <x:f>IFERROR(G856/D856,"")</x:f>
        <x:v>0.27338646699880054</x:v>
      </x:c>
      <x:c r="I856" s="159" t="n">
        <x:v>30471</x:v>
      </x:c>
      <x:c r="J856" s="159" t="n">
        <x:v>78911</x:v>
      </x:c>
      <x:c r="K856" s="159" t="n">
        <x:f>I856-J856</x:f>
        <x:v>-48440</x:v>
      </x:c>
      <x:c r="L856" s="154" t="n">
        <x:f>IFERROR(K856/D856,"")</x:f>
        <x:v>-0.09386560011781644</x:v>
      </x:c>
    </x:row>
    <x:row r="857">
      <x:c r="A857" s="141" t="str">
        <x:v>Silver</x:v>
      </x:c>
      <x:c r="B857" s="155" t="n">
        <x:v>45363</x:v>
      </x:c>
      <x:c r="C857" s="155" t="n">
        <x:v>45366</x:v>
      </x:c>
      <x:c r="D857" s="159" t="n">
        <x:v>144534</x:v>
      </x:c>
      <x:c r="E857" s="159" t="n">
        <x:v>45521</x:v>
      </x:c>
      <x:c r="F857" s="159" t="n">
        <x:v>19727</x:v>
      </x:c>
      <x:c r="G857" s="159" t="n">
        <x:f>E857-F857</x:f>
        <x:v>25794</x:v>
      </x:c>
      <x:c r="H857" s="154" t="n">
        <x:f>IFERROR(G857/D857,"")</x:f>
        <x:v>0.17846319897048446</x:v>
      </x:c>
      <x:c r="I857" s="159" t="n">
        <x:v>5455</x:v>
      </x:c>
      <x:c r="J857" s="159" t="n">
        <x:v>41310</x:v>
      </x:c>
      <x:c r="K857" s="159" t="n">
        <x:f>I857-J857</x:f>
        <x:v>-35855</x:v>
      </x:c>
      <x:c r="L857" s="154" t="n">
        <x:f>IFERROR(K857/D857,"")</x:f>
        <x:v>-0.24807311774392185</x:v>
      </x:c>
    </x:row>
    <x:row r="858">
      <x:c r="A858" s="141" t="str">
        <x:v>Gold</x:v>
      </x:c>
      <x:c r="B858" s="155" t="n">
        <x:v>45370</x:v>
      </x:c>
      <x:c r="C858" s="155" t="n">
        <x:v>45373</x:v>
      </x:c>
      <x:c r="D858" s="159" t="n">
        <x:v>535047</x:v>
      </x:c>
      <x:c r="E858" s="159" t="n">
        <x:v>172588</x:v>
      </x:c>
      <x:c r="F858" s="159" t="n">
        <x:v>29692</x:v>
      </x:c>
      <x:c r="G858" s="159" t="n">
        <x:f>E858-F858</x:f>
        <x:v>142896</x:v>
      </x:c>
      <x:c r="H858" s="154" t="n">
        <x:f>IFERROR(G858/D858,"")</x:f>
        <x:v>0.26707186471468863</x:v>
      </x:c>
      <x:c r="I858" s="159" t="n">
        <x:v>32136</x:v>
      </x:c>
      <x:c r="J858" s="159" t="n">
        <x:v>81346</x:v>
      </x:c>
      <x:c r="K858" s="159" t="n">
        <x:f>I858-J858</x:f>
        <x:v>-49210</x:v>
      </x:c>
      <x:c r="L858" s="154" t="n">
        <x:f>IFERROR(K858/D858,"")</x:f>
        <x:v>-0.09197322852011132</x:v>
      </x:c>
    </x:row>
    <x:row r="859">
      <x:c r="A859" s="141" t="str">
        <x:v>Silver</x:v>
      </x:c>
      <x:c r="B859" s="155" t="n">
        <x:v>45370</x:v>
      </x:c>
      <x:c r="C859" s="155" t="n">
        <x:v>45373</x:v>
      </x:c>
      <x:c r="D859" s="159" t="n">
        <x:v>153154</x:v>
      </x:c>
      <x:c r="E859" s="159" t="n">
        <x:v>53484</x:v>
      </x:c>
      <x:c r="F859" s="159" t="n">
        <x:v>16362</x:v>
      </x:c>
      <x:c r="G859" s="159" t="n">
        <x:f>E859-F859</x:f>
        <x:v>37122</x:v>
      </x:c>
      <x:c r="H859" s="154" t="n">
        <x:f>IFERROR(G859/D859,"")</x:f>
        <x:v>0.2423834832913277</x:v>
      </x:c>
      <x:c r="I859" s="159" t="n">
        <x:v>4680</x:v>
      </x:c>
      <x:c r="J859" s="159" t="n">
        <x:v>42748</x:v>
      </x:c>
      <x:c r="K859" s="159" t="n">
        <x:f>I859-J859</x:f>
        <x:v>-38068</x:v>
      </x:c>
      <x:c r="L859" s="154" t="n">
        <x:f>IFERROR(K859/D859,"")</x:f>
        <x:v>-0.24856027266672762</x:v>
      </x:c>
    </x:row>
    <x:row r="860">
      <x:c r="A860" s="141" t="str">
        <x:v>Gold</x:v>
      </x:c>
      <x:c r="B860" s="155" t="n">
        <x:v>45377</x:v>
      </x:c>
      <x:c r="C860" s="155" t="n">
        <x:v>45380</x:v>
      </x:c>
      <x:c r="D860" s="159" t="n">
        <x:v>503642</x:v>
      </x:c>
      <x:c r="E860" s="159" t="n">
        <x:v>163006</x:v>
      </x:c>
      <x:c r="F860" s="159" t="n">
        <x:v>27211</x:v>
      </x:c>
      <x:c r="G860" s="159" t="n">
        <x:f>E860-F860</x:f>
        <x:v>135795</x:v>
      </x:c>
      <x:c r="H860" s="154" t="n">
        <x:f>IFERROR(G860/D860,"")</x:f>
        <x:v>0.26962604389625966</x:v>
      </x:c>
      <x:c r="I860" s="159" t="n">
        <x:v>32765</x:v>
      </x:c>
      <x:c r="J860" s="159" t="n">
        <x:v>80270</x:v>
      </x:c>
      <x:c r="K860" s="159" t="n">
        <x:f>I860-J860</x:f>
        <x:v>-47505</x:v>
      </x:c>
      <x:c r="L860" s="154" t="n">
        <x:f>IFERROR(K860/D860,"")</x:f>
        <x:v>-0.09432295162039703</x:v>
      </x:c>
    </x:row>
    <x:row r="861">
      <x:c r="A861" s="141" t="str">
        <x:v>Silver</x:v>
      </x:c>
      <x:c r="B861" s="155" t="n">
        <x:v>45377</x:v>
      </x:c>
      <x:c r="C861" s="155" t="n">
        <x:v>45380</x:v>
      </x:c>
      <x:c r="D861" s="159" t="n">
        <x:v>160327</x:v>
      </x:c>
      <x:c r="E861" s="159" t="n">
        <x:v>53871</x:v>
      </x:c>
      <x:c r="F861" s="159" t="n">
        <x:v>23932</x:v>
      </x:c>
      <x:c r="G861" s="159" t="n">
        <x:f>E861-F861</x:f>
        <x:v>29939</x:v>
      </x:c>
      <x:c r="H861" s="154" t="n">
        <x:f>IFERROR(G861/D861,"")</x:f>
        <x:v>0.1867371060395317</x:v>
      </x:c>
      <x:c r="I861" s="159" t="n">
        <x:v>6632</x:v>
      </x:c>
      <x:c r="J861" s="159" t="n">
        <x:v>42972</x:v>
      </x:c>
      <x:c r="K861" s="159" t="n">
        <x:f>I861-J861</x:f>
        <x:v>-36340</x:v>
      </x:c>
      <x:c r="L861" s="154" t="n">
        <x:f>IFERROR(K861/D861,"")</x:f>
        <x:v>-0.2266617600279429</x:v>
      </x:c>
    </x:row>
    <x:row r="862">
      <x:c r="A862" s="141" t="str">
        <x:v>Gold</x:v>
      </x:c>
      <x:c r="B862" s="155" t="n">
        <x:v>45384</x:v>
      </x:c>
      <x:c r="C862" s="155" t="n">
        <x:v>45387</x:v>
      </x:c>
      <x:c r="D862" s="159" t="n">
        <x:v>500045</x:v>
      </x:c>
      <x:c r="E862" s="159" t="n">
        <x:v>173073</x:v>
      </x:c>
      <x:c r="F862" s="159" t="n">
        <x:v>25993</x:v>
      </x:c>
      <x:c r="G862" s="159" t="n">
        <x:f>E862-F862</x:f>
        <x:v>147080</x:v>
      </x:c>
      <x:c r="H862" s="154" t="n">
        <x:f>IFERROR(G862/D862,"")</x:f>
        <x:v>0.2941335279824816</x:v>
      </x:c>
      <x:c r="I862" s="159" t="n">
        <x:v>32235</x:v>
      </x:c>
      <x:c r="J862" s="159" t="n">
        <x:v>77122</x:v>
      </x:c>
      <x:c r="K862" s="159" t="n">
        <x:f>I862-J862</x:f>
        <x:v>-44887</x:v>
      </x:c>
      <x:c r="L862" s="154" t="n">
        <x:f>IFERROR(K862/D862,"")</x:f>
        <x:v>-0.08976592106710396</x:v>
      </x:c>
    </x:row>
    <x:row r="863">
      <x:c r="A863" s="141" t="str">
        <x:v>Silver</x:v>
      </x:c>
      <x:c r="B863" s="155" t="n">
        <x:v>45384</x:v>
      </x:c>
      <x:c r="C863" s="155" t="n">
        <x:v>45387</x:v>
      </x:c>
      <x:c r="D863" s="159" t="n">
        <x:v>166823</x:v>
      </x:c>
      <x:c r="E863" s="159" t="n">
        <x:v>57863</x:v>
      </x:c>
      <x:c r="F863" s="159" t="n">
        <x:v>24562</x:v>
      </x:c>
      <x:c r="G863" s="159" t="n">
        <x:f>E863-F863</x:f>
        <x:v>33301</x:v>
      </x:c>
      <x:c r="H863" s="154" t="n">
        <x:f>IFERROR(G863/D863,"")</x:f>
        <x:v>0.19961875760536615</x:v>
      </x:c>
      <x:c r="I863" s="159" t="n">
        <x:v>7606</x:v>
      </x:c>
      <x:c r="J863" s="159" t="n">
        <x:v>46306</x:v>
      </x:c>
      <x:c r="K863" s="159" t="n">
        <x:f>I863-J863</x:f>
        <x:v>-38700</x:v>
      </x:c>
      <x:c r="L863" s="154" t="n">
        <x:f>IFERROR(K863/D863,"")</x:f>
        <x:v>-0.2319824005083232</x:v>
      </x:c>
    </x:row>
    <x:row r="864">
      <x:c r="A864" s="141" t="str">
        <x:v>Gold</x:v>
      </x:c>
      <x:c r="B864" s="155" t="n">
        <x:v>45391</x:v>
      </x:c>
      <x:c r="C864" s="155" t="n">
        <x:v>45394</x:v>
      </x:c>
      <x:c r="D864" s="159" t="n">
        <x:v>505214</x:v>
      </x:c>
      <x:c r="E864" s="159" t="n">
        <x:v>174617</x:v>
      </x:c>
      <x:c r="F864" s="159" t="n">
        <x:v>32885</x:v>
      </x:c>
      <x:c r="G864" s="159" t="n">
        <x:f>E864-F864</x:f>
        <x:v>141732</x:v>
      </x:c>
      <x:c r="H864" s="154" t="n">
        <x:f>IFERROR(G864/D864,"")</x:f>
        <x:v>0.2805385440625161</x:v>
      </x:c>
      <x:c r="I864" s="159" t="n">
        <x:v>34191</x:v>
      </x:c>
      <x:c r="J864" s="159" t="n">
        <x:v>76217</x:v>
      </x:c>
      <x:c r="K864" s="159" t="n">
        <x:f>I864-J864</x:f>
        <x:v>-42026</x:v>
      </x:c>
      <x:c r="L864" s="154" t="n">
        <x:f>IFERROR(K864/D864,"")</x:f>
        <x:v>-0.08318455149698939</x:v>
      </x:c>
    </x:row>
    <x:row r="865">
      <x:c r="A865" s="141" t="str">
        <x:v>Silver</x:v>
      </x:c>
      <x:c r="B865" s="155" t="n">
        <x:v>45391</x:v>
      </x:c>
      <x:c r="C865" s="155" t="n">
        <x:v>45394</x:v>
      </x:c>
      <x:c r="D865" s="159" t="n">
        <x:v>174397</x:v>
      </x:c>
      <x:c r="E865" s="159" t="n">
        <x:v>59605</x:v>
      </x:c>
      <x:c r="F865" s="159" t="n">
        <x:v>22974</x:v>
      </x:c>
      <x:c r="G865" s="159" t="n">
        <x:f>E865-F865</x:f>
        <x:v>36631</x:v>
      </x:c>
      <x:c r="H865" s="154" t="n">
        <x:f>IFERROR(G865/D865,"")</x:f>
        <x:v>0.2100437507525932</x:v>
      </x:c>
      <x:c r="I865" s="159" t="n">
        <x:v>10051</x:v>
      </x:c>
      <x:c r="J865" s="159" t="n">
        <x:v>51154</x:v>
      </x:c>
      <x:c r="K865" s="159" t="n">
        <x:f>I865-J865</x:f>
        <x:v>-41103</x:v>
      </x:c>
      <x:c r="L865" s="154" t="n">
        <x:f>IFERROR(K865/D865,"")</x:f>
        <x:v>-0.23568639368796482</x:v>
      </x:c>
    </x:row>
    <x:row r="866">
      <x:c r="A866" s="141" t="str">
        <x:v>Gold</x:v>
      </x:c>
      <x:c r="B866" s="155" t="n">
        <x:v>45398</x:v>
      </x:c>
      <x:c r="C866" s="155" t="n">
        <x:v>45401</x:v>
      </x:c>
      <x:c r="D866" s="159" t="n">
        <x:v>517193</x:v>
      </x:c>
      <x:c r="E866" s="159" t="n">
        <x:v>169910</x:v>
      </x:c>
      <x:c r="F866" s="159" t="n">
        <x:v>35174</x:v>
      </x:c>
      <x:c r="G866" s="159" t="n">
        <x:f>E866-F866</x:f>
        <x:v>134736</x:v>
      </x:c>
      <x:c r="H866" s="154" t="n">
        <x:f>IFERROR(G866/D866,"")</x:f>
        <x:v>0.2605139667396891</x:v>
      </x:c>
      <x:c r="I866" s="159" t="n">
        <x:v>37797</x:v>
      </x:c>
      <x:c r="J866" s="159" t="n">
        <x:v>71700</x:v>
      </x:c>
      <x:c r="K866" s="159" t="n">
        <x:f>I866-J866</x:f>
        <x:v>-33903</x:v>
      </x:c>
      <x:c r="L866" s="154" t="n">
        <x:f>IFERROR(K866/D866,"")</x:f>
        <x:v>-0.06555193129064005</x:v>
      </x:c>
    </x:row>
    <x:row r="867">
      <x:c r="A867" s="141" t="str">
        <x:v>Silver</x:v>
      </x:c>
      <x:c r="B867" s="155" t="n">
        <x:v>45398</x:v>
      </x:c>
      <x:c r="C867" s="155" t="n">
        <x:v>45401</x:v>
      </x:c>
      <x:c r="D867" s="159" t="n">
        <x:v>175784</x:v>
      </x:c>
      <x:c r="E867" s="159" t="n">
        <x:v>60445</x:v>
      </x:c>
      <x:c r="F867" s="159" t="n">
        <x:v>20255</x:v>
      </x:c>
      <x:c r="G867" s="159" t="n">
        <x:f>E867-F867</x:f>
        <x:v>40190</x:v>
      </x:c>
      <x:c r="H867" s="154" t="n">
        <x:f>IFERROR(G867/D867,"")</x:f>
        <x:v>0.22863286761024895</x:v>
      </x:c>
      <x:c r="I867" s="159" t="n">
        <x:v>9862</x:v>
      </x:c>
      <x:c r="J867" s="159" t="n">
        <x:v>51018</x:v>
      </x:c>
      <x:c r="K867" s="159" t="n">
        <x:f>I867-J867</x:f>
        <x:v>-41156</x:v>
      </x:c>
      <x:c r="L867" s="154" t="n">
        <x:f>IFERROR(K867/D867,"")</x:f>
        <x:v>-0.23412824830473764</x:v>
      </x:c>
    </x:row>
    <x:row r="868">
      <x:c r="A868" s="141" t="str">
        <x:v>Gold</x:v>
      </x:c>
      <x:c r="B868" s="155" t="n">
        <x:v>45405</x:v>
      </x:c>
      <x:c r="C868" s="155" t="n">
        <x:v>45408</x:v>
      </x:c>
      <x:c r="D868" s="159" t="n">
        <x:v>516249</x:v>
      </x:c>
      <x:c r="E868" s="159" t="n">
        <x:v>176400</x:v>
      </x:c>
      <x:c r="F868" s="159" t="n">
        <x:v>34261</x:v>
      </x:c>
      <x:c r="G868" s="159" t="n">
        <x:f>E868-F868</x:f>
        <x:v>142139</x:v>
      </x:c>
      <x:c r="H868" s="154" t="n">
        <x:f>IFERROR(G868/D868,"")</x:f>
        <x:v>0.27533031540981195</x:v>
      </x:c>
      <x:c r="I868" s="159" t="n">
        <x:v>37917</x:v>
      </x:c>
      <x:c r="J868" s="159" t="n">
        <x:v>70510</x:v>
      </x:c>
      <x:c r="K868" s="159" t="n">
        <x:f>I868-J868</x:f>
        <x:v>-32593</x:v>
      </x:c>
      <x:c r="L868" s="154" t="n">
        <x:f>IFERROR(K868/D868,"")</x:f>
        <x:v>-0.06313426272980674</x:v>
      </x:c>
    </x:row>
    <x:row r="869">
      <x:c r="A869" s="141" t="str">
        <x:v>Silver</x:v>
      </x:c>
      <x:c r="B869" s="155" t="n">
        <x:v>45405</x:v>
      </x:c>
      <x:c r="C869" s="155" t="n">
        <x:v>45408</x:v>
      </x:c>
      <x:c r="D869" s="159" t="n">
        <x:v>175740</x:v>
      </x:c>
      <x:c r="E869" s="159" t="n">
        <x:v>60060</x:v>
      </x:c>
      <x:c r="F869" s="159" t="n">
        <x:v>20667</x:v>
      </x:c>
      <x:c r="G869" s="159" t="n">
        <x:f>E869-F869</x:f>
        <x:v>39393</x:v>
      </x:c>
      <x:c r="H869" s="154" t="n">
        <x:f>IFERROR(G869/D869,"")</x:f>
        <x:v>0.22415500170706726</x:v>
      </x:c>
      <x:c r="I869" s="159" t="n">
        <x:v>6575</x:v>
      </x:c>
      <x:c r="J869" s="159" t="n">
        <x:v>48756</x:v>
      </x:c>
      <x:c r="K869" s="159" t="n">
        <x:f>I869-J869</x:f>
        <x:v>-42181</x:v>
      </x:c>
      <x:c r="L869" s="154" t="n">
        <x:f>IFERROR(K869/D869,"")</x:f>
        <x:v>-0.24001934676226244</x:v>
      </x:c>
    </x:row>
    <x:row r="870">
      <x:c r="A870" s="141" t="str">
        <x:v>Gold</x:v>
      </x:c>
      <x:c r="B870" s="155" t="n">
        <x:v>45412</x:v>
      </x:c>
      <x:c r="C870" s="155" t="n">
        <x:v>45415</x:v>
      </x:c>
      <x:c r="D870" s="159" t="n">
        <x:v>519791</x:v>
      </x:c>
      <x:c r="E870" s="159" t="n">
        <x:v>171853</x:v>
      </x:c>
      <x:c r="F870" s="159" t="n">
        <x:v>36826</x:v>
      </x:c>
      <x:c r="G870" s="159" t="n">
        <x:f>E870-F870</x:f>
        <x:v>135027</x:v>
      </x:c>
      <x:c r="H870" s="154" t="n">
        <x:f>IFERROR(G870/D870,"")</x:f>
        <x:v>0.25977171593967574</x:v>
      </x:c>
      <x:c r="I870" s="159" t="n">
        <x:v>37917</x:v>
      </x:c>
      <x:c r="J870" s="159" t="n">
        <x:v>68644</x:v>
      </x:c>
      <x:c r="K870" s="159" t="n">
        <x:f>I870-J870</x:f>
        <x:v>-30727</x:v>
      </x:c>
      <x:c r="L870" s="154" t="n">
        <x:f>IFERROR(K870/D870,"")</x:f>
        <x:v>-0.05911414395401229</x:v>
      </x:c>
    </x:row>
    <x:row r="871">
      <x:c r="A871" s="141" t="str">
        <x:v>Silver</x:v>
      </x:c>
      <x:c r="B871" s="155" t="n">
        <x:v>45412</x:v>
      </x:c>
      <x:c r="C871" s="155" t="n">
        <x:v>45415</x:v>
      </x:c>
      <x:c r="D871" s="159" t="n">
        <x:v>166315</x:v>
      </x:c>
      <x:c r="E871" s="159" t="n">
        <x:v>55842</x:v>
      </x:c>
      <x:c r="F871" s="159" t="n">
        <x:v>21956</x:v>
      </x:c>
      <x:c r="G871" s="159" t="n">
        <x:f>E871-F871</x:f>
        <x:v>33886</x:v>
      </x:c>
      <x:c r="H871" s="154" t="n">
        <x:f>IFERROR(G871/D871,"")</x:f>
        <x:v>0.20374590385713856</x:v>
      </x:c>
      <x:c r="I871" s="159" t="n">
        <x:v>5011</x:v>
      </x:c>
      <x:c r="J871" s="159" t="n">
        <x:v>44677</x:v>
      </x:c>
      <x:c r="K871" s="159" t="n">
        <x:f>I871-J871</x:f>
        <x:v>-39666</x:v>
      </x:c>
      <x:c r="L871" s="154" t="n">
        <x:f>IFERROR(K871/D871,"")</x:f>
        <x:v>-0.23849923338243695</x:v>
      </x:c>
    </x:row>
    <x:row r="872">
      <x:c r="A872" s="141" t="str">
        <x:v>Gold</x:v>
      </x:c>
      <x:c r="B872" s="155" t="n">
        <x:v>45419</x:v>
      </x:c>
      <x:c r="C872" s="155" t="n">
        <x:v>45422</x:v>
      </x:c>
      <x:c r="D872" s="159" t="n">
        <x:v>529835</x:v>
      </x:c>
      <x:c r="E872" s="159" t="n">
        <x:v>164780</x:v>
      </x:c>
      <x:c r="F872" s="159" t="n">
        <x:v>38681</x:v>
      </x:c>
      <x:c r="G872" s="159" t="n">
        <x:f>E872-F872</x:f>
        <x:v>126099</x:v>
      </x:c>
      <x:c r="H872" s="154" t="n">
        <x:f>IFERROR(G872/D872,"")</x:f>
        <x:v>0.23799673483254222</x:v>
      </x:c>
      <x:c r="I872" s="159" t="n">
        <x:v>35488</x:v>
      </x:c>
      <x:c r="J872" s="159" t="n">
        <x:v>67658</x:v>
      </x:c>
      <x:c r="K872" s="159" t="n">
        <x:f>I872-J872</x:f>
        <x:v>-32170</x:v>
      </x:c>
      <x:c r="L872" s="154" t="n">
        <x:f>IFERROR(K872/D872,"")</x:f>
        <x:v>-0.06071701567469118</x:v>
      </x:c>
    </x:row>
    <x:row r="873">
      <x:c r="A873" s="141" t="str">
        <x:v>Silver</x:v>
      </x:c>
      <x:c r="B873" s="155" t="n">
        <x:v>45419</x:v>
      </x:c>
      <x:c r="C873" s="155" t="n">
        <x:v>45422</x:v>
      </x:c>
      <x:c r="D873" s="159" t="n">
        <x:v>161868</x:v>
      </x:c>
      <x:c r="E873" s="159" t="n">
        <x:v>54892</x:v>
      </x:c>
      <x:c r="F873" s="159" t="n">
        <x:v>20698</x:v>
      </x:c>
      <x:c r="G873" s="159" t="n">
        <x:f>E873-F873</x:f>
        <x:v>34194</x:v>
      </x:c>
      <x:c r="H873" s="154" t="n">
        <x:f>IFERROR(G873/D873,"")</x:f>
        <x:v>0.21124620060790272</x:v>
      </x:c>
      <x:c r="I873" s="159" t="n">
        <x:v>4238</x:v>
      </x:c>
      <x:c r="J873" s="159" t="n">
        <x:v>44521</x:v>
      </x:c>
      <x:c r="K873" s="159" t="n">
        <x:f>I873-J873</x:f>
        <x:v>-40283</x:v>
      </x:c>
      <x:c r="L873" s="154" t="n">
        <x:f>IFERROR(K873/D873,"")</x:f>
        <x:v>-0.24886327130748512</x:v>
      </x:c>
    </x:row>
    <x:row r="874">
      <x:c r="A874" s="141" t="str">
        <x:v>Gold</x:v>
      </x:c>
      <x:c r="B874" s="155" t="n">
        <x:v>45426</x:v>
      </x:c>
      <x:c r="C874" s="155" t="n">
        <x:v>45429</x:v>
      </x:c>
      <x:c r="D874" s="159" t="n">
        <x:v>522952</x:v>
      </x:c>
      <x:c r="E874" s="159" t="n">
        <x:v>171868</x:v>
      </x:c>
      <x:c r="F874" s="159" t="n">
        <x:v>41433</x:v>
      </x:c>
      <x:c r="G874" s="159" t="n">
        <x:f>E874-F874</x:f>
        <x:v>130435</x:v>
      </x:c>
      <x:c r="H874" s="154" t="n">
        <x:f>IFERROR(G874/D874,"")</x:f>
        <x:v>0.2494205969190289</x:v>
      </x:c>
      <x:c r="I874" s="159" t="n">
        <x:v>35446</x:v>
      </x:c>
      <x:c r="J874" s="159" t="n">
        <x:v>65005</x:v>
      </x:c>
      <x:c r="K874" s="159" t="n">
        <x:f>I874-J874</x:f>
        <x:v>-29559</x:v>
      </x:c>
      <x:c r="L874" s="154" t="n">
        <x:f>IFERROR(K874/D874,"")</x:f>
        <x:v>-0.05652335204760666</x:v>
      </x:c>
    </x:row>
    <x:row r="875">
      <x:c r="A875" s="141" t="str">
        <x:v>Silver</x:v>
      </x:c>
      <x:c r="B875" s="155" t="n">
        <x:v>45426</x:v>
      </x:c>
      <x:c r="C875" s="155" t="n">
        <x:v>45429</x:v>
      </x:c>
      <x:c r="D875" s="159" t="n">
        <x:v>171371</x:v>
      </x:c>
      <x:c r="E875" s="159" t="n">
        <x:v>60206</x:v>
      </x:c>
      <x:c r="F875" s="159" t="n">
        <x:v>20510</x:v>
      </x:c>
      <x:c r="G875" s="159" t="n">
        <x:f>E875-F875</x:f>
        <x:v>39696</x:v>
      </x:c>
      <x:c r="H875" s="154" t="n">
        <x:f>IFERROR(G875/D875,"")</x:f>
        <x:v>0.2316377916917098</x:v>
      </x:c>
      <x:c r="I875" s="159" t="n">
        <x:v>4024</x:v>
      </x:c>
      <x:c r="J875" s="159" t="n">
        <x:v>47924</x:v>
      </x:c>
      <x:c r="K875" s="159" t="n">
        <x:f>I875-J875</x:f>
        <x:v>-43900</x:v>
      </x:c>
      <x:c r="L875" s="154" t="n">
        <x:f>IFERROR(K875/D875,"")</x:f>
        <x:v>-0.2561693635445904</x:v>
      </x:c>
    </x:row>
    <x:row r="876">
      <x:c r="A876" s="141" t="str">
        <x:v>Gold</x:v>
      </x:c>
      <x:c r="B876" s="155" t="n">
        <x:v>45433</x:v>
      </x:c>
      <x:c r="C876" s="155" t="n">
        <x:v>45436</x:v>
      </x:c>
      <x:c r="D876" s="159" t="n">
        <x:v>530591</x:v>
      </x:c>
      <x:c r="E876" s="159" t="n">
        <x:v>190605</x:v>
      </x:c>
      <x:c r="F876" s="159" t="n">
        <x:v>42082</x:v>
      </x:c>
      <x:c r="G876" s="159" t="n">
        <x:f>E876-F876</x:f>
        <x:v>148523</x:v>
      </x:c>
      <x:c r="H876" s="154" t="n">
        <x:f>IFERROR(G876/D876,"")</x:f>
        <x:v>0.27991993833291556</x:v>
      </x:c>
      <x:c r="I876" s="159" t="n">
        <x:v>20490</x:v>
      </x:c>
      <x:c r="J876" s="159" t="n">
        <x:v>57460</x:v>
      </x:c>
      <x:c r="K876" s="159" t="n">
        <x:f>I876-J876</x:f>
        <x:v>-36970</x:v>
      </x:c>
      <x:c r="L876" s="154" t="n">
        <x:f>IFERROR(K876/D876,"")</x:f>
        <x:v>-0.06967702052993738</x:v>
      </x:c>
    </x:row>
    <x:row r="877">
      <x:c r="A877" s="141" t="str">
        <x:v>Silver</x:v>
      </x:c>
      <x:c r="B877" s="155" t="n">
        <x:v>45433</x:v>
      </x:c>
      <x:c r="C877" s="155" t="n">
        <x:v>45436</x:v>
      </x:c>
      <x:c r="D877" s="159" t="n">
        <x:v>186945</x:v>
      </x:c>
      <x:c r="E877" s="159" t="n">
        <x:v>61627</x:v>
      </x:c>
      <x:c r="F877" s="159" t="n">
        <x:v>25457</x:v>
      </x:c>
      <x:c r="G877" s="159" t="n">
        <x:f>E877-F877</x:f>
        <x:v>36170</x:v>
      </x:c>
      <x:c r="H877" s="154" t="n">
        <x:f>IFERROR(G877/D877,"")</x:f>
        <x:v>0.19347936558880954</x:v>
      </x:c>
      <x:c r="I877" s="159" t="n">
        <x:v>6354</x:v>
      </x:c>
      <x:c r="J877" s="159" t="n">
        <x:v>49053</x:v>
      </x:c>
      <x:c r="K877" s="159" t="n">
        <x:f>I877-J877</x:f>
        <x:v>-42699</x:v>
      </x:c>
      <x:c r="L877" s="154" t="n">
        <x:f>IFERROR(K877/D877,"")</x:f>
        <x:v>-0.22840407606515284</x:v>
      </x:c>
    </x:row>
    <x:row r="878">
      <x:c r="A878" s="141" t="str">
        <x:v>Gold</x:v>
      </x:c>
      <x:c r="B878" s="155" t="n">
        <x:v>45440</x:v>
      </x:c>
      <x:c r="C878" s="155" t="n">
        <x:v>45443</x:v>
      </x:c>
      <x:c r="D878" s="159" t="n">
        <x:v>485430</x:v>
      </x:c>
      <x:c r="E878" s="159" t="n">
        <x:v>174444</x:v>
      </x:c>
      <x:c r="F878" s="159" t="n">
        <x:v>25616</x:v>
      </x:c>
      <x:c r="G878" s="159" t="n">
        <x:f>E878-F878</x:f>
        <x:v>148828</x:v>
      </x:c>
      <x:c r="H878" s="154" t="n">
        <x:f>IFERROR(G878/D878,"")</x:f>
        <x:v>0.3065900335784768</x:v>
      </x:c>
      <x:c r="I878" s="159" t="n">
        <x:v>18542</x:v>
      </x:c>
      <x:c r="J878" s="159" t="n">
        <x:v>59186</x:v>
      </x:c>
      <x:c r="K878" s="159" t="n">
        <x:f>I878-J878</x:f>
        <x:v>-40644</x:v>
      </x:c>
      <x:c r="L878" s="154" t="n">
        <x:f>IFERROR(K878/D878,"")</x:f>
        <x:v>-0.08372782893517088</x:v>
      </x:c>
    </x:row>
    <x:row r="879">
      <x:c r="A879" s="141" t="str">
        <x:v>Silver</x:v>
      </x:c>
      <x:c r="B879" s="155" t="n">
        <x:v>45440</x:v>
      </x:c>
      <x:c r="C879" s="155" t="n">
        <x:v>45443</x:v>
      </x:c>
      <x:c r="D879" s="159" t="n">
        <x:v>184846</x:v>
      </x:c>
      <x:c r="E879" s="159" t="n">
        <x:v>62242</x:v>
      </x:c>
      <x:c r="F879" s="159" t="n">
        <x:v>24487</x:v>
      </x:c>
      <x:c r="G879" s="159" t="n">
        <x:f>E879-F879</x:f>
        <x:v>37755</x:v>
      </x:c>
      <x:c r="H879" s="154" t="n">
        <x:f>IFERROR(G879/D879,"")</x:f>
        <x:v>0.20425110632634733</x:v>
      </x:c>
      <x:c r="I879" s="159" t="n">
        <x:v>5736</x:v>
      </x:c>
      <x:c r="J879" s="159" t="n">
        <x:v>48979</x:v>
      </x:c>
      <x:c r="K879" s="159" t="n">
        <x:f>I879-J879</x:f>
        <x:v>-43243</x:v>
      </x:c>
      <x:c r="L879" s="154" t="n">
        <x:f>IFERROR(K879/D879,"")</x:f>
        <x:v>-0.2339406857600381</x:v>
      </x:c>
    </x:row>
    <x:row r="880">
      <x:c r="A880" s="141" t="str">
        <x:v>Gold</x:v>
      </x:c>
      <x:c r="B880" s="155" t="n">
        <x:v>45447</x:v>
      </x:c>
      <x:c r="C880" s="155" t="n">
        <x:v>45450</x:v>
      </x:c>
      <x:c r="D880" s="159" t="n">
        <x:v>447488</x:v>
      </x:c>
      <x:c r="E880" s="159" t="n">
        <x:v>172560</x:v>
      </x:c>
      <x:c r="F880" s="159" t="n">
        <x:v>20261</x:v>
      </x:c>
      <x:c r="G880" s="159" t="n">
        <x:f>E880-F880</x:f>
        <x:v>152299</x:v>
      </x:c>
      <x:c r="H880" s="154" t="n">
        <x:f>IFERROR(G880/D880,"")</x:f>
        <x:v>0.3403420873855835</x:v>
      </x:c>
      <x:c r="I880" s="159" t="n">
        <x:v>15962</x:v>
      </x:c>
      <x:c r="J880" s="159" t="n">
        <x:v>55848</x:v>
      </x:c>
      <x:c r="K880" s="159" t="n">
        <x:f>I880-J880</x:f>
        <x:v>-39886</x:v>
      </x:c>
      <x:c r="L880" s="154" t="n">
        <x:f>IFERROR(K880/D880,"")</x:f>
        <x:v>-0.0891331164187643</x:v>
      </x:c>
    </x:row>
    <x:row r="881">
      <x:c r="A881" s="141" t="str">
        <x:v>Silver</x:v>
      </x:c>
      <x:c r="B881" s="155" t="n">
        <x:v>45447</x:v>
      </x:c>
      <x:c r="C881" s="155" t="n">
        <x:v>45450</x:v>
      </x:c>
      <x:c r="D881" s="159" t="n">
        <x:v>179854</x:v>
      </x:c>
      <x:c r="E881" s="159" t="n">
        <x:v>56908</x:v>
      </x:c>
      <x:c r="F881" s="159" t="n">
        <x:v>22577</x:v>
      </x:c>
      <x:c r="G881" s="159" t="n">
        <x:f>E881-F881</x:f>
        <x:v>34331</x:v>
      </x:c>
      <x:c r="H881" s="154" t="n">
        <x:f>IFERROR(G881/D881,"")</x:f>
        <x:v>0.1908826047794322</x:v>
      </x:c>
      <x:c r="I881" s="159" t="n">
        <x:v>4057</x:v>
      </x:c>
      <x:c r="J881" s="159" t="n">
        <x:v>46902</x:v>
      </x:c>
      <x:c r="K881" s="159" t="n">
        <x:f>I881-J881</x:f>
        <x:v>-42845</x:v>
      </x:c>
      <x:c r="L881" s="154" t="n">
        <x:f>IFERROR(K881/D881,"")</x:f>
        <x:v>-0.2382210014789774</x:v>
      </x:c>
    </x:row>
    <x:row r="882">
      <x:c r="A882" s="141" t="str">
        <x:v>Gold</x:v>
      </x:c>
      <x:c r="B882" s="155" t="n">
        <x:v>45454</x:v>
      </x:c>
      <x:c r="C882" s="155" t="n">
        <x:v>45457</x:v>
      </x:c>
      <x:c r="D882" s="159" t="n">
        <x:v>436857</x:v>
      </x:c>
      <x:c r="E882" s="159" t="n">
        <x:v>168424</x:v>
      </x:c>
      <x:c r="F882" s="159" t="n">
        <x:v>15459</x:v>
      </x:c>
      <x:c r="G882" s="159" t="n">
        <x:f>E882-F882</x:f>
        <x:v>152965</x:v>
      </x:c>
      <x:c r="H882" s="154" t="n">
        <x:f>IFERROR(G882/D882,"")</x:f>
        <x:v>0.35014890456144687</x:v>
      </x:c>
      <x:c r="I882" s="159" t="n">
        <x:v>15922</x:v>
      </x:c>
      <x:c r="J882" s="159" t="n">
        <x:v>56729</x:v>
      </x:c>
      <x:c r="K882" s="159" t="n">
        <x:f>I882-J882</x:f>
        <x:v>-40807</x:v>
      </x:c>
      <x:c r="L882" s="154" t="n">
        <x:f>IFERROR(K882/D882,"")</x:f>
        <x:v>-0.09341042949981344</x:v>
      </x:c>
    </x:row>
    <x:row r="883">
      <x:c r="A883" s="141" t="str">
        <x:v>Silver</x:v>
      </x:c>
      <x:c r="B883" s="155" t="n">
        <x:v>45454</x:v>
      </x:c>
      <x:c r="C883" s="155" t="n">
        <x:v>45457</x:v>
      </x:c>
      <x:c r="D883" s="159" t="n">
        <x:v>176036</x:v>
      </x:c>
      <x:c r="E883" s="159" t="n">
        <x:v>52207</x:v>
      </x:c>
      <x:c r="F883" s="159" t="n">
        <x:v>24147</x:v>
      </x:c>
      <x:c r="G883" s="159" t="n">
        <x:f>E883-F883</x:f>
        <x:v>28060</x:v>
      </x:c>
      <x:c r="H883" s="154" t="n">
        <x:f>IFERROR(G883/D883,"")</x:f>
        <x:v>0.15939921379717786</x:v>
      </x:c>
      <x:c r="I883" s="159" t="n">
        <x:v>4734</x:v>
      </x:c>
      <x:c r="J883" s="159" t="n">
        <x:v>45574</x:v>
      </x:c>
      <x:c r="K883" s="159" t="n">
        <x:f>I883-J883</x:f>
        <x:v>-40840</x:v>
      </x:c>
      <x:c r="L883" s="154" t="n">
        <x:f>IFERROR(K883/D883,"")</x:f>
        <x:v>-0.23199800040900725</x:v>
      </x:c>
    </x:row>
    <x:row r="884">
      <x:c r="A884" s="141" t="str">
        <x:v>Gold</x:v>
      </x:c>
      <x:c r="B884" s="155" t="n">
        <x:v>45461</x:v>
      </x:c>
      <x:c r="C884" s="155" t="n">
        <x:v>45464</x:v>
      </x:c>
      <x:c r="D884" s="159" t="n">
        <x:v>444345</x:v>
      </x:c>
      <x:c r="E884" s="159" t="n">
        <x:v>177639</x:v>
      </x:c>
      <x:c r="F884" s="159" t="n">
        <x:v>17018</x:v>
      </x:c>
      <x:c r="G884" s="159" t="n">
        <x:f>E884-F884</x:f>
        <x:v>160621</x:v>
      </x:c>
      <x:c r="H884" s="154" t="n">
        <x:f>IFERROR(G884/D884,"")</x:f>
        <x:v>0.3614781307317512</x:v>
      </x:c>
      <x:c r="I884" s="159" t="n">
        <x:v>15030</x:v>
      </x:c>
      <x:c r="J884" s="159" t="n">
        <x:v>57588</x:v>
      </x:c>
      <x:c r="K884" s="159" t="n">
        <x:f>I884-J884</x:f>
        <x:v>-42558</x:v>
      </x:c>
      <x:c r="L884" s="154" t="n">
        <x:f>IFERROR(K884/D884,"")</x:f>
        <x:v>-0.09577693008810721</x:v>
      </x:c>
    </x:row>
    <x:row r="885">
      <x:c r="A885" s="141" t="str">
        <x:v>Silver</x:v>
      </x:c>
      <x:c r="B885" s="155" t="n">
        <x:v>45461</x:v>
      </x:c>
      <x:c r="C885" s="155" t="n">
        <x:v>45464</x:v>
      </x:c>
      <x:c r="D885" s="159" t="n">
        <x:v>176605</x:v>
      </x:c>
      <x:c r="E885" s="159" t="n">
        <x:v>53057</x:v>
      </x:c>
      <x:c r="F885" s="159" t="n">
        <x:v>22008</x:v>
      </x:c>
      <x:c r="G885" s="159" t="n">
        <x:f>E885-F885</x:f>
        <x:v>31049</x:v>
      </x:c>
      <x:c r="H885" s="154" t="n">
        <x:f>IFERROR(G885/D885,"")</x:f>
        <x:v>0.17581042439342034</x:v>
      </x:c>
      <x:c r="I885" s="159" t="n">
        <x:v>5588</x:v>
      </x:c>
      <x:c r="J885" s="159" t="n">
        <x:v>45842</x:v>
      </x:c>
      <x:c r="K885" s="159" t="n">
        <x:f>I885-J885</x:f>
        <x:v>-40254</x:v>
      </x:c>
      <x:c r="L885" s="154" t="n">
        <x:f>IFERROR(K885/D885,"")</x:f>
        <x:v>-0.22793239149514452</x:v>
      </x:c>
    </x:row>
    <x:row r="886">
      <x:c r="A886" s="141" t="str">
        <x:v>Gold</x:v>
      </x:c>
      <x:c r="B886" s="155" t="n">
        <x:v>45468</x:v>
      </x:c>
      <x:c r="C886" s="155" t="n">
        <x:v>45471</x:v>
      </x:c>
      <x:c r="D886" s="159" t="n">
        <x:v>452190</x:v>
      </x:c>
      <x:c r="E886" s="159" t="n">
        <x:v>174756</x:v>
      </x:c>
      <x:c r="F886" s="159" t="n">
        <x:v>16554</x:v>
      </x:c>
      <x:c r="G886" s="159" t="n">
        <x:f>E886-F886</x:f>
        <x:v>158202</x:v>
      </x:c>
      <x:c r="H886" s="154" t="n">
        <x:f>IFERROR(G886/D886,"")</x:f>
        <x:v>0.3498573608438931</x:v>
      </x:c>
      <x:c r="I886" s="159" t="n">
        <x:v>15601</x:v>
      </x:c>
      <x:c r="J886" s="159" t="n">
        <x:v>58204</x:v>
      </x:c>
      <x:c r="K886" s="159" t="n">
        <x:f>I886-J886</x:f>
        <x:v>-42603</x:v>
      </x:c>
      <x:c r="L886" s="154" t="n">
        <x:f>IFERROR(K886/D886,"")</x:f>
        <x:v>-0.09421482120347642</x:v>
      </x:c>
    </x:row>
    <x:row r="887">
      <x:c r="A887" s="141" t="str">
        <x:v>Silver</x:v>
      </x:c>
      <x:c r="B887" s="155" t="n">
        <x:v>45468</x:v>
      </x:c>
      <x:c r="C887" s="155" t="n">
        <x:v>45471</x:v>
      </x:c>
      <x:c r="D887" s="159" t="n">
        <x:v>166470</x:v>
      </x:c>
      <x:c r="E887" s="159" t="n">
        <x:v>50941</x:v>
      </x:c>
      <x:c r="F887" s="159" t="n">
        <x:v>18595</x:v>
      </x:c>
      <x:c r="G887" s="159" t="n">
        <x:f>E887-F887</x:f>
        <x:v>32346</x:v>
      </x:c>
      <x:c r="H887" s="154" t="n">
        <x:f>IFERROR(G887/D887,"")</x:f>
        <x:v>0.1943052802306722</x:v>
      </x:c>
      <x:c r="I887" s="159" t="n">
        <x:v>4330</x:v>
      </x:c>
      <x:c r="J887" s="159" t="n">
        <x:v>43682</x:v>
      </x:c>
      <x:c r="K887" s="159" t="n">
        <x:f>I887-J887</x:f>
        <x:v>-39352</x:v>
      </x:c>
      <x:c r="L887" s="154" t="n">
        <x:f>IFERROR(K887/D887,"")</x:f>
        <x:v>-0.23639094131074667</x:v>
      </x:c>
    </x:row>
    <x:row r="888">
      <x:c r="A888" s="141" t="str">
        <x:v>Gold</x:v>
      </x:c>
      <x:c r="B888" s="155" t="n">
        <x:v>45475</x:v>
      </x:c>
      <x:c r="C888" s="155" t="n">
        <x:v>45478</x:v>
      </x:c>
      <x:c r="D888" s="159" t="n">
        <x:v>454730</x:v>
      </x:c>
      <x:c r="E888" s="159" t="n">
        <x:v>167688</x:v>
      </x:c>
      <x:c r="F888" s="159" t="n">
        <x:v>16873</x:v>
      </x:c>
      <x:c r="G888" s="159" t="n">
        <x:f>E888-F888</x:f>
        <x:v>150815</x:v>
      </x:c>
      <x:c r="H888" s="154" t="n">
        <x:f>IFERROR(G888/D888,"")</x:f>
        <x:v>0.33165834671123523</x:v>
      </x:c>
      <x:c r="I888" s="159" t="n">
        <x:v>14424</x:v>
      </x:c>
      <x:c r="J888" s="159" t="n">
        <x:v>59169</x:v>
      </x:c>
      <x:c r="K888" s="159" t="n">
        <x:f>I888-J888</x:f>
        <x:v>-44745</x:v>
      </x:c>
      <x:c r="L888" s="154" t="n">
        <x:f>IFERROR(K888/D888,"")</x:f>
        <x:v>-0.0983990499857058</x:v>
      </x:c>
    </x:row>
    <x:row r="889">
      <x:c r="A889" s="141" t="str">
        <x:v>Silver</x:v>
      </x:c>
      <x:c r="B889" s="155" t="n">
        <x:v>45475</x:v>
      </x:c>
      <x:c r="C889" s="155" t="n">
        <x:v>45478</x:v>
      </x:c>
      <x:c r="D889" s="159" t="n">
        <x:v>154724</x:v>
      </x:c>
      <x:c r="E889" s="159" t="n">
        <x:v>49570</x:v>
      </x:c>
      <x:c r="F889" s="159" t="n">
        <x:v>18013</x:v>
      </x:c>
      <x:c r="G889" s="159" t="n">
        <x:f>E889-F889</x:f>
        <x:v>31557</x:v>
      </x:c>
      <x:c r="H889" s="154" t="n">
        <x:f>IFERROR(G889/D889,"")</x:f>
        <x:v>0.20395672293891057</x:v>
      </x:c>
      <x:c r="I889" s="159" t="n">
        <x:v>3604</x:v>
      </x:c>
      <x:c r="J889" s="159" t="n">
        <x:v>42259</x:v>
      </x:c>
      <x:c r="K889" s="159" t="n">
        <x:f>I889-J889</x:f>
        <x:v>-38655</x:v>
      </x:c>
      <x:c r="L889" s="154" t="n">
        <x:f>IFERROR(K889/D889,"")</x:f>
        <x:v>-0.24983195884284273</x:v>
      </x:c>
    </x:row>
    <x:row r="890">
      <x:c r="A890" s="141" t="str">
        <x:v>Gold</x:v>
      </x:c>
      <x:c r="B890" s="155" t="n">
        <x:v>45482</x:v>
      </x:c>
      <x:c r="C890" s="155" t="n">
        <x:v>45485</x:v>
      </x:c>
      <x:c r="D890" s="159" t="n">
        <x:v>516324</x:v>
      </x:c>
      <x:c r="E890" s="159" t="n">
        <x:v>181982</x:v>
      </x:c>
      <x:c r="F890" s="159" t="n">
        <x:v>24515</x:v>
      </x:c>
      <x:c r="G890" s="159" t="n">
        <x:f>E890-F890</x:f>
        <x:v>157467</x:v>
      </x:c>
      <x:c r="H890" s="154" t="n">
        <x:f>IFERROR(G890/D890,"")</x:f>
        <x:v>0.3049771073976805</x:v>
      </x:c>
      <x:c r="I890" s="159" t="n">
        <x:v>14031</x:v>
      </x:c>
      <x:c r="J890" s="159" t="n">
        <x:v>66422</x:v>
      </x:c>
      <x:c r="K890" s="159" t="n">
        <x:f>I890-J890</x:f>
        <x:v>-52391</x:v>
      </x:c>
      <x:c r="L890" s="154" t="n">
        <x:f>IFERROR(K890/D890,"")</x:f>
        <x:v>-0.1014692324974241</x:v>
      </x:c>
    </x:row>
    <x:row r="891">
      <x:c r="A891" s="141" t="str">
        <x:v>Silver</x:v>
      </x:c>
      <x:c r="B891" s="155" t="n">
        <x:v>45482</x:v>
      </x:c>
      <x:c r="C891" s="155" t="n">
        <x:v>45485</x:v>
      </x:c>
      <x:c r="D891" s="159" t="n">
        <x:v>163245</x:v>
      </x:c>
      <x:c r="E891" s="159" t="n">
        <x:v>55172</x:v>
      </x:c>
      <x:c r="F891" s="159" t="n">
        <x:v>17270</x:v>
      </x:c>
      <x:c r="G891" s="159" t="n">
        <x:f>E891-F891</x:f>
        <x:v>37902</x:v>
      </x:c>
      <x:c r="H891" s="154" t="n">
        <x:f>IFERROR(G891/D891,"")</x:f>
        <x:v>0.23217862721676008</x:v>
      </x:c>
      <x:c r="I891" s="159" t="n">
        <x:v>3281</x:v>
      </x:c>
      <x:c r="J891" s="159" t="n">
        <x:v>44645</x:v>
      </x:c>
      <x:c r="K891" s="159" t="n">
        <x:f>I891-J891</x:f>
        <x:v>-41364</x:v>
      </x:c>
      <x:c r="L891" s="154" t="n">
        <x:f>IFERROR(K891/D891,"")</x:f>
        <x:v>-0.2533860148856014</x:v>
      </x:c>
    </x:row>
    <x:row r="892">
      <x:c r="A892" s="141" t="str">
        <x:v>Gold</x:v>
      </x:c>
      <x:c r="B892" s="155" t="n">
        <x:v>45489</x:v>
      </x:c>
      <x:c r="C892" s="155" t="n">
        <x:v>45492</x:v>
      </x:c>
      <x:c r="D892" s="159" t="n">
        <x:v>579862</x:v>
      </x:c>
      <x:c r="E892" s="159" t="n">
        <x:v>216502</x:v>
      </x:c>
      <x:c r="F892" s="159" t="n">
        <x:v>31970</x:v>
      </x:c>
      <x:c r="G892" s="159" t="n">
        <x:f>E892-F892</x:f>
        <x:v>184532</x:v>
      </x:c>
      <x:c r="H892" s="154" t="n">
        <x:f>IFERROR(G892/D892,"")</x:f>
        <x:v>0.31823433851502597</x:v>
      </x:c>
      <x:c r="I892" s="159" t="n">
        <x:v>23789</x:v>
      </x:c>
      <x:c r="J892" s="159" t="n">
        <x:v>84107</x:v>
      </x:c>
      <x:c r="K892" s="159" t="n">
        <x:f>I892-J892</x:f>
        <x:v>-60318</x:v>
      </x:c>
      <x:c r="L892" s="154" t="n">
        <x:f>IFERROR(K892/D892,"")</x:f>
        <x:v>-0.10402130162004063</x:v>
      </x:c>
    </x:row>
    <x:row r="893">
      <x:c r="A893" s="141" t="str">
        <x:v>Silver</x:v>
      </x:c>
      <x:c r="B893" s="155" t="n">
        <x:v>45489</x:v>
      </x:c>
      <x:c r="C893" s="155" t="n">
        <x:v>45492</x:v>
      </x:c>
      <x:c r="D893" s="159" t="n">
        <x:v>166641</x:v>
      </x:c>
      <x:c r="E893" s="159" t="n">
        <x:v>55858</x:v>
      </x:c>
      <x:c r="F893" s="159" t="n">
        <x:v>19183</x:v>
      </x:c>
      <x:c r="G893" s="159" t="n">
        <x:f>E893-F893</x:f>
        <x:v>36675</x:v>
      </x:c>
      <x:c r="H893" s="154" t="n">
        <x:f>IFERROR(G893/D893,"")</x:f>
        <x:v>0.2200838929195096</x:v>
      </x:c>
      <x:c r="I893" s="159" t="n">
        <x:v>2794</x:v>
      </x:c>
      <x:c r="J893" s="159" t="n">
        <x:v>43342</x:v>
      </x:c>
      <x:c r="K893" s="159" t="n">
        <x:f>I893-J893</x:f>
        <x:v>-40548</x:v>
      </x:c>
      <x:c r="L893" s="154" t="n">
        <x:f>IFERROR(K893/D893,"")</x:f>
        <x:v>-0.2433254721227069</x:v>
      </x:c>
    </x:row>
    <x:row r="894">
      <x:c r="A894" s="141" t="str">
        <x:v>Gold</x:v>
      </x:c>
      <x:c r="B894" s="155" t="n">
        <x:v>45496</x:v>
      </x:c>
      <x:c r="C894" s="155" t="n">
        <x:v>45499</x:v>
      </x:c>
      <x:c r="D894" s="159" t="n">
        <x:v>572306</x:v>
      </x:c>
      <x:c r="E894" s="159" t="n">
        <x:v>197802</x:v>
      </x:c>
      <x:c r="F894" s="159" t="n">
        <x:v>34942</x:v>
      </x:c>
      <x:c r="G894" s="159" t="n">
        <x:f>E894-F894</x:f>
        <x:v>162860</x:v>
      </x:c>
      <x:c r="H894" s="154" t="n">
        <x:f>IFERROR(G894/D894,"")</x:f>
        <x:v>0.28456804576572675</x:v>
      </x:c>
      <x:c r="I894" s="159" t="n">
        <x:v>15685</x:v>
      </x:c>
      <x:c r="J894" s="159" t="n">
        <x:v>69900</x:v>
      </x:c>
      <x:c r="K894" s="159" t="n">
        <x:f>I894-J894</x:f>
        <x:v>-54215</x:v>
      </x:c>
      <x:c r="L894" s="154" t="n">
        <x:f>IFERROR(K894/D894,"")</x:f>
        <x:v>-0.09473079087061817</x:v>
      </x:c>
    </x:row>
    <x:row r="895">
      <x:c r="A895" s="141" t="str">
        <x:v>Silver</x:v>
      </x:c>
      <x:c r="B895" s="155" t="n">
        <x:v>45496</x:v>
      </x:c>
      <x:c r="C895" s="155" t="n">
        <x:v>45499</x:v>
      </x:c>
      <x:c r="D895" s="159" t="n">
        <x:v>157106</x:v>
      </x:c>
      <x:c r="E895" s="159" t="n">
        <x:v>43877</x:v>
      </x:c>
      <x:c r="F895" s="159" t="n">
        <x:v>18523</x:v>
      </x:c>
      <x:c r="G895" s="159" t="n">
        <x:f>E895-F895</x:f>
        <x:v>25354</x:v>
      </x:c>
      <x:c r="H895" s="154" t="n">
        <x:f>IFERROR(G895/D895,"")</x:f>
        <x:v>0.16138148765801433</x:v>
      </x:c>
      <x:c r="I895" s="159" t="n">
        <x:v>3501</x:v>
      </x:c>
      <x:c r="J895" s="159" t="n">
        <x:v>40508</x:v>
      </x:c>
      <x:c r="K895" s="159" t="n">
        <x:f>I895-J895</x:f>
        <x:v>-37007</x:v>
      </x:c>
      <x:c r="L895" s="154" t="n">
        <x:f>IFERROR(K895/D895,"")</x:f>
        <x:v>-0.2355543391086273</x:v>
      </x:c>
    </x:row>
    <x:row r="896">
      <x:c r="A896" s="141" t="str">
        <x:v>Gold</x:v>
      </x:c>
      <x:c r="B896" s="155" t="n">
        <x:v>45503</x:v>
      </x:c>
      <x:c r="C896" s="155" t="n">
        <x:v>45506</x:v>
      </x:c>
      <x:c r="D896" s="159" t="n">
        <x:v>510914</x:v>
      </x:c>
      <x:c r="E896" s="159" t="n">
        <x:v>185586</x:v>
      </x:c>
      <x:c r="F896" s="159" t="n">
        <x:v>33222</x:v>
      </x:c>
      <x:c r="G896" s="159" t="n">
        <x:f>E896-F896</x:f>
        <x:v>152364</x:v>
      </x:c>
      <x:c r="H896" s="154" t="n">
        <x:f>IFERROR(G896/D896,"")</x:f>
        <x:v>0.2982184868686315</x:v>
      </x:c>
      <x:c r="I896" s="159" t="n">
        <x:v>19913</x:v>
      </x:c>
      <x:c r="J896" s="159" t="n">
        <x:v>64678</x:v>
      </x:c>
      <x:c r="K896" s="159" t="n">
        <x:f>I896-J896</x:f>
        <x:v>-44765</x:v>
      </x:c>
      <x:c r="L896" s="154" t="n">
        <x:f>IFERROR(K896/D896,"")</x:f>
        <x:v>-0.08761748552593979</x:v>
      </x:c>
    </x:row>
    <x:row r="897">
      <x:c r="A897" s="141" t="str">
        <x:v>Silver</x:v>
      </x:c>
      <x:c r="B897" s="155" t="n">
        <x:v>45503</x:v>
      </x:c>
      <x:c r="C897" s="155" t="n">
        <x:v>45506</x:v>
      </x:c>
      <x:c r="D897" s="159" t="n">
        <x:v>151437</x:v>
      </x:c>
      <x:c r="E897" s="159" t="n">
        <x:v>37898</x:v>
      </x:c>
      <x:c r="F897" s="159" t="n">
        <x:v>13683</x:v>
      </x:c>
      <x:c r="G897" s="159" t="n">
        <x:f>E897-F897</x:f>
        <x:v>24215</x:v>
      </x:c>
      <x:c r="H897" s="154" t="n">
        <x:f>IFERROR(G897/D897,"")</x:f>
        <x:v>0.15990147718193043</x:v>
      </x:c>
      <x:c r="I897" s="159" t="n">
        <x:v>4063</x:v>
      </x:c>
      <x:c r="J897" s="159" t="n">
        <x:v>38528</x:v>
      </x:c>
      <x:c r="K897" s="159" t="n">
        <x:f>I897-J897</x:f>
        <x:v>-34465</x:v>
      </x:c>
      <x:c r="L897" s="154" t="n">
        <x:f>IFERROR(K897/D897,"")</x:f>
        <x:v>-0.22758638905947687</x:v>
      </x:c>
    </x:row>
    <x:row r="898">
      <x:c r="A898" s="141" t="str">
        <x:v>Gold</x:v>
      </x:c>
      <x:c r="B898" s="155" t="n">
        <x:v>45510</x:v>
      </x:c>
      <x:c r="C898" s="155" t="n">
        <x:v>45513</x:v>
      </x:c>
      <x:c r="D898" s="159" t="n">
        <x:v>480645</x:v>
      </x:c>
      <x:c r="E898" s="159" t="n">
        <x:v>180303</x:v>
      </x:c>
      <x:c r="F898" s="159" t="n">
        <x:v>29517</x:v>
      </x:c>
      <x:c r="G898" s="159" t="n">
        <x:f>E898-F898</x:f>
        <x:v>150786</x:v>
      </x:c>
      <x:c r="H898" s="154" t="n">
        <x:f>IFERROR(G898/D898,"")</x:f>
        <x:v>0.3137159441999813</x:v>
      </x:c>
      <x:c r="I898" s="159" t="n">
        <x:v>16637</x:v>
      </x:c>
      <x:c r="J898" s="159" t="n">
        <x:v>63782</x:v>
      </x:c>
      <x:c r="K898" s="159" t="n">
        <x:f>I898-J898</x:f>
        <x:v>-47145</x:v>
      </x:c>
      <x:c r="L898" s="154" t="n">
        <x:f>IFERROR(K898/D898,"")</x:f>
        <x:v>-0.0980869456667603</x:v>
      </x:c>
    </x:row>
    <x:row r="899">
      <x:c r="A899" s="141" t="str">
        <x:v>Silver</x:v>
      </x:c>
      <x:c r="B899" s="155" t="n">
        <x:v>45510</x:v>
      </x:c>
      <x:c r="C899" s="155" t="n">
        <x:v>45513</x:v>
      </x:c>
      <x:c r="D899" s="159" t="n">
        <x:v>147537</x:v>
      </x:c>
      <x:c r="E899" s="159" t="n">
        <x:v>36537</x:v>
      </x:c>
      <x:c r="F899" s="159" t="n">
        <x:v>12153</x:v>
      </x:c>
      <x:c r="G899" s="159" t="n">
        <x:f>E899-F899</x:f>
        <x:v>24384</x:v>
      </x:c>
      <x:c r="H899" s="154" t="n">
        <x:f>IFERROR(G899/D899,"")</x:f>
        <x:v>0.16527379572581793</x:v>
      </x:c>
      <x:c r="I899" s="159" t="n">
        <x:v>4405</x:v>
      </x:c>
      <x:c r="J899" s="159" t="n">
        <x:v>37415</x:v>
      </x:c>
      <x:c r="K899" s="159" t="n">
        <x:f>I899-J899</x:f>
        <x:v>-33010</x:v>
      </x:c>
      <x:c r="L899" s="154" t="n">
        <x:f>IFERROR(K899/D899,"")</x:f>
        <x:v>-0.22374048543755126</x:v>
      </x:c>
    </x:row>
    <x:row r="900">
      <x:c r="A900" s="141" t="str">
        <x:v>Gold</x:v>
      </x:c>
      <x:c r="B900" s="155" t="n">
        <x:v>45517</x:v>
      </x:c>
      <x:c r="C900" s="155" t="n">
        <x:v>45520</x:v>
      </x:c>
      <x:c r="D900" s="159" t="n">
        <x:v>505872</x:v>
      </x:c>
      <x:c r="E900" s="159" t="n">
        <x:v>203844</x:v>
      </x:c>
      <x:c r="F900" s="159" t="n">
        <x:v>25929</x:v>
      </x:c>
      <x:c r="G900" s="159" t="n">
        <x:f>E900-F900</x:f>
        <x:v>177915</x:v>
      </x:c>
      <x:c r="H900" s="154" t="n">
        <x:f>IFERROR(G900/D900,"")</x:f>
        <x:v>0.35169963943448146</x:v>
      </x:c>
      <x:c r="I900" s="159" t="n">
        <x:v>16717</x:v>
      </x:c>
      <x:c r="J900" s="159" t="n">
        <x:v>69652</x:v>
      </x:c>
      <x:c r="K900" s="159" t="n">
        <x:f>I900-J900</x:f>
        <x:v>-52935</x:v>
      </x:c>
      <x:c r="L900" s="154" t="n">
        <x:f>IFERROR(K900/D900,"")</x:f>
        <x:v>-0.10464109498054844</x:v>
      </x:c>
    </x:row>
    <x:row r="901">
      <x:c r="A901" s="141" t="str">
        <x:v>Silver</x:v>
      </x:c>
      <x:c r="B901" s="155" t="n">
        <x:v>45517</x:v>
      </x:c>
      <x:c r="C901" s="155" t="n">
        <x:v>45520</x:v>
      </x:c>
      <x:c r="D901" s="159" t="n">
        <x:v>147859</x:v>
      </x:c>
      <x:c r="E901" s="159" t="n">
        <x:v>35805</x:v>
      </x:c>
      <x:c r="F901" s="159" t="n">
        <x:v>12471</x:v>
      </x:c>
      <x:c r="G901" s="159" t="n">
        <x:f>E901-F901</x:f>
        <x:v>23334</x:v>
      </x:c>
      <x:c r="H901" s="154" t="n">
        <x:f>IFERROR(G901/D901,"")</x:f>
        <x:v>0.15781251056750012</x:v>
      </x:c>
      <x:c r="I901" s="159" t="n">
        <x:v>4603</x:v>
      </x:c>
      <x:c r="J901" s="159" t="n">
        <x:v>37404</x:v>
      </x:c>
      <x:c r="K901" s="159" t="n">
        <x:f>I901-J901</x:f>
        <x:v>-32801</x:v>
      </x:c>
      <x:c r="L901" s="154" t="n">
        <x:f>IFERROR(K901/D901,"")</x:f>
        <x:v>-0.22183972568460492</x:v>
      </x:c>
    </x:row>
    <x:row r="902">
      <x:c r="A902" s="141" t="str">
        <x:v>Gold</x:v>
      </x:c>
      <x:c r="B902" s="155" t="n">
        <x:v>45524</x:v>
      </x:c>
      <x:c r="C902" s="155" t="n">
        <x:v>45527</x:v>
      </x:c>
      <x:c r="D902" s="159" t="n">
        <x:v>532867</x:v>
      </x:c>
      <x:c r="E902" s="159" t="n">
        <x:v>222142</x:v>
      </x:c>
      <x:c r="F902" s="159" t="n">
        <x:v>28837</x:v>
      </x:c>
      <x:c r="G902" s="159" t="n">
        <x:f>E902-F902</x:f>
        <x:v>193305</x:v>
      </x:c>
      <x:c r="H902" s="154" t="n">
        <x:f>IFERROR(G902/D902,"")</x:f>
        <x:v>0.3627640668309353</x:v>
      </x:c>
      <x:c r="I902" s="159" t="n">
        <x:v>15569</x:v>
      </x:c>
      <x:c r="J902" s="159" t="n">
        <x:v>79564</x:v>
      </x:c>
      <x:c r="K902" s="159" t="n">
        <x:f>I902-J902</x:f>
        <x:v>-63995</x:v>
      </x:c>
      <x:c r="L902" s="154" t="n">
        <x:f>IFERROR(K902/D902,"")</x:f>
        <x:v>-0.12009563361964617</x:v>
      </x:c>
    </x:row>
    <x:row r="903">
      <x:c r="A903" s="141" t="str">
        <x:v>Silver</x:v>
      </x:c>
      <x:c r="B903" s="155" t="n">
        <x:v>45524</x:v>
      </x:c>
      <x:c r="C903" s="155" t="n">
        <x:v>45527</x:v>
      </x:c>
      <x:c r="D903" s="159" t="n">
        <x:v>146986</x:v>
      </x:c>
      <x:c r="E903" s="159" t="n">
        <x:v>39517</x:v>
      </x:c>
      <x:c r="F903" s="159" t="n">
        <x:v>9678</x:v>
      </x:c>
      <x:c r="G903" s="159" t="n">
        <x:f>E903-F903</x:f>
        <x:v>29839</x:v>
      </x:c>
      <x:c r="H903" s="154" t="n">
        <x:f>IFERROR(G903/D903,"")</x:f>
        <x:v>0.20300572843672188</x:v>
      </x:c>
      <x:c r="I903" s="159" t="n">
        <x:v>3652</x:v>
      </x:c>
      <x:c r="J903" s="159" t="n">
        <x:v>38298</x:v>
      </x:c>
      <x:c r="K903" s="159" t="n">
        <x:f>I903-J903</x:f>
        <x:v>-34646</x:v>
      </x:c>
      <x:c r="L903" s="154" t="n">
        <x:f>IFERROR(K903/D903,"")</x:f>
        <x:v>-0.23570952335596587</x:v>
      </x:c>
    </x:row>
    <x:row r="904">
      <x:c r="A904" s="141" t="str">
        <x:v>Gold</x:v>
      </x:c>
      <x:c r="B904" s="155" t="n">
        <x:v>45531</x:v>
      </x:c>
      <x:c r="C904" s="155" t="n">
        <x:v>45534</x:v>
      </x:c>
      <x:c r="D904" s="159" t="n">
        <x:v>521759</x:v>
      </x:c>
      <x:c r="E904" s="159" t="n">
        <x:v>217976</x:v>
      </x:c>
      <x:c r="F904" s="159" t="n">
        <x:v>17685</x:v>
      </x:c>
      <x:c r="G904" s="159" t="n">
        <x:f>E904-F904</x:f>
        <x:v>200291</x:v>
      </x:c>
      <x:c r="H904" s="154" t="n">
        <x:f>IFERROR(G904/D904,"")</x:f>
        <x:v>0.3838764640379946</x:v>
      </x:c>
      <x:c r="I904" s="159" t="n">
        <x:v>10714</x:v>
      </x:c>
      <x:c r="J904" s="159" t="n">
        <x:v>79098</x:v>
      </x:c>
      <x:c r="K904" s="159" t="n">
        <x:f>I904-J904</x:f>
        <x:v>-68384</x:v>
      </x:c>
      <x:c r="L904" s="154" t="n">
        <x:f>IFERROR(K904/D904,"")</x:f>
        <x:v>-0.13106434196631012</x:v>
      </x:c>
    </x:row>
    <x:row r="905">
      <x:c r="A905" s="141" t="str">
        <x:v>Silver</x:v>
      </x:c>
      <x:c r="B905" s="155" t="n">
        <x:v>45531</x:v>
      </x:c>
      <x:c r="C905" s="155" t="n">
        <x:v>45534</x:v>
      </x:c>
      <x:c r="D905" s="159" t="n">
        <x:v>141613</x:v>
      </x:c>
      <x:c r="E905" s="159" t="n">
        <x:v>42916</x:v>
      </x:c>
      <x:c r="F905" s="159" t="n">
        <x:v>9729</x:v>
      </x:c>
      <x:c r="G905" s="159" t="n">
        <x:f>E905-F905</x:f>
        <x:v>33187</x:v>
      </x:c>
      <x:c r="H905" s="154" t="n">
        <x:f>IFERROR(G905/D905,"")</x:f>
        <x:v>0.23434995374718423</x:v>
      </x:c>
      <x:c r="I905" s="159" t="n">
        <x:v>3544</x:v>
      </x:c>
      <x:c r="J905" s="159" t="n">
        <x:v>38696</x:v>
      </x:c>
      <x:c r="K905" s="159" t="n">
        <x:f>I905-J905</x:f>
        <x:v>-35152</x:v>
      </x:c>
      <x:c r="L905" s="154" t="n">
        <x:f>IFERROR(K905/D905,"")</x:f>
        <x:v>-0.2482257984789532</x:v>
      </x:c>
    </x:row>
    <x:row r="906">
      <x:c r="A906" s="141" t="str">
        <x:v>Gold</x:v>
      </x:c>
      <x:c r="B906" s="155" t="n">
        <x:v>45538</x:v>
      </x:c>
      <x:c r="C906" s="155" t="n">
        <x:v>45541</x:v>
      </x:c>
      <x:c r="D906" s="159" t="n">
        <x:v>511136</x:v>
      </x:c>
      <x:c r="E906" s="159" t="n">
        <x:v>212086</x:v>
      </x:c>
      <x:c r="F906" s="159" t="n">
        <x:v>19996</x:v>
      </x:c>
      <x:c r="G906" s="159" t="n">
        <x:f>E906-F906</x:f>
        <x:v>192090</x:v>
      </x:c>
      <x:c r="H906" s="154" t="n">
        <x:f>IFERROR(G906/D906,"")</x:f>
        <x:v>0.37580996055844235</x:v>
      </x:c>
      <x:c r="I906" s="159" t="n">
        <x:v>11841</x:v>
      </x:c>
      <x:c r="J906" s="159" t="n">
        <x:v>81470</x:v>
      </x:c>
      <x:c r="K906" s="159" t="n">
        <x:f>I906-J906</x:f>
        <x:v>-69629</x:v>
      </x:c>
      <x:c r="L906" s="154" t="n">
        <x:f>IFERROR(K906/D906,"")</x:f>
        <x:v>-0.13622401865648281</x:v>
      </x:c>
    </x:row>
    <x:row r="907">
      <x:c r="A907" s="141" t="str">
        <x:v>Silver</x:v>
      </x:c>
      <x:c r="B907" s="155" t="n">
        <x:v>45538</x:v>
      </x:c>
      <x:c r="C907" s="155" t="n">
        <x:v>45541</x:v>
      </x:c>
      <x:c r="D907" s="159" t="n">
        <x:v>130928</x:v>
      </x:c>
      <x:c r="E907" s="159" t="n">
        <x:v>40281</x:v>
      </x:c>
      <x:c r="F907" s="159" t="n">
        <x:v>14982</x:v>
      </x:c>
      <x:c r="G907" s="159" t="n">
        <x:f>E907-F907</x:f>
        <x:v>25299</x:v>
      </x:c>
      <x:c r="H907" s="154" t="n">
        <x:f>IFERROR(G907/D907,"")</x:f>
        <x:v>0.19322833923988758</x:v>
      </x:c>
      <x:c r="I907" s="159" t="n">
        <x:v>4035</x:v>
      </x:c>
      <x:c r="J907" s="159" t="n">
        <x:v>33899</x:v>
      </x:c>
      <x:c r="K907" s="159" t="n">
        <x:f>I907-J907</x:f>
        <x:v>-29864</x:v>
      </x:c>
      <x:c r="L907" s="154" t="n">
        <x:f>IFERROR(K907/D907,"")</x:f>
        <x:v>-0.22809483074666992</x:v>
      </x:c>
    </x:row>
    <x:row r="908">
      <x:c r="A908" s="141" t="str">
        <x:v>Gold</x:v>
      </x:c>
      <x:c r="B908" s="155" t="n">
        <x:v>45545</x:v>
      </x:c>
      <x:c r="C908" s="155" t="n">
        <x:v>45548</x:v>
      </x:c>
      <x:c r="D908" s="159" t="n">
        <x:v>511501</x:v>
      </x:c>
      <x:c r="E908" s="159" t="n">
        <x:v>213645</x:v>
      </x:c>
      <x:c r="F908" s="159" t="n">
        <x:v>23190</x:v>
      </x:c>
      <x:c r="G908" s="159" t="n">
        <x:f>E908-F908</x:f>
        <x:v>190455</x:v>
      </x:c>
      <x:c r="H908" s="154" t="n">
        <x:f>IFERROR(G908/D908,"")</x:f>
        <x:v>0.37234531310789226</x:v>
      </x:c>
      <x:c r="I908" s="159" t="n">
        <x:v>12568</x:v>
      </x:c>
      <x:c r="J908" s="159" t="n">
        <x:v>87942</x:v>
      </x:c>
      <x:c r="K908" s="159" t="n">
        <x:f>I908-J908</x:f>
        <x:v>-75374</x:v>
      </x:c>
      <x:c r="L908" s="154" t="n">
        <x:f>IFERROR(K908/D908,"")</x:f>
        <x:v>-0.14735846068727138</x:v>
      </x:c>
    </x:row>
    <x:row r="909">
      <x:c r="A909" s="141" t="str">
        <x:v>Silver</x:v>
      </x:c>
      <x:c r="B909" s="155" t="n">
        <x:v>45545</x:v>
      </x:c>
      <x:c r="C909" s="155" t="n">
        <x:v>45548</x:v>
      </x:c>
      <x:c r="D909" s="159" t="n">
        <x:v>128959</x:v>
      </x:c>
      <x:c r="E909" s="159" t="n">
        <x:v>39466</x:v>
      </x:c>
      <x:c r="F909" s="159" t="n">
        <x:v>13645</x:v>
      </x:c>
      <x:c r="G909" s="159" t="n">
        <x:f>E909-F909</x:f>
        <x:v>25821</x:v>
      </x:c>
      <x:c r="H909" s="154" t="n">
        <x:f>IFERROR(G909/D909,"")</x:f>
        <x:v>0.20022642855481199</x:v>
      </x:c>
      <x:c r="I909" s="159" t="n">
        <x:v>3052</x:v>
      </x:c>
      <x:c r="J909" s="159" t="n">
        <x:v>33496</x:v>
      </x:c>
      <x:c r="K909" s="159" t="n">
        <x:f>I909-J909</x:f>
        <x:v>-30444</x:v>
      </x:c>
      <x:c r="L909" s="154" t="n">
        <x:f>IFERROR(K909/D909,"")</x:f>
        <x:v>-0.23607503159919044</x:v>
      </x:c>
    </x:row>
    <x:row r="910">
      <x:c r="A910" s="141" t="str">
        <x:v>Gold</x:v>
      </x:c>
      <x:c r="B910" s="155" t="n">
        <x:v>45552</x:v>
      </x:c>
      <x:c r="C910" s="155" t="n">
        <x:v>45555</x:v>
      </x:c>
      <x:c r="D910" s="159" t="n">
        <x:v>537627</x:v>
      </x:c>
      <x:c r="E910" s="159" t="n">
        <x:v>241844</x:v>
      </x:c>
      <x:c r="F910" s="159" t="n">
        <x:v>25489</x:v>
      </x:c>
      <x:c r="G910" s="159" t="n">
        <x:f>E910-F910</x:f>
        <x:v>216355</x:v>
      </x:c>
      <x:c r="H910" s="154" t="n">
        <x:f>IFERROR(G910/D910,"")</x:f>
        <x:v>0.40242584542815</x:v>
      </x:c>
      <x:c r="I910" s="159" t="n">
        <x:v>12663</x:v>
      </x:c>
      <x:c r="J910" s="159" t="n">
        <x:v>90250</x:v>
      </x:c>
      <x:c r="K910" s="159" t="n">
        <x:f>I910-J910</x:f>
        <x:v>-77587</x:v>
      </x:c>
      <x:c r="L910" s="154" t="n">
        <x:f>IFERROR(K910/D910,"")</x:f>
        <x:v>-0.14431380864428311</x:v>
      </x:c>
    </x:row>
    <x:row r="911">
      <x:c r="A911" s="141" t="str">
        <x:v>Silver</x:v>
      </x:c>
      <x:c r="B911" s="155" t="n">
        <x:v>45552</x:v>
      </x:c>
      <x:c r="C911" s="155" t="n">
        <x:v>45555</x:v>
      </x:c>
      <x:c r="D911" s="159" t="n">
        <x:v>140605</x:v>
      </x:c>
      <x:c r="E911" s="159" t="n">
        <x:v>51074</x:v>
      </x:c>
      <x:c r="F911" s="159" t="n">
        <x:v>11455</x:v>
      </x:c>
      <x:c r="G911" s="159" t="n">
        <x:f>E911-F911</x:f>
        <x:v>39619</x:v>
      </x:c>
      <x:c r="H911" s="154" t="n">
        <x:f>IFERROR(G911/D911,"")</x:f>
        <x:v>0.28177518580420324</x:v>
      </x:c>
      <x:c r="I911" s="159" t="n">
        <x:v>1821</x:v>
      </x:c>
      <x:c r="J911" s="159" t="n">
        <x:v>38830</x:v>
      </x:c>
      <x:c r="K911" s="159" t="n">
        <x:f>I911-J911</x:f>
        <x:v>-37009</x:v>
      </x:c>
      <x:c r="L911" s="154" t="n">
        <x:f>IFERROR(K911/D911,"")</x:f>
        <x:v>-0.2632125457842893</x:v>
      </x:c>
    </x:row>
    <x:row r="912">
      <x:c r="A912" s="141" t="str">
        <x:v>Gold</x:v>
      </x:c>
      <x:c r="B912" s="155" t="n">
        <x:v>45559</x:v>
      </x:c>
      <x:c r="C912" s="155" t="n">
        <x:v>45562</x:v>
      </x:c>
      <x:c r="D912" s="159" t="n">
        <x:v>564640</x:v>
      </x:c>
      <x:c r="E912" s="159" t="n">
        <x:v>256435</x:v>
      </x:c>
      <x:c r="F912" s="159" t="n">
        <x:v>37406</x:v>
      </x:c>
      <x:c r="G912" s="159" t="n">
        <x:f>E912-F912</x:f>
        <x:v>219029</x:v>
      </x:c>
      <x:c r="H912" s="154" t="n">
        <x:f>IFERROR(G912/D912,"")</x:f>
        <x:v>0.3879091102295268</x:v>
      </x:c>
      <x:c r="I912" s="159" t="n">
        <x:v>13517</x:v>
      </x:c>
      <x:c r="J912" s="159" t="n">
        <x:v>93547</x:v>
      </x:c>
      <x:c r="K912" s="159" t="n">
        <x:f>I912-J912</x:f>
        <x:v>-80030</x:v>
      </x:c>
      <x:c r="L912" s="154" t="n">
        <x:f>IFERROR(K912/D912,"")</x:f>
        <x:v>-0.14173632757155002</x:v>
      </x:c>
    </x:row>
    <x:row r="913">
      <x:c r="A913" s="141" t="str">
        <x:v>Silver</x:v>
      </x:c>
      <x:c r="B913" s="155" t="n">
        <x:v>45559</x:v>
      </x:c>
      <x:c r="C913" s="155" t="n">
        <x:v>45562</x:v>
      </x:c>
      <x:c r="D913" s="159" t="n">
        <x:v>150071</x:v>
      </x:c>
      <x:c r="E913" s="159" t="n">
        <x:v>56196</x:v>
      </x:c>
      <x:c r="F913" s="159" t="n">
        <x:v>13021</x:v>
      </x:c>
      <x:c r="G913" s="159" t="n">
        <x:f>E913-F913</x:f>
        <x:v>43175</x:v>
      </x:c>
      <x:c r="H913" s="154" t="n">
        <x:f>IFERROR(G913/D913,"")</x:f>
        <x:v>0.28769715667917184</x:v>
      </x:c>
      <x:c r="I913" s="159" t="n">
        <x:v>2149</x:v>
      </x:c>
      <x:c r="J913" s="159" t="n">
        <x:v>40839</x:v>
      </x:c>
      <x:c r="K913" s="159" t="n">
        <x:f>I913-J913</x:f>
        <x:v>-38690</x:v>
      </x:c>
      <x:c r="L913" s="154" t="n">
        <x:f>IFERROR(K913/D913,"")</x:f>
        <x:v>-0.25781130265007896</x:v>
      </x:c>
    </x:row>
    <x:row r="914">
      <x:c r="A914" s="141" t="str">
        <x:v>Gold</x:v>
      </x:c>
      <x:c r="B914" s="155" t="n">
        <x:v>45566</x:v>
      </x:c>
      <x:c r="C914" s="155" t="n">
        <x:v>45569</x:v>
      </x:c>
      <x:c r="D914" s="159" t="n">
        <x:v>533107</x:v>
      </x:c>
      <x:c r="E914" s="159" t="n">
        <x:v>247867</x:v>
      </x:c>
      <x:c r="F914" s="159" t="n">
        <x:v>33405</x:v>
      </x:c>
      <x:c r="G914" s="159" t="n">
        <x:f>E914-F914</x:f>
        <x:v>214462</x:v>
      </x:c>
      <x:c r="H914" s="154" t="n">
        <x:f>IFERROR(G914/D914,"")</x:f>
        <x:v>0.40228697053312</x:v>
      </x:c>
      <x:c r="I914" s="159" t="n">
        <x:v>12220</x:v>
      </x:c>
      <x:c r="J914" s="159" t="n">
        <x:v>87446</x:v>
      </x:c>
      <x:c r="K914" s="159" t="n">
        <x:f>I914-J914</x:f>
        <x:v>-75226</x:v>
      </x:c>
      <x:c r="L914" s="154" t="n">
        <x:f>IFERROR(K914/D914,"")</x:f>
        <x:v>-0.14110863297611925</x:v>
      </x:c>
    </x:row>
    <x:row r="915">
      <x:c r="A915" s="141" t="str">
        <x:v>Silver</x:v>
      </x:c>
      <x:c r="B915" s="155" t="n">
        <x:v>45566</x:v>
      </x:c>
      <x:c r="C915" s="155" t="n">
        <x:v>45569</x:v>
      </x:c>
      <x:c r="D915" s="159" t="n">
        <x:v>144757</x:v>
      </x:c>
      <x:c r="E915" s="159" t="n">
        <x:v>52610</x:v>
      </x:c>
      <x:c r="F915" s="159" t="n">
        <x:v>15272</x:v>
      </x:c>
      <x:c r="G915" s="159" t="n">
        <x:f>E915-F915</x:f>
        <x:v>37338</x:v>
      </x:c>
      <x:c r="H915" s="154" t="n">
        <x:f>IFERROR(G915/D915,"")</x:f>
        <x:v>0.2579357129534323</x:v>
      </x:c>
      <x:c r="I915" s="159" t="n">
        <x:v>2961</x:v>
      </x:c>
      <x:c r="J915" s="159" t="n">
        <x:v>40085</x:v>
      </x:c>
      <x:c r="K915" s="159" t="n">
        <x:f>I915-J915</x:f>
        <x:v>-37124</x:v>
      </x:c>
      <x:c r="L915" s="154" t="n">
        <x:f>IFERROR(K915/D915,"")</x:f>
        <x:v>-0.2564573733912695</x:v>
      </x:c>
    </x:row>
    <x:row r="916">
      <x:c r="A916" s="141" t="str">
        <x:v>Gold</x:v>
      </x:c>
      <x:c r="B916" s="155" t="n">
        <x:v>45573</x:v>
      </x:c>
      <x:c r="C916" s="155" t="n">
        <x:v>45576</x:v>
      </x:c>
      <x:c r="D916" s="159" t="n">
        <x:v>520316</x:v>
      </x:c>
      <x:c r="E916" s="159" t="n">
        <x:v>227596</x:v>
      </x:c>
      <x:c r="F916" s="159" t="n">
        <x:v>33537</x:v>
      </x:c>
      <x:c r="G916" s="159" t="n">
        <x:f>E916-F916</x:f>
        <x:v>194059</x:v>
      </x:c>
      <x:c r="H916" s="154" t="n">
        <x:f>IFERROR(G916/D916,"")</x:f>
        <x:v>0.3729637374211056</x:v>
      </x:c>
      <x:c r="I916" s="159" t="n">
        <x:v>12830</x:v>
      </x:c>
      <x:c r="J916" s="159" t="n">
        <x:v>83981</x:v>
      </x:c>
      <x:c r="K916" s="159" t="n">
        <x:f>I916-J916</x:f>
        <x:v>-71151</x:v>
      </x:c>
      <x:c r="L916" s="154" t="n">
        <x:f>IFERROR(K916/D916,"")</x:f>
        <x:v>-0.1367457468153968</x:v>
      </x:c>
    </x:row>
    <x:row r="917">
      <x:c r="A917" s="141" t="str">
        <x:v>Silver</x:v>
      </x:c>
      <x:c r="B917" s="155" t="n">
        <x:v>45573</x:v>
      </x:c>
      <x:c r="C917" s="155" t="n">
        <x:v>45576</x:v>
      </x:c>
      <x:c r="D917" s="159" t="n">
        <x:v>142839</x:v>
      </x:c>
      <x:c r="E917" s="159" t="n">
        <x:v>47876</x:v>
      </x:c>
      <x:c r="F917" s="159" t="n">
        <x:v>13240</x:v>
      </x:c>
      <x:c r="G917" s="159" t="n">
        <x:f>E917-F917</x:f>
        <x:v>34636</x:v>
      </x:c>
      <x:c r="H917" s="154" t="n">
        <x:f>IFERROR(G917/D917,"")</x:f>
        <x:v>0.242482795315005</x:v>
      </x:c>
      <x:c r="I917" s="159" t="n">
        <x:v>3552</x:v>
      </x:c>
      <x:c r="J917" s="159" t="n">
        <x:v>39311</x:v>
      </x:c>
      <x:c r="K917" s="159" t="n">
        <x:f>I917-J917</x:f>
        <x:v>-35759</x:v>
      </x:c>
      <x:c r="L917" s="154" t="n">
        <x:f>IFERROR(K917/D917,"")</x:f>
        <x:v>-0.2503447937888112</x:v>
      </x:c>
    </x:row>
    <x:row r="918">
      <x:c r="A918" s="141" t="str">
        <x:v>Gold</x:v>
      </x:c>
      <x:c r="B918" s="155" t="n">
        <x:v>45580</x:v>
      </x:c>
      <x:c r="C918" s="155" t="n">
        <x:v>45583</x:v>
      </x:c>
      <x:c r="D918" s="159" t="n">
        <x:v>541232</x:v>
      </x:c>
      <x:c r="E918" s="159" t="n">
        <x:v>233871</x:v>
      </x:c>
      <x:c r="F918" s="159" t="n">
        <x:v>34450</x:v>
      </x:c>
      <x:c r="G918" s="159" t="n">
        <x:f>E918-F918</x:f>
        <x:v>199421</x:v>
      </x:c>
      <x:c r="H918" s="154" t="n">
        <x:f>IFERROR(G918/D918,"")</x:f>
        <x:v>0.3684575191415142</x:v>
      </x:c>
      <x:c r="I918" s="159" t="n">
        <x:v>13088</x:v>
      </x:c>
      <x:c r="J918" s="159" t="n">
        <x:v>87786</x:v>
      </x:c>
      <x:c r="K918" s="159" t="n">
        <x:f>I918-J918</x:f>
        <x:v>-74698</x:v>
      </x:c>
      <x:c r="L918" s="154" t="n">
        <x:f>IFERROR(K918/D918,"")</x:f>
        <x:v>-0.13801475152984302</x:v>
      </x:c>
    </x:row>
    <x:row r="919">
      <x:c r="A919" s="141" t="str">
        <x:v>Silver</x:v>
      </x:c>
      <x:c r="B919" s="155" t="n">
        <x:v>45580</x:v>
      </x:c>
      <x:c r="C919" s="155" t="n">
        <x:v>45583</x:v>
      </x:c>
      <x:c r="D919" s="159" t="n">
        <x:v>141898</x:v>
      </x:c>
      <x:c r="E919" s="159" t="n">
        <x:v>47760</x:v>
      </x:c>
      <x:c r="F919" s="159" t="n">
        <x:v>13059</x:v>
      </x:c>
      <x:c r="G919" s="159" t="n">
        <x:f>E919-F919</x:f>
        <x:v>34701</x:v>
      </x:c>
      <x:c r="H919" s="154" t="n">
        <x:f>IFERROR(G919/D919,"")</x:f>
        <x:v>0.2445489013234859</x:v>
      </x:c>
      <x:c r="I919" s="159" t="n">
        <x:v>3281</x:v>
      </x:c>
      <x:c r="J919" s="159" t="n">
        <x:v>40173</x:v>
      </x:c>
      <x:c r="K919" s="159" t="n">
        <x:f>I919-J919</x:f>
        <x:v>-36892</x:v>
      </x:c>
      <x:c r="L919" s="154" t="n">
        <x:f>IFERROR(K919/D919,"")</x:f>
        <x:v>-0.2599895699727974</x:v>
      </x:c>
    </x:row>
    <x:row r="920">
      <x:c r="A920" s="141" t="str">
        <x:v>Gold</x:v>
      </x:c>
      <x:c r="B920" s="155" t="n">
        <x:v>45587</x:v>
      </x:c>
      <x:c r="C920" s="155" t="n">
        <x:v>45590</x:v>
      </x:c>
      <x:c r="D920" s="159" t="n">
        <x:v>573760</x:v>
      </x:c>
      <x:c r="E920" s="159" t="n">
        <x:v>242427</x:v>
      </x:c>
      <x:c r="F920" s="159" t="n">
        <x:v>37267</x:v>
      </x:c>
      <x:c r="G920" s="159" t="n">
        <x:f>E920-F920</x:f>
        <x:v>205160</x:v>
      </x:c>
      <x:c r="H920" s="154" t="n">
        <x:f>IFERROR(G920/D920,"")</x:f>
        <x:v>0.35757110987172336</x:v>
      </x:c>
      <x:c r="I920" s="159" t="n">
        <x:v>12942</x:v>
      </x:c>
      <x:c r="J920" s="159" t="n">
        <x:v>95037</x:v>
      </x:c>
      <x:c r="K920" s="159" t="n">
        <x:f>I920-J920</x:f>
        <x:v>-82095</x:v>
      </x:c>
      <x:c r="L920" s="154" t="n">
        <x:f>IFERROR(K920/D920,"")</x:f>
        <x:v>-0.143082473508087</x:v>
      </x:c>
    </x:row>
    <x:row r="921">
      <x:c r="A921" s="141" t="str">
        <x:v>Silver</x:v>
      </x:c>
      <x:c r="B921" s="155" t="n">
        <x:v>45587</x:v>
      </x:c>
      <x:c r="C921" s="155" t="n">
        <x:v>45590</x:v>
      </x:c>
      <x:c r="D921" s="159" t="n">
        <x:v>157264</x:v>
      </x:c>
      <x:c r="E921" s="159" t="n">
        <x:v>56281</x:v>
      </x:c>
      <x:c r="F921" s="159" t="n">
        <x:v>10646</x:v>
      </x:c>
      <x:c r="G921" s="159" t="n">
        <x:f>E921-F921</x:f>
        <x:v>45635</x:v>
      </x:c>
      <x:c r="H921" s="154" t="n">
        <x:f>IFERROR(G921/D921,"")</x:f>
        <x:v>0.2901808424051277</x:v>
      </x:c>
      <x:c r="I921" s="159" t="n">
        <x:v>3233</x:v>
      </x:c>
      <x:c r="J921" s="159" t="n">
        <x:v>44497</x:v>
      </x:c>
      <x:c r="K921" s="159" t="n">
        <x:f>I921-J921</x:f>
        <x:v>-41264</x:v>
      </x:c>
      <x:c r="L921" s="154" t="n">
        <x:f>IFERROR(K921/D921,"")</x:f>
        <x:v>-0.26238681452843626</x:v>
      </x:c>
    </x:row>
    <x:row r="922">
      <x:c r="A922" s="141" t="str">
        <x:v>Gold</x:v>
      </x:c>
      <x:c r="B922" s="155" t="n">
        <x:v>45594</x:v>
      </x:c>
      <x:c r="C922" s="155" t="n">
        <x:v>45597</x:v>
      </x:c>
      <x:c r="D922" s="159" t="n">
        <x:v>579468</x:v>
      </x:c>
      <x:c r="E922" s="159" t="n">
        <x:v>234856</x:v>
      </x:c>
      <x:c r="F922" s="159" t="n">
        <x:v>39683</x:v>
      </x:c>
      <x:c r="G922" s="159" t="n">
        <x:f>E922-F922</x:f>
        <x:v>195173</x:v>
      </x:c>
      <x:c r="H922" s="154" t="n">
        <x:f>IFERROR(G922/D922,"")</x:f>
        <x:v>0.33681411225468877</x:v>
      </x:c>
      <x:c r="I922" s="159" t="n">
        <x:v>12379</x:v>
      </x:c>
      <x:c r="J922" s="159" t="n">
        <x:v>86999</x:v>
      </x:c>
      <x:c r="K922" s="159" t="n">
        <x:f>I922-J922</x:f>
        <x:v>-74620</x:v>
      </x:c>
      <x:c r="L922" s="154" t="n">
        <x:f>IFERROR(K922/D922,"")</x:f>
        <x:v>-0.12877328860264933</x:v>
      </x:c>
    </x:row>
    <x:row r="923">
      <x:c r="A923" s="141" t="str">
        <x:v>Silver</x:v>
      </x:c>
      <x:c r="B923" s="155" t="n">
        <x:v>45594</x:v>
      </x:c>
      <x:c r="C923" s="155" t="n">
        <x:v>45597</x:v>
      </x:c>
      <x:c r="D923" s="159" t="n">
        <x:v>156320</x:v>
      </x:c>
      <x:c r="E923" s="159" t="n">
        <x:v>54185</x:v>
      </x:c>
      <x:c r="F923" s="159" t="n">
        <x:v>14432</x:v>
      </x:c>
      <x:c r="G923" s="159" t="n">
        <x:f>E923-F923</x:f>
        <x:v>39753</x:v>
      </x:c>
      <x:c r="H923" s="154" t="n">
        <x:f>IFERROR(G923/D923,"")</x:f>
        <x:v>0.2543052712384852</x:v>
      </x:c>
      <x:c r="I923" s="159" t="n">
        <x:v>3813</x:v>
      </x:c>
      <x:c r="J923" s="159" t="n">
        <x:v>43492</x:v>
      </x:c>
      <x:c r="K923" s="159" t="n">
        <x:f>I923-J923</x:f>
        <x:v>-39679</x:v>
      </x:c>
      <x:c r="L923" s="154" t="n">
        <x:f>IFERROR(K923/D923,"")</x:f>
        <x:v>-0.2538318833162743</x:v>
      </x:c>
    </x:row>
    <x:row r="924">
      <x:c r="A924" s="141" t="str">
        <x:v>Gold</x:v>
      </x:c>
      <x:c r="B924" s="155" t="n">
        <x:v>45601</x:v>
      </x:c>
      <x:c r="C924" s="155" t="n">
        <x:v>45604</x:v>
      </x:c>
      <x:c r="D924" s="159" t="n">
        <x:v>558034</x:v>
      </x:c>
      <x:c r="E924" s="159" t="n">
        <x:v>219687</x:v>
      </x:c>
      <x:c r="F924" s="159" t="n">
        <x:v>36684</x:v>
      </x:c>
      <x:c r="G924" s="159" t="n">
        <x:f>E924-F924</x:f>
        <x:v>183003</x:v>
      </x:c>
      <x:c r="H924" s="154" t="n">
        <x:f>IFERROR(G924/D924,"")</x:f>
        <x:v>0.32794238343900195</x:v>
      </x:c>
      <x:c r="I924" s="159" t="n">
        <x:v>13066</x:v>
      </x:c>
      <x:c r="J924" s="159" t="n">
        <x:v>82429</x:v>
      </x:c>
      <x:c r="K924" s="159" t="n">
        <x:f>I924-J924</x:f>
        <x:v>-69363</x:v>
      </x:c>
      <x:c r="L924" s="154" t="n">
        <x:f>IFERROR(K924/D924,"")</x:f>
        <x:v>-0.12429887784615275</x:v>
      </x:c>
    </x:row>
    <x:row r="925">
      <x:c r="A925" s="141" t="str">
        <x:v>Silver</x:v>
      </x:c>
      <x:c r="B925" s="155" t="n">
        <x:v>45601</x:v>
      </x:c>
      <x:c r="C925" s="155" t="n">
        <x:v>45604</x:v>
      </x:c>
      <x:c r="D925" s="159" t="n">
        <x:v>151126</x:v>
      </x:c>
      <x:c r="E925" s="159" t="n">
        <x:v>48546</x:v>
      </x:c>
      <x:c r="F925" s="159" t="n">
        <x:v>16249</x:v>
      </x:c>
      <x:c r="G925" s="159" t="n">
        <x:f>E925-F925</x:f>
        <x:v>32297</x:v>
      </x:c>
      <x:c r="H925" s="154" t="n">
        <x:f>IFERROR(G925/D925,"")</x:f>
        <x:v>0.2137090904278549</x:v>
      </x:c>
      <x:c r="I925" s="159" t="n">
        <x:v>4390</x:v>
      </x:c>
      <x:c r="J925" s="159" t="n">
        <x:v>39648</x:v>
      </x:c>
      <x:c r="K925" s="159" t="n">
        <x:f>I925-J925</x:f>
        <x:v>-35258</x:v>
      </x:c>
      <x:c r="L925" s="154" t="n">
        <x:f>IFERROR(K925/D925,"")</x:f>
        <x:v>-0.23330201288990643</x:v>
      </x:c>
    </x:row>
    <x:row r="926">
      <x:c r="A926" s="141" t="str">
        <x:v>Gold</x:v>
      </x:c>
      <x:c r="B926" s="155" t="n">
        <x:v>45608</x:v>
      </x:c>
      <x:c r="C926" s="155" t="n">
        <x:v>45611</x:v>
      </x:c>
      <x:c r="D926" s="159" t="n">
        <x:v>535981</x:v>
      </x:c>
      <x:c r="E926" s="159" t="n">
        <x:v>203661</x:v>
      </x:c>
      <x:c r="F926" s="159" t="n">
        <x:v>38365</x:v>
      </x:c>
      <x:c r="G926" s="159" t="n">
        <x:f>E926-F926</x:f>
        <x:v>165296</x:v>
      </x:c>
      <x:c r="H926" s="154" t="n">
        <x:f>IFERROR(G926/D926,"")</x:f>
        <x:v>0.3083989917553048</x:v>
      </x:c>
      <x:c r="I926" s="159" t="n">
        <x:v>13211</x:v>
      </x:c>
      <x:c r="J926" s="159" t="n">
        <x:v>80667</x:v>
      </x:c>
      <x:c r="K926" s="159" t="n">
        <x:f>I926-J926</x:f>
        <x:v>-67456</x:v>
      </x:c>
      <x:c r="L926" s="154" t="n">
        <x:f>IFERROR(K926/D926,"")</x:f>
        <x:v>-0.12585520755399912</x:v>
      </x:c>
    </x:row>
    <x:row r="927">
      <x:c r="A927" s="141" t="str">
        <x:v>Silver</x:v>
      </x:c>
      <x:c r="B927" s="155" t="n">
        <x:v>45608</x:v>
      </x:c>
      <x:c r="C927" s="155" t="n">
        <x:v>45611</x:v>
      </x:c>
      <x:c r="D927" s="159" t="n">
        <x:v>147526</x:v>
      </x:c>
      <x:c r="E927" s="159" t="n">
        <x:v>41125</x:v>
      </x:c>
      <x:c r="F927" s="159" t="n">
        <x:v>16900</x:v>
      </x:c>
      <x:c r="G927" s="159" t="n">
        <x:f>E927-F927</x:f>
        <x:v>24225</x:v>
      </x:c>
      <x:c r="H927" s="154" t="n">
        <x:f>IFERROR(G927/D927,"")</x:f>
        <x:v>0.1642083429361604</x:v>
      </x:c>
      <x:c r="I927" s="159" t="n">
        <x:v>4554</x:v>
      </x:c>
      <x:c r="J927" s="159" t="n">
        <x:v>38682</x:v>
      </x:c>
      <x:c r="K927" s="159" t="n">
        <x:f>I927-J927</x:f>
        <x:v>-34128</x:v>
      </x:c>
      <x:c r="L927" s="154" t="n">
        <x:f>IFERROR(K927/D927,"")</x:f>
        <x:v>-0.23133549340455242</x:v>
      </x:c>
    </x:row>
    <x:row r="928">
      <x:c r="A928" s="141" t="str">
        <x:v>Gold</x:v>
      </x:c>
      <x:c r="B928" s="155" t="n">
        <x:v>45615</x:v>
      </x:c>
      <x:c r="C928" s="155" t="n">
        <x:v>45618</x:v>
      </x:c>
      <x:c r="D928" s="159" t="n">
        <x:v>502952</x:v>
      </x:c>
      <x:c r="E928" s="159" t="n">
        <x:v>193355</x:v>
      </x:c>
      <x:c r="F928" s="159" t="n">
        <x:v>38181</x:v>
      </x:c>
      <x:c r="G928" s="159" t="n">
        <x:f>E928-F928</x:f>
        <x:v>155174</x:v>
      </x:c>
      <x:c r="H928" s="154" t="n">
        <x:f>IFERROR(G928/D928,"")</x:f>
        <x:v>0.3085264597814503</x:v>
      </x:c>
      <x:c r="I928" s="159" t="n">
        <x:v>13787</x:v>
      </x:c>
      <x:c r="J928" s="159" t="n">
        <x:v>84104</x:v>
      </x:c>
      <x:c r="K928" s="159" t="n">
        <x:f>I928-J928</x:f>
        <x:v>-70317</x:v>
      </x:c>
      <x:c r="L928" s="154" t="n">
        <x:f>IFERROR(K928/D928,"")</x:f>
        <x:v>-0.13980857020153017</x:v>
      </x:c>
    </x:row>
    <x:row r="929">
      <x:c r="A929" s="141" t="str">
        <x:v>Silver</x:v>
      </x:c>
      <x:c r="B929" s="155" t="n">
        <x:v>45615</x:v>
      </x:c>
      <x:c r="C929" s="155" t="n">
        <x:v>45618</x:v>
      </x:c>
      <x:c r="D929" s="159" t="n">
        <x:v>141287</x:v>
      </x:c>
      <x:c r="E929" s="159" t="n">
        <x:v>40707</x:v>
      </x:c>
      <x:c r="F929" s="159" t="n">
        <x:v>14769</x:v>
      </x:c>
      <x:c r="G929" s="159" t="n">
        <x:f>E929-F929</x:f>
        <x:v>25938</x:v>
      </x:c>
      <x:c r="H929" s="154" t="n">
        <x:f>IFERROR(G929/D929,"")</x:f>
        <x:v>0.18358376920735808</x:v>
      </x:c>
      <x:c r="I929" s="159" t="n">
        <x:v>4940</x:v>
      </x:c>
      <x:c r="J929" s="159" t="n">
        <x:v>39673</x:v>
      </x:c>
      <x:c r="K929" s="159" t="n">
        <x:f>I929-J929</x:f>
        <x:v>-34733</x:v>
      </x:c>
      <x:c r="L929" s="154" t="n">
        <x:f>IFERROR(K929/D929,"")</x:f>
        <x:v>-0.24583294995293267</x:v>
      </x:c>
    </x:row>
    <x:row r="930">
      <x:c r="A930" s="141" t="str">
        <x:v>Gold</x:v>
      </x:c>
      <x:c r="B930" s="155" t="n">
        <x:v>45622</x:v>
      </x:c>
      <x:c r="C930" s="155" t="n">
        <x:v>45625</x:v>
      </x:c>
      <x:c r="D930" s="159" t="n">
        <x:v>472660</x:v>
      </x:c>
      <x:c r="E930" s="159" t="n">
        <x:v>203596</x:v>
      </x:c>
      <x:c r="F930" s="159" t="n">
        <x:v>24306</x:v>
      </x:c>
      <x:c r="G930" s="159" t="n">
        <x:f>E930-F930</x:f>
        <x:v>179290</x:v>
      </x:c>
      <x:c r="H930" s="154" t="n">
        <x:f>IFERROR(G930/D930,"")</x:f>
        <x:v>0.37932128802945037</x:v>
      </x:c>
      <x:c r="I930" s="159" t="n">
        <x:v>14309</x:v>
      </x:c>
      <x:c r="J930" s="159" t="n">
        <x:v>81389</x:v>
      </x:c>
      <x:c r="K930" s="159" t="n">
        <x:f>I930-J930</x:f>
        <x:v>-67080</x:v>
      </x:c>
      <x:c r="L930" s="154" t="n">
        <x:f>IFERROR(K930/D930,"")</x:f>
        <x:v>-0.14192019633563238</x:v>
      </x:c>
    </x:row>
    <x:row r="931">
      <x:c r="A931" s="141" t="str">
        <x:v>Silver</x:v>
      </x:c>
      <x:c r="B931" s="155" t="n">
        <x:v>45622</x:v>
      </x:c>
      <x:c r="C931" s="155" t="n">
        <x:v>45625</x:v>
      </x:c>
      <x:c r="D931" s="159" t="n">
        <x:v>134590</x:v>
      </x:c>
      <x:c r="E931" s="159" t="n">
        <x:v>38604</x:v>
      </x:c>
      <x:c r="F931" s="159" t="n">
        <x:v>15499</x:v>
      </x:c>
      <x:c r="G931" s="159" t="n">
        <x:f>E931-F931</x:f>
        <x:v>23105</x:v>
      </x:c>
      <x:c r="H931" s="154" t="n">
        <x:f>IFERROR(G931/D931,"")</x:f>
        <x:v>0.17166951482279516</x:v>
      </x:c>
      <x:c r="I931" s="159" t="n">
        <x:v>4501</x:v>
      </x:c>
      <x:c r="J931" s="159" t="n">
        <x:v>38910</x:v>
      </x:c>
      <x:c r="K931" s="159" t="n">
        <x:f>I931-J931</x:f>
        <x:v>-34409</x:v>
      </x:c>
      <x:c r="L931" s="154" t="n">
        <x:f>IFERROR(K931/D931,"")</x:f>
        <x:v>-0.25565792406568094</x:v>
      </x:c>
    </x:row>
    <x:row r="932">
      <x:c r="A932" s="141" t="str">
        <x:v>Gold</x:v>
      </x:c>
      <x:c r="B932" s="155" t="n">
        <x:v>45629</x:v>
      </x:c>
      <x:c r="C932" s="155" t="n">
        <x:v>45632</x:v>
      </x:c>
      <x:c r="D932" s="159" t="n">
        <x:v>462040</x:v>
      </x:c>
      <x:c r="E932" s="159" t="n">
        <x:v>203580</x:v>
      </x:c>
      <x:c r="F932" s="159" t="n">
        <x:v>22845</x:v>
      </x:c>
      <x:c r="G932" s="159" t="n">
        <x:f>E932-F932</x:f>
        <x:v>180735</x:v>
      </x:c>
      <x:c r="H932" s="154" t="n">
        <x:f>IFERROR(G932/D932,"")</x:f>
        <x:v>0.39116743139122157</x:v>
      </x:c>
      <x:c r="I932" s="159" t="n">
        <x:v>10967</x:v>
      </x:c>
      <x:c r="J932" s="159" t="n">
        <x:v>73308</x:v>
      </x:c>
      <x:c r="K932" s="159" t="n">
        <x:f>I932-J932</x:f>
        <x:v>-62341</x:v>
      </x:c>
      <x:c r="L932" s="154" t="n">
        <x:f>IFERROR(K932/D932,"")</x:f>
        <x:v>-0.13492554757163883</x:v>
      </x:c>
    </x:row>
    <x:row r="933">
      <x:c r="A933" s="141" t="str">
        <x:v>Silver</x:v>
      </x:c>
      <x:c r="B933" s="155" t="n">
        <x:v>45629</x:v>
      </x:c>
      <x:c r="C933" s="155" t="n">
        <x:v>45632</x:v>
      </x:c>
      <x:c r="D933" s="159" t="n">
        <x:v>134074</x:v>
      </x:c>
      <x:c r="E933" s="159" t="n">
        <x:v>39214</x:v>
      </x:c>
      <x:c r="F933" s="159" t="n">
        <x:v>14882</x:v>
      </x:c>
      <x:c r="G933" s="159" t="n">
        <x:f>E933-F933</x:f>
        <x:v>24332</x:v>
      </x:c>
      <x:c r="H933" s="154" t="n">
        <x:f>IFERROR(G933/D933,"")</x:f>
        <x:v>0.18148186822202664</x:v>
      </x:c>
      <x:c r="I933" s="159" t="n">
        <x:v>3816</x:v>
      </x:c>
      <x:c r="J933" s="159" t="n">
        <x:v>36862</x:v>
      </x:c>
      <x:c r="K933" s="159" t="n">
        <x:f>I933-J933</x:f>
        <x:v>-33046</x:v>
      </x:c>
      <x:c r="L933" s="154" t="n">
        <x:f>IFERROR(K933/D933,"")</x:f>
        <x:v>-0.24647582678222474</x:v>
      </x:c>
    </x:row>
    <x:row r="934">
      <x:c r="A934" s="141" t="str">
        <x:v>Gold</x:v>
      </x:c>
      <x:c r="B934" s="155" t="n">
        <x:v>45636</x:v>
      </x:c>
      <x:c r="C934" s="155" t="n">
        <x:v>45639</x:v>
      </x:c>
      <x:c r="D934" s="159" t="n">
        <x:v>483346</x:v>
      </x:c>
      <x:c r="E934" s="159" t="n">
        <x:v>218482</x:v>
      </x:c>
      <x:c r="F934" s="159" t="n">
        <x:v>22404</x:v>
      </x:c>
      <x:c r="G934" s="159" t="n">
        <x:f>E934-F934</x:f>
        <x:v>196078</x:v>
      </x:c>
      <x:c r="H934" s="154" t="n">
        <x:f>IFERROR(G934/D934,"")</x:f>
        <x:v>0.4056679893906229</x:v>
      </x:c>
      <x:c r="I934" s="159" t="n">
        <x:v>11204</x:v>
      </x:c>
      <x:c r="J934" s="159" t="n">
        <x:v>77649</x:v>
      </x:c>
      <x:c r="K934" s="159" t="n">
        <x:f>I934-J934</x:f>
        <x:v>-66445</x:v>
      </x:c>
      <x:c r="L934" s="154" t="n">
        <x:f>IFERROR(K934/D934,"")</x:f>
        <x:v>-0.13746881116219023</x:v>
      </x:c>
    </x:row>
    <x:row r="935">
      <x:c r="A935" s="141" t="str">
        <x:v>Silver</x:v>
      </x:c>
      <x:c r="B935" s="155" t="n">
        <x:v>45636</x:v>
      </x:c>
      <x:c r="C935" s="155" t="n">
        <x:v>45639</x:v>
      </x:c>
      <x:c r="D935" s="159" t="n">
        <x:v>151096</x:v>
      </x:c>
      <x:c r="E935" s="159" t="n">
        <x:v>46890</x:v>
      </x:c>
      <x:c r="F935" s="159" t="n">
        <x:v>17570</x:v>
      </x:c>
      <x:c r="G935" s="159" t="n">
        <x:f>E935-F935</x:f>
        <x:v>29320</x:v>
      </x:c>
      <x:c r="H935" s="154" t="n">
        <x:f>IFERROR(G935/D935,"")</x:f>
        <x:v>0.19404881664637053</x:v>
      </x:c>
      <x:c r="I935" s="159" t="n">
        <x:v>2560</x:v>
      </x:c>
      <x:c r="J935" s="159" t="n">
        <x:v>37851</x:v>
      </x:c>
      <x:c r="K935" s="159" t="n">
        <x:f>I935-J935</x:f>
        <x:v>-35291</x:v>
      </x:c>
      <x:c r="L935" s="154" t="n">
        <x:f>IFERROR(K935/D935,"")</x:f>
        <x:v>-0.23356673902684386</x:v>
      </x:c>
    </x:row>
    <x:row r="936">
      <x:c r="A936" s="141" t="str">
        <x:v>Gold</x:v>
      </x:c>
      <x:c r="B936" s="155" t="n">
        <x:v>45643</x:v>
      </x:c>
      <x:c r="C936" s="155" t="n">
        <x:v>45646</x:v>
      </x:c>
      <x:c r="D936" s="159" t="n">
        <x:v>466571</x:v>
      </x:c>
      <x:c r="E936" s="159" t="n">
        <x:v>201880</x:v>
      </x:c>
      <x:c r="F936" s="159" t="n">
        <x:v>18378</x:v>
      </x:c>
      <x:c r="G936" s="159" t="n">
        <x:f>E936-F936</x:f>
        <x:v>183502</x:v>
      </x:c>
      <x:c r="H936" s="154" t="n">
        <x:f>IFERROR(G936/D936,"")</x:f>
        <x:v>0.3932991977641131</x:v>
      </x:c>
      <x:c r="I936" s="159" t="n">
        <x:v>9971</x:v>
      </x:c>
      <x:c r="J936" s="159" t="n">
        <x:v>82426</x:v>
      </x:c>
      <x:c r="K936" s="159" t="n">
        <x:f>I936-J936</x:f>
        <x:v>-72455</x:v>
      </x:c>
      <x:c r="L936" s="154" t="n">
        <x:f>IFERROR(K936/D936,"")</x:f>
        <x:v>-0.15529254925831223</x:v>
      </x:c>
    </x:row>
    <x:row r="937">
      <x:c r="A937" s="141" t="str">
        <x:v>Silver</x:v>
      </x:c>
      <x:c r="B937" s="155" t="n">
        <x:v>45643</x:v>
      </x:c>
      <x:c r="C937" s="155" t="n">
        <x:v>45646</x:v>
      </x:c>
      <x:c r="D937" s="159" t="n">
        <x:v>146938</x:v>
      </x:c>
      <x:c r="E937" s="159" t="n">
        <x:v>40317</x:v>
      </x:c>
      <x:c r="F937" s="159" t="n">
        <x:v>18438</x:v>
      </x:c>
      <x:c r="G937" s="159" t="n">
        <x:f>E937-F937</x:f>
        <x:v>21879</x:v>
      </x:c>
      <x:c r="H937" s="154" t="n">
        <x:f>IFERROR(G937/D937,"")</x:f>
        <x:v>0.14889953585866147</x:v>
      </x:c>
      <x:c r="I937" s="159" t="n">
        <x:v>3358</x:v>
      </x:c>
      <x:c r="J937" s="159" t="n">
        <x:v>37390</x:v>
      </x:c>
      <x:c r="K937" s="159" t="n">
        <x:f>I937-J937</x:f>
        <x:v>-34032</x:v>
      </x:c>
      <x:c r="L937" s="154" t="n">
        <x:f>IFERROR(K937/D937,"")</x:f>
        <x:v>-0.23160788904163662</x:v>
      </x:c>
    </x:row>
    <x:row r="938">
      <x:c r="A938" s="141" t="str">
        <x:v>Gold</x:v>
      </x:c>
      <x:c r="B938" s="155" t="n">
        <x:v>45650</x:v>
      </x:c>
      <x:c r="C938" s="155" t="n">
        <x:v>45653</x:v>
      </x:c>
      <x:c r="D938" s="159" t="n">
        <x:v>454646</x:v>
      </x:c>
      <x:c r="E938" s="159" t="n">
        <x:v>186099</x:v>
      </x:c>
      <x:c r="F938" s="159" t="n">
        <x:v>20602</x:v>
      </x:c>
      <x:c r="G938" s="159" t="n">
        <x:f>E938-F938</x:f>
        <x:v>165497</x:v>
      </x:c>
      <x:c r="H938" s="154" t="n">
        <x:f>IFERROR(G938/D938,"")</x:f>
        <x:v>0.3640128803508664</x:v>
      </x:c>
      <x:c r="I938" s="159" t="n">
        <x:v>9198</x:v>
      </x:c>
      <x:c r="J938" s="159" t="n">
        <x:v>83987</x:v>
      </x:c>
      <x:c r="K938" s="159" t="n">
        <x:f>I938-J938</x:f>
        <x:v>-74789</x:v>
      </x:c>
      <x:c r="L938" s="154" t="n">
        <x:f>IFERROR(K938/D938,"")</x:f>
        <x:v>-0.16449941272990415</x:v>
      </x:c>
    </x:row>
    <x:row r="939">
      <x:c r="A939" s="141" t="str">
        <x:v>Silver</x:v>
      </x:c>
      <x:c r="B939" s="155" t="n">
        <x:v>45650</x:v>
      </x:c>
      <x:c r="C939" s="155" t="n">
        <x:v>45653</x:v>
      </x:c>
      <x:c r="D939" s="159" t="n">
        <x:v>145618</x:v>
      </x:c>
      <x:c r="E939" s="159" t="n">
        <x:v>39531</x:v>
      </x:c>
      <x:c r="F939" s="159" t="n">
        <x:v>18983</x:v>
      </x:c>
      <x:c r="G939" s="159" t="n">
        <x:f>E939-F939</x:f>
        <x:v>20548</x:v>
      </x:c>
      <x:c r="H939" s="154" t="n">
        <x:f>IFERROR(G939/D939,"")</x:f>
        <x:v>0.14110892884121468</x:v>
      </x:c>
      <x:c r="I939" s="159" t="n">
        <x:v>3447</x:v>
      </x:c>
      <x:c r="J939" s="159" t="n">
        <x:v>37289</x:v>
      </x:c>
      <x:c r="K939" s="159" t="n">
        <x:f>I939-J939</x:f>
        <x:v>-33842</x:v>
      </x:c>
      <x:c r="L939" s="154" t="n">
        <x:f>IFERROR(K939/D939,"")</x:f>
        <x:v>-0.23240258759219326</x:v>
      </x:c>
    </x:row>
    <x:row r="940">
      <x:c r="A940" s="141" t="str">
        <x:v>Gold</x:v>
      </x:c>
      <x:c r="B940" s="155" t="n">
        <x:v>45657</x:v>
      </x:c>
      <x:c r="C940" s="155" t="n">
        <x:v>45660</x:v>
      </x:c>
      <x:c r="D940" s="159" t="n">
        <x:v>458584</x:v>
      </x:c>
      <x:c r="E940" s="159" t="n">
        <x:v>182128</x:v>
      </x:c>
      <x:c r="F940" s="159" t="n">
        <x:v>15959</x:v>
      </x:c>
      <x:c r="G940" s="159" t="n">
        <x:f>E940-F940</x:f>
        <x:v>166169</x:v>
      </x:c>
      <x:c r="H940" s="154" t="n">
        <x:f>IFERROR(G940/D940,"")</x:f>
        <x:v>0.36235237164837847</x:v>
      </x:c>
      <x:c r="I940" s="159" t="n">
        <x:v>9983</x:v>
      </x:c>
      <x:c r="J940" s="159" t="n">
        <x:v>83344</x:v>
      </x:c>
      <x:c r="K940" s="159" t="n">
        <x:f>I940-J940</x:f>
        <x:v>-73361</x:v>
      </x:c>
      <x:c r="L940" s="154" t="n">
        <x:f>IFERROR(K940/D940,"")</x:f>
        <x:v>-0.15997287301781135</x:v>
      </x:c>
    </x:row>
    <x:row r="941">
      <x:c r="A941" s="141" t="str">
        <x:v>Silver</x:v>
      </x:c>
      <x:c r="B941" s="155" t="n">
        <x:v>45657</x:v>
      </x:c>
      <x:c r="C941" s="155" t="n">
        <x:v>45660</x:v>
      </x:c>
      <x:c r="D941" s="159" t="n">
        <x:v>151013</x:v>
      </x:c>
      <x:c r="E941" s="159" t="n">
        <x:v>38172</x:v>
      </x:c>
      <x:c r="F941" s="159" t="n">
        <x:v>21002</x:v>
      </x:c>
      <x:c r="G941" s="159" t="n">
        <x:f>E941-F941</x:f>
        <x:v>17170</x:v>
      </x:c>
      <x:c r="H941" s="154" t="n">
        <x:f>IFERROR(G941/D941,"")</x:f>
        <x:v>0.11369882063133638</x:v>
      </x:c>
      <x:c r="I941" s="159" t="n">
        <x:v>3875</x:v>
      </x:c>
      <x:c r="J941" s="159" t="n">
        <x:v>37382</x:v>
      </x:c>
      <x:c r="K941" s="159" t="n">
        <x:f>I941-J941</x:f>
        <x:v>-33507</x:v>
      </x:c>
      <x:c r="L941" s="154" t="n">
        <x:f>IFERROR(K941/D941,"")</x:f>
        <x:v>-0.22188155986570693</x:v>
      </x:c>
    </x:row>
    <x:row r="942">
      <x:c r="A942" s="141" t="str">
        <x:v>Gold</x:v>
      </x:c>
      <x:c r="B942" s="155" t="n">
        <x:v>45664</x:v>
      </x:c>
      <x:c r="C942" s="155" t="n">
        <x:v>45667</x:v>
      </x:c>
      <x:c r="D942" s="159" t="n">
        <x:v>477043</x:v>
      </x:c>
      <x:c r="E942" s="159" t="n">
        <x:v>191873</x:v>
      </x:c>
      <x:c r="F942" s="159" t="n">
        <x:v>14232</x:v>
      </x:c>
      <x:c r="G942" s="159" t="n">
        <x:f>E942-F942</x:f>
        <x:v>177641</x:v>
      </x:c>
      <x:c r="H942" s="154" t="n">
        <x:f>IFERROR(G942/D942,"")</x:f>
        <x:v>0.3723794291080678</x:v>
      </x:c>
      <x:c r="I942" s="159" t="n">
        <x:v>10137</x:v>
      </x:c>
      <x:c r="J942" s="159" t="n">
        <x:v>81104</x:v>
      </x:c>
      <x:c r="K942" s="159" t="n">
        <x:f>I942-J942</x:f>
        <x:v>-70967</x:v>
      </x:c>
      <x:c r="L942" s="154" t="n">
        <x:f>IFERROR(K942/D942,"")</x:f>
        <x:v>-0.14876436715348512</x:v>
      </x:c>
    </x:row>
    <x:row r="943">
      <x:c r="A943" s="141" t="str">
        <x:v>Silver</x:v>
      </x:c>
      <x:c r="B943" s="155" t="n">
        <x:v>45664</x:v>
      </x:c>
      <x:c r="C943" s="155" t="n">
        <x:v>45667</x:v>
      </x:c>
      <x:c r="D943" s="159" t="n">
        <x:v>151590</x:v>
      </x:c>
      <x:c r="E943" s="159" t="n">
        <x:v>42484</x:v>
      </x:c>
      <x:c r="F943" s="159" t="n">
        <x:v>17045</x:v>
      </x:c>
      <x:c r="G943" s="159" t="n">
        <x:f>E943-F943</x:f>
        <x:v>25439</x:v>
      </x:c>
      <x:c r="H943" s="154" t="n">
        <x:f>IFERROR(G943/D943,"")</x:f>
        <x:v>0.16781449963717923</x:v>
      </x:c>
      <x:c r="I943" s="159" t="n">
        <x:v>2900</x:v>
      </x:c>
      <x:c r="J943" s="159" t="n">
        <x:v>36644</x:v>
      </x:c>
      <x:c r="K943" s="159" t="n">
        <x:f>I943-J943</x:f>
        <x:v>-33744</x:v>
      </x:c>
      <x:c r="L943" s="154" t="n">
        <x:f>IFERROR(K943/D943,"")</x:f>
        <x:v>-0.22260043538491986</x:v>
      </x:c>
    </x:row>
    <x:row r="944">
      <x:c r="A944" s="141" t="str">
        <x:v>Gold</x:v>
      </x:c>
      <x:c r="B944" s="155" t="n">
        <x:v>45671</x:v>
      </x:c>
      <x:c r="C944" s="155" t="n">
        <x:v>45674</x:v>
      </x:c>
      <x:c r="D944" s="159" t="n">
        <x:v>526467</x:v>
      </x:c>
      <x:c r="E944" s="159" t="n">
        <x:v>206968</x:v>
      </x:c>
      <x:c r="F944" s="159" t="n">
        <x:v>11346</x:v>
      </x:c>
      <x:c r="G944" s="159" t="n">
        <x:f>E944-F944</x:f>
        <x:v>195622</x:v>
      </x:c>
      <x:c r="H944" s="154" t="n">
        <x:f>IFERROR(G944/D944,"")</x:f>
        <x:v>0.3715750464891437</x:v>
      </x:c>
      <x:c r="I944" s="159" t="n">
        <x:v>21043</x:v>
      </x:c>
      <x:c r="J944" s="159" t="n">
        <x:v>95030</x:v>
      </x:c>
      <x:c r="K944" s="159" t="n">
        <x:f>I944-J944</x:f>
        <x:v>-73987</x:v>
      </x:c>
      <x:c r="L944" s="154" t="n">
        <x:f>IFERROR(K944/D944,"")</x:f>
        <x:v>-0.14053492431624395</x:v>
      </x:c>
    </x:row>
    <x:row r="945">
      <x:c r="A945" s="141" t="str">
        <x:v>Silver</x:v>
      </x:c>
      <x:c r="B945" s="155" t="n">
        <x:v>45671</x:v>
      </x:c>
      <x:c r="C945" s="155" t="n">
        <x:v>45674</x:v>
      </x:c>
      <x:c r="D945" s="159" t="n">
        <x:v>150364</x:v>
      </x:c>
      <x:c r="E945" s="159" t="n">
        <x:v>45728</x:v>
      </x:c>
      <x:c r="F945" s="159" t="n">
        <x:v>16385</x:v>
      </x:c>
      <x:c r="G945" s="159" t="n">
        <x:f>E945-F945</x:f>
        <x:v>29343</x:v>
      </x:c>
      <x:c r="H945" s="154" t="n">
        <x:f>IFERROR(G945/D945,"")</x:f>
        <x:v>0.19514644462770345</x:v>
      </x:c>
      <x:c r="I945" s="159" t="n">
        <x:v>3674</x:v>
      </x:c>
      <x:c r="J945" s="159" t="n">
        <x:v>37273</x:v>
      </x:c>
      <x:c r="K945" s="159" t="n">
        <x:f>I945-J945</x:f>
        <x:v>-33599</x:v>
      </x:c>
      <x:c r="L945" s="154" t="n">
        <x:f>IFERROR(K945/D945,"")</x:f>
        <x:v>-0.22345109201670613</x:v>
      </x:c>
    </x:row>
    <x:row r="946">
      <x:c r="A946" s="141" t="str">
        <x:v>Gold</x:v>
      </x:c>
      <x:c r="B946" s="155" t="n">
        <x:v>45678</x:v>
      </x:c>
      <x:c r="C946" s="155" t="n">
        <x:v>45681</x:v>
      </x:c>
      <x:c r="D946" s="159" t="n">
        <x:v>571387</x:v>
      </x:c>
      <x:c r="E946" s="159" t="n">
        <x:v>226964</x:v>
      </x:c>
      <x:c r="F946" s="159" t="n">
        <x:v>11095</x:v>
      </x:c>
      <x:c r="G946" s="159" t="n">
        <x:f>E946-F946</x:f>
        <x:v>215869</x:v>
      </x:c>
      <x:c r="H946" s="154" t="n">
        <x:f>IFERROR(G946/D946,"")</x:f>
        <x:v>0.37779823482158326</x:v>
      </x:c>
      <x:c r="I946" s="159" t="n">
        <x:v>20111</x:v>
      </x:c>
      <x:c r="J946" s="159" t="n">
        <x:v>100717</x:v>
      </x:c>
      <x:c r="K946" s="159" t="n">
        <x:f>I946-J946</x:f>
        <x:v>-80606</x:v>
      </x:c>
      <x:c r="L946" s="154" t="n">
        <x:f>IFERROR(K946/D946,"")</x:f>
        <x:v>-0.14107076289800083</x:v>
      </x:c>
    </x:row>
    <x:row r="947">
      <x:c r="A947" s="141" t="str">
        <x:v>Silver</x:v>
      </x:c>
      <x:c r="B947" s="155" t="n">
        <x:v>45678</x:v>
      </x:c>
      <x:c r="C947" s="155" t="n">
        <x:v>45681</x:v>
      </x:c>
      <x:c r="D947" s="159" t="n">
        <x:v>159899</x:v>
      </x:c>
      <x:c r="E947" s="159" t="n">
        <x:v>48244</x:v>
      </x:c>
      <x:c r="F947" s="159" t="n">
        <x:v>19023</x:v>
      </x:c>
      <x:c r="G947" s="159" t="n">
        <x:f>E947-F947</x:f>
        <x:v>29221</x:v>
      </x:c>
      <x:c r="H947" s="154" t="n">
        <x:f>IFERROR(G947/D947,"")</x:f>
        <x:v>0.182746608796803</x:v>
      </x:c>
      <x:c r="I947" s="159" t="n">
        <x:v>4112</x:v>
      </x:c>
      <x:c r="J947" s="159" t="n">
        <x:v>38144</x:v>
      </x:c>
      <x:c r="K947" s="159" t="n">
        <x:f>I947-J947</x:f>
        <x:v>-34032</x:v>
      </x:c>
      <x:c r="L947" s="154" t="n">
        <x:f>IFERROR(K947/D947,"")</x:f>
        <x:v>-0.21283435168450085</x:v>
      </x:c>
    </x:row>
    <x:row r="948">
      <x:c r="A948" s="141" t="str">
        <x:v>Gold</x:v>
      </x:c>
      <x:c r="B948" s="155" t="n">
        <x:v>45685</x:v>
      </x:c>
      <x:c r="C948" s="155" t="n">
        <x:v>45688</x:v>
      </x:c>
      <x:c r="D948" s="159" t="n">
        <x:v>577505</x:v>
      </x:c>
      <x:c r="E948" s="159" t="n">
        <x:v>227871</x:v>
      </x:c>
      <x:c r="F948" s="159" t="n">
        <x:v>17331</x:v>
      </x:c>
      <x:c r="G948" s="159" t="n">
        <x:f>E948-F948</x:f>
        <x:v>210540</x:v>
      </x:c>
      <x:c r="H948" s="154" t="n">
        <x:f>IFERROR(G948/D948,"")</x:f>
        <x:v>0.364568272136172</x:v>
      </x:c>
      <x:c r="I948" s="159" t="n">
        <x:v>19532</x:v>
      </x:c>
      <x:c r="J948" s="159" t="n">
        <x:v>100430</x:v>
      </x:c>
      <x:c r="K948" s="159" t="n">
        <x:f>I948-J948</x:f>
        <x:v>-80898</x:v>
      </x:c>
      <x:c r="L948" s="154" t="n">
        <x:f>IFERROR(K948/D948,"")</x:f>
        <x:v>-0.14008190405277876</x:v>
      </x:c>
    </x:row>
    <x:row r="949">
      <x:c r="A949" s="141" t="str">
        <x:v>Silver</x:v>
      </x:c>
      <x:c r="B949" s="155" t="n">
        <x:v>45685</x:v>
      </x:c>
      <x:c r="C949" s="155" t="n">
        <x:v>45688</x:v>
      </x:c>
      <x:c r="D949" s="159" t="n">
        <x:v>165135</x:v>
      </x:c>
      <x:c r="E949" s="159" t="n">
        <x:v>46674</x:v>
      </x:c>
      <x:c r="F949" s="159" t="n">
        <x:v>20724</x:v>
      </x:c>
      <x:c r="G949" s="159" t="n">
        <x:f>E949-F949</x:f>
        <x:v>25950</x:v>
      </x:c>
      <x:c r="H949" s="154" t="n">
        <x:f>IFERROR(G949/D949,"")</x:f>
        <x:v>0.15714415478245072</x:v>
      </x:c>
      <x:c r="I949" s="159" t="n">
        <x:v>3704</x:v>
      </x:c>
      <x:c r="J949" s="159" t="n">
        <x:v>38180</x:v>
      </x:c>
      <x:c r="K949" s="159" t="n">
        <x:f>I949-J949</x:f>
        <x:v>-34476</x:v>
      </x:c>
      <x:c r="L949" s="154" t="n">
        <x:f>IFERROR(K949/D949,"")</x:f>
        <x:v>-0.20877463893178308</x:v>
      </x:c>
    </x:row>
    <x:row r="950">
      <x:c r="A950" s="141" t="str">
        <x:v>Gold</x:v>
      </x:c>
      <x:c r="B950" s="155" t="n">
        <x:v>45692</x:v>
      </x:c>
      <x:c r="C950" s="155" t="n">
        <x:v>45695</x:v>
      </x:c>
      <x:c r="D950" s="159" t="n">
        <x:v>542004</x:v>
      </x:c>
      <x:c r="E950" s="159" t="n">
        <x:v>240485</x:v>
      </x:c>
      <x:c r="F950" s="159" t="n">
        <x:v>30952</x:v>
      </x:c>
      <x:c r="G950" s="159" t="n">
        <x:f>E950-F950</x:f>
        <x:v>209533</x:v>
      </x:c>
      <x:c r="H950" s="154" t="n">
        <x:f>IFERROR(G950/D950,"")</x:f>
        <x:v>0.3865893978642224</x:v>
      </x:c>
      <x:c r="I950" s="159" t="n">
        <x:v>19046</x:v>
      </x:c>
      <x:c r="J950" s="159" t="n">
        <x:v>82490</x:v>
      </x:c>
      <x:c r="K950" s="159" t="n">
        <x:f>I950-J950</x:f>
        <x:v>-63444</x:v>
      </x:c>
      <x:c r="L950" s="154" t="n">
        <x:f>IFERROR(K950/D950,"")</x:f>
        <x:v>-0.11705448668275512</x:v>
      </x:c>
    </x:row>
    <x:row r="951">
      <x:c r="A951" s="141" t="str">
        <x:v>Silver</x:v>
      </x:c>
      <x:c r="B951" s="155" t="n">
        <x:v>45692</x:v>
      </x:c>
      <x:c r="C951" s="155" t="n">
        <x:v>45695</x:v>
      </x:c>
      <x:c r="D951" s="159" t="n">
        <x:v>170726</x:v>
      </x:c>
      <x:c r="E951" s="159" t="n">
        <x:v>56404</x:v>
      </x:c>
      <x:c r="F951" s="159" t="n">
        <x:v>20157</x:v>
      </x:c>
      <x:c r="G951" s="159" t="n">
        <x:f>E951-F951</x:f>
        <x:v>36247</x:v>
      </x:c>
      <x:c r="H951" s="154" t="n">
        <x:f>IFERROR(G951/D951,"")</x:f>
        <x:v>0.2123109543947612</x:v>
      </x:c>
      <x:c r="I951" s="159" t="n">
        <x:v>2358</x:v>
      </x:c>
      <x:c r="J951" s="159" t="n">
        <x:v>40845</x:v>
      </x:c>
      <x:c r="K951" s="159" t="n">
        <x:f>I951-J951</x:f>
        <x:v>-38487</x:v>
      </x:c>
      <x:c r="L951" s="154" t="n">
        <x:f>IFERROR(K951/D951,"")</x:f>
        <x:v>-0.22543139299228002</x:v>
      </x:c>
    </x:row>
    <x:row r="952">
      <x:c r="A952" s="141" t="str">
        <x:v>Gold</x:v>
      </x:c>
      <x:c r="B952" s="155" t="n">
        <x:v>45699</x:v>
      </x:c>
      <x:c r="C952" s="155" t="n">
        <x:v>45702</x:v>
      </x:c>
      <x:c r="D952" s="159" t="n">
        <x:v>528719</x:v>
      </x:c>
      <x:c r="E952" s="159" t="n">
        <x:v>229071</x:v>
      </x:c>
      <x:c r="F952" s="159" t="n">
        <x:v>34268</x:v>
      </x:c>
      <x:c r="G952" s="159" t="n">
        <x:f>E952-F952</x:f>
        <x:v>194803</x:v>
      </x:c>
      <x:c r="H952" s="154" t="n">
        <x:f>IFERROR(G952/D952,"")</x:f>
        <x:v>0.3684433508158398</x:v>
      </x:c>
      <x:c r="I952" s="159" t="n">
        <x:v>20935</x:v>
      </x:c>
      <x:c r="J952" s="159" t="n">
        <x:v>81836</x:v>
      </x:c>
      <x:c r="K952" s="159" t="n">
        <x:f>I952-J952</x:f>
        <x:v>-60901</x:v>
      </x:c>
      <x:c r="L952" s="154" t="n">
        <x:f>IFERROR(K952/D952,"")</x:f>
        <x:v>-0.11518594943627901</x:v>
      </x:c>
    </x:row>
    <x:row r="953">
      <x:c r="A953" s="141" t="str">
        <x:v>Silver</x:v>
      </x:c>
      <x:c r="B953" s="155" t="n">
        <x:v>45699</x:v>
      </x:c>
      <x:c r="C953" s="155" t="n">
        <x:v>45702</x:v>
      </x:c>
      <x:c r="D953" s="159" t="n">
        <x:v>164251</x:v>
      </x:c>
      <x:c r="E953" s="159" t="n">
        <x:v>54415</x:v>
      </x:c>
      <x:c r="F953" s="159" t="n">
        <x:v>20039</x:v>
      </x:c>
      <x:c r="G953" s="159" t="n">
        <x:f>E953-F953</x:f>
        <x:v>34376</x:v>
      </x:c>
      <x:c r="H953" s="154" t="n">
        <x:f>IFERROR(G953/D953,"")</x:f>
        <x:v>0.2092894411601756</x:v>
      </x:c>
      <x:c r="I953" s="159" t="n">
        <x:v>3900</x:v>
      </x:c>
      <x:c r="J953" s="159" t="n">
        <x:v>41206</x:v>
      </x:c>
      <x:c r="K953" s="159" t="n">
        <x:f>I953-J953</x:f>
        <x:v>-37306</x:v>
      </x:c>
      <x:c r="L953" s="154" t="n">
        <x:f>IFERROR(K953/D953,"")</x:f>
        <x:v>-0.2271279931324619</x:v>
      </x:c>
    </x:row>
    <x:row r="954">
      <x:c r="A954" s="141" t="str">
        <x:v>Gold</x:v>
      </x:c>
      <x:c r="B954" s="155" t="n">
        <x:v>45706</x:v>
      </x:c>
      <x:c r="C954" s="155" t="n">
        <x:v>45709</x:v>
      </x:c>
      <x:c r="D954" s="159" t="n">
        <x:v>522330</x:v>
      </x:c>
      <x:c r="E954" s="159" t="n">
        <x:v>222538</x:v>
      </x:c>
      <x:c r="F954" s="159" t="n">
        <x:v>37209</x:v>
      </x:c>
      <x:c r="G954" s="159" t="n">
        <x:f>E954-F954</x:f>
        <x:v>185329</x:v>
      </x:c>
      <x:c r="H954" s="154" t="n">
        <x:f>IFERROR(G954/D954,"")</x:f>
        <x:v>0.3548120919725078</x:v>
      </x:c>
      <x:c r="I954" s="159" t="n">
        <x:v>22176</x:v>
      </x:c>
      <x:c r="J954" s="159" t="n">
        <x:v>82595</x:v>
      </x:c>
      <x:c r="K954" s="159" t="n">
        <x:f>I954-J954</x:f>
        <x:v>-60419</x:v>
      </x:c>
      <x:c r="L954" s="154" t="n">
        <x:f>IFERROR(K954/D954,"")</x:f>
        <x:v>-0.11567208469741351</x:v>
      </x:c>
    </x:row>
    <x:row r="955">
      <x:c r="A955" s="141" t="str">
        <x:v>Silver</x:v>
      </x:c>
      <x:c r="B955" s="155" t="n">
        <x:v>45706</x:v>
      </x:c>
      <x:c r="C955" s="155" t="n">
        <x:v>45709</x:v>
      </x:c>
      <x:c r="D955" s="159" t="n">
        <x:v>170107</x:v>
      </x:c>
      <x:c r="E955" s="159" t="n">
        <x:v>58305</x:v>
      </x:c>
      <x:c r="F955" s="159" t="n">
        <x:v>19999</x:v>
      </x:c>
      <x:c r="G955" s="159" t="n">
        <x:f>E955-F955</x:f>
        <x:v>38306</x:v>
      </x:c>
      <x:c r="H955" s="154" t="n">
        <x:f>IFERROR(G955/D955,"")</x:f>
        <x:v>0.22518767599216963</x:v>
      </x:c>
      <x:c r="I955" s="159" t="n">
        <x:v>3701</x:v>
      </x:c>
      <x:c r="J955" s="159" t="n">
        <x:v>43116</x:v>
      </x:c>
      <x:c r="K955" s="159" t="n">
        <x:f>I955-J955</x:f>
        <x:v>-39415</x:v>
      </x:c>
      <x:c r="L955" s="154" t="n">
        <x:f>IFERROR(K955/D955,"")</x:f>
        <x:v>-0.23170710200050557</x:v>
      </x:c>
    </x:row>
    <x:row r="956">
      <x:c r="A956" s="141" t="str">
        <x:v>Gold</x:v>
      </x:c>
      <x:c r="B956" s="155" t="n">
        <x:v>45713</x:v>
      </x:c>
      <x:c r="C956" s="155" t="n">
        <x:v>45716</x:v>
      </x:c>
      <x:c r="D956" s="159" t="n">
        <x:v>512179</x:v>
      </x:c>
      <x:c r="E956" s="159" t="n">
        <x:v>212694</x:v>
      </x:c>
      <x:c r="F956" s="159" t="n">
        <x:v>32882</x:v>
      </x:c>
      <x:c r="G956" s="159" t="n">
        <x:f>E956-F956</x:f>
        <x:v>179812</x:v>
      </x:c>
      <x:c r="H956" s="154" t="n">
        <x:f>IFERROR(G956/D956,"")</x:f>
        <x:v>0.35107257423674143</x:v>
      </x:c>
      <x:c r="I956" s="159" t="n">
        <x:v>24007</x:v>
      </x:c>
      <x:c r="J956" s="159" t="n">
        <x:v>84497</x:v>
      </x:c>
      <x:c r="K956" s="159" t="n">
        <x:f>I956-J956</x:f>
        <x:v>-60490</x:v>
      </x:c>
      <x:c r="L956" s="154" t="n">
        <x:f>IFERROR(K956/D956,"")</x:f>
        <x:v>-0.11810324124964124</x:v>
      </x:c>
    </x:row>
    <x:row r="957">
      <x:c r="A957" s="141" t="str">
        <x:v>Silver</x:v>
      </x:c>
      <x:c r="B957" s="155" t="n">
        <x:v>45713</x:v>
      </x:c>
      <x:c r="C957" s="155" t="n">
        <x:v>45716</x:v>
      </x:c>
      <x:c r="D957" s="159" t="n">
        <x:v>163681</x:v>
      </x:c>
      <x:c r="E957" s="159" t="n">
        <x:v>51338</x:v>
      </x:c>
      <x:c r="F957" s="159" t="n">
        <x:v>18399</x:v>
      </x:c>
      <x:c r="G957" s="159" t="n">
        <x:f>E957-F957</x:f>
        <x:v>32939</x:v>
      </x:c>
      <x:c r="H957" s="154" t="n">
        <x:f>IFERROR(G957/D957,"")</x:f>
        <x:v>0.20123899536293155</x:v>
      </x:c>
      <x:c r="I957" s="159" t="n">
        <x:v>4000</x:v>
      </x:c>
      <x:c r="J957" s="159" t="n">
        <x:v>43955</x:v>
      </x:c>
      <x:c r="K957" s="159" t="n">
        <x:f>I957-J957</x:f>
        <x:v>-39955</x:v>
      </x:c>
      <x:c r="L957" s="154" t="n">
        <x:f>IFERROR(K957/D957,"")</x:f>
        <x:v>-0.24410285860912384</x:v>
      </x:c>
    </x:row>
    <x:row r="958">
      <x:c r="A958" s="141" t="str">
        <x:v>Gold</x:v>
      </x:c>
      <x:c r="B958" s="155" t="n">
        <x:v>45720</x:v>
      </x:c>
      <x:c r="C958" s="155" t="n">
        <x:v>45723</x:v>
      </x:c>
      <x:c r="D958" s="159" t="n">
        <x:v>489270</x:v>
      </x:c>
      <x:c r="E958" s="159" t="n">
        <x:v>204965</x:v>
      </x:c>
      <x:c r="F958" s="159" t="n">
        <x:v>38307</x:v>
      </x:c>
      <x:c r="G958" s="159" t="n">
        <x:f>E958-F958</x:f>
        <x:v>166658</x:v>
      </x:c>
      <x:c r="H958" s="154" t="n">
        <x:f>IFERROR(G958/D958,"")</x:f>
        <x:v>0.34062583031863797</x:v>
      </x:c>
      <x:c r="I958" s="159" t="n">
        <x:v>24881</x:v>
      </x:c>
      <x:c r="J958" s="159" t="n">
        <x:v>83460</x:v>
      </x:c>
      <x:c r="K958" s="159" t="n">
        <x:f>I958-J958</x:f>
        <x:v>-58579</x:v>
      </x:c>
      <x:c r="L958" s="154" t="n">
        <x:f>IFERROR(K958/D958,"")</x:f>
        <x:v>-0.11972734890755615</x:v>
      </x:c>
    </x:row>
    <x:row r="959">
      <x:c r="A959" s="141" t="str">
        <x:v>Silver</x:v>
      </x:c>
      <x:c r="B959" s="155" t="n">
        <x:v>45720</x:v>
      </x:c>
      <x:c r="C959" s="155" t="n">
        <x:v>45723</x:v>
      </x:c>
      <x:c r="D959" s="159" t="n">
        <x:v>145935</x:v>
      </x:c>
      <x:c r="E959" s="159" t="n">
        <x:v>47878</x:v>
      </x:c>
      <x:c r="F959" s="159" t="n">
        <x:v>13780</x:v>
      </x:c>
      <x:c r="G959" s="159" t="n">
        <x:f>E959-F959</x:f>
        <x:v>34098</x:v>
      </x:c>
      <x:c r="H959" s="154" t="n">
        <x:f>IFERROR(G959/D959,"")</x:f>
        <x:v>0.2336519683420701</x:v>
      </x:c>
      <x:c r="I959" s="159" t="n">
        <x:v>3934</x:v>
      </x:c>
      <x:c r="J959" s="159" t="n">
        <x:v>35560</x:v>
      </x:c>
      <x:c r="K959" s="159" t="n">
        <x:f>I959-J959</x:f>
        <x:v>-31626</x:v>
      </x:c>
      <x:c r="L959" s="154" t="n">
        <x:f>IFERROR(K959/D959,"")</x:f>
        <x:v>-0.21671292013567683</x:v>
      </x:c>
    </x:row>
    <x:row r="960">
      <x:c r="A960" s="141" t="str">
        <x:v>Gold</x:v>
      </x:c>
      <x:c r="B960" s="155" t="n">
        <x:v>45727</x:v>
      </x:c>
      <x:c r="C960" s="155" t="n">
        <x:v>45730</x:v>
      </x:c>
      <x:c r="D960" s="159" t="n">
        <x:v>511276</x:v>
      </x:c>
      <x:c r="E960" s="159" t="n">
        <x:v>204907</x:v>
      </x:c>
      <x:c r="F960" s="159" t="n">
        <x:v>37331</x:v>
      </x:c>
      <x:c r="G960" s="159" t="n">
        <x:f>E960-F960</x:f>
        <x:v>167576</x:v>
      </x:c>
      <x:c r="H960" s="154" t="n">
        <x:f>IFERROR(G960/D960,"")</x:f>
        <x:v>0.3277603486179676</x:v>
      </x:c>
      <x:c r="I960" s="159" t="n">
        <x:v>24799</x:v>
      </x:c>
      <x:c r="J960" s="159" t="n">
        <x:v>82058</x:v>
      </x:c>
      <x:c r="K960" s="159" t="n">
        <x:f>I960-J960</x:f>
        <x:v>-57259</x:v>
      </x:c>
      <x:c r="L960" s="154" t="n">
        <x:f>IFERROR(K960/D960,"")</x:f>
        <x:v>-0.1119923485553791</x:v>
      </x:c>
    </x:row>
    <x:row r="961">
      <x:c r="A961" s="141" t="str">
        <x:v>Silver</x:v>
      </x:c>
      <x:c r="B961" s="155" t="n">
        <x:v>45727</x:v>
      </x:c>
      <x:c r="C961" s="155" t="n">
        <x:v>45730</x:v>
      </x:c>
      <x:c r="D961" s="159" t="n">
        <x:v>155263</x:v>
      </x:c>
      <x:c r="E961" s="159" t="n">
        <x:v>54740</x:v>
      </x:c>
      <x:c r="F961" s="159" t="n">
        <x:v>12763</x:v>
      </x:c>
      <x:c r="G961" s="159" t="n">
        <x:f>E961-F961</x:f>
        <x:v>41977</x:v>
      </x:c>
      <x:c r="H961" s="154" t="n">
        <x:f>IFERROR(G961/D961,"")</x:f>
        <x:v>0.27036061392604804</x:v>
      </x:c>
      <x:c r="I961" s="159" t="n">
        <x:v>3196</x:v>
      </x:c>
      <x:c r="J961" s="159" t="n">
        <x:v>38436</x:v>
      </x:c>
      <x:c r="K961" s="159" t="n">
        <x:f>I961-J961</x:f>
        <x:v>-35240</x:v>
      </x:c>
      <x:c r="L961" s="154" t="n">
        <x:f>IFERROR(K961/D961,"")</x:f>
        <x:v>-0.2269697223420905</x:v>
      </x:c>
    </x:row>
    <x:row r="962">
      <x:c r="A962" s="141" t="str">
        <x:v>Gold</x:v>
      </x:c>
      <x:c r="B962" s="155" t="n">
        <x:v>45734</x:v>
      </x:c>
      <x:c r="C962" s="155" t="n">
        <x:v>45737</x:v>
      </x:c>
      <x:c r="D962" s="159" t="n">
        <x:v>533566</x:v>
      </x:c>
      <x:c r="E962" s="159" t="n">
        <x:v>220879</x:v>
      </x:c>
      <x:c r="F962" s="159" t="n">
        <x:v>37045</x:v>
      </x:c>
      <x:c r="G962" s="159" t="n">
        <x:f>E962-F962</x:f>
        <x:v>183834</x:v>
      </x:c>
      <x:c r="H962" s="154" t="n">
        <x:f>IFERROR(G962/D962,"")</x:f>
        <x:v>0.34453844510332365</x:v>
      </x:c>
      <x:c r="I962" s="159" t="n">
        <x:v>23881</x:v>
      </x:c>
      <x:c r="J962" s="159" t="n">
        <x:v>88261</x:v>
      </x:c>
      <x:c r="K962" s="159" t="n">
        <x:f>I962-J962</x:f>
        <x:v>-64380</x:v>
      </x:c>
      <x:c r="L962" s="154" t="n">
        <x:f>IFERROR(K962/D962,"")</x:f>
        <x:v>-0.12065986213514354</x:v>
      </x:c>
    </x:row>
    <x:row r="963">
      <x:c r="A963" s="141" t="str">
        <x:v>Silver</x:v>
      </x:c>
      <x:c r="B963" s="155" t="n">
        <x:v>45734</x:v>
      </x:c>
      <x:c r="C963" s="155" t="n">
        <x:v>45737</x:v>
      </x:c>
      <x:c r="D963" s="159" t="n">
        <x:v>170566</x:v>
      </x:c>
      <x:c r="E963" s="159" t="n">
        <x:v>62742</x:v>
      </x:c>
      <x:c r="F963" s="159" t="n">
        <x:v>13254</x:v>
      </x:c>
      <x:c r="G963" s="159" t="n">
        <x:f>E963-F963</x:f>
        <x:v>49488</x:v>
      </x:c>
      <x:c r="H963" s="154" t="n">
        <x:f>IFERROR(G963/D963,"")</x:f>
        <x:v>0.29013988719909006</x:v>
      </x:c>
      <x:c r="I963" s="159" t="n">
        <x:v>3086</x:v>
      </x:c>
      <x:c r="J963" s="159" t="n">
        <x:v>40158</x:v>
      </x:c>
      <x:c r="K963" s="159" t="n">
        <x:f>I963-J963</x:f>
        <x:v>-37072</x:v>
      </x:c>
      <x:c r="L963" s="154" t="n">
        <x:f>IFERROR(K963/D963,"")</x:f>
        <x:v>-0.21734695074047583</x:v>
      </x:c>
    </x:row>
    <x:row r="964">
      <x:c r="A964" s="141" t="str">
        <x:v>Gold</x:v>
      </x:c>
      <x:c r="B964" s="155" t="n">
        <x:v>45741</x:v>
      </x:c>
      <x:c r="C964" s="155" t="n">
        <x:v>45744</x:v>
      </x:c>
      <x:c r="D964" s="159" t="n">
        <x:v>511482</x:v>
      </x:c>
      <x:c r="E964" s="159" t="n">
        <x:v>213505</x:v>
      </x:c>
      <x:c r="F964" s="159" t="n">
        <x:v>38773</x:v>
      </x:c>
      <x:c r="G964" s="159" t="n">
        <x:f>E964-F964</x:f>
        <x:v>174732</x:v>
      </x:c>
      <x:c r="H964" s="154" t="n">
        <x:f>IFERROR(G964/D964,"")</x:f>
        <x:v>0.3416190599082666</x:v>
      </x:c>
      <x:c r="I964" s="159" t="n">
        <x:v>14682</x:v>
      </x:c>
      <x:c r="J964" s="159" t="n">
        <x:v>77439</x:v>
      </x:c>
      <x:c r="K964" s="159" t="n">
        <x:f>I964-J964</x:f>
        <x:v>-62757</x:v>
      </x:c>
      <x:c r="L964" s="154" t="n">
        <x:f>IFERROR(K964/D964,"")</x:f>
        <x:v>-0.12269639987330933</x:v>
      </x:c>
    </x:row>
    <x:row r="965">
      <x:c r="A965" s="141" t="str">
        <x:v>Silver</x:v>
      </x:c>
      <x:c r="B965" s="155" t="n">
        <x:v>45741</x:v>
      </x:c>
      <x:c r="C965" s="155" t="n">
        <x:v>45744</x:v>
      </x:c>
      <x:c r="D965" s="159" t="n">
        <x:v>169628</x:v>
      </x:c>
      <x:c r="E965" s="159" t="n">
        <x:v>59841</x:v>
      </x:c>
      <x:c r="F965" s="159" t="n">
        <x:v>14449</x:v>
      </x:c>
      <x:c r="G965" s="159" t="n">
        <x:f>E965-F965</x:f>
        <x:v>45392</x:v>
      </x:c>
      <x:c r="H965" s="154" t="n">
        <x:f>IFERROR(G965/D965,"")</x:f>
        <x:v>0.26759733062937724</x:v>
      </x:c>
      <x:c r="I965" s="159" t="n">
        <x:v>3615</x:v>
      </x:c>
      <x:c r="J965" s="159" t="n">
        <x:v>41209</x:v>
      </x:c>
      <x:c r="K965" s="159" t="n">
        <x:f>I965-J965</x:f>
        <x:v>-37594</x:v>
      </x:c>
      <x:c r="L965" s="154" t="n">
        <x:f>IFERROR(K965/D965,"")</x:f>
        <x:v>-0.22162614662673616</x:v>
      </x:c>
    </x:row>
    <x:row r="966">
      <x:c r="A966" s="141" t="str">
        <x:v>Gold</x:v>
      </x:c>
      <x:c r="B966" s="155" t="n">
        <x:v>45748</x:v>
      </x:c>
      <x:c r="C966" s="155" t="n">
        <x:v>45751</x:v>
      </x:c>
      <x:c r="D966" s="159" t="n">
        <x:v>498746</x:v>
      </x:c>
      <x:c r="E966" s="159" t="n">
        <x:v>204833</x:v>
      </x:c>
      <x:c r="F966" s="159" t="n">
        <x:v>62834</x:v>
      </x:c>
      <x:c r="G966" s="159" t="n">
        <x:f>E966-F966</x:f>
        <x:v>141999</x:v>
      </x:c>
      <x:c r="H966" s="154" t="n">
        <x:f>IFERROR(G966/D966,"")</x:f>
        <x:v>0.2847120578410654</x:v>
      </x:c>
      <x:c r="I966" s="159" t="n">
        <x:v>11538</x:v>
      </x:c>
      <x:c r="J966" s="159" t="n">
        <x:v>73853</x:v>
      </x:c>
      <x:c r="K966" s="159" t="n">
        <x:f>I966-J966</x:f>
        <x:v>-62315</x:v>
      </x:c>
      <x:c r="L966" s="154" t="n">
        <x:f>IFERROR(K966/D966,"")</x:f>
        <x:v>-0.12494335794171783</x:v>
      </x:c>
    </x:row>
    <x:row r="967">
      <x:c r="A967" s="141" t="str">
        <x:v>Silver</x:v>
      </x:c>
      <x:c r="B967" s="155" t="n">
        <x:v>45748</x:v>
      </x:c>
      <x:c r="C967" s="155" t="n">
        <x:v>45751</x:v>
      </x:c>
      <x:c r="D967" s="159" t="n">
        <x:v>170197</x:v>
      </x:c>
      <x:c r="E967" s="159" t="n">
        <x:v>58008</x:v>
      </x:c>
      <x:c r="F967" s="159" t="n">
        <x:v>16989</x:v>
      </x:c>
      <x:c r="G967" s="159" t="n">
        <x:f>E967-F967</x:f>
        <x:v>41019</x:v>
      </x:c>
      <x:c r="H967" s="154" t="n">
        <x:f>IFERROR(G967/D967,"")</x:f>
        <x:v>0.24100894845385054</x:v>
      </x:c>
      <x:c r="I967" s="159" t="n">
        <x:v>3806</x:v>
      </x:c>
      <x:c r="J967" s="159" t="n">
        <x:v>41168</x:v>
      </x:c>
      <x:c r="K967" s="159" t="n">
        <x:f>I967-J967</x:f>
        <x:v>-37362</x:v>
      </x:c>
      <x:c r="L967" s="154" t="n">
        <x:f>IFERROR(K967/D967,"")</x:f>
        <x:v>-0.21952208323295946</x:v>
      </x:c>
    </x:row>
    <x:row r="968">
      <x:c r="A968" s="141" t="str">
        <x:v>Gold</x:v>
      </x:c>
      <x:c r="B968" s="155" t="n">
        <x:v>45755</x:v>
      </x:c>
      <x:c r="C968" s="155" t="n">
        <x:v>45758</x:v>
      </x:c>
      <x:c r="D968" s="159" t="n">
        <x:v>445468</x:v>
      </x:c>
      <x:c r="E968" s="159" t="n">
        <x:v>175393</x:v>
      </x:c>
      <x:c r="F968" s="159" t="n">
        <x:v>44407</x:v>
      </x:c>
      <x:c r="G968" s="159" t="n">
        <x:f>E968-F968</x:f>
        <x:v>130986</x:v>
      </x:c>
      <x:c r="H968" s="154" t="n">
        <x:f>IFERROR(G968/D968,"")</x:f>
        <x:v>0.2940413228335144</x:v>
      </x:c>
      <x:c r="I968" s="159" t="n">
        <x:v>14087</x:v>
      </x:c>
      <x:c r="J968" s="159" t="n">
        <x:v>66734</x:v>
      </x:c>
      <x:c r="K968" s="159" t="n">
        <x:f>I968-J968</x:f>
        <x:v>-52647</x:v>
      </x:c>
      <x:c r="L968" s="154" t="n">
        <x:f>IFERROR(K968/D968,"")</x:f>
        <x:v>-0.11818357323084935</x:v>
      </x:c>
    </x:row>
    <x:row r="969">
      <x:c r="A969" s="141" t="str">
        <x:v>Silver</x:v>
      </x:c>
      <x:c r="B969" s="155" t="n">
        <x:v>45755</x:v>
      </x:c>
      <x:c r="C969" s="155" t="n">
        <x:v>45758</x:v>
      </x:c>
      <x:c r="D969" s="159" t="n">
        <x:v>154289</x:v>
      </x:c>
      <x:c r="E969" s="159" t="n">
        <x:v>35544</x:v>
      </x:c>
      <x:c r="F969" s="159" t="n">
        <x:v>12859</x:v>
      </x:c>
      <x:c r="G969" s="159" t="n">
        <x:f>E969-F969</x:f>
        <x:v>22685</x:v>
      </x:c>
      <x:c r="H969" s="154" t="n">
        <x:f>IFERROR(G969/D969,"")</x:f>
        <x:v>0.1470292762283766</x:v>
      </x:c>
      <x:c r="I969" s="159" t="n">
        <x:v>3529</x:v>
      </x:c>
      <x:c r="J969" s="159" t="n">
        <x:v>35671</x:v>
      </x:c>
      <x:c r="K969" s="159" t="n">
        <x:f>I969-J969</x:f>
        <x:v>-32142</x:v>
      </x:c>
      <x:c r="L969" s="154" t="n">
        <x:f>IFERROR(K969/D969,"")</x:f>
        <x:v>-0.20832334126217683</x:v>
      </x:c>
    </x:row>
    <x:row r="970">
      <x:c r="A970" s="141" t="str">
        <x:v>Gold</x:v>
      </x:c>
      <x:c r="B970" s="155" t="n">
        <x:v>45762</x:v>
      </x:c>
      <x:c r="C970" s="155" t="n">
        <x:v>45765</x:v>
      </x:c>
      <x:c r="D970" s="159" t="n">
        <x:v>456628</x:v>
      </x:c>
      <x:c r="E970" s="159" t="n">
        <x:v>168400</x:v>
      </x:c>
      <x:c r="F970" s="159" t="n">
        <x:v>43546</x:v>
      </x:c>
      <x:c r="G970" s="159" t="n">
        <x:f>E970-F970</x:f>
        <x:v>124854</x:v>
      </x:c>
      <x:c r="H970" s="154" t="n">
        <x:f>IFERROR(G970/D970,"")</x:f>
        <x:v>0.27342607111259054</x:v>
      </x:c>
      <x:c r="I970" s="159" t="n">
        <x:v>14214</x:v>
      </x:c>
      <x:c r="J970" s="159" t="n">
        <x:v>65819</x:v>
      </x:c>
      <x:c r="K970" s="159" t="n">
        <x:f>I970-J970</x:f>
        <x:v>-51605</x:v>
      </x:c>
      <x:c r="L970" s="154" t="n">
        <x:f>IFERROR(K970/D970,"")</x:f>
        <x:v>-0.11301321863749048</x:v>
      </x:c>
    </x:row>
    <x:row r="971">
      <x:c r="A971" s="141" t="str">
        <x:v>Silver</x:v>
      </x:c>
      <x:c r="B971" s="155" t="n">
        <x:v>45762</x:v>
      </x:c>
      <x:c r="C971" s="155" t="n">
        <x:v>45765</x:v>
      </x:c>
      <x:c r="D971" s="159" t="n">
        <x:v>144400</x:v>
      </x:c>
      <x:c r="E971" s="159" t="n">
        <x:v>35877</x:v>
      </x:c>
      <x:c r="F971" s="159" t="n">
        <x:v>12325</x:v>
      </x:c>
      <x:c r="G971" s="159" t="n">
        <x:f>E971-F971</x:f>
        <x:v>23552</x:v>
      </x:c>
      <x:c r="H971" s="154" t="n">
        <x:f>IFERROR(G971/D971,"")</x:f>
        <x:v>0.16310249307479224</x:v>
      </x:c>
      <x:c r="I971" s="159" t="n">
        <x:v>4176</x:v>
      </x:c>
      <x:c r="J971" s="159" t="n">
        <x:v>36403</x:v>
      </x:c>
      <x:c r="K971" s="159" t="n">
        <x:f>I971-J971</x:f>
        <x:v>-32227</x:v>
      </x:c>
      <x:c r="L971" s="154" t="n">
        <x:f>IFERROR(K971/D971,"")</x:f>
        <x:v>-0.2231786703601108</x:v>
      </x:c>
    </x:row>
    <x:row r="972">
      <x:c r="A972" s="141" t="str">
        <x:v>Gold</x:v>
      </x:c>
      <x:c r="B972" s="155" t="n">
        <x:v>45769</x:v>
      </x:c>
      <x:c r="C972" s="155" t="n">
        <x:v>45772</x:v>
      </x:c>
      <x:c r="D972" s="159" t="n">
        <x:v>465351</x:v>
      </x:c>
      <x:c r="E972" s="159" t="n">
        <x:v>166360</x:v>
      </x:c>
      <x:c r="F972" s="159" t="n">
        <x:v>45458</x:v>
      </x:c>
      <x:c r="G972" s="159" t="n">
        <x:f>E972-F972</x:f>
        <x:v>120902</x:v>
      </x:c>
      <x:c r="H972" s="154" t="n">
        <x:f>IFERROR(G972/D972,"")</x:f>
        <x:v>0.2598081877980277</x:v>
      </x:c>
      <x:c r="I972" s="159" t="n">
        <x:v>18110</x:v>
      </x:c>
      <x:c r="J972" s="159" t="n">
        <x:v>63420</x:v>
      </x:c>
      <x:c r="K972" s="159" t="n">
        <x:f>I972-J972</x:f>
        <x:v>-45310</x:v>
      </x:c>
      <x:c r="L972" s="154" t="n">
        <x:f>IFERROR(K972/D972,"")</x:f>
        <x:v>-0.09736736355997945</x:v>
      </x:c>
    </x:row>
    <x:row r="973">
      <x:c r="A973" s="141" t="str">
        <x:v>Silver</x:v>
      </x:c>
      <x:c r="B973" s="155" t="n">
        <x:v>45769</x:v>
      </x:c>
      <x:c r="C973" s="155" t="n">
        <x:v>45772</x:v>
      </x:c>
      <x:c r="D973" s="159" t="n">
        <x:v>146923</x:v>
      </x:c>
      <x:c r="E973" s="159" t="n">
        <x:v>36905</x:v>
      </x:c>
      <x:c r="F973" s="159" t="n">
        <x:v>11014</x:v>
      </x:c>
      <x:c r="G973" s="159" t="n">
        <x:f>E973-F973</x:f>
        <x:v>25891</x:v>
      </x:c>
      <x:c r="H973" s="154" t="n">
        <x:f>IFERROR(G973/D973,"")</x:f>
        <x:v>0.17622155823118232</x:v>
      </x:c>
      <x:c r="I973" s="159" t="n">
        <x:v>4857</x:v>
      </x:c>
      <x:c r="J973" s="159" t="n">
        <x:v>35784</x:v>
      </x:c>
      <x:c r="K973" s="159" t="n">
        <x:f>I973-J973</x:f>
        <x:v>-30927</x:v>
      </x:c>
      <x:c r="L973" s="154" t="n">
        <x:f>IFERROR(K973/D973,"")</x:f>
        <x:v>-0.21049801596754764</x:v>
      </x:c>
    </x:row>
    <x:row r="974">
      <x:c r="A974" s="141" t="str">
        <x:v>Gold</x:v>
      </x:c>
      <x:c r="B974" s="155" t="n">
        <x:v>45776</x:v>
      </x:c>
      <x:c r="C974" s="155" t="n">
        <x:v>45779</x:v>
      </x:c>
      <x:c r="D974" s="159" t="n">
        <x:v>451868</x:v>
      </x:c>
      <x:c r="E974" s="159" t="n">
        <x:v>150715</x:v>
      </x:c>
      <x:c r="F974" s="159" t="n">
        <x:v>44820</x:v>
      </x:c>
      <x:c r="G974" s="159" t="n">
        <x:f>E974-F974</x:f>
        <x:v>105895</x:v>
      </x:c>
      <x:c r="H974" s="154" t="n">
        <x:f>IFERROR(G974/D974,"")</x:f>
        <x:v>0.23434941177512017</x:v>
      </x:c>
      <x:c r="I974" s="159" t="n">
        <x:v>17714</x:v>
      </x:c>
      <x:c r="J974" s="159" t="n">
        <x:v>62788</x:v>
      </x:c>
      <x:c r="K974" s="159" t="n">
        <x:f>I974-J974</x:f>
        <x:v>-45074</x:v>
      </x:c>
      <x:c r="L974" s="154" t="n">
        <x:f>IFERROR(K974/D974,"")</x:f>
        <x:v>-0.0997503695769561</x:v>
      </x:c>
    </x:row>
    <x:row r="975">
      <x:c r="A975" s="141" t="str">
        <x:v>Silver</x:v>
      </x:c>
      <x:c r="B975" s="155" t="n">
        <x:v>45776</x:v>
      </x:c>
      <x:c r="C975" s="155" t="n">
        <x:v>45779</x:v>
      </x:c>
      <x:c r="D975" s="159" t="n">
        <x:v>152669</x:v>
      </x:c>
      <x:c r="E975" s="159" t="n">
        <x:v>42324</x:v>
      </x:c>
      <x:c r="F975" s="159" t="n">
        <x:v>11586</x:v>
      </x:c>
      <x:c r="G975" s="159" t="n">
        <x:f>E975-F975</x:f>
        <x:v>30738</x:v>
      </x:c>
      <x:c r="H975" s="154" t="n">
        <x:f>IFERROR(G975/D975,"")</x:f>
        <x:v>0.20133753414249128</x:v>
      </x:c>
      <x:c r="I975" s="159" t="n">
        <x:v>6334</x:v>
      </x:c>
      <x:c r="J975" s="159" t="n">
        <x:v>37333</x:v>
      </x:c>
      <x:c r="K975" s="159" t="n">
        <x:f>I975-J975</x:f>
        <x:v>-30999</x:v>
      </x:c>
      <x:c r="L975" s="154" t="n">
        <x:f>IFERROR(K975/D975,"")</x:f>
        <x:v>-0.20304711500042577</x:v>
      </x:c>
    </x:row>
    <x:row r="976">
      <x:c r="A976" s="141" t="str">
        <x:v>Gold</x:v>
      </x:c>
      <x:c r="B976" s="155" t="n">
        <x:v>45783</x:v>
      </x:c>
      <x:c r="C976" s="155" t="n">
        <x:v>45786</x:v>
      </x:c>
      <x:c r="D976" s="159" t="n">
        <x:v>452414</x:v>
      </x:c>
      <x:c r="E976" s="159" t="n">
        <x:v>144383</x:v>
      </x:c>
      <x:c r="F976" s="159" t="n">
        <x:v>42292</x:v>
      </x:c>
      <x:c r="G976" s="159" t="n">
        <x:f>E976-F976</x:f>
        <x:v>102091</x:v>
      </x:c>
      <x:c r="H976" s="154" t="n">
        <x:f>IFERROR(G976/D976,"")</x:f>
        <x:v>0.22565835716843421</x:v>
      </x:c>
      <x:c r="I976" s="159" t="n">
        <x:v>17705</x:v>
      </x:c>
      <x:c r="J976" s="159" t="n">
        <x:v>62990</x:v>
      </x:c>
      <x:c r="K976" s="159" t="n">
        <x:f>I976-J976</x:f>
        <x:v>-45285</x:v>
      </x:c>
      <x:c r="L976" s="154" t="n">
        <x:f>IFERROR(K976/D976,"")</x:f>
        <x:v>-0.100096371907147</x:v>
      </x:c>
    </x:row>
    <x:row r="977">
      <x:c r="A977" s="141" t="str">
        <x:v>Silver</x:v>
      </x:c>
      <x:c r="B977" s="155" t="n">
        <x:v>45783</x:v>
      </x:c>
      <x:c r="C977" s="155" t="n">
        <x:v>45786</x:v>
      </x:c>
      <x:c r="D977" s="159" t="n">
        <x:v>140261</x:v>
      </x:c>
      <x:c r="E977" s="159" t="n">
        <x:v>43606</x:v>
      </x:c>
      <x:c r="F977" s="159" t="n">
        <x:v>13724</x:v>
      </x:c>
      <x:c r="G977" s="159" t="n">
        <x:f>E977-F977</x:f>
        <x:v>29882</x:v>
      </x:c>
      <x:c r="H977" s="154" t="n">
        <x:f>IFERROR(G977/D977,"")</x:f>
        <x:v>0.2130456791267708</x:v>
      </x:c>
      <x:c r="I977" s="159" t="n">
        <x:v>3370</x:v>
      </x:c>
      <x:c r="J977" s="159" t="n">
        <x:v>34069</x:v>
      </x:c>
      <x:c r="K977" s="159" t="n">
        <x:f>I977-J977</x:f>
        <x:v>-30699</x:v>
      </x:c>
      <x:c r="L977" s="154" t="n">
        <x:f>IFERROR(K977/D977,"")</x:f>
        <x:v>-0.21887053421835007</x:v>
      </x:c>
    </x:row>
    <x:row r="978">
      <x:c r="A978" s="141" t="str">
        <x:v>Gold</x:v>
      </x:c>
      <x:c r="B978" s="155" t="n">
        <x:v>45790</x:v>
      </x:c>
      <x:c r="C978" s="155" t="n">
        <x:v>45793</x:v>
      </x:c>
      <x:c r="D978" s="159" t="n">
        <x:v>440842</x:v>
      </x:c>
      <x:c r="E978" s="159" t="n">
        <x:v>144410</x:v>
      </x:c>
      <x:c r="F978" s="159" t="n">
        <x:v>43183</x:v>
      </x:c>
      <x:c r="G978" s="159" t="n">
        <x:f>E978-F978</x:f>
        <x:v>101227</x:v>
      </x:c>
      <x:c r="H978" s="154" t="n">
        <x:f>IFERROR(G978/D978,"")</x:f>
        <x:v>0.2296219507215737</x:v>
      </x:c>
      <x:c r="I978" s="159" t="n">
        <x:v>17651</x:v>
      </x:c>
      <x:c r="J978" s="159" t="n">
        <x:v>59184</x:v>
      </x:c>
      <x:c r="K978" s="159" t="n">
        <x:f>I978-J978</x:f>
        <x:v>-41533</x:v>
      </x:c>
      <x:c r="L978" s="154" t="n">
        <x:f>IFERROR(K978/D978,"")</x:f>
        <x:v>-0.09421289260097722</x:v>
      </x:c>
    </x:row>
    <x:row r="979">
      <x:c r="A979" s="141" t="str">
        <x:v>Silver</x:v>
      </x:c>
      <x:c r="B979" s="155" t="n">
        <x:v>45790</x:v>
      </x:c>
      <x:c r="C979" s="155" t="n">
        <x:v>45793</x:v>
      </x:c>
      <x:c r="D979" s="159" t="n">
        <x:v>138262</x:v>
      </x:c>
      <x:c r="E979" s="159" t="n">
        <x:v>43522</x:v>
      </x:c>
      <x:c r="F979" s="159" t="n">
        <x:v>15189</x:v>
      </x:c>
      <x:c r="G979" s="159" t="n">
        <x:f>E979-F979</x:f>
        <x:v>28333</x:v>
      </x:c>
      <x:c r="H979" s="154" t="n">
        <x:f>IFERROR(G979/D979,"")</x:f>
        <x:v>0.20492253836918314</x:v>
      </x:c>
      <x:c r="I979" s="159" t="n">
        <x:v>3795</x:v>
      </x:c>
      <x:c r="J979" s="159" t="n">
        <x:v>34242</x:v>
      </x:c>
      <x:c r="K979" s="159" t="n">
        <x:f>I979-J979</x:f>
        <x:v>-30447</x:v>
      </x:c>
      <x:c r="L979" s="154" t="n">
        <x:f>IFERROR(K979/D979,"")</x:f>
        <x:v>-0.2202123504650591</x:v>
      </x:c>
    </x:row>
    <x:row r="980">
      <x:c r="A980" s="141" t="str">
        <x:v>Gold</x:v>
      </x:c>
      <x:c r="B980" s="155" t="n">
        <x:v>45797</x:v>
      </x:c>
      <x:c r="C980" s="155" t="n">
        <x:v>45800</x:v>
      </x:c>
      <x:c r="D980" s="159" t="n">
        <x:v>448000</x:v>
      </x:c>
      <x:c r="E980" s="159" t="n">
        <x:v>149149</x:v>
      </x:c>
      <x:c r="F980" s="159" t="n">
        <x:v>41520</x:v>
      </x:c>
      <x:c r="G980" s="159" t="n">
        <x:f>E980-F980</x:f>
        <x:v>107629</x:v>
      </x:c>
      <x:c r="H980" s="154" t="n">
        <x:f>IFERROR(G980/D980,"")</x:f>
        <x:v>0.24024330357142856</x:v>
      </x:c>
      <x:c r="I980" s="159" t="n">
        <x:v>20202</x:v>
      </x:c>
      <x:c r="J980" s="159" t="n">
        <x:v>59019</x:v>
      </x:c>
      <x:c r="K980" s="159" t="n">
        <x:f>I980-J980</x:f>
        <x:v>-38817</x:v>
      </x:c>
      <x:c r="L980" s="154" t="n">
        <x:f>IFERROR(K980/D980,"")</x:f>
        <x:v>-0.08664508928571428</x:v>
      </x:c>
    </x:row>
    <x:row r="981">
      <x:c r="A981" s="141" t="str">
        <x:v>Silver</x:v>
      </x:c>
      <x:c r="B981" s="155" t="n">
        <x:v>45797</x:v>
      </x:c>
      <x:c r="C981" s="155" t="n">
        <x:v>45800</x:v>
      </x:c>
      <x:c r="D981" s="159" t="n">
        <x:v>141451</x:v>
      </x:c>
      <x:c r="E981" s="159" t="n">
        <x:v>45696</x:v>
      </x:c>
      <x:c r="F981" s="159" t="n">
        <x:v>15251</x:v>
      </x:c>
      <x:c r="G981" s="159" t="n">
        <x:f>E981-F981</x:f>
        <x:v>30445</x:v>
      </x:c>
      <x:c r="H981" s="154" t="n">
        <x:f>IFERROR(G981/D981,"")</x:f>
        <x:v>0.21523354377134132</x:v>
      </x:c>
      <x:c r="I981" s="159" t="n">
        <x:v>3792</x:v>
      </x:c>
      <x:c r="J981" s="159" t="n">
        <x:v>34584</x:v>
      </x:c>
      <x:c r="K981" s="159" t="n">
        <x:f>I981-J981</x:f>
        <x:v>-30792</x:v>
      </x:c>
      <x:c r="L981" s="154" t="n">
        <x:f>IFERROR(K981/D981,"")</x:f>
        <x:v>-0.2176866900905614</x:v>
      </x:c>
    </x:row>
    <x:row r="982">
      <x:c r="A982" s="141" t="str">
        <x:v>Gold</x:v>
      </x:c>
      <x:c r="B982" s="155" t="n">
        <x:v>45804</x:v>
      </x:c>
      <x:c r="C982" s="155" t="n">
        <x:v>45807</x:v>
      </x:c>
      <x:c r="D982" s="159" t="n">
        <x:v>437538</x:v>
      </x:c>
      <x:c r="E982" s="159" t="n">
        <x:v>147502</x:v>
      </x:c>
      <x:c r="F982" s="159" t="n">
        <x:v>36686</x:v>
      </x:c>
      <x:c r="G982" s="159" t="n">
        <x:f>E982-F982</x:f>
        <x:v>110816</x:v>
      </x:c>
      <x:c r="H982" s="154" t="n">
        <x:f>IFERROR(G982/D982,"")</x:f>
        <x:v>0.2532717158281109</x:v>
      </x:c>
      <x:c r="I982" s="159" t="n">
        <x:v>15935</x:v>
      </x:c>
      <x:c r="J982" s="159" t="n">
        <x:v>62127</x:v>
      </x:c>
      <x:c r="K982" s="159" t="n">
        <x:f>I982-J982</x:f>
        <x:v>-46192</x:v>
      </x:c>
      <x:c r="L982" s="154" t="n">
        <x:f>IFERROR(K982/D982,"")</x:f>
        <x:v>-0.10557254455612998</x:v>
      </x:c>
    </x:row>
    <x:row r="983">
      <x:c r="A983" s="141" t="str">
        <x:v>Silver</x:v>
      </x:c>
      <x:c r="B983" s="155" t="n">
        <x:v>45804</x:v>
      </x:c>
      <x:c r="C983" s="155" t="n">
        <x:v>45807</x:v>
      </x:c>
      <x:c r="D983" s="159" t="n">
        <x:v>147555</x:v>
      </x:c>
      <x:c r="E983" s="159" t="n">
        <x:v>48645</x:v>
      </x:c>
      <x:c r="F983" s="159" t="n">
        <x:v>15433</x:v>
      </x:c>
      <x:c r="G983" s="159" t="n">
        <x:f>E983-F983</x:f>
        <x:v>33212</x:v>
      </x:c>
      <x:c r="H983" s="154" t="n">
        <x:f>IFERROR(G983/D983,"")</x:f>
        <x:v>0.22508217274914438</x:v>
      </x:c>
      <x:c r="I983" s="159" t="n">
        <x:v>3658</x:v>
      </x:c>
      <x:c r="J983" s="159" t="n">
        <x:v>34960</x:v>
      </x:c>
      <x:c r="K983" s="159" t="n">
        <x:f>I983-J983</x:f>
        <x:v>-31302</x:v>
      </x:c>
      <x:c r="L983" s="154" t="n">
        <x:f>IFERROR(K983/D983,"")</x:f>
        <x:v>-0.21213784690454407</x:v>
      </x:c>
    </x:row>
    <x:row r="984">
      <x:c r="A984" s="141" t="str">
        <x:v>Gold</x:v>
      </x:c>
      <x:c r="B984" s="155" t="n">
        <x:v>45811</x:v>
      </x:c>
      <x:c r="C984" s="155" t="n">
        <x:v>45814</x:v>
      </x:c>
      <x:c r="D984" s="159" t="n">
        <x:v>415941</x:v>
      </x:c>
      <x:c r="E984" s="159" t="n">
        <x:v>159966</x:v>
      </x:c>
      <x:c r="F984" s="159" t="n">
        <x:v>36384</x:v>
      </x:c>
      <x:c r="G984" s="159" t="n">
        <x:f>E984-F984</x:f>
        <x:v>123582</x:v>
      </x:c>
      <x:c r="H984" s="154" t="n">
        <x:f>IFERROR(G984/D984,"")</x:f>
        <x:v>0.29711425418508874</x:v>
      </x:c>
      <x:c r="I984" s="159" t="n">
        <x:v>14319</x:v>
      </x:c>
      <x:c r="J984" s="159" t="n">
        <x:v>62427</x:v>
      </x:c>
      <x:c r="K984" s="159" t="n">
        <x:f>I984-J984</x:f>
        <x:v>-48108</x:v>
      </x:c>
      <x:c r="L984" s="154" t="n">
        <x:f>IFERROR(K984/D984,"")</x:f>
        <x:v>-0.1156606345611517</x:v>
      </x:c>
    </x:row>
    <x:row r="985">
      <x:c r="A985" s="141" t="str">
        <x:v>Silver</x:v>
      </x:c>
      <x:c r="B985" s="155" t="n">
        <x:v>45811</x:v>
      </x:c>
      <x:c r="C985" s="155" t="n">
        <x:v>45814</x:v>
      </x:c>
      <x:c r="D985" s="159" t="n">
        <x:v>163347</x:v>
      </x:c>
      <x:c r="E985" s="159" t="n">
        <x:v>58645</x:v>
      </x:c>
      <x:c r="F985" s="159" t="n">
        <x:v>13812</x:v>
      </x:c>
      <x:c r="G985" s="159" t="n">
        <x:f>E985-F985</x:f>
        <x:v>44833</x:v>
      </x:c>
      <x:c r="H985" s="154" t="n">
        <x:f>IFERROR(G985/D985,"")</x:f>
        <x:v>0.27446478968086346</x:v>
      </x:c>
      <x:c r="I985" s="159" t="n">
        <x:v>3539</x:v>
      </x:c>
      <x:c r="J985" s="159" t="n">
        <x:v>36974</x:v>
      </x:c>
      <x:c r="K985" s="159" t="n">
        <x:f>I985-J985</x:f>
        <x:v>-33435</x:v>
      </x:c>
      <x:c r="L985" s="154" t="n">
        <x:f>IFERROR(K985/D985,"")</x:f>
        <x:v>-0.20468695476500945</x:v>
      </x:c>
    </x:row>
    <x:row r="986">
      <x:c r="A986" s="141" t="str">
        <x:v>Gold</x:v>
      </x:c>
      <x:c r="B986" s="155" t="n">
        <x:v>45818</x:v>
      </x:c>
      <x:c r="C986" s="155" t="n">
        <x:v>45821</x:v>
      </x:c>
      <x:c r="D986" s="159" t="n">
        <x:v>417143</x:v>
      </x:c>
      <x:c r="E986" s="159" t="n">
        <x:v>160680</x:v>
      </x:c>
      <x:c r="F986" s="159" t="n">
        <x:v>36589</x:v>
      </x:c>
      <x:c r="G986" s="159" t="n">
        <x:f>E986-F986</x:f>
        <x:v>124091</x:v>
      </x:c>
      <x:c r="H986" s="154" t="n">
        <x:f>IFERROR(G986/D986,"")</x:f>
        <x:v>0.2974783227813963</x:v>
      </x:c>
      <x:c r="I986" s="159" t="n">
        <x:v>13381</x:v>
      </x:c>
      <x:c r="J986" s="159" t="n">
        <x:v>62746</x:v>
      </x:c>
      <x:c r="K986" s="159" t="n">
        <x:f>I986-J986</x:f>
        <x:v>-49365</x:v>
      </x:c>
      <x:c r="L986" s="154" t="n">
        <x:f>IFERROR(K986/D986,"")</x:f>
        <x:v>-0.11834071289701613</x:v>
      </x:c>
    </x:row>
    <x:row r="987">
      <x:c r="A987" s="141" t="str">
        <x:v>Silver</x:v>
      </x:c>
      <x:c r="B987" s="155" t="n">
        <x:v>45818</x:v>
      </x:c>
      <x:c r="C987" s="155" t="n">
        <x:v>45821</x:v>
      </x:c>
      <x:c r="D987" s="159" t="n">
        <x:v>174281</x:v>
      </x:c>
      <x:c r="E987" s="159" t="n">
        <x:v>59581</x:v>
      </x:c>
      <x:c r="F987" s="159" t="n">
        <x:v>11648</x:v>
      </x:c>
      <x:c r="G987" s="159" t="n">
        <x:f>E987-F987</x:f>
        <x:v>47933</x:v>
      </x:c>
      <x:c r="H987" s="154" t="n">
        <x:f>IFERROR(G987/D987,"")</x:f>
        <x:v>0.275032849249201</x:v>
      </x:c>
      <x:c r="I987" s="159" t="n">
        <x:v>2686</x:v>
      </x:c>
      <x:c r="J987" s="159" t="n">
        <x:v>39248</x:v>
      </x:c>
      <x:c r="K987" s="159" t="n">
        <x:f>I987-J987</x:f>
        <x:v>-36562</x:v>
      </x:c>
      <x:c r="L987" s="154" t="n">
        <x:f>IFERROR(K987/D987,"")</x:f>
        <x:v>-0.20978764179686826</x:v>
      </x:c>
    </x:row>
    <x:row r="988">
      <x:c r="A988" s="141" t="str">
        <x:v>Gold</x:v>
      </x:c>
      <x:c r="B988" s="155" t="n">
        <x:v>45825</x:v>
      </x:c>
      <x:c r="C988" s="155" t="n">
        <x:v>45828</x:v>
      </x:c>
      <x:c r="D988" s="159" t="n">
        <x:v>441214</x:v>
      </x:c>
      <x:c r="E988" s="159" t="n">
        <x:v>167646</x:v>
      </x:c>
      <x:c r="F988" s="159" t="n">
        <x:v>37135</x:v>
      </x:c>
      <x:c r="G988" s="159" t="n">
        <x:f>E988-F988</x:f>
        <x:v>130511</x:v>
      </x:c>
      <x:c r="H988" s="154" t="n">
        <x:f>IFERROR(G988/D988,"")</x:f>
        <x:v>0.29579977063284485</x:v>
      </x:c>
      <x:c r="I988" s="159" t="n">
        <x:v>11066</x:v>
      </x:c>
      <x:c r="J988" s="159" t="n">
        <x:v>64028</x:v>
      </x:c>
      <x:c r="K988" s="159" t="n">
        <x:f>I988-J988</x:f>
        <x:v>-52962</x:v>
      </x:c>
      <x:c r="L988" s="154" t="n">
        <x:f>IFERROR(K988/D988,"")</x:f>
        <x:v>-0.12003698885348153</x:v>
      </x:c>
    </x:row>
    <x:row r="989">
      <x:c r="A989" s="141" t="str">
        <x:v>Silver</x:v>
      </x:c>
      <x:c r="B989" s="155" t="n">
        <x:v>45825</x:v>
      </x:c>
      <x:c r="C989" s="155" t="n">
        <x:v>45828</x:v>
      </x:c>
      <x:c r="D989" s="159" t="n">
        <x:v>184831</x:v>
      </x:c>
      <x:c r="E989" s="159" t="n">
        <x:v>62692</x:v>
      </x:c>
      <x:c r="F989" s="159" t="n">
        <x:v>13827</x:v>
      </x:c>
      <x:c r="G989" s="159" t="n">
        <x:f>E989-F989</x:f>
        <x:v>48865</x:v>
      </x:c>
      <x:c r="H989" s="154" t="n">
        <x:f>IFERROR(G989/D989,"")</x:f>
        <x:v>0.26437664677462114</x:v>
      </x:c>
      <x:c r="I989" s="159" t="n">
        <x:v>3612</x:v>
      </x:c>
      <x:c r="J989" s="159" t="n">
        <x:v>40085</x:v>
      </x:c>
      <x:c r="K989" s="159" t="n">
        <x:f>I989-J989</x:f>
        <x:v>-36473</x:v>
      </x:c>
      <x:c r="L989" s="154" t="n">
        <x:f>IFERROR(K989/D989,"")</x:f>
        <x:v>-0.19733161644962155</x:v>
      </x:c>
    </x:row>
    <x:row r="990">
      <x:c r="A990" s="141" t="str">
        <x:v>Gold</x:v>
      </x:c>
      <x:c r="B990" s="155" t="n">
        <x:v>45832</x:v>
      </x:c>
      <x:c r="C990" s="155" t="n">
        <x:v>45835</x:v>
      </x:c>
      <x:c r="D990" s="159" t="n">
        <x:v>434958</x:v>
      </x:c>
      <x:c r="E990" s="159" t="n">
        <x:v>163829</x:v>
      </x:c>
      <x:c r="F990" s="159" t="n">
        <x:v>38701</x:v>
      </x:c>
      <x:c r="G990" s="159" t="n">
        <x:f>E990-F990</x:f>
        <x:v>125128</x:v>
      </x:c>
      <x:c r="H990" s="154" t="n">
        <x:f>IFERROR(G990/D990,"")</x:f>
        <x:v>0.28767835055338675</x:v>
      </x:c>
      <x:c r="I990" s="159" t="n">
        <x:v>12319</x:v>
      </x:c>
      <x:c r="J990" s="159" t="n">
        <x:v>62734</x:v>
      </x:c>
      <x:c r="K990" s="159" t="n">
        <x:f>I990-J990</x:f>
        <x:v>-50415</x:v>
      </x:c>
      <x:c r="L990" s="154" t="n">
        <x:f>IFERROR(K990/D990,"")</x:f>
        <x:v>-0.11590774281654781</x:v>
      </x:c>
    </x:row>
    <x:row r="991">
      <x:c r="A991" s="141" t="str">
        <x:v>Silver</x:v>
      </x:c>
      <x:c r="B991" s="155" t="n">
        <x:v>45832</x:v>
      </x:c>
      <x:c r="C991" s="155" t="n">
        <x:v>45835</x:v>
      </x:c>
      <x:c r="D991" s="159" t="n">
        <x:v>174613</x:v>
      </x:c>
      <x:c r="E991" s="159" t="n">
        <x:v>58906</x:v>
      </x:c>
      <x:c r="F991" s="159" t="n">
        <x:v>13795</x:v>
      </x:c>
      <x:c r="G991" s="159" t="n">
        <x:f>E991-F991</x:f>
        <x:v>45111</x:v>
      </x:c>
      <x:c r="H991" s="154" t="n">
        <x:f>IFERROR(G991/D991,"")</x:f>
        <x:v>0.258348462027455</x:v>
      </x:c>
      <x:c r="I991" s="159" t="n">
        <x:v>4185</x:v>
      </x:c>
      <x:c r="J991" s="159" t="n">
        <x:v>38670</x:v>
      </x:c>
      <x:c r="K991" s="159" t="n">
        <x:f>I991-J991</x:f>
        <x:v>-34485</x:v>
      </x:c>
      <x:c r="L991" s="154" t="n">
        <x:f>IFERROR(K991/D991,"")</x:f>
        <x:v>-0.19749388648038807</x:v>
      </x:c>
    </x:row>
    <x:row r="992">
      <x:c r="A992" s="141" t="str">
        <x:v>Gold</x:v>
      </x:c>
      <x:c r="B992" s="155" t="n">
        <x:v>45839</x:v>
      </x:c>
      <x:c r="C992" s="155" t="n">
        <x:v>45842</x:v>
      </x:c>
      <x:c r="D992" s="159" t="n">
        <x:v>437662</x:v>
      </x:c>
      <x:c r="E992" s="159" t="n">
        <x:v>165086</x:v>
      </x:c>
      <x:c r="F992" s="159" t="n">
        <x:v>34726</x:v>
      </x:c>
      <x:c r="G992" s="159" t="n">
        <x:f>E992-F992</x:f>
        <x:v>130360</x:v>
      </x:c>
      <x:c r="H992" s="154" t="n">
        <x:f>IFERROR(G992/D992,"")</x:f>
        <x:v>0.29785542267777415</x:v>
      </x:c>
      <x:c r="I992" s="159" t="n">
        <x:v>12005</x:v>
      </x:c>
      <x:c r="J992" s="159" t="n">
        <x:v>61418</x:v>
      </x:c>
      <x:c r="K992" s="159" t="n">
        <x:f>I992-J992</x:f>
        <x:v>-49413</x:v>
      </x:c>
      <x:c r="L992" s="154" t="n">
        <x:f>IFERROR(K992/D992,"")</x:f>
        <x:v>-0.11290219393047603</x:v>
      </x:c>
    </x:row>
    <x:row r="993">
      <x:c r="A993" s="141" t="str">
        <x:v>Silver</x:v>
      </x:c>
      <x:c r="B993" s="155" t="n">
        <x:v>45839</x:v>
      </x:c>
      <x:c r="C993" s="155" t="n">
        <x:v>45842</x:v>
      </x:c>
      <x:c r="D993" s="159" t="n">
        <x:v>163567</x:v>
      </x:c>
      <x:c r="E993" s="159" t="n">
        <x:v>59228</x:v>
      </x:c>
      <x:c r="F993" s="159" t="n">
        <x:v>14301</x:v>
      </x:c>
      <x:c r="G993" s="159" t="n">
        <x:f>E993-F993</x:f>
        <x:v>44927</x:v>
      </x:c>
      <x:c r="H993" s="154" t="n">
        <x:f>IFERROR(G993/D993,"")</x:f>
        <x:v>0.27467031858504465</x:v>
      </x:c>
      <x:c r="I993" s="159" t="n">
        <x:v>4248</x:v>
      </x:c>
      <x:c r="J993" s="159" t="n">
        <x:v>34400</x:v>
      </x:c>
      <x:c r="K993" s="159" t="n">
        <x:f>I993-J993</x:f>
        <x:v>-30152</x:v>
      </x:c>
      <x:c r="L993" s="154" t="n">
        <x:f>IFERROR(K993/D993,"")</x:f>
        <x:v>-0.18434036205347043</x:v>
      </x:c>
    </x:row>
    <x:row r="994">
      <x:c r="A994" s="141" t="str">
        <x:v>Gold</x:v>
      </x:c>
      <x:c r="B994" s="155" t="n">
        <x:v>45846</x:v>
      </x:c>
      <x:c r="C994" s="155" t="n">
        <x:v>45849</x:v>
      </x:c>
      <x:c r="D994" s="159" t="n">
        <x:v>443144</x:v>
      </x:c>
      <x:c r="E994" s="159" t="n">
        <x:v>164685</x:v>
      </x:c>
      <x:c r="F994" s="159" t="n">
        <x:v>35743</x:v>
      </x:c>
      <x:c r="G994" s="159" t="n">
        <x:f>E994-F994</x:f>
        <x:v>128942</x:v>
      </x:c>
      <x:c r="H994" s="154" t="n">
        <x:f>IFERROR(G994/D994,"")</x:f>
        <x:v>0.2909708807972126</x:v>
      </x:c>
      <x:c r="I994" s="159" t="n">
        <x:v>13615</x:v>
      </x:c>
      <x:c r="J994" s="159" t="n">
        <x:v>60427</x:v>
      </x:c>
      <x:c r="K994" s="159" t="n">
        <x:f>I994-J994</x:f>
        <x:v>-46812</x:v>
      </x:c>
      <x:c r="L994" s="154" t="n">
        <x:f>IFERROR(K994/D994,"")</x:f>
        <x:v>-0.10563609120285956</x:v>
      </x:c>
    </x:row>
    <x:row r="995">
      <x:c r="A995" s="141" t="str">
        <x:v>Silver</x:v>
      </x:c>
      <x:c r="B995" s="155" t="n">
        <x:v>45846</x:v>
      </x:c>
      <x:c r="C995" s="155" t="n">
        <x:v>45849</x:v>
      </x:c>
      <x:c r="D995" s="159" t="n">
        <x:v>162803</x:v>
      </x:c>
      <x:c r="E995" s="159" t="n">
        <x:v>58991</x:v>
      </x:c>
      <x:c r="F995" s="159" t="n">
        <x:v>16235</x:v>
      </x:c>
      <x:c r="G995" s="159" t="n">
        <x:f>E995-F995</x:f>
        <x:v>42756</x:v>
      </x:c>
      <x:c r="H995" s="154" t="n">
        <x:f>IFERROR(G995/D995,"")</x:f>
        <x:v>0.26262415311757153</x:v>
      </x:c>
      <x:c r="I995" s="159" t="n">
        <x:v>5030</x:v>
      </x:c>
      <x:c r="J995" s="159" t="n">
        <x:v>32301</x:v>
      </x:c>
      <x:c r="K995" s="159" t="n">
        <x:f>I995-J995</x:f>
        <x:v>-27271</x:v>
      </x:c>
      <x:c r="L995" s="154" t="n">
        <x:f>IFERROR(K995/D995,"")</x:f>
        <x:v>-0.1675091982334478</x:v>
      </x:c>
    </x:row>
    <x:row r="996">
      <x:c r="A996" s="141" t="str">
        <x:v>Gold</x:v>
      </x:c>
      <x:c r="B996" s="155" t="n">
        <x:v>45853</x:v>
      </x:c>
      <x:c r="C996" s="155" t="n">
        <x:v>45856</x:v>
      </x:c>
      <x:c r="D996" s="159" t="n">
        <x:v>448531</x:v>
      </x:c>
      <x:c r="E996" s="159" t="n">
        <x:v>172657</x:v>
      </x:c>
      <x:c r="F996" s="159" t="n">
        <x:v>35930</x:v>
      </x:c>
      <x:c r="G996" s="159" t="n">
        <x:f>E996-F996</x:f>
        <x:v>136727</x:v>
      </x:c>
      <x:c r="H996" s="154" t="n">
        <x:f>IFERROR(G996/D996,"")</x:f>
        <x:v>0.3048328878048563</x:v>
      </x:c>
      <x:c r="I996" s="159" t="n">
        <x:v>14716</x:v>
      </x:c>
      <x:c r="J996" s="159" t="n">
        <x:v>61452</x:v>
      </x:c>
      <x:c r="K996" s="159" t="n">
        <x:f>I996-J996</x:f>
        <x:v>-46736</x:v>
      </x:c>
      <x:c r="L996" s="154" t="n">
        <x:f>IFERROR(K996/D996,"")</x:f>
        <x:v>-0.10419792611881899</x:v>
      </x:c>
    </x:row>
    <x:row r="997">
      <x:c r="A997" s="141" t="str">
        <x:v>Silver</x:v>
      </x:c>
      <x:c r="B997" s="155" t="n">
        <x:v>45853</x:v>
      </x:c>
      <x:c r="C997" s="155" t="n">
        <x:v>45856</x:v>
      </x:c>
      <x:c r="D997" s="159" t="n">
        <x:v>171474</x:v>
      </x:c>
      <x:c r="E997" s="159" t="n">
        <x:v>59766</x:v>
      </x:c>
      <x:c r="F997" s="159" t="n">
        <x:v>16560</x:v>
      </x:c>
      <x:c r="G997" s="159" t="n">
        <x:f>E997-F997</x:f>
        <x:v>43206</x:v>
      </x:c>
      <x:c r="H997" s="154" t="n">
        <x:f>IFERROR(G997/D997,"")</x:f>
        <x:v>0.25196822841946886</x:v>
      </x:c>
      <x:c r="I997" s="159" t="n">
        <x:v>4143</x:v>
      </x:c>
      <x:c r="J997" s="159" t="n">
        <x:v>34512</x:v>
      </x:c>
      <x:c r="K997" s="159" t="n">
        <x:f>I997-J997</x:f>
        <x:v>-30369</x:v>
      </x:c>
      <x:c r="L997" s="154" t="n">
        <x:f>IFERROR(K997/D997,"")</x:f>
        <x:v>-0.17710556702473845</x:v>
      </x:c>
    </x:row>
    <x:row r="998">
      <x:c r="A998" s="141" t="str">
        <x:v>Gold</x:v>
      </x:c>
      <x:c r="B998" s="155" t="n">
        <x:v>45860</x:v>
      </x:c>
      <x:c r="C998" s="155" t="n">
        <x:v>45863</x:v>
      </x:c>
      <x:c r="D998" s="159" t="n">
        <x:v>489423</x:v>
      </x:c>
      <x:c r="E998" s="159" t="n">
        <x:v>194753</x:v>
      </x:c>
      <x:c r="F998" s="159" t="n">
        <x:v>34819</x:v>
      </x:c>
      <x:c r="G998" s="159" t="n">
        <x:f>E998-F998</x:f>
        <x:v>159934</x:v>
      </x:c>
      <x:c r="H998" s="154" t="n">
        <x:f>IFERROR(G998/D998,"")</x:f>
        <x:v>0.32678071933685177</x:v>
      </x:c>
      <x:c r="I998" s="159" t="n">
        <x:v>11207</x:v>
      </x:c>
      <x:c r="J998" s="159" t="n">
        <x:v>62569</x:v>
      </x:c>
      <x:c r="K998" s="159" t="n">
        <x:f>I998-J998</x:f>
        <x:v>-51362</x:v>
      </x:c>
      <x:c r="L998" s="154" t="n">
        <x:f>IFERROR(K998/D998,"")</x:f>
        <x:v>-0.10494398505995836</x:v>
      </x:c>
    </x:row>
    <x:row r="999">
      <x:c r="A999" s="141" t="str">
        <x:v>Silver</x:v>
      </x:c>
      <x:c r="B999" s="155" t="n">
        <x:v>45860</x:v>
      </x:c>
      <x:c r="C999" s="155" t="n">
        <x:v>45863</x:v>
      </x:c>
      <x:c r="D999" s="159" t="n">
        <x:v>173679</x:v>
      </x:c>
      <x:c r="E999" s="159" t="n">
        <x:v>60294</x:v>
      </x:c>
      <x:c r="F999" s="159" t="n">
        <x:v>16280</x:v>
      </x:c>
      <x:c r="G999" s="159" t="n">
        <x:f>E999-F999</x:f>
        <x:v>44014</x:v>
      </x:c>
      <x:c r="H999" s="154" t="n">
        <x:f>IFERROR(G999/D999,"")</x:f>
        <x:v>0.2534215420402006</x:v>
      </x:c>
      <x:c r="I999" s="159" t="n">
        <x:v>5089</x:v>
      </x:c>
      <x:c r="J999" s="159" t="n">
        <x:v>34916</x:v>
      </x:c>
      <x:c r="K999" s="159" t="n">
        <x:f>I999-J999</x:f>
        <x:v>-29827</x:v>
      </x:c>
      <x:c r="L999" s="154" t="n">
        <x:f>IFERROR(K999/D999,"")</x:f>
        <x:v>-0.17173636421213848</x:v>
      </x:c>
    </x:row>
    <x:row r="1000">
      <x:c r="A1000" s="141" t="str">
        <x:v>Gold</x:v>
      </x:c>
      <x:c r="B1000" s="155" t="n">
        <x:v>45867</x:v>
      </x:c>
      <x:c r="C1000" s="155" t="n">
        <x:v>45870</x:v>
      </x:c>
      <x:c r="D1000" s="159" t="n">
        <x:v>445259</x:v>
      </x:c>
      <x:c r="E1000" s="159" t="n">
        <x:v>170918</x:v>
      </x:c>
      <x:c r="F1000" s="159" t="n">
        <x:v>36662</x:v>
      </x:c>
      <x:c r="G1000" s="159" t="n">
        <x:f>E1000-F1000</x:f>
        <x:v>134256</x:v>
      </x:c>
      <x:c r="H1000" s="154" t="n">
        <x:f>IFERROR(G1000/D1000,"")</x:f>
        <x:v>0.3015233830197705</x:v>
      </x:c>
      <x:c r="I1000" s="159" t="n">
        <x:v>12294</x:v>
      </x:c>
      <x:c r="J1000" s="159" t="n">
        <x:v>60464</x:v>
      </x:c>
      <x:c r="K1000" s="159" t="n">
        <x:f>I1000-J1000</x:f>
        <x:v>-48170</x:v>
      </x:c>
      <x:c r="L1000" s="154" t="n">
        <x:f>IFERROR(K1000/D1000,"")</x:f>
        <x:v>-0.10818422536096968</x:v>
      </x:c>
    </x:row>
    <x:row r="1001">
      <x:c r="A1001" s="141" t="str">
        <x:v>Silver</x:v>
      </x:c>
      <x:c r="B1001" s="155" t="n">
        <x:v>45867</x:v>
      </x:c>
      <x:c r="C1001" s="155" t="n">
        <x:v>45870</x:v>
      </x:c>
      <x:c r="D1001" s="159" t="n">
        <x:v>170329</x:v>
      </x:c>
      <x:c r="E1001" s="159" t="n">
        <x:v>57762</x:v>
      </x:c>
      <x:c r="F1001" s="159" t="n">
        <x:v>14738</x:v>
      </x:c>
      <x:c r="G1001" s="159" t="n">
        <x:f>E1001-F1001</x:f>
        <x:v>43024</x:v>
      </x:c>
      <x:c r="H1001" s="154" t="n">
        <x:f>IFERROR(G1001/D1001,"")</x:f>
        <x:v>0.2525935102067176</x:v>
      </x:c>
      <x:c r="I1001" s="159" t="n">
        <x:v>5925</x:v>
      </x:c>
      <x:c r="J1001" s="159" t="n">
        <x:v>36147</x:v>
      </x:c>
      <x:c r="K1001" s="159" t="n">
        <x:f>I1001-J1001</x:f>
        <x:v>-30222</x:v>
      </x:c>
      <x:c r="L1001" s="154" t="n">
        <x:f>IFERROR(K1001/D1001,"")</x:f>
        <x:v>-0.1774330853818199</x:v>
      </x:c>
    </x:row>
    <x:row r="1002">
      <x:c r="A1002" s="141" t="str">
        <x:v>Gold</x:v>
      </x:c>
      <x:c r="B1002" s="155" t="n">
        <x:v>45874</x:v>
      </x:c>
      <x:c r="C1002" s="155" t="n">
        <x:v>45877</x:v>
      </x:c>
      <x:c r="D1002" s="159" t="n">
        <x:v>449647</x:v>
      </x:c>
      <x:c r="E1002" s="159" t="n">
        <x:v>186304</x:v>
      </x:c>
      <x:c r="F1002" s="159" t="n">
        <x:v>32317</x:v>
      </x:c>
      <x:c r="G1002" s="159" t="n">
        <x:f>E1002-F1002</x:f>
        <x:v>153987</x:v>
      </x:c>
      <x:c r="H1002" s="154" t="n">
        <x:f>IFERROR(G1002/D1002,"")</x:f>
        <x:v>0.3424619757276263</x:v>
      </x:c>
      <x:c r="I1002" s="159" t="n">
        <x:v>21760</x:v>
      </x:c>
      <x:c r="J1002" s="159" t="n">
        <x:v>55777</x:v>
      </x:c>
      <x:c r="K1002" s="159" t="n">
        <x:f>I1002-J1002</x:f>
        <x:v>-34017</x:v>
      </x:c>
      <x:c r="L1002" s="154" t="n">
        <x:f>IFERROR(K1002/D1002,"")</x:f>
        <x:v>-0.07565267865681301</x:v>
      </x:c>
    </x:row>
    <x:row r="1003">
      <x:c r="A1003" s="141" t="str">
        <x:v>Silver</x:v>
      </x:c>
      <x:c r="B1003" s="155" t="n">
        <x:v>45874</x:v>
      </x:c>
      <x:c r="C1003" s="155" t="n">
        <x:v>45877</x:v>
      </x:c>
      <x:c r="D1003" s="159" t="n">
        <x:v>161262</x:v>
      </x:c>
      <x:c r="E1003" s="159" t="n">
        <x:v>45934</x:v>
      </x:c>
      <x:c r="F1003" s="159" t="n">
        <x:v>16111</x:v>
      </x:c>
      <x:c r="G1003" s="159" t="n">
        <x:f>E1003-F1003</x:f>
        <x:v>29823</x:v>
      </x:c>
      <x:c r="H1003" s="154" t="n">
        <x:f>IFERROR(G1003/D1003,"")</x:f>
        <x:v>0.1849350745990996</x:v>
      </x:c>
      <x:c r="I1003" s="159" t="n">
        <x:v>4912</x:v>
      </x:c>
      <x:c r="J1003" s="159" t="n">
        <x:v>33723</x:v>
      </x:c>
      <x:c r="K1003" s="159" t="n">
        <x:f>I1003-J1003</x:f>
        <x:v>-28811</x:v>
      </x:c>
      <x:c r="L1003" s="154" t="n">
        <x:f>IFERROR(K1003/D1003,"")</x:f>
        <x:v>-0.17865957262095225</x:v>
      </x:c>
    </x:row>
    <x:row r="1004">
      <x:c r="A1004" s="141" t="str">
        <x:v>Gold</x:v>
      </x:c>
      <x:c r="B1004" s="155" t="n">
        <x:v>45881</x:v>
      </x:c>
      <x:c r="C1004" s="155" t="n">
        <x:v>45884</x:v>
      </x:c>
      <x:c r="D1004" s="159" t="n">
        <x:v>446152</x:v>
      </x:c>
      <x:c r="E1004" s="159" t="n">
        <x:v>182337</x:v>
      </x:c>
      <x:c r="F1004" s="159" t="n">
        <x:v>34050</x:v>
      </x:c>
      <x:c r="G1004" s="159" t="n">
        <x:f>E1004-F1004</x:f>
        <x:v>148287</x:v>
      </x:c>
      <x:c r="H1004" s="154" t="n">
        <x:f>IFERROR(G1004/D1004,"")</x:f>
        <x:v>0.33236878911223083</x:v>
      </x:c>
      <x:c r="I1004" s="159" t="n">
        <x:v>9324</x:v>
      </x:c>
      <x:c r="J1004" s="159" t="n">
        <x:v>49074</x:v>
      </x:c>
      <x:c r="K1004" s="159" t="n">
        <x:f>I1004-J1004</x:f>
        <x:v>-39750</x:v>
      </x:c>
      <x:c r="L1004" s="154" t="n">
        <x:f>IFERROR(K1004/D1004,"")</x:f>
        <x:v>-0.08909519625598451</x:v>
      </x:c>
    </x:row>
    <x:row r="1005">
      <x:c r="A1005" s="141" t="str">
        <x:v>Silver</x:v>
      </x:c>
      <x:c r="B1005" s="155" t="n">
        <x:v>45881</x:v>
      </x:c>
      <x:c r="C1005" s="155" t="n">
        <x:v>45884</x:v>
      </x:c>
      <x:c r="D1005" s="159" t="n">
        <x:v>156432</x:v>
      </x:c>
      <x:c r="E1005" s="159" t="n">
        <x:v>43854</x:v>
      </x:c>
      <x:c r="F1005" s="159" t="n">
        <x:v>16574</x:v>
      </x:c>
      <x:c r="G1005" s="159" t="n">
        <x:f>E1005-F1005</x:f>
        <x:v>27280</x:v>
      </x:c>
      <x:c r="H1005" s="154" t="n">
        <x:f>IFERROR(G1005/D1005,"")</x:f>
        <x:v>0.17438887184207835</x:v>
      </x:c>
      <x:c r="I1005" s="159" t="n">
        <x:v>5167</x:v>
      </x:c>
      <x:c r="J1005" s="159" t="n">
        <x:v>28177</x:v>
      </x:c>
      <x:c r="K1005" s="159" t="n">
        <x:f>I1005-J1005</x:f>
        <x:v>-23010</x:v>
      </x:c>
      <x:c r="L1005" s="154" t="n">
        <x:f>IFERROR(K1005/D1005,"")</x:f>
        <x:v>-0.14709266646210495</x:v>
      </x:c>
    </x:row>
    <x:row r="1006">
      <x:c r="A1006" s="141" t="str">
        <x:v>Gold</x:v>
      </x:c>
      <x:c r="B1006" s="155" t="n">
        <x:v>45888</x:v>
      </x:c>
      <x:c r="C1006" s="155" t="n">
        <x:v>45891</x:v>
      </x:c>
      <x:c r="D1006" s="159" t="n">
        <x:v>438541</x:v>
      </x:c>
      <x:c r="E1006" s="159" t="n">
        <x:v>173388</x:v>
      </x:c>
      <x:c r="F1006" s="159" t="n">
        <x:v>36003</x:v>
      </x:c>
      <x:c r="G1006" s="159" t="n">
        <x:f>E1006-F1006</x:f>
        <x:v>137385</x:v>
      </x:c>
      <x:c r="H1006" s="154" t="n">
        <x:f>IFERROR(G1006/D1006,"")</x:f>
        <x:v>0.31327743586118517</x:v>
      </x:c>
      <x:c r="I1006" s="159" t="n">
        <x:v>9389</x:v>
      </x:c>
      <x:c r="J1006" s="159" t="n">
        <x:v>49394</x:v>
      </x:c>
      <x:c r="K1006" s="159" t="n">
        <x:f>I1006-J1006</x:f>
        <x:v>-40005</x:v>
      </x:c>
      <x:c r="L1006" s="154" t="n">
        <x:f>IFERROR(K1006/D1006,"")</x:f>
        <x:v>-0.09122294152656193</x:v>
      </x:c>
    </x:row>
    <x:row r="1007">
      <x:c r="A1007" s="141" t="str">
        <x:v>Silver</x:v>
      </x:c>
      <x:c r="B1007" s="155" t="n">
        <x:v>45888</x:v>
      </x:c>
      <x:c r="C1007" s="155" t="n">
        <x:v>45891</x:v>
      </x:c>
      <x:c r="D1007" s="159" t="n">
        <x:v>158477</x:v>
      </x:c>
      <x:c r="E1007" s="159" t="n">
        <x:v>44397</x:v>
      </x:c>
      <x:c r="F1007" s="159" t="n">
        <x:v>16351</x:v>
      </x:c>
      <x:c r="G1007" s="159" t="n">
        <x:f>E1007-F1007</x:f>
        <x:v>28046</x:v>
      </x:c>
      <x:c r="H1007" s="154" t="n">
        <x:f>IFERROR(G1007/D1007,"")</x:f>
        <x:v>0.17697205272689412</x:v>
      </x:c>
      <x:c r="I1007" s="159" t="n">
        <x:v>6416</x:v>
      </x:c>
      <x:c r="J1007" s="159" t="n">
        <x:v>28993</x:v>
      </x:c>
      <x:c r="K1007" s="159" t="n">
        <x:f>I1007-J1007</x:f>
        <x:v>-22577</x:v>
      </x:c>
      <x:c r="L1007" s="154" t="n">
        <x:f>IFERROR(K1007/D1007,"")</x:f>
        <x:v>-0.14246231314323213</x:v>
      </x:c>
    </x:row>
    <x:row r="1008">
      <x:c r="A1008" s="141" t="str">
        <x:v>Gold</x:v>
      </x:c>
      <x:c r="B1008" s="155" t="n">
        <x:v>45895</x:v>
      </x:c>
      <x:c r="C1008" s="155" t="n">
        <x:v>45898</x:v>
      </x:c>
      <x:c r="D1008" s="159" t="n">
        <x:v>443760</x:v>
      </x:c>
      <x:c r="E1008" s="159" t="n">
        <x:v>175494</x:v>
      </x:c>
      <x:c r="F1008" s="159" t="n">
        <x:v>33577</x:v>
      </x:c>
      <x:c r="G1008" s="159" t="n">
        <x:f>E1008-F1008</x:f>
        <x:v>141917</x:v>
      </x:c>
      <x:c r="H1008" s="154" t="n">
        <x:f>IFERROR(G1008/D1008,"")</x:f>
        <x:v>0.31980575085631874</x:v>
      </x:c>
      <x:c r="I1008" s="159" t="n">
        <x:v>9620</x:v>
      </x:c>
      <x:c r="J1008" s="159" t="n">
        <x:v>51948</x:v>
      </x:c>
      <x:c r="K1008" s="159" t="n">
        <x:f>I1008-J1008</x:f>
        <x:v>-42328</x:v>
      </x:c>
      <x:c r="L1008" s="154" t="n">
        <x:f>IFERROR(K1008/D1008,"")</x:f>
        <x:v>-0.09538489273481161</x:v>
      </x:c>
    </x:row>
    <x:row r="1009">
      <x:c r="A1009" s="141" t="str">
        <x:v>Silver</x:v>
      </x:c>
      <x:c r="B1009" s="155" t="n">
        <x:v>45895</x:v>
      </x:c>
      <x:c r="C1009" s="155" t="n">
        <x:v>45898</x:v>
      </x:c>
      <x:c r="D1009" s="159" t="n">
        <x:v>158630</x:v>
      </x:c>
      <x:c r="E1009" s="159" t="n">
        <x:v>48499</x:v>
      </x:c>
      <x:c r="F1009" s="159" t="n">
        <x:v>15528</x:v>
      </x:c>
      <x:c r="G1009" s="159" t="n">
        <x:f>E1009-F1009</x:f>
        <x:v>32971</x:v>
      </x:c>
      <x:c r="H1009" s="154" t="n">
        <x:f>IFERROR(G1009/D1009,"")</x:f>
        <x:v>0.20784845237344765</x:v>
      </x:c>
      <x:c r="I1009" s="159" t="n">
        <x:v>5134</x:v>
      </x:c>
      <x:c r="J1009" s="159" t="n">
        <x:v>29632</x:v>
      </x:c>
      <x:c r="K1009" s="159" t="n">
        <x:f>I1009-J1009</x:f>
        <x:v>-24498</x:v>
      </x:c>
      <x:c r="L1009" s="154" t="n">
        <x:f>IFERROR(K1009/D1009,"")</x:f>
        <x:v>-0.15443484838933366</x:v>
      </x:c>
    </x:row>
    <x:row r="1010">
      <x:c r="A1010" s="141" t="str">
        <x:v>Gold</x:v>
      </x:c>
      <x:c r="B1010" s="155" t="n">
        <x:v>45902</x:v>
      </x:c>
      <x:c r="C1010" s="155" t="n">
        <x:v>45905</x:v>
      </x:c>
      <x:c r="D1010" s="159" t="n">
        <x:v>492908</x:v>
      </x:c>
      <x:c r="E1010" s="159" t="n">
        <x:v>196127</x:v>
      </x:c>
      <x:c r="F1010" s="159" t="n">
        <x:v>34625</x:v>
      </x:c>
      <x:c r="G1010" s="159" t="n">
        <x:f>E1010-F1010</x:f>
        <x:v>161502</x:v>
      </x:c>
      <x:c r="H1010" s="154" t="n">
        <x:f>IFERROR(G1010/D1010,"")</x:f>
        <x:v>0.3276514075649006</x:v>
      </x:c>
      <x:c r="I1010" s="159" t="n">
        <x:v>8209</x:v>
      </x:c>
      <x:c r="J1010" s="159" t="n">
        <x:v>63511</x:v>
      </x:c>
      <x:c r="K1010" s="159" t="n">
        <x:f>I1010-J1010</x:f>
        <x:v>-55302</x:v>
      </x:c>
      <x:c r="L1010" s="154" t="n">
        <x:f>IFERROR(K1010/D1010,"")</x:f>
        <x:v>-0.11219537925941556</x:v>
      </x:c>
    </x:row>
    <x:row r="1011">
      <x:c r="A1011" s="141" t="str">
        <x:v>Silver</x:v>
      </x:c>
      <x:c r="B1011" s="155" t="n">
        <x:v>45902</x:v>
      </x:c>
      <x:c r="C1011" s="155" t="n">
        <x:v>45905</x:v>
      </x:c>
      <x:c r="D1011" s="159" t="n">
        <x:v>158368</x:v>
      </x:c>
      <x:c r="E1011" s="159" t="n">
        <x:v>51293</x:v>
      </x:c>
      <x:c r="F1011" s="159" t="n">
        <x:v>12523</x:v>
      </x:c>
      <x:c r="G1011" s="159" t="n">
        <x:f>E1011-F1011</x:f>
        <x:v>38770</x:v>
      </x:c>
      <x:c r="H1011" s="154" t="n">
        <x:f>IFERROR(G1011/D1011,"")</x:f>
        <x:v>0.24480955748636088</x:v>
      </x:c>
      <x:c r="I1011" s="159" t="n">
        <x:v>3512</x:v>
      </x:c>
      <x:c r="J1011" s="159" t="n">
        <x:v>33233</x:v>
      </x:c>
      <x:c r="K1011" s="159" t="n">
        <x:f>I1011-J1011</x:f>
        <x:v>-29721</x:v>
      </x:c>
      <x:c r="L1011" s="154" t="n">
        <x:f>IFERROR(K1011/D1011,"")</x:f>
        <x:v>-0.18767048898767427</x:v>
      </x:c>
    </x:row>
    <x:row r="1012">
      <x:c r="A1012" s="141" t="str">
        <x:v>Gold</x:v>
      </x:c>
      <x:c r="B1012" s="155" t="n">
        <x:v>45909</x:v>
      </x:c>
      <x:c r="C1012" s="155" t="n">
        <x:v>45912</x:v>
      </x:c>
      <x:c r="D1012" s="159" t="n">
        <x:v>509625</x:v>
      </x:c>
      <x:c r="E1012" s="159" t="n">
        <x:v>198907</x:v>
      </x:c>
      <x:c r="F1012" s="159" t="n">
        <x:v>35388</x:v>
      </x:c>
      <x:c r="G1012" s="159" t="n">
        <x:f>E1012-F1012</x:f>
        <x:v>163519</x:v>
      </x:c>
      <x:c r="H1012" s="154" t="n">
        <x:f>IFERROR(G1012/D1012,"")</x:f>
        <x:v>0.3208614177090998</x:v>
      </x:c>
      <x:c r="I1012" s="159" t="n">
        <x:v>9864</x:v>
      </x:c>
      <x:c r="J1012" s="159" t="n">
        <x:v>72418</x:v>
      </x:c>
      <x:c r="K1012" s="159" t="n">
        <x:f>I1012-J1012</x:f>
        <x:v>-62554</x:v>
      </x:c>
      <x:c r="L1012" s="154" t="n">
        <x:f>IFERROR(K1012/D1012,"")</x:f>
        <x:v>-0.12274515575177827</x:v>
      </x:c>
    </x:row>
    <x:row r="1013">
      <x:c r="A1013" s="141" t="str">
        <x:v>Silver</x:v>
      </x:c>
      <x:c r="B1013" s="155" t="n">
        <x:v>45909</x:v>
      </x:c>
      <x:c r="C1013" s="155" t="n">
        <x:v>45912</x:v>
      </x:c>
      <x:c r="D1013" s="159" t="n">
        <x:v>156703</x:v>
      </x:c>
      <x:c r="E1013" s="159" t="n">
        <x:v>49390</x:v>
      </x:c>
      <x:c r="F1013" s="159" t="n">
        <x:v>13535</x:v>
      </x:c>
      <x:c r="G1013" s="159" t="n">
        <x:f>E1013-F1013</x:f>
        <x:v>35855</x:v>
      </x:c>
      <x:c r="H1013" s="154" t="n">
        <x:f>IFERROR(G1013/D1013,"")</x:f>
        <x:v>0.2288086379967199</x:v>
      </x:c>
      <x:c r="I1013" s="159" t="n">
        <x:v>3805</x:v>
      </x:c>
      <x:c r="J1013" s="159" t="n">
        <x:v>31749</x:v>
      </x:c>
      <x:c r="K1013" s="159" t="n">
        <x:f>I1013-J1013</x:f>
        <x:v>-27944</x:v>
      </x:c>
      <x:c r="L1013" s="154" t="n">
        <x:f>IFERROR(K1013/D1013,"")</x:f>
        <x:v>-0.17832460131586506</x:v>
      </x:c>
    </x:row>
    <x:row r="1014">
      <x:c r="A1014" s="141" t="str">
        <x:v>Gold</x:v>
      </x:c>
      <x:c r="B1014" s="155" t="n">
        <x:v>45916</x:v>
      </x:c>
      <x:c r="C1014" s="155" t="n">
        <x:v>45919</x:v>
      </x:c>
      <x:c r="D1014" s="159" t="n">
        <x:v>516221</x:v>
      </x:c>
      <x:c r="E1014" s="159" t="n">
        <x:v>195347</x:v>
      </x:c>
      <x:c r="F1014" s="159" t="n">
        <x:v>36376</x:v>
      </x:c>
      <x:c r="G1014" s="159" t="n">
        <x:f>E1014-F1014</x:f>
        <x:v>158971</x:v>
      </x:c>
      <x:c r="H1014" s="154" t="n">
        <x:f>IFERROR(G1014/D1014,"")</x:f>
        <x:v>0.3079514394028914</x:v>
      </x:c>
      <x:c r="I1014" s="159" t="n">
        <x:v>10992</x:v>
      </x:c>
      <x:c r="J1014" s="159" t="n">
        <x:v>76376</x:v>
      </x:c>
      <x:c r="K1014" s="159" t="n">
        <x:f>I1014-J1014</x:f>
        <x:v>-65384</x:v>
      </x:c>
      <x:c r="L1014" s="154" t="n">
        <x:f>IFERROR(K1014/D1014,"")</x:f>
        <x:v>-0.12665893096173925</x:v>
      </x:c>
    </x:row>
    <x:row r="1015">
      <x:c r="A1015" s="141" t="str">
        <x:v>Silver</x:v>
      </x:c>
      <x:c r="B1015" s="155" t="n">
        <x:v>45916</x:v>
      </x:c>
      <x:c r="C1015" s="155" t="n">
        <x:v>45919</x:v>
      </x:c>
      <x:c r="D1015" s="159" t="n">
        <x:v>162954</x:v>
      </x:c>
      <x:c r="E1015" s="159" t="n">
        <x:v>51259</x:v>
      </x:c>
      <x:c r="F1015" s="159" t="n">
        <x:v>15453</x:v>
      </x:c>
      <x:c r="G1015" s="159" t="n">
        <x:f>E1015-F1015</x:f>
        <x:v>35806</x:v>
      </x:c>
      <x:c r="H1015" s="154" t="n">
        <x:f>IFERROR(G1015/D1015,"")</x:f>
        <x:v>0.2197307215533218</x:v>
      </x:c>
      <x:c r="I1015" s="159" t="n">
        <x:v>4519</x:v>
      </x:c>
      <x:c r="J1015" s="159" t="n">
        <x:v>32444</x:v>
      </x:c>
      <x:c r="K1015" s="159" t="n">
        <x:f>I1015-J1015</x:f>
        <x:v>-27925</x:v>
      </x:c>
      <x:c r="L1015" s="154" t="n">
        <x:f>IFERROR(K1015/D1015,"")</x:f>
        <x:v>-0.17136737975134086</x:v>
      </x:c>
    </x:row>
    <x:row r="1016">
      <x:c r="A1016" s="141" t="str">
        <x:v>Gold</x:v>
      </x:c>
      <x:c r="B1016" s="155" t="n">
        <x:v>45923</x:v>
      </x:c>
      <x:c r="C1016" s="155" t="n">
        <x:v>45926</x:v>
      </x:c>
      <x:c r="D1016" s="159" t="n">
        <x:v>528789</x:v>
      </x:c>
      <x:c r="E1016" s="159" t="n">
        <x:v>198826</x:v>
      </x:c>
      <x:c r="F1016" s="159" t="n">
        <x:v>38277</x:v>
      </x:c>
      <x:c r="G1016" s="159" t="n">
        <x:f>E1016-F1016</x:f>
        <x:v>160549</x:v>
      </x:c>
      <x:c r="H1016" s="154" t="n">
        <x:f>IFERROR(G1016/D1016,"")</x:f>
        <x:v>0.30361637628619353</x:v>
      </x:c>
      <x:c r="I1016" s="159" t="n">
        <x:v>11851</x:v>
      </x:c>
      <x:c r="J1016" s="159" t="n">
        <x:v>79003</x:v>
      </x:c>
      <x:c r="K1016" s="159" t="n">
        <x:f>I1016-J1016</x:f>
        <x:v>-67152</x:v>
      </x:c>
      <x:c r="L1016" s="154" t="n">
        <x:f>IFERROR(K1016/D1016,"")</x:f>
        <x:v>-0.12699205165009106</x:v>
      </x:c>
    </x:row>
    <x:row r="1017">
      <x:c r="A1017" s="141" t="str">
        <x:v>Silver</x:v>
      </x:c>
      <x:c r="B1017" s="155" t="n">
        <x:v>45923</x:v>
      </x:c>
      <x:c r="C1017" s="155" t="n">
        <x:v>45926</x:v>
      </x:c>
      <x:c r="D1017" s="159" t="n">
        <x:v>165805</x:v>
      </x:c>
      <x:c r="E1017" s="159" t="n">
        <x:v>51225</x:v>
      </x:c>
      <x:c r="F1017" s="159" t="n">
        <x:v>14126</x:v>
      </x:c>
      <x:c r="G1017" s="159" t="n">
        <x:f>E1017-F1017</x:f>
        <x:v>37099</x:v>
      </x:c>
      <x:c r="H1017" s="154" t="n">
        <x:f>IFERROR(G1017/D1017,"")</x:f>
        <x:v>0.2237507915925334</x:v>
      </x:c>
      <x:c r="I1017" s="159" t="n">
        <x:v>4263</x:v>
      </x:c>
      <x:c r="J1017" s="159" t="n">
        <x:v>33086</x:v>
      </x:c>
      <x:c r="K1017" s="159" t="n">
        <x:f>I1017-J1017</x:f>
        <x:v>-28823</x:v>
      </x:c>
      <x:c r="L1017" s="154" t="n">
        <x:f>IFERROR(K1017/D1017,"")</x:f>
        <x:v>-0.17383673592473087</x:v>
      </x:c>
    </x:row>
    <x:row r="1018">
      <x:c r="A1018" s="141" t="str">
        <x:v>Gold</x:v>
      </x:c>
      <x:c r="B1018" s="155" t="n">
        <x:v>45930</x:v>
      </x:c>
      <x:c r="C1018" s="155" t="n">
        <x:v>45933</x:v>
      </x:c>
      <x:c r="D1018" s="159" t="n">
        <x:v>493748</x:v>
      </x:c>
      <x:c r="E1018" s="159" t="n">
        <x:v>184199</x:v>
      </x:c>
      <x:c r="F1018" s="159" t="n">
        <x:v>38972</x:v>
      </x:c>
      <x:c r="G1018" s="159" t="n">
        <x:f>E1018-F1018</x:f>
        <x:v>145227</x:v>
      </x:c>
      <x:c r="H1018" s="154" t="n">
        <x:f>IFERROR(G1018/D1018,"")</x:f>
        <x:v>0.2941318243314403</x:v>
      </x:c>
      <x:c r="I1018" s="159" t="n">
        <x:v>10432</x:v>
      </x:c>
      <x:c r="J1018" s="159" t="n">
        <x:v>75829</x:v>
      </x:c>
      <x:c r="K1018" s="159" t="n">
        <x:f>I1018-J1018</x:f>
        <x:v>-65397</x:v>
      </x:c>
      <x:c r="L1018" s="154" t="n">
        <x:f>IFERROR(K1018/D1018,"")</x:f>
        <x:v>-0.13245015676012864</x:v>
      </x:c>
    </x:row>
    <x:row r="1019">
      <x:c r="A1019" s="141" t="str">
        <x:v>Silver</x:v>
      </x:c>
      <x:c r="B1019" s="155" t="n">
        <x:v>45930</x:v>
      </x:c>
      <x:c r="C1019" s="155" t="n">
        <x:v>45933</x:v>
      </x:c>
      <x:c r="D1019" s="159" t="n">
        <x:v>163837</x:v>
      </x:c>
      <x:c r="E1019" s="159" t="n">
        <x:v>49827</x:v>
      </x:c>
      <x:c r="F1019" s="159" t="n">
        <x:v>14906</x:v>
      </x:c>
      <x:c r="G1019" s="159" t="n">
        <x:f>E1019-F1019</x:f>
        <x:v>34921</x:v>
      </x:c>
      <x:c r="H1019" s="154" t="n">
        <x:f>IFERROR(G1019/D1019,"")</x:f>
        <x:v>0.21314477193796272</x:v>
      </x:c>
      <x:c r="I1019" s="159" t="n">
        <x:v>4632</x:v>
      </x:c>
      <x:c r="J1019" s="159" t="n">
        <x:v>31455</x:v>
      </x:c>
      <x:c r="K1019" s="159" t="n">
        <x:f>I1019-J1019</x:f>
        <x:v>-26823</x:v>
      </x:c>
      <x:c r="L1019" s="154" t="n">
        <x:f>IFERROR(K1019/D1019,"")</x:f>
        <x:v>-0.16371759736811586</x:v>
      </x:c>
    </x:row>
    <x:row r="1020">
      <x:c r="A1020" s="141" t="str">
        <x:v>Gold</x:v>
      </x:c>
      <x:c r="B1020" s="155" t="n">
        <x:v>45937</x:v>
      </x:c>
      <x:c r="C1020" s="155" t="n">
        <x:v>45940</x:v>
      </x:c>
      <x:c r="D1020" s="159" t="n">
        <x:v>485559</x:v>
      </x:c>
      <x:c r="E1020" s="159" t="n">
        <x:v>170587</x:v>
      </x:c>
      <x:c r="F1020" s="159" t="n">
        <x:v>40828</x:v>
      </x:c>
      <x:c r="G1020" s="159" t="n">
        <x:f>E1020-F1020</x:f>
        <x:v>129759</x:v>
      </x:c>
      <x:c r="H1020" s="154" t="n">
        <x:f>IFERROR(G1020/D1020,"")</x:f>
        <x:v>0.2672363193762241</x:v>
      </x:c>
      <x:c r="I1020" s="159" t="n">
        <x:v>12169</x:v>
      </x:c>
      <x:c r="J1020" s="159" t="n">
        <x:v>77521</x:v>
      </x:c>
      <x:c r="K1020" s="159" t="n">
        <x:f>I1020-J1020</x:f>
        <x:v>-65352</x:v>
      </x:c>
      <x:c r="L1020" s="154" t="n">
        <x:f>IFERROR(K1020/D1020,"")</x:f>
        <x:v>-0.13459126491322373</x:v>
      </x:c>
    </x:row>
    <x:row r="1021">
      <x:c r="A1021" s="141" t="str">
        <x:v>Silver</x:v>
      </x:c>
      <x:c r="B1021" s="155" t="n">
        <x:v>45937</x:v>
      </x:c>
      <x:c r="C1021" s="155" t="n">
        <x:v>45940</x:v>
      </x:c>
      <x:c r="D1021" s="159" t="n">
        <x:v>166474</x:v>
      </x:c>
      <x:c r="E1021" s="159" t="n">
        <x:v>43186</x:v>
      </x:c>
      <x:c r="F1021" s="159" t="n">
        <x:v>15693</x:v>
      </x:c>
      <x:c r="G1021" s="159" t="n">
        <x:f>E1021-F1021</x:f>
        <x:v>27493</x:v>
      </x:c>
      <x:c r="H1021" s="154" t="n">
        <x:f>IFERROR(G1021/D1021,"")</x:f>
        <x:v>0.16514891214243665</x:v>
      </x:c>
      <x:c r="I1021" s="159" t="n">
        <x:v>7747</x:v>
      </x:c>
      <x:c r="J1021" s="159" t="n">
        <x:v>31785</x:v>
      </x:c>
      <x:c r="K1021" s="159" t="n">
        <x:f>I1021-J1021</x:f>
        <x:v>-24038</x:v>
      </x:c>
      <x:c r="L1021" s="154" t="n">
        <x:f>IFERROR(K1021/D1021,"")</x:f>
        <x:v>-0.14439492052813052</x:v>
      </x:c>
    </x:row>
    <x:row r="1022">
      <x:c r="A1022" s="141" t="str">
        <x:v>Gold</x:v>
      </x:c>
      <x:c r="B1022" s="155" t="n">
        <x:v>45944</x:v>
      </x:c>
      <x:c r="C1022" s="155" t="n">
        <x:v>45947</x:v>
      </x:c>
      <x:c r="D1022" s="159" t="n">
        <x:v>485788</x:v>
      </x:c>
      <x:c r="E1022" s="159" t="n">
        <x:v>152187</x:v>
      </x:c>
      <x:c r="F1022" s="159" t="n">
        <x:v>43877</x:v>
      </x:c>
      <x:c r="G1022" s="159" t="n">
        <x:f>E1022-F1022</x:f>
        <x:v>108310</x:v>
      </x:c>
      <x:c r="H1022" s="154" t="n">
        <x:f>IFERROR(G1022/D1022,"")</x:f>
        <x:v>0.22295733941554752</x:v>
      </x:c>
      <x:c r="I1022" s="159" t="n">
        <x:v>14094</x:v>
      </x:c>
      <x:c r="J1022" s="159" t="n">
        <x:v>75551</x:v>
      </x:c>
      <x:c r="K1022" s="159" t="n">
        <x:f>I1022-J1022</x:f>
        <x:v>-61457</x:v>
      </x:c>
      <x:c r="L1022" s="154" t="n">
        <x:f>IFERROR(K1022/D1022,"")</x:f>
        <x:v>-0.12650991790657654</x:v>
      </x:c>
    </x:row>
    <x:row r="1023">
      <x:c r="A1023" s="141" t="str">
        <x:v>Silver</x:v>
      </x:c>
      <x:c r="B1023" s="155" t="n">
        <x:v>45944</x:v>
      </x:c>
      <x:c r="C1023" s="155" t="n">
        <x:v>45947</x:v>
      </x:c>
      <x:c r="D1023" s="159" t="n">
        <x:v>172415</x:v>
      </x:c>
      <x:c r="E1023" s="159" t="n">
        <x:v>39304</x:v>
      </x:c>
      <x:c r="F1023" s="159" t="n">
        <x:v>16266</x:v>
      </x:c>
      <x:c r="G1023" s="159" t="n">
        <x:f>E1023-F1023</x:f>
        <x:v>23038</x:v>
      </x:c>
      <x:c r="H1023" s="154" t="n">
        <x:f>IFERROR(G1023/D1023,"")</x:f>
        <x:v>0.13361946466374736</x:v>
      </x:c>
      <x:c r="I1023" s="159" t="n">
        <x:v>5829</x:v>
      </x:c>
      <x:c r="J1023" s="159" t="n">
        <x:v>31842</x:v>
      </x:c>
      <x:c r="K1023" s="159" t="n">
        <x:f>I1023-J1023</x:f>
        <x:v>-26013</x:v>
      </x:c>
      <x:c r="L1023" s="154" t="n">
        <x:f>IFERROR(K1023/D1023,"")</x:f>
        <x:v>-0.15087434387959284</x:v>
      </x:c>
    </x:row>
    <x:row r="1024">
      <x:c r="A1024" s="141" t="str">
        <x:v>Gold</x:v>
      </x:c>
      <x:c r="B1024" s="155" t="n">
        <x:v>45951</x:v>
      </x:c>
      <x:c r="C1024" s="155" t="n">
        <x:v>45954</x:v>
      </x:c>
      <x:c r="D1024" s="159" t="n">
        <x:v>472421</x:v>
      </x:c>
      <x:c r="E1024" s="159" t="n">
        <x:v>135503</x:v>
      </x:c>
      <x:c r="F1024" s="159" t="n">
        <x:v>43276</x:v>
      </x:c>
      <x:c r="G1024" s="159" t="n">
        <x:f>E1024-F1024</x:f>
        <x:v>92227</x:v>
      </x:c>
      <x:c r="H1024" s="154" t="n">
        <x:f>IFERROR(G1024/D1024,"")</x:f>
        <x:v>0.19522205829122752</x:v>
      </x:c>
      <x:c r="I1024" s="159" t="n">
        <x:v>13924</x:v>
      </x:c>
      <x:c r="J1024" s="159" t="n">
        <x:v>71702</x:v>
      </x:c>
      <x:c r="K1024" s="159" t="n">
        <x:f>I1024-J1024</x:f>
        <x:v>-57778</x:v>
      </x:c>
      <x:c r="L1024" s="154" t="n">
        <x:f>IFERROR(K1024/D1024,"")</x:f>
        <x:v>-0.12230192984647169</x:v>
      </x:c>
    </x:row>
    <x:row r="1025">
      <x:c r="A1025" s="141" t="str">
        <x:v>Silver</x:v>
      </x:c>
      <x:c r="B1025" s="155" t="n">
        <x:v>45951</x:v>
      </x:c>
      <x:c r="C1025" s="155" t="n">
        <x:v>45954</x:v>
      </x:c>
      <x:c r="D1025" s="159" t="n">
        <x:v>169418</x:v>
      </x:c>
      <x:c r="E1025" s="159" t="n">
        <x:v>33198</x:v>
      </x:c>
      <x:c r="F1025" s="159" t="n">
        <x:v>15986</x:v>
      </x:c>
      <x:c r="G1025" s="159" t="n">
        <x:f>E1025-F1025</x:f>
        <x:v>17212</x:v>
      </x:c>
      <x:c r="H1025" s="154" t="n">
        <x:f>IFERROR(G1025/D1025,"")</x:f>
        <x:v>0.10159487185541087</x:v>
      </x:c>
      <x:c r="I1025" s="159" t="n">
        <x:v>6979</x:v>
      </x:c>
      <x:c r="J1025" s="159" t="n">
        <x:v>30469</x:v>
      </x:c>
      <x:c r="K1025" s="159" t="n">
        <x:f>I1025-J1025</x:f>
        <x:v>-23490</x:v>
      </x:c>
      <x:c r="L1025" s="154" t="n">
        <x:f>IFERROR(K1025/D1025,"")</x:f>
        <x:v>-0.13865114686751112</x:v>
      </x:c>
    </x:row>
    <x:row r="1026">
      <x:c r="A1026" s="141" t="str">
        <x:v>Gold</x:v>
      </x:c>
      <x:c r="B1026" s="155" t="n">
        <x:v>45958</x:v>
      </x:c>
      <x:c r="C1026" s="155" t="n">
        <x:v>45961</x:v>
      </x:c>
      <x:c r="D1026" s="159" t="n">
        <x:v>457122</x:v>
      </x:c>
      <x:c r="E1026" s="159" t="n">
        <x:v>138605</x:v>
      </x:c>
      <x:c r="F1026" s="159" t="n">
        <x:v>34446</x:v>
      </x:c>
      <x:c r="G1026" s="159" t="n">
        <x:f>E1026-F1026</x:f>
        <x:v>104159</x:v>
      </x:c>
      <x:c r="H1026" s="154" t="n">
        <x:f>IFERROR(G1026/D1026,"")</x:f>
        <x:v>0.22785820853076422</x:v>
      </x:c>
      <x:c r="I1026" s="159" t="n">
        <x:v>12403</x:v>
      </x:c>
      <x:c r="J1026" s="159" t="n">
        <x:v>70597</x:v>
      </x:c>
      <x:c r="K1026" s="159" t="n">
        <x:f>I1026-J1026</x:f>
        <x:v>-58194</x:v>
      </x:c>
      <x:c r="L1026" s="154" t="n">
        <x:f>IFERROR(K1026/D1026,"")</x:f>
        <x:v>-0.12730518329898802</x:v>
      </x:c>
    </x:row>
    <x:row r="1027">
      <x:c r="A1027" s="141" t="str">
        <x:v>Silver</x:v>
      </x:c>
      <x:c r="B1027" s="155" t="n">
        <x:v>45958</x:v>
      </x:c>
      <x:c r="C1027" s="155" t="n">
        <x:v>45961</x:v>
      </x:c>
      <x:c r="D1027" s="159" t="n">
        <x:v>158187</x:v>
      </x:c>
      <x:c r="E1027" s="159" t="n">
        <x:v>34227</x:v>
      </x:c>
      <x:c r="F1027" s="159" t="n">
        <x:v>12328</x:v>
      </x:c>
      <x:c r="G1027" s="159" t="n">
        <x:f>E1027-F1027</x:f>
        <x:v>21899</x:v>
      </x:c>
      <x:c r="H1027" s="154" t="n">
        <x:f>IFERROR(G1027/D1027,"")</x:f>
        <x:v>0.1384374190040901</x:v>
      </x:c>
      <x:c r="I1027" s="159" t="n">
        <x:v>6258</x:v>
      </x:c>
      <x:c r="J1027" s="159" t="n">
        <x:v>29778</x:v>
      </x:c>
      <x:c r="K1027" s="159" t="n">
        <x:f>I1027-J1027</x:f>
        <x:v>-23520</x:v>
      </x:c>
      <x:c r="L1027" s="154" t="n">
        <x:f>IFERROR(K1027/D1027,"")</x:f>
        <x:v>-0.14868478446395722</x:v>
      </x:c>
    </x:row>
    <x:row r="1028">
      <x:c r="A1028" s="141" t="str">
        <x:v>Gold</x:v>
      </x:c>
      <x:c r="B1028" s="155" t="n">
        <x:v>45965</x:v>
      </x:c>
      <x:c r="C1028" s="155" t="n">
        <x:v>45968</x:v>
      </x:c>
      <x:c r="D1028" s="159" t="n">
        <x:v>450399</x:v>
      </x:c>
      <x:c r="E1028" s="159" t="n">
        <x:v>130688</x:v>
      </x:c>
      <x:c r="F1028" s="159" t="n">
        <x:v>30143</x:v>
      </x:c>
      <x:c r="G1028" s="159" t="n">
        <x:f>E1028-F1028</x:f>
        <x:v>100545</x:v>
      </x:c>
      <x:c r="H1028" s="154" t="n">
        <x:f>IFERROR(G1028/D1028,"")</x:f>
        <x:v>0.22323539794715352</x:v>
      </x:c>
      <x:c r="I1028" s="159" t="n">
        <x:v>9805</x:v>
      </x:c>
      <x:c r="J1028" s="159" t="n">
        <x:v>69256</x:v>
      </x:c>
      <x:c r="K1028" s="159" t="n">
        <x:f>I1028-J1028</x:f>
        <x:v>-59451</x:v>
      </x:c>
      <x:c r="L1028" s="154" t="n">
        <x:f>IFERROR(K1028/D1028,"")</x:f>
        <x:v>-0.1319962966169996</x:v>
      </x:c>
    </x:row>
    <x:row r="1029">
      <x:c r="A1029" s="141" t="str">
        <x:v>Silver</x:v>
      </x:c>
      <x:c r="B1029" s="155" t="n">
        <x:v>45965</x:v>
      </x:c>
      <x:c r="C1029" s="155" t="n">
        <x:v>45968</x:v>
      </x:c>
      <x:c r="D1029" s="159" t="n">
        <x:v>155257</x:v>
      </x:c>
      <x:c r="E1029" s="159" t="n">
        <x:v>33478</x:v>
      </x:c>
      <x:c r="F1029" s="159" t="n">
        <x:v>14321</x:v>
      </x:c>
      <x:c r="G1029" s="159" t="n">
        <x:f>E1029-F1029</x:f>
        <x:v>19157</x:v>
      </x:c>
      <x:c r="H1029" s="154" t="n">
        <x:f>IFERROR(G1029/D1029,"")</x:f>
        <x:v>0.12338896152830468</x:v>
      </x:c>
      <x:c r="I1029" s="159" t="n">
        <x:v>6639</x:v>
      </x:c>
      <x:c r="J1029" s="159" t="n">
        <x:v>29246</x:v>
      </x:c>
      <x:c r="K1029" s="159" t="n">
        <x:f>I1029-J1029</x:f>
        <x:v>-22607</x:v>
      </x:c>
      <x:c r="L1029" s="154" t="n">
        <x:f>IFERROR(K1029/D1029,"")</x:f>
        <x:v>-0.14561018182755045</x:v>
      </x:c>
    </x:row>
    <x:row r="1030">
      <x:c r="A1030" s="141" t="str">
        <x:v>Gold</x:v>
      </x:c>
      <x:c r="B1030" s="155" t="n">
        <x:v>45971</x:v>
      </x:c>
      <x:c r="C1030" s="155" t="n">
        <x:v>45974</x:v>
      </x:c>
      <x:c r="D1030" s="159" t="n">
        <x:v>459997</x:v>
      </x:c>
      <x:c r="E1030" s="159" t="n">
        <x:v>134155</x:v>
      </x:c>
      <x:c r="F1030" s="159" t="n">
        <x:v>30068</x:v>
      </x:c>
      <x:c r="G1030" s="159" t="n">
        <x:f>E1030-F1030</x:f>
        <x:v>104087</x:v>
      </x:c>
      <x:c r="H1030" s="154" t="n">
        <x:f>IFERROR(G1030/D1030,"")</x:f>
        <x:v>0.2262775626797566</x:v>
      </x:c>
      <x:c r="I1030" s="159" t="n">
        <x:v>9875</x:v>
      </x:c>
      <x:c r="J1030" s="159" t="n">
        <x:v>68621</x:v>
      </x:c>
      <x:c r="K1030" s="159" t="n">
        <x:f>I1030-J1030</x:f>
        <x:v>-58746</x:v>
      </x:c>
      <x:c r="L1030" s="154" t="n">
        <x:f>IFERROR(K1030/D1030,"")</x:f>
        <x:v>-0.12770952854040352</x:v>
      </x:c>
    </x:row>
    <x:row r="1031">
      <x:c r="A1031" s="141" t="str">
        <x:v>Silver</x:v>
      </x:c>
      <x:c r="B1031" s="155" t="n">
        <x:v>45971</x:v>
      </x:c>
      <x:c r="C1031" s="155" t="n">
        <x:v>45974</x:v>
      </x:c>
      <x:c r="D1031" s="159" t="n">
        <x:v>159649</x:v>
      </x:c>
      <x:c r="E1031" s="159" t="n">
        <x:v>35613</x:v>
      </x:c>
      <x:c r="F1031" s="159" t="n">
        <x:v>12958</x:v>
      </x:c>
      <x:c r="G1031" s="159" t="n">
        <x:f>E1031-F1031</x:f>
        <x:v>22655</x:v>
      </x:c>
      <x:c r="H1031" s="154" t="n">
        <x:f>IFERROR(G1031/D1031,"")</x:f>
        <x:v>0.14190505421267907</x:v>
      </x:c>
      <x:c r="I1031" s="159" t="n">
        <x:v>7790</x:v>
      </x:c>
      <x:c r="J1031" s="159" t="n">
        <x:v>30915</x:v>
      </x:c>
      <x:c r="K1031" s="159" t="n">
        <x:f>I1031-J1031</x:f>
        <x:v>-23125</x:v>
      </x:c>
      <x:c r="L1031" s="154" t="n">
        <x:f>IFERROR(K1031/D1031,"")</x:f>
        <x:v>-0.14484901252121843</x:v>
      </x:c>
    </x:row>
    <x:row r="1032">
      <x:c r="A1032" s="141" t="str">
        <x:v>Gold</x:v>
      </x:c>
      <x:c r="B1032" s="155" t="n">
        <x:v>45979</x:v>
      </x:c>
      <x:c r="C1032" s="155" t="n">
        <x:v>45982</x:v>
      </x:c>
      <x:c r="D1032" s="159" t="n">
        <x:v>471953</x:v>
      </x:c>
      <x:c r="E1032" s="159" t="n">
        <x:v>130222</x:v>
      </x:c>
      <x:c r="F1032" s="159" t="n">
        <x:v>32017</x:v>
      </x:c>
      <x:c r="G1032" s="159" t="n">
        <x:f>E1032-F1032</x:f>
        <x:v>98205</x:v>
      </x:c>
      <x:c r="H1032" s="154" t="n">
        <x:f>IFERROR(G1032/D1032,"")</x:f>
        <x:v>0.20808216072363137</x:v>
      </x:c>
      <x:c r="I1032" s="159" t="n">
        <x:v>10061</x:v>
      </x:c>
      <x:c r="J1032" s="159" t="n">
        <x:v>68958</x:v>
      </x:c>
      <x:c r="K1032" s="159" t="n">
        <x:f>I1032-J1032</x:f>
        <x:v>-58897</x:v>
      </x:c>
      <x:c r="L1032" s="154" t="n">
        <x:f>IFERROR(K1032/D1032,"")</x:f>
        <x:v>-0.12479420620273629</x:v>
      </x:c>
    </x:row>
    <x:row r="1033">
      <x:c r="A1033" s="141" t="str">
        <x:v>Silver</x:v>
      </x:c>
      <x:c r="B1033" s="155" t="n">
        <x:v>45979</x:v>
      </x:c>
      <x:c r="C1033" s="155" t="n">
        <x:v>45982</x:v>
      </x:c>
      <x:c r="D1033" s="159" t="n">
        <x:v>153295</x:v>
      </x:c>
      <x:c r="E1033" s="159" t="n">
        <x:v>33544</x:v>
      </x:c>
      <x:c r="F1033" s="159" t="n">
        <x:v>13310</x:v>
      </x:c>
      <x:c r="G1033" s="159" t="n">
        <x:f>E1033-F1033</x:f>
        <x:v>20234</x:v>
      </x:c>
      <x:c r="H1033" s="154" t="n">
        <x:f>IFERROR(G1033/D1033,"")</x:f>
        <x:v>0.13199386803222546</x:v>
      </x:c>
      <x:c r="I1033" s="159" t="n">
        <x:v>7596</x:v>
      </x:c>
      <x:c r="J1033" s="159" t="n">
        <x:v>31148</x:v>
      </x:c>
      <x:c r="K1033" s="159" t="n">
        <x:f>I1033-J1033</x:f>
        <x:v>-23552</x:v>
      </x:c>
      <x:c r="L1033" s="154" t="n">
        <x:f>IFERROR(K1033/D1033,"")</x:f>
        <x:v>-0.1536384096024006</x:v>
      </x:c>
    </x:row>
    <x:row r="1034">
      <x:c r="A1034" s="141" t="str">
        <x:v>Gold</x:v>
      </x:c>
      <x:c r="B1034" s="155" t="n">
        <x:v>45986</x:v>
      </x:c>
      <x:c r="C1034" s="155" t="n">
        <x:v>45989</x:v>
      </x:c>
      <x:c r="D1034" s="159" t="n">
        <x:v>432946</x:v>
      </x:c>
      <x:c r="E1034" s="159" t="n">
        <x:v>136979</x:v>
      </x:c>
      <x:c r="F1034" s="159" t="n">
        <x:v>27670</x:v>
      </x:c>
      <x:c r="G1034" s="159" t="n">
        <x:f>E1034-F1034</x:f>
        <x:v>109309</x:v>
      </x:c>
      <x:c r="H1034" s="154" t="n">
        <x:f>IFERROR(G1034/D1034,"")</x:f>
        <x:v>0.25247721424842823</x:v>
      </x:c>
      <x:c r="I1034" s="159" t="n">
        <x:v>9950</x:v>
      </x:c>
      <x:c r="J1034" s="159" t="n">
        <x:v>56642</x:v>
      </x:c>
      <x:c r="K1034" s="159" t="n">
        <x:f>I1034-J1034</x:f>
        <x:v>-46692</x:v>
      </x:c>
      <x:c r="L1034" s="154" t="n">
        <x:f>IFERROR(K1034/D1034,"")</x:f>
        <x:v>-0.10784716800709557</x:v>
      </x:c>
    </x:row>
    <x:row r="1035">
      <x:c r="A1035" s="141" t="str">
        <x:v>Silver</x:v>
      </x:c>
      <x:c r="B1035" s="155" t="n">
        <x:v>45986</x:v>
      </x:c>
      <x:c r="C1035" s="155" t="n">
        <x:v>45989</x:v>
      </x:c>
      <x:c r="D1035" s="159" t="n">
        <x:v>144541</x:v>
      </x:c>
      <x:c r="E1035" s="159" t="n">
        <x:v>32630</x:v>
      </x:c>
      <x:c r="F1035" s="159" t="n">
        <x:v>13569</x:v>
      </x:c>
      <x:c r="G1035" s="159" t="n">
        <x:f>E1035-F1035</x:f>
        <x:v>19061</x:v>
      </x:c>
      <x:c r="H1035" s="154" t="n">
        <x:f>IFERROR(G1035/D1035,"")</x:f>
        <x:v>0.13187261745802228</x:v>
      </x:c>
      <x:c r="I1035" s="159" t="n">
        <x:v>5209</x:v>
      </x:c>
      <x:c r="J1035" s="159" t="n">
        <x:v>29402</x:v>
      </x:c>
      <x:c r="K1035" s="159" t="n">
        <x:f>I1035-J1035</x:f>
        <x:v>-24193</x:v>
      </x:c>
      <x:c r="L1035" s="154" t="n">
        <x:f>IFERROR(K1035/D1035,"")</x:f>
        <x:v>-0.16737811416829826</x:v>
      </x:c>
    </x:row>
    <x:row r="1036">
      <x:c r="A1036" s="141" t="str">
        <x:v>Gold</x:v>
      </x:c>
      <x:c r="B1036" s="155" t="n">
        <x:v>45993</x:v>
      </x:c>
      <x:c r="C1036" s="155" t="n">
        <x:v>45996</x:v>
      </x:c>
      <x:c r="D1036" s="159" t="n">
        <x:v>418490</x:v>
      </x:c>
      <x:c r="E1036" s="159" t="n">
        <x:v>140143</x:v>
      </x:c>
      <x:c r="F1036" s="159" t="n">
        <x:v>19819</x:v>
      </x:c>
      <x:c r="G1036" s="159" t="n">
        <x:f>E1036-F1036</x:f>
        <x:v>120324</x:v>
      </x:c>
      <x:c r="H1036" s="154" t="n">
        <x:f>IFERROR(G1036/D1036,"")</x:f>
        <x:v>0.2875194150397859</x:v>
      </x:c>
      <x:c r="I1036" s="159" t="n">
        <x:v>10094</x:v>
      </x:c>
      <x:c r="J1036" s="159" t="n">
        <x:v>58801</x:v>
      </x:c>
      <x:c r="K1036" s="159" t="n">
        <x:f>I1036-J1036</x:f>
        <x:v>-48707</x:v>
      </x:c>
      <x:c r="L1036" s="154" t="n">
        <x:f>IFERROR(K1036/D1036,"")</x:f>
        <x:v>-0.11638748835097613</x:v>
      </x:c>
    </x:row>
    <x:row r="1037">
      <x:c r="A1037" s="141" t="str">
        <x:v>Silver</x:v>
      </x:c>
      <x:c r="B1037" s="155" t="n">
        <x:v>45993</x:v>
      </x:c>
      <x:c r="C1037" s="155" t="n">
        <x:v>45996</x:v>
      </x:c>
      <x:c r="D1037" s="159" t="n">
        <x:v>150832</x:v>
      </x:c>
      <x:c r="E1037" s="159" t="n">
        <x:v>34765</x:v>
      </x:c>
      <x:c r="F1037" s="159" t="n">
        <x:v>15791</x:v>
      </x:c>
      <x:c r="G1037" s="159" t="n">
        <x:f>E1037-F1037</x:f>
        <x:v>18974</x:v>
      </x:c>
      <x:c r="H1037" s="154" t="n">
        <x:f>IFERROR(G1037/D1037,"")</x:f>
        <x:v>0.12579558714331177</x:v>
      </x:c>
      <x:c r="I1037" s="159" t="n">
        <x:v>3990</x:v>
      </x:c>
      <x:c r="J1037" s="159" t="n">
        <x:v>30729</x:v>
      </x:c>
      <x:c r="K1037" s="159" t="n">
        <x:f>I1037-J1037</x:f>
        <x:v>-26739</x:v>
      </x:c>
      <x:c r="L1037" s="154" t="n">
        <x:f>IFERROR(K1037/D1037,"")</x:f>
        <x:v>-0.17727670520844382</x:v>
      </x:c>
    </x:row>
    <x:row r="1038">
      <x:c r="A1038" s="141" t="str">
        <x:v>Gold</x:v>
      </x:c>
      <x:c r="B1038" s="155" t="n">
        <x:v>46000</x:v>
      </x:c>
      <x:c r="C1038" s="155" t="n">
        <x:v>46003</x:v>
      </x:c>
      <x:c r="D1038" s="159" t="n">
        <x:v>432569</x:v>
      </x:c>
      <x:c r="E1038" s="159" t="n">
        <x:v>143383</x:v>
      </x:c>
      <x:c r="F1038" s="159" t="n">
        <x:v>19835</x:v>
      </x:c>
      <x:c r="G1038" s="159" t="n">
        <x:f>E1038-F1038</x:f>
        <x:v>123548</x:v>
      </x:c>
      <x:c r="H1038" s="154" t="n">
        <x:f>IFERROR(G1038/D1038,"")</x:f>
        <x:v>0.2856145493551318</x:v>
      </x:c>
      <x:c r="I1038" s="159" t="n">
        <x:v>10463</x:v>
      </x:c>
      <x:c r="J1038" s="159" t="n">
        <x:v>59856</x:v>
      </x:c>
      <x:c r="K1038" s="159" t="n">
        <x:f>I1038-J1038</x:f>
        <x:v>-49393</x:v>
      </x:c>
      <x:c r="L1038" s="154" t="n">
        <x:f>IFERROR(K1038/D1038,"")</x:f>
        <x:v>-0.11418525137030161</x:v>
      </x:c>
    </x:row>
    <x:row r="1039">
      <x:c r="A1039" s="141" t="str">
        <x:v>Silver</x:v>
      </x:c>
      <x:c r="B1039" s="155" t="n">
        <x:v>46000</x:v>
      </x:c>
      <x:c r="C1039" s="155" t="n">
        <x:v>46003</x:v>
      </x:c>
      <x:c r="D1039" s="159" t="n">
        <x:v>154762</x:v>
      </x:c>
      <x:c r="E1039" s="159" t="n">
        <x:v>39798</x:v>
      </x:c>
      <x:c r="F1039" s="159" t="n">
        <x:v>14023</x:v>
      </x:c>
      <x:c r="G1039" s="159" t="n">
        <x:f>E1039-F1039</x:f>
        <x:v>25775</x:v>
      </x:c>
      <x:c r="H1039" s="154" t="n">
        <x:f>IFERROR(G1039/D1039,"")</x:f>
        <x:v>0.1665460513562761</x:v>
      </x:c>
      <x:c r="I1039" s="159" t="n">
        <x:v>3756</x:v>
      </x:c>
      <x:c r="J1039" s="159" t="n">
        <x:v>32593</x:v>
      </x:c>
      <x:c r="K1039" s="159" t="n">
        <x:f>I1039-J1039</x:f>
        <x:v>-28837</x:v>
      </x:c>
      <x:c r="L1039" s="154" t="n">
        <x:f>IFERROR(K1039/D1039,"")</x:f>
        <x:v>-0.18633126994998772</x:v>
      </x:c>
    </x:row>
    <x:row r="1040">
      <x:c r="A1040" s="141" t="str">
        <x:v>Gold</x:v>
      </x:c>
      <x:c r="B1040" s="155" t="n">
        <x:v>46007</x:v>
      </x:c>
      <x:c r="C1040" s="155" t="n">
        <x:v>46010</x:v>
      </x:c>
      <x:c r="D1040" s="159" t="n">
        <x:v>471093</x:v>
      </x:c>
      <x:c r="E1040" s="159" t="n">
        <x:v>152873</x:v>
      </x:c>
      <x:c r="F1040" s="159" t="n">
        <x:v>20277</x:v>
      </x:c>
      <x:c r="G1040" s="159" t="n">
        <x:f>E1040-F1040</x:f>
        <x:v>132596</x:v>
      </x:c>
      <x:c r="H1040" s="154" t="n">
        <x:f>IFERROR(G1040/D1040,"")</x:f>
        <x:v>0.28146459403981805</x:v>
      </x:c>
      <x:c r="I1040" s="159" t="n">
        <x:v>16057</x:v>
      </x:c>
      <x:c r="J1040" s="159" t="n">
        <x:v>60306</x:v>
      </x:c>
      <x:c r="K1040" s="159" t="n">
        <x:f>I1040-J1040</x:f>
        <x:v>-44249</x:v>
      </x:c>
      <x:c r="L1040" s="154" t="n">
        <x:f>IFERROR(K1040/D1040,"")</x:f>
        <x:v>-0.09392837507668338</x:v>
      </x:c>
    </x:row>
    <x:row r="1041">
      <x:c r="A1041" s="141" t="str">
        <x:v>Silver</x:v>
      </x:c>
      <x:c r="B1041" s="155" t="n">
        <x:v>46007</x:v>
      </x:c>
      <x:c r="C1041" s="155" t="n">
        <x:v>46010</x:v>
      </x:c>
      <x:c r="D1041" s="159" t="n">
        <x:v>152921</x:v>
      </x:c>
      <x:c r="E1041" s="159" t="n">
        <x:v>36424</x:v>
      </x:c>
      <x:c r="F1041" s="159" t="n">
        <x:v>14537</x:v>
      </x:c>
      <x:c r="G1041" s="159" t="n">
        <x:f>E1041-F1041</x:f>
        <x:v>21887</x:v>
      </x:c>
      <x:c r="H1041" s="154" t="n">
        <x:f>IFERROR(G1041/D1041,"")</x:f>
        <x:v>0.14312618933959365</x:v>
      </x:c>
      <x:c r="I1041" s="159" t="n">
        <x:v>5246</x:v>
      </x:c>
      <x:c r="J1041" s="159" t="n">
        <x:v>30619</x:v>
      </x:c>
      <x:c r="K1041" s="159" t="n">
        <x:f>I1041-J1041</x:f>
        <x:v>-25373</x:v>
      </x:c>
      <x:c r="L1041" s="154" t="n">
        <x:f>IFERROR(K1041/D1041,"")</x:f>
        <x:v>-0.16592227359224698</x:v>
      </x:c>
    </x:row>
    <x:row r="1042">
      <x:c r="A1042" s="141" t="str">
        <x:v>Gold</x:v>
      </x:c>
      <x:c r="B1042" s="155" t="n">
        <x:v>46014</x:v>
      </x:c>
      <x:c r="C1042" s="155" t="n">
        <x:v>46017</x:v>
      </x:c>
      <x:c r="D1042" s="159" t="n">
        <x:v>492103</x:v>
      </x:c>
      <x:c r="E1042" s="159" t="n">
        <x:v>160581</x:v>
      </x:c>
      <x:c r="F1042" s="159" t="n">
        <x:v>24311</x:v>
      </x:c>
      <x:c r="G1042" s="159" t="n">
        <x:f>E1042-F1042</x:f>
        <x:v>136270</x:v>
      </x:c>
      <x:c r="H1042" s="154" t="n">
        <x:f>IFERROR(G1042/D1042,"")</x:f>
        <x:v>0.27691357297151203</x:v>
      </x:c>
      <x:c r="I1042" s="159" t="n">
        <x:v>17158</x:v>
      </x:c>
      <x:c r="J1042" s="159" t="n">
        <x:v>68442</x:v>
      </x:c>
      <x:c r="K1042" s="159" t="n">
        <x:f>I1042-J1042</x:f>
        <x:v>-51284</x:v>
      </x:c>
      <x:c r="L1042" s="154" t="n">
        <x:f>IFERROR(K1042/D1042,"")</x:f>
        <x:v>-0.10421395520856407</x:v>
      </x:c>
    </x:row>
    <x:row r="1043">
      <x:c r="A1043" s="141" t="str">
        <x:v>Silver</x:v>
      </x:c>
      <x:c r="B1043" s="155" t="n">
        <x:v>46014</x:v>
      </x:c>
      <x:c r="C1043" s="155" t="n">
        <x:v>46017</x:v>
      </x:c>
      <x:c r="D1043" s="159" t="n">
        <x:v>155710</x:v>
      </x:c>
      <x:c r="E1043" s="159" t="n">
        <x:v>35026</x:v>
      </x:c>
      <x:c r="F1043" s="159" t="n">
        <x:v>13418</x:v>
      </x:c>
      <x:c r="G1043" s="159" t="n">
        <x:f>E1043-F1043</x:f>
        <x:v>21608</x:v>
      </x:c>
      <x:c r="H1043" s="154" t="n">
        <x:f>IFERROR(G1043/D1043,"")</x:f>
        <x:v>0.1387707918566566</x:v>
      </x:c>
      <x:c r="I1043" s="159" t="n">
        <x:v>5833</x:v>
      </x:c>
      <x:c r="J1043" s="159" t="n">
        <x:v>30062</x:v>
      </x:c>
      <x:c r="K1043" s="159" t="n">
        <x:f>I1043-J1043</x:f>
        <x:v>-24229</x:v>
      </x:c>
      <x:c r="L1043" s="154" t="n">
        <x:f>IFERROR(K1043/D1043,"")</x:f>
        <x:v>-0.15560336523023569</x:v>
      </x:c>
    </x:row>
    <x:row r="1044">
      <x:c r="A1044" s="141" t="str">
        <x:v>Gold</x:v>
      </x:c>
      <x:c r="B1044" s="155" t="n">
        <x:v>46021</x:v>
      </x:c>
      <x:c r="C1044" s="155" t="n">
        <x:v>46024</x:v>
      </x:c>
      <x:c r="D1044" s="159" t="n">
        <x:v>481866</x:v>
      </x:c>
      <x:c r="E1044" s="159" t="n">
        <x:v>148642</x:v>
      </x:c>
      <x:c r="F1044" s="159" t="n">
        <x:v>22602</x:v>
      </x:c>
      <x:c r="G1044" s="159" t="n">
        <x:f>E1044-F1044</x:f>
        <x:v>126040</x:v>
      </x:c>
      <x:c r="H1044" s="154" t="n">
        <x:f>IFERROR(G1044/D1044,"")</x:f>
        <x:v>0.2615664935895041</x:v>
      </x:c>
      <x:c r="I1044" s="159" t="n">
        <x:v>12958</x:v>
      </x:c>
      <x:c r="J1044" s="159" t="n">
        <x:v>67439</x:v>
      </x:c>
      <x:c r="K1044" s="159" t="n">
        <x:f>I1044-J1044</x:f>
        <x:v>-54481</x:v>
      </x:c>
      <x:c r="L1044" s="154" t="n">
        <x:f>IFERROR(K1044/D1044,"")</x:f>
        <x:v>-0.1130625526598681</x:v>
      </x:c>
    </x:row>
    <x:row r="1045">
      <x:c r="A1045" s="141" t="str">
        <x:v>Silver</x:v>
      </x:c>
      <x:c r="B1045" s="155" t="n">
        <x:v>46021</x:v>
      </x:c>
      <x:c r="C1045" s="155" t="n">
        <x:v>46024</x:v>
      </x:c>
      <x:c r="D1045" s="159" t="n">
        <x:v>157391</x:v>
      </x:c>
      <x:c r="E1045" s="159" t="n">
        <x:v>29100</x:v>
      </x:c>
      <x:c r="F1045" s="159" t="n">
        <x:v>15092</x:v>
      </x:c>
      <x:c r="G1045" s="159" t="n">
        <x:f>E1045-F1045</x:f>
        <x:v>14008</x:v>
      </x:c>
      <x:c r="H1045" s="154" t="n">
        <x:f>IFERROR(G1045/D1045,"")</x:f>
        <x:v>0.08900127707429269</x:v>
      </x:c>
      <x:c r="I1045" s="159" t="n">
        <x:v>4680</x:v>
      </x:c>
      <x:c r="J1045" s="159" t="n">
        <x:v>30754</x:v>
      </x:c>
      <x:c r="K1045" s="159" t="n">
        <x:f>I1045-J1045</x:f>
        <x:v>-26074</x:v>
      </x:c>
      <x:c r="L1045" s="154" t="n">
        <x:f>IFERROR(K1045/D1045,"")</x:f>
        <x:v>-0.16566385625607563</x:v>
      </x:c>
    </x:row>
    <x:row r="1046">
      <x:c r="A1046" s="141" t="str">
        <x:v>Gold</x:v>
      </x:c>
      <x:c r="B1046" s="155" t="n">
        <x:v>46028</x:v>
      </x:c>
      <x:c r="C1046" s="155" t="n">
        <x:v>46031</x:v>
      </x:c>
      <x:c r="D1046" s="159" t="n">
        <x:v>488116</x:v>
      </x:c>
      <x:c r="E1046" s="159" t="n">
        <x:v>146445</x:v>
      </x:c>
      <x:c r="F1046" s="159" t="n">
        <x:v>23232</x:v>
      </x:c>
      <x:c r="G1046" s="159" t="n">
        <x:f>E1046-F1046</x:f>
        <x:v>123213</x:v>
      </x:c>
      <x:c r="H1046" s="154" t="n">
        <x:f>IFERROR(G1046/D1046,"")</x:f>
        <x:v>0.25242565291856855</x:v>
      </x:c>
      <x:c r="I1046" s="159" t="n">
        <x:v>13454</x:v>
      </x:c>
      <x:c r="J1046" s="159" t="n">
        <x:v>63996</x:v>
      </x:c>
      <x:c r="K1046" s="159" t="n">
        <x:f>I1046-J1046</x:f>
        <x:v>-50542</x:v>
      </x:c>
      <x:c r="L1046" s="154" t="n">
        <x:f>IFERROR(K1046/D1046,"")</x:f>
        <x:v>-0.10354505896139442</x:v>
      </x:c>
    </x:row>
    <x:row r="1047">
      <x:c r="A1047" s="141" t="str">
        <x:v>Silver</x:v>
      </x:c>
      <x:c r="B1047" s="155" t="n">
        <x:v>46028</x:v>
      </x:c>
      <x:c r="C1047" s="155" t="n">
        <x:v>46031</x:v>
      </x:c>
      <x:c r="D1047" s="159" t="n">
        <x:v>153240</x:v>
      </x:c>
      <x:c r="E1047" s="159" t="n">
        <x:v>26978</x:v>
      </x:c>
      <x:c r="F1047" s="159" t="n">
        <x:v>11156</x:v>
      </x:c>
      <x:c r="G1047" s="159" t="n">
        <x:f>E1047-F1047</x:f>
        <x:v>15822</x:v>
      </x:c>
      <x:c r="H1047" s="154" t="n">
        <x:f>IFERROR(G1047/D1047,"")</x:f>
        <x:v>0.10324980422866092</x:v>
      </x:c>
      <x:c r="I1047" s="159" t="n">
        <x:v>5147</x:v>
      </x:c>
      <x:c r="J1047" s="159" t="n">
        <x:v>30692</x:v>
      </x:c>
      <x:c r="K1047" s="159" t="n">
        <x:f>I1047-J1047</x:f>
        <x:v>-25545</x:v>
      </x:c>
      <x:c r="L1047" s="154" t="n">
        <x:f>IFERROR(K1047/D1047,"")</x:f>
        <x:v>-0.16669929522317933</x:v>
      </x:c>
    </x:row>
    <x:row r="1048">
      <x:c r="A1048" s="141" t="str">
        <x:v>Gold</x:v>
      </x:c>
      <x:c r="B1048" s="155" t="n">
        <x:v>46035</x:v>
      </x:c>
      <x:c r="C1048" s="155" t="n">
        <x:v>46038</x:v>
      </x:c>
      <x:c r="D1048" s="159" t="n">
        <x:v>527455</x:v>
      </x:c>
      <x:c r="E1048" s="159" t="n">
        <x:v>158825</x:v>
      </x:c>
      <x:c r="F1048" s="159" t="n">
        <x:v>24080</x:v>
      </x:c>
      <x:c r="G1048" s="159" t="n">
        <x:f>E1048-F1048</x:f>
        <x:v>134745</x:v>
      </x:c>
      <x:c r="H1048" s="154" t="n">
        <x:f>IFERROR(G1048/D1048,"")</x:f>
        <x:v>0.2554625513076945</x:v>
      </x:c>
      <x:c r="I1048" s="159" t="n">
        <x:v>13998</x:v>
      </x:c>
      <x:c r="J1048" s="159" t="n">
        <x:v>65163</x:v>
      </x:c>
      <x:c r="K1048" s="159" t="n">
        <x:f>I1048-J1048</x:f>
        <x:v>-51165</x:v>
      </x:c>
      <x:c r="L1048" s="154" t="n">
        <x:f>IFERROR(K1048/D1048,"")</x:f>
        <x:v>-0.09700353584665991</x:v>
      </x:c>
    </x:row>
    <x:row r="1049">
      <x:c r="A1049" s="141" t="str">
        <x:v>Silver</x:v>
      </x:c>
      <x:c r="B1049" s="155" t="n">
        <x:v>46035</x:v>
      </x:c>
      <x:c r="C1049" s="155" t="n">
        <x:v>46038</x:v>
      </x:c>
      <x:c r="D1049" s="159" t="n">
        <x:v>151513</x:v>
      </x:c>
      <x:c r="E1049" s="159" t="n">
        <x:v>22800</x:v>
      </x:c>
      <x:c r="F1049" s="159" t="n">
        <x:v>9008</x:v>
      </x:c>
      <x:c r="G1049" s="159" t="n">
        <x:f>E1049-F1049</x:f>
        <x:v>13792</x:v>
      </x:c>
      <x:c r="H1049" s="154" t="n">
        <x:f>IFERROR(G1049/D1049,"")</x:f>
        <x:v>0.09102849260459499</x:v>
      </x:c>
      <x:c r="I1049" s="159" t="n">
        <x:v>2910</x:v>
      </x:c>
      <x:c r="J1049" s="159" t="n">
        <x:v>28421</x:v>
      </x:c>
      <x:c r="K1049" s="159" t="n">
        <x:f>I1049-J1049</x:f>
        <x:v>-25511</x:v>
      </x:c>
      <x:c r="L1049" s="154" t="n">
        <x:f>IFERROR(K1049/D1049,"")</x:f>
        <x:v>-0.16837499092487113</x:v>
      </x:c>
    </x:row>
    <x:row r="1050">
      <x:c r="A1050" s="141" t="str">
        <x:v>Gold</x:v>
      </x:c>
      <x:c r="B1050" s="155" t="n">
        <x:v>46042</x:v>
      </x:c>
      <x:c r="C1050" s="155" t="n">
        <x:v>46045</x:v>
      </x:c>
      <x:c r="D1050" s="159" t="n">
        <x:v>528004</x:v>
      </x:c>
      <x:c r="E1050" s="159" t="n">
        <x:v>163668</x:v>
      </x:c>
      <x:c r="F1050" s="159" t="n">
        <x:v>26224</x:v>
      </x:c>
      <x:c r="G1050" s="159" t="n">
        <x:f>E1050-F1050</x:f>
        <x:v>137444</x:v>
      </x:c>
      <x:c r="H1050" s="154" t="n">
        <x:f>IFERROR(G1050/D1050,"")</x:f>
        <x:v>0.2603086340254998</x:v>
      </x:c>
      <x:c r="I1050" s="159" t="n">
        <x:v>18731</x:v>
      </x:c>
      <x:c r="J1050" s="159" t="n">
        <x:v>61020</x:v>
      </x:c>
      <x:c r="K1050" s="159" t="n">
        <x:f>I1050-J1050</x:f>
        <x:v>-42289</x:v>
      </x:c>
      <x:c r="L1050" s="154" t="n">
        <x:f>IFERROR(K1050/D1050,"")</x:f>
        <x:v>-0.08009219627124037</x:v>
      </x:c>
    </x:row>
    <x:row r="1051">
      <x:c r="A1051" s="141" t="str">
        <x:v>Silver</x:v>
      </x:c>
      <x:c r="B1051" s="155" t="n">
        <x:v>46042</x:v>
      </x:c>
      <x:c r="C1051" s="155" t="n">
        <x:v>46045</x:v>
      </x:c>
      <x:c r="D1051" s="159" t="n">
        <x:v>152020</x:v>
      </x:c>
      <x:c r="E1051" s="159" t="n">
        <x:v>20613</x:v>
      </x:c>
      <x:c r="F1051" s="159" t="n">
        <x:v>10667</x:v>
      </x:c>
      <x:c r="G1051" s="159" t="n">
        <x:f>E1051-F1051</x:f>
        <x:v>9946</x:v>
      </x:c>
      <x:c r="H1051" s="154" t="n">
        <x:f>IFERROR(G1051/D1051,"")</x:f>
        <x:v>0.06542560189448757</x:v>
      </x:c>
      <x:c r="I1051" s="159" t="n">
        <x:v>4976</x:v>
      </x:c>
      <x:c r="J1051" s="159" t="n">
        <x:v>24732</x:v>
      </x:c>
      <x:c r="K1051" s="159" t="n">
        <x:f>I1051-J1051</x:f>
        <x:v>-19756</x:v>
      </x:c>
      <x:c r="L1051" s="154" t="n">
        <x:f>IFERROR(K1051/D1051,"")</x:f>
        <x:v>-0.12995658465991317</x:v>
      </x:c>
    </x:row>
    <x:row r="1052">
      <x:c r="A1052" s="141" t="str">
        <x:v>Gold</x:v>
      </x:c>
      <x:c r="B1052" s="155" t="n">
        <x:v>46049</x:v>
      </x:c>
      <x:c r="C1052" s="155" t="n">
        <x:v>46052</x:v>
      </x:c>
      <x:c r="D1052" s="159" t="n">
        <x:v>488463</x:v>
      </x:c>
      <x:c r="E1052" s="159" t="n">
        <x:v>143321</x:v>
      </x:c>
      <x:c r="F1052" s="159" t="n">
        <x:v>25162</x:v>
      </x:c>
      <x:c r="G1052" s="159" t="n">
        <x:f>E1052-F1052</x:f>
        <x:v>118159</x:v>
      </x:c>
      <x:c r="H1052" s="154" t="n">
        <x:f>IFERROR(G1052/D1052,"")</x:f>
        <x:v>0.2418995911665776</x:v>
      </x:c>
      <x:c r="I1052" s="159" t="n">
        <x:v>14609</x:v>
      </x:c>
      <x:c r="J1052" s="159" t="n">
        <x:v>55198</x:v>
      </x:c>
      <x:c r="K1052" s="159" t="n">
        <x:f>I1052-J1052</x:f>
        <x:v>-40589</x:v>
      </x:c>
      <x:c r="L1052" s="154" t="n">
        <x:f>IFERROR(K1052/D1052,"")</x:f>
        <x:v>-0.08309534191944938</x:v>
      </x:c>
    </x:row>
    <x:row r="1053">
      <x:c r="A1053" s="141" t="str">
        <x:v>Silver</x:v>
      </x:c>
      <x:c r="B1053" s="155" t="n">
        <x:v>46049</x:v>
      </x:c>
      <x:c r="C1053" s="155" t="n">
        <x:v>46052</x:v>
      </x:c>
      <x:c r="D1053" s="159" t="n">
        <x:v>156637</x:v>
      </x:c>
      <x:c r="E1053" s="159" t="n">
        <x:v>19423</x:v>
      </x:c>
      <x:c r="F1053" s="159" t="n">
        <x:v>11724</x:v>
      </x:c>
      <x:c r="G1053" s="159" t="n">
        <x:f>E1053-F1053</x:f>
        <x:v>7699</x:v>
      </x:c>
      <x:c r="H1053" s="154" t="n">
        <x:f>IFERROR(G1053/D1053,"")</x:f>
        <x:v>0.049151860671488856</x:v>
      </x:c>
      <x:c r="I1053" s="159" t="n">
        <x:v>5895</x:v>
      </x:c>
      <x:c r="J1053" s="159" t="n">
        <x:v>27108</x:v>
      </x:c>
      <x:c r="K1053" s="159" t="n">
        <x:f>I1053-J1053</x:f>
        <x:v>-21213</x:v>
      </x:c>
      <x:c r="L1053" s="154" t="n">
        <x:f>IFERROR(K1053/D1053,"")</x:f>
        <x:v>-0.13542777249308913</x:v>
      </x:c>
    </x:row>
    <x:row r="1054">
      <x:c r="A1054" s="141" t="str">
        <x:v>Gold</x:v>
      </x:c>
      <x:c r="B1054" s="155" t="n">
        <x:v>46056</x:v>
      </x:c>
      <x:c r="C1054" s="155" t="n">
        <x:v>46059</x:v>
      </x:c>
      <x:c r="D1054" s="159" t="n">
        <x:v>409694</x:v>
      </x:c>
      <x:c r="E1054" s="159" t="n">
        <x:v>118936</x:v>
      </x:c>
      <x:c r="F1054" s="159" t="n">
        <x:v>26864</x:v>
      </x:c>
      <x:c r="G1054" s="159" t="n">
        <x:f>E1054-F1054</x:f>
        <x:v>92072</x:v>
      </x:c>
      <x:c r="H1054" s="154" t="n">
        <x:f>IFERROR(G1054/D1054,"")</x:f>
        <x:v>0.22473358164874271</x:v>
      </x:c>
      <x:c r="I1054" s="159" t="n">
        <x:v>14072</x:v>
      </x:c>
      <x:c r="J1054" s="159" t="n">
        <x:v>38706</x:v>
      </x:c>
      <x:c r="K1054" s="159" t="n">
        <x:f>I1054-J1054</x:f>
        <x:v>-24634</x:v>
      </x:c>
      <x:c r="L1054" s="154" t="n">
        <x:f>IFERROR(K1054/D1054,"")</x:f>
        <x:v>-0.060127802701528454</x:v>
      </x:c>
    </x:row>
    <x:row r="1055">
      <x:c r="A1055" s="141" t="str">
        <x:v>Silver</x:v>
      </x:c>
      <x:c r="B1055" s="155" t="n">
        <x:v>46056</x:v>
      </x:c>
      <x:c r="C1055" s="155" t="n">
        <x:v>46059</x:v>
      </x:c>
      <x:c r="D1055" s="159" t="n">
        <x:v>143180</x:v>
      </x:c>
      <x:c r="E1055" s="159" t="n">
        <x:v>13189</x:v>
      </x:c>
      <x:c r="F1055" s="159" t="n">
        <x:v>8206</x:v>
      </x:c>
      <x:c r="G1055" s="159" t="n">
        <x:f>E1055-F1055</x:f>
        <x:v>4983</x:v>
      </x:c>
      <x:c r="H1055" s="154" t="n">
        <x:f>IFERROR(G1055/D1055,"")</x:f>
        <x:v>0.03480234669646599</x:v>
      </x:c>
      <x:c r="I1055" s="159" t="n">
        <x:v>4847</x:v>
      </x:c>
      <x:c r="J1055" s="159" t="n">
        <x:v>23114</x:v>
      </x:c>
      <x:c r="K1055" s="159" t="n">
        <x:f>I1055-J1055</x:f>
        <x:v>-18267</x:v>
      </x:c>
      <x:c r="L1055" s="154" t="n">
        <x:f>IFERROR(K1055/D1055,"")</x:f>
        <x:v>-0.1275806676910183</x:v>
      </x:c>
    </x:row>
    <x:row r="1056">
      <x:c r="A1056" s="141" t="str">
        <x:v>Gold</x:v>
      </x:c>
      <x:c r="B1056" s="155" t="n">
        <x:v>46063</x:v>
      </x:c>
      <x:c r="C1056" s="155" t="n">
        <x:v>46066</x:v>
      </x:c>
      <x:c r="D1056" s="159" t="n">
        <x:v>404391</x:v>
      </x:c>
      <x:c r="E1056" s="159" t="n">
        <x:v>119232</x:v>
      </x:c>
      <x:c r="F1056" s="159" t="n">
        <x:v>27210</x:v>
      </x:c>
      <x:c r="G1056" s="159" t="n">
        <x:f>E1056-F1056</x:f>
        <x:v>92022</x:v>
      </x:c>
      <x:c r="H1056" s="154" t="n">
        <x:f>IFERROR(G1056/D1056,"")</x:f>
        <x:v>0.22755699310815522</x:v>
      </x:c>
      <x:c r="I1056" s="159" t="n">
        <x:v>15737</x:v>
      </x:c>
      <x:c r="J1056" s="159" t="n">
        <x:v>34182</x:v>
      </x:c>
      <x:c r="K1056" s="159" t="n">
        <x:f>I1056-J1056</x:f>
        <x:v>-18445</x:v>
      </x:c>
      <x:c r="L1056" s="154" t="n">
        <x:f>IFERROR(K1056/D1056,"")</x:f>
        <x:v>-0.04561179650387867</x:v>
      </x:c>
    </x:row>
    <x:row r="1057">
      <x:c r="A1057" s="141" t="str">
        <x:v>Silver</x:v>
      </x:c>
      <x:c r="B1057" s="155" t="n">
        <x:v>46063</x:v>
      </x:c>
      <x:c r="C1057" s="155" t="n">
        <x:v>46066</x:v>
      </x:c>
      <x:c r="D1057" s="159" t="n">
        <x:v>133641</x:v>
      </x:c>
      <x:c r="E1057" s="159" t="n">
        <x:v>12222</x:v>
      </x:c>
      <x:c r="F1057" s="159" t="n">
        <x:v>7653</x:v>
      </x:c>
      <x:c r="G1057" s="159" t="n">
        <x:f>E1057-F1057</x:f>
        <x:v>4569</x:v>
      </x:c>
      <x:c r="H1057" s="154" t="n">
        <x:f>IFERROR(G1057/D1057,"")</x:f>
        <x:v>0.0341886097829259</x:v>
      </x:c>
      <x:c r="I1057" s="159" t="n">
        <x:v>4554</x:v>
      </x:c>
      <x:c r="J1057" s="159" t="n">
        <x:v>21344</x:v>
      </x:c>
      <x:c r="K1057" s="159" t="n">
        <x:f>I1057-J1057</x:f>
        <x:v>-16790</x:v>
      </x:c>
      <x:c r="L1057" s="154" t="n">
        <x:f>IFERROR(K1057/D1057,"")</x:f>
        <x:v>-0.12563509701364103</x:v>
      </x:c>
    </x:row>
    <x:row r="1058">
      <x:c r="A1058" s="141" t="str">
        <x:v>Gold</x:v>
      </x:c>
      <x:c r="B1058" s="155" t="n">
        <x:v>46070</x:v>
      </x:c>
      <x:c r="C1058" s="155" t="n">
        <x:v>46073</x:v>
      </x:c>
      <x:c r="D1058" s="159" t="n">
        <x:v>407078</x:v>
      </x:c>
      <x:c r="E1058" s="159" t="n">
        <x:v>123011</x:v>
      </x:c>
      <x:c r="F1058" s="159" t="n">
        <x:v>27118</x:v>
      </x:c>
      <x:c r="G1058" s="159" t="n">
        <x:f>E1058-F1058</x:f>
        <x:v>95893</x:v>
      </x:c>
      <x:c r="H1058" s="154" t="n">
        <x:f>IFERROR(G1058/D1058,"")</x:f>
        <x:v>0.23556419162912268</x:v>
      </x:c>
      <x:c r="I1058" s="159" t="n">
        <x:v>13643</x:v>
      </x:c>
      <x:c r="J1058" s="159" t="n">
        <x:v>35041</x:v>
      </x:c>
      <x:c r="K1058" s="159" t="n">
        <x:f>I1058-J1058</x:f>
        <x:v>-21398</x:v>
      </x:c>
      <x:c r="L1058" s="154" t="n">
        <x:f>IFERROR(K1058/D1058,"")</x:f>
        <x:v>-0.05256486471880082</x:v>
      </x:c>
    </x:row>
    <x:row r="1059">
      <x:c r="A1059" s="141" t="str">
        <x:v>Silver</x:v>
      </x:c>
      <x:c r="B1059" s="155" t="n">
        <x:v>46070</x:v>
      </x:c>
      <x:c r="C1059" s="155" t="n">
        <x:v>46073</x:v>
      </x:c>
      <x:c r="D1059" s="159" t="n">
        <x:v>131496</x:v>
      </x:c>
      <x:c r="E1059" s="159" t="n">
        <x:v>12121</x:v>
      </x:c>
      <x:c r="F1059" s="159" t="n">
        <x:v>6153</x:v>
      </x:c>
      <x:c r="G1059" s="159" t="n">
        <x:f>E1059-F1059</x:f>
        <x:v>5968</x:v>
      </x:c>
      <x:c r="H1059" s="154" t="n">
        <x:f>IFERROR(G1059/D1059,"")</x:f>
        <x:v>0.04538541096307112</x:v>
      </x:c>
      <x:c r="I1059" s="159" t="n">
        <x:v>4959</x:v>
      </x:c>
      <x:c r="J1059" s="159" t="n">
        <x:v>20842</x:v>
      </x:c>
      <x:c r="K1059" s="159" t="n">
        <x:f>I1059-J1059</x:f>
        <x:v>-15883</x:v>
      </x:c>
      <x:c r="L1059" s="154" t="n">
        <x:f>IFERROR(K1059/D1059,"")</x:f>
        <x:v>-0.12078694408955405</x:v>
      </x:c>
    </x:row>
    <x:row r="1060">
      <x:c r="A1060" s="141" t="str">
        <x:v>Gold</x:v>
      </x:c>
      <x:c r="B1060" s="155" t="n">
        <x:v>46077</x:v>
      </x:c>
      <x:c r="C1060" s="155" t="n">
        <x:v>46080</x:v>
      </x:c>
      <x:c r="D1060" s="159" t="n">
        <x:v>420182</x:v>
      </x:c>
      <x:c r="E1060" s="159" t="n">
        <x:v>121233</x:v>
      </x:c>
      <x:c r="F1060" s="159" t="n">
        <x:v>25259</x:v>
      </x:c>
      <x:c r="G1060" s="159" t="n">
        <x:f>E1060-F1060</x:f>
        <x:v>95974</x:v>
      </x:c>
      <x:c r="H1060" s="154" t="n">
        <x:f>IFERROR(G1060/D1060,"")</x:f>
        <x:v>0.22841054590629775</x:v>
      </x:c>
      <x:c r="I1060" s="159" t="n">
        <x:v>14800</x:v>
      </x:c>
      <x:c r="J1060" s="159" t="n">
        <x:v>34618</x:v>
      </x:c>
      <x:c r="K1060" s="159" t="n">
        <x:f>I1060-J1060</x:f>
        <x:v>-19818</x:v>
      </x:c>
      <x:c r="L1060" s="154" t="n">
        <x:f>IFERROR(K1060/D1060,"")</x:f>
        <x:v>-0.04716527599944786</x:v>
      </x:c>
    </x:row>
    <x:row r="1061">
      <x:c r="A1061" s="141" t="str">
        <x:v>Silver</x:v>
      </x:c>
      <x:c r="B1061" s="155" t="n">
        <x:v>46077</x:v>
      </x:c>
      <x:c r="C1061" s="155" t="n">
        <x:v>46080</x:v>
      </x:c>
      <x:c r="D1061" s="159" t="n">
        <x:v>125454</x:v>
      </x:c>
      <x:c r="E1061" s="159" t="n">
        <x:v>13365</x:v>
      </x:c>
      <x:c r="F1061" s="159" t="n">
        <x:v>4842</x:v>
      </x:c>
      <x:c r="G1061" s="159" t="n">
        <x:f>E1061-F1061</x:f>
        <x:v>8523</x:v>
      </x:c>
      <x:c r="H1061" s="154" t="n">
        <x:f>IFERROR(G1061/D1061,"")</x:f>
        <x:v>0.06793725190109522</x:v>
      </x:c>
      <x:c r="I1061" s="159" t="n">
        <x:v>3641</x:v>
      </x:c>
      <x:c r="J1061" s="159" t="n">
        <x:v>20316</x:v>
      </x:c>
      <x:c r="K1061" s="159" t="n">
        <x:f>I1061-J1061</x:f>
        <x:v>-16675</x:v>
      </x:c>
      <x:c r="L1061" s="154" t="n">
        <x:f>IFERROR(K1061/D1061,"")</x:f>
        <x:v>-0.13291724456773</x:v>
      </x:c>
    </x:row>
    <x:row r="1062">
      <x:c r="A1062" s="141" t="str">
        <x:v>Gold</x:v>
      </x:c>
      <x:c r="B1062" s="155" t="n">
        <x:v>46084</x:v>
      </x:c>
      <x:c r="C1062" s="155" t="n">
        <x:v>46087</x:v>
      </x:c>
      <x:c r="D1062" s="159" t="n">
        <x:v>409789</x:v>
      </x:c>
      <x:c r="E1062" s="159" t="n">
        <x:v>123456</x:v>
      </x:c>
      <x:c r="F1062" s="159" t="n">
        <x:v>25539</x:v>
      </x:c>
      <x:c r="G1062" s="159" t="n">
        <x:f>E1062-F1062</x:f>
        <x:v>97917</x:v>
      </x:c>
      <x:c r="H1062" s="154" t="n">
        <x:f>IFERROR(G1062/D1062,"")</x:f>
        <x:v>0.23894492043466273</x:v>
      </x:c>
      <x:c r="I1062" s="159" t="n">
        <x:v>15219</x:v>
      </x:c>
      <x:c r="J1062" s="159" t="n">
        <x:v>36010</x:v>
      </x:c>
      <x:c r="K1062" s="159" t="n">
        <x:f>I1062-J1062</x:f>
        <x:v>-20791</x:v>
      </x:c>
      <x:c r="L1062" s="154" t="n">
        <x:f>IFERROR(K1062/D1062,"")</x:f>
        <x:v>-0.05073586650690965</x:v>
      </x:c>
    </x:row>
    <x:row r="1063">
      <x:c r="A1063" s="141" t="str">
        <x:v>Silver</x:v>
      </x:c>
      <x:c r="B1063" s="155" t="n">
        <x:v>46084</x:v>
      </x:c>
      <x:c r="C1063" s="155" t="n">
        <x:v>46087</x:v>
      </x:c>
      <x:c r="D1063" s="159" t="n">
        <x:v>113326</x:v>
      </x:c>
      <x:c r="E1063" s="159" t="n">
        <x:v>12840</x:v>
      </x:c>
      <x:c r="F1063" s="159" t="n">
        <x:v>5074</x:v>
      </x:c>
      <x:c r="G1063" s="159" t="n">
        <x:f>E1063-F1063</x:f>
        <x:v>7766</x:v>
      </x:c>
      <x:c r="H1063" s="154" t="n">
        <x:f>IFERROR(G1063/D1063,"")</x:f>
        <x:v>0.06852796357411362</x:v>
      </x:c>
      <x:c r="I1063" s="159" t="n">
        <x:v>3750</x:v>
      </x:c>
      <x:c r="J1063" s="159" t="n">
        <x:v>18765</x:v>
      </x:c>
      <x:c r="K1063" s="159" t="n">
        <x:f>I1063-J1063</x:f>
        <x:v>-15015</x:v>
      </x:c>
      <x:c r="L1063" s="154" t="n">
        <x:f>IFERROR(K1063/D1063,"")</x:f>
        <x:v>-0.13249386725023385</x:v>
      </x:c>
    </x:row>
    <x:row r="1064">
      <x:c r="A1064" s="141" t="str">
        <x:v>Gold</x:v>
      </x:c>
      <x:c r="B1064" s="155" t="n">
        <x:v>46091</x:v>
      </x:c>
      <x:c r="C1064" s="155" t="n">
        <x:v>46094</x:v>
      </x:c>
      <x:c r="D1064" s="159" t="n">
        <x:v>413956</x:v>
      </x:c>
      <x:c r="E1064" s="159" t="n">
        <x:v>125077</x:v>
      </x:c>
      <x:c r="F1064" s="159" t="n">
        <x:v>26678</x:v>
      </x:c>
      <x:c r="G1064" s="159" t="n">
        <x:f>E1064-F1064</x:f>
        <x:v>98399</x:v>
      </x:c>
      <x:c r="H1064" s="154" t="n">
        <x:f>IFERROR(G1064/D1064,"")</x:f>
        <x:v>0.23770400718916987</x:v>
      </x:c>
      <x:c r="I1064" s="159" t="n">
        <x:v>14826</x:v>
      </x:c>
      <x:c r="J1064" s="159" t="n">
        <x:v>34522</x:v>
      </x:c>
      <x:c r="K1064" s="159" t="n">
        <x:f>I1064-J1064</x:f>
        <x:v>-19696</x:v>
      </x:c>
      <x:c r="L1064" s="154" t="n">
        <x:f>IFERROR(K1064/D1064,"")</x:f>
        <x:v>-0.0475799360318488</x:v>
      </x:c>
    </x:row>
    <x:row r="1065">
      <x:c r="A1065" s="141" t="str">
        <x:v>Silver</x:v>
      </x:c>
      <x:c r="B1065" s="155" t="n">
        <x:v>46091</x:v>
      </x:c>
      <x:c r="C1065" s="155" t="n">
        <x:v>46094</x:v>
      </x:c>
      <x:c r="D1065" s="159" t="n">
        <x:v>115458</x:v>
      </x:c>
      <x:c r="E1065" s="159" t="n">
        <x:v>13264</x:v>
      </x:c>
      <x:c r="F1065" s="159" t="n">
        <x:v>2975</x:v>
      </x:c>
      <x:c r="G1065" s="159" t="n">
        <x:f>E1065-F1065</x:f>
        <x:v>10289</x:v>
      </x:c>
      <x:c r="H1065" s="154" t="n">
        <x:f>IFERROR(G1065/D1065,"")</x:f>
        <x:v>0.0891146564118554</x:v>
      </x:c>
      <x:c r="I1065" s="159" t="n">
        <x:v>3181</x:v>
      </x:c>
      <x:c r="J1065" s="159" t="n">
        <x:v>19334</x:v>
      </x:c>
      <x:c r="K1065" s="159" t="n">
        <x:f>I1065-J1065</x:f>
        <x:v>-16153</x:v>
      </x:c>
      <x:c r="L1065" s="154" t="n">
        <x:f>IFERROR(K1065/D1065,"")</x:f>
        <x:v>-0.13990368792114882</x:v>
      </x:c>
    </x:row>
    <x:row r="1066">
      <x:c r="A1066" s="141" t="str">
        <x:v>Gold</x:v>
      </x:c>
      <x:c r="B1066" s="155" t="n">
        <x:v>46098</x:v>
      </x:c>
      <x:c r="C1066" s="155" t="n">
        <x:v>46101</x:v>
      </x:c>
      <x:c r="D1066" s="159" t="n">
        <x:v>411388</x:v>
      </x:c>
      <x:c r="E1066" s="159" t="n">
        <x:v>130147</x:v>
      </x:c>
      <x:c r="F1066" s="159" t="n">
        <x:v>28104</x:v>
      </x:c>
      <x:c r="G1066" s="159" t="n">
        <x:f>E1066-F1066</x:f>
        <x:v>102043</x:v>
      </x:c>
      <x:c r="H1066" s="154" t="n">
        <x:f>IFERROR(G1066/D1066,"")</x:f>
        <x:v>0.24804564061178255</x:v>
      </x:c>
      <x:c r="I1066" s="159" t="n">
        <x:v>15879</x:v>
      </x:c>
      <x:c r="J1066" s="159" t="n">
        <x:v>33713</x:v>
      </x:c>
      <x:c r="K1066" s="159" t="n">
        <x:f>I1066-J1066</x:f>
        <x:v>-17834</x:v>
      </x:c>
      <x:c r="L1066" s="154" t="n">
        <x:f>IFERROR(K1066/D1066,"")</x:f>
        <x:v>-0.04335080264859451</x:v>
      </x:c>
    </x:row>
    <x:row r="1067">
      <x:c r="A1067" s="141" t="str">
        <x:v>Silver</x:v>
      </x:c>
      <x:c r="B1067" s="155" t="n">
        <x:v>46098</x:v>
      </x:c>
      <x:c r="C1067" s="155" t="n">
        <x:v>46101</x:v>
      </x:c>
      <x:c r="D1067" s="159" t="n">
        <x:v>114758</x:v>
      </x:c>
      <x:c r="E1067" s="159" t="n">
        <x:v>12768</x:v>
      </x:c>
      <x:c r="F1067" s="159" t="n">
        <x:v>3121</x:v>
      </x:c>
      <x:c r="G1067" s="159" t="n">
        <x:f>E1067-F1067</x:f>
        <x:v>9647</x:v>
      </x:c>
      <x:c r="H1067" s="154" t="n">
        <x:f>IFERROR(G1067/D1067,"")</x:f>
        <x:v>0.08406385611460639</x:v>
      </x:c>
      <x:c r="I1067" s="159" t="n">
        <x:v>3847</x:v>
      </x:c>
      <x:c r="J1067" s="159" t="n">
        <x:v>18644</x:v>
      </x:c>
      <x:c r="K1067" s="159" t="n">
        <x:f>I1067-J1067</x:f>
        <x:v>-14797</x:v>
      </x:c>
      <x:c r="L1067" s="154" t="n">
        <x:f>IFERROR(K1067/D1067,"")</x:f>
        <x:v>-0.1289409017236271</x:v>
      </x:c>
    </x:row>
    <x:row r="1068">
      <x:c r="A1068" s="141" t="str">
        <x:v>Gold</x:v>
      </x:c>
      <x:c r="B1068" s="155" t="n">
        <x:v>46105</x:v>
      </x:c>
      <x:c r="C1068" s="155" t="n">
        <x:v>46108</x:v>
      </x:c>
      <x:c r="D1068" s="159" t="n">
        <x:v>403925</x:v>
      </x:c>
      <x:c r="E1068" s="159" t="n">
        <x:v>119562</x:v>
      </x:c>
      <x:c r="F1068" s="159" t="n">
        <x:v>27941</x:v>
      </x:c>
      <x:c r="G1068" s="159" t="n">
        <x:f>E1068-F1068</x:f>
        <x:v>91621</x:v>
      </x:c>
      <x:c r="H1068" s="154" t="n">
        <x:f>IFERROR(G1068/D1068,"")</x:f>
        <x:v>0.22682676239400879</x:v>
      </x:c>
      <x:c r="I1068" s="159" t="n">
        <x:v>12761</x:v>
      </x:c>
      <x:c r="J1068" s="159" t="n">
        <x:v>34977</x:v>
      </x:c>
      <x:c r="K1068" s="159" t="n">
        <x:f>I1068-J1068</x:f>
        <x:v>-22216</x:v>
      </x:c>
      <x:c r="L1068" s="154" t="n">
        <x:f>IFERROR(K1068/D1068,"")</x:f>
        <x:v>-0.05500030946339048</x:v>
      </x:c>
    </x:row>
    <x:row r="1069">
      <x:c r="A1069" s="141" t="str">
        <x:v>Silver</x:v>
      </x:c>
      <x:c r="B1069" s="155" t="n">
        <x:v>46105</x:v>
      </x:c>
      <x:c r="C1069" s="155" t="n">
        <x:v>46108</x:v>
      </x:c>
      <x:c r="D1069" s="159" t="n">
        <x:v>113164</x:v>
      </x:c>
      <x:c r="E1069" s="159" t="n">
        <x:v>15246</x:v>
      </x:c>
      <x:c r="F1069" s="159" t="n">
        <x:v>4088</x:v>
      </x:c>
      <x:c r="G1069" s="159" t="n">
        <x:f>E1069-F1069</x:f>
        <x:v>11158</x:v>
      </x:c>
      <x:c r="H1069" s="154" t="n">
        <x:f>IFERROR(G1069/D1069,"")</x:f>
        <x:v>0.09860026156728288</x:v>
      </x:c>
      <x:c r="I1069" s="159" t="n">
        <x:v>2726</x:v>
      </x:c>
      <x:c r="J1069" s="159" t="n">
        <x:v>17968</x:v>
      </x:c>
      <x:c r="K1069" s="159" t="n">
        <x:f>I1069-J1069</x:f>
        <x:v>-15242</x:v>
      </x:c>
      <x:c r="L1069" s="154" t="n">
        <x:f>IFERROR(K1069/D1069,"")</x:f>
        <x:v>-0.13468947721890354</x:v>
      </x:c>
    </x:row>
    <x:row r="1070">
      <x:c r="A1070" s="141" t="str">
        <x:v>Gold</x:v>
      </x:c>
      <x:c r="B1070" s="155" t="n">
        <x:v>46112</x:v>
      </x:c>
      <x:c r="C1070" s="155" t="n">
        <x:v>46115</x:v>
      </x:c>
      <x:c r="D1070" s="159" t="n">
        <x:v>361409</x:v>
      </x:c>
      <x:c r="E1070" s="159" t="n">
        <x:v>120092</x:v>
      </x:c>
      <x:c r="F1070" s="159" t="n">
        <x:v>27278</x:v>
      </x:c>
      <x:c r="G1070" s="159" t="n">
        <x:f>E1070-F1070</x:f>
        <x:v>92814</x:v>
      </x:c>
      <x:c r="H1070" s="154" t="n">
        <x:f>IFERROR(G1070/D1070,"")</x:f>
        <x:v>0.25681153485386365</x:v>
      </x:c>
      <x:c r="I1070" s="159" t="n">
        <x:v>10979</x:v>
      </x:c>
      <x:c r="J1070" s="159" t="n">
        <x:v>30889</x:v>
      </x:c>
      <x:c r="K1070" s="159" t="n">
        <x:f>I1070-J1070</x:f>
        <x:v>-19910</x:v>
      </x:c>
      <x:c r="L1070" s="154" t="n">
        <x:f>IFERROR(K1070/D1070,"")</x:f>
        <x:v>-0.055089939652858674</x:v>
      </x:c>
    </x:row>
    <x:row r="1071">
      <x:c r="A1071" s="141" t="str">
        <x:v>Silver</x:v>
      </x:c>
      <x:c r="B1071" s="155" t="n">
        <x:v>46112</x:v>
      </x:c>
      <x:c r="C1071" s="155" t="n">
        <x:v>46115</x:v>
      </x:c>
      <x:c r="D1071" s="159" t="n">
        <x:v>115169</x:v>
      </x:c>
      <x:c r="E1071" s="159" t="n">
        <x:v>14917</x:v>
      </x:c>
      <x:c r="F1071" s="159" t="n">
        <x:v>3651</x:v>
      </x:c>
      <x:c r="G1071" s="159" t="n">
        <x:f>E1071-F1071</x:f>
        <x:v>11266</x:v>
      </x:c>
      <x:c r="H1071" s="154" t="n">
        <x:f>IFERROR(G1071/D1071,"")</x:f>
        <x:v>0.0978214623726871</x:v>
      </x:c>
      <x:c r="I1071" s="159" t="n">
        <x:v>2542</x:v>
      </x:c>
      <x:c r="J1071" s="159" t="n">
        <x:v>18034</x:v>
      </x:c>
      <x:c r="K1071" s="159" t="n">
        <x:f>I1071-J1071</x:f>
        <x:v>-15492</x:v>
      </x:c>
      <x:c r="L1071" s="154" t="n">
        <x:f>IFERROR(K1071/D1071,"")</x:f>
        <x:v>-0.1345153643775669</x:v>
      </x:c>
    </x:row>
    <x:row r="1072">
      <x:c r="A1072" s="141" t="str">
        <x:v>Gold</x:v>
      </x:c>
      <x:c r="B1072" s="155" t="n">
        <x:v>46119</x:v>
      </x:c>
      <x:c r="C1072" s="155" t="n">
        <x:v>46122</x:v>
      </x:c>
      <x:c r="D1072" s="159" t="n">
        <x:v>354877</x:v>
      </x:c>
      <x:c r="E1072" s="159" t="n">
        <x:v>120726</x:v>
      </x:c>
      <x:c r="F1072" s="159" t="n">
        <x:v>30694</x:v>
      </x:c>
      <x:c r="G1072" s="159" t="n">
        <x:f>E1072-F1072</x:f>
        <x:v>90032</x:v>
      </x:c>
      <x:c r="H1072" s="154" t="n">
        <x:f>IFERROR(G1072/D1072,"")</x:f>
        <x:v>0.25369916900785344</x:v>
      </x:c>
      <x:c r="I1072" s="159" t="n">
        <x:v>11713</x:v>
      </x:c>
      <x:c r="J1072" s="159" t="n">
        <x:v>31009</x:v>
      </x:c>
      <x:c r="K1072" s="159" t="n">
        <x:f>I1072-J1072</x:f>
        <x:v>-19296</x:v>
      </x:c>
      <x:c r="L1072" s="154" t="n">
        <x:f>IFERROR(K1072/D1072,"")</x:f>
        <x:v>-0.05437376893966078</x:v>
      </x:c>
    </x:row>
    <x:row r="1073">
      <x:c r="A1073" s="141" t="str">
        <x:v>Silver</x:v>
      </x:c>
      <x:c r="B1073" s="155" t="n">
        <x:v>46119</x:v>
      </x:c>
      <x:c r="C1073" s="155" t="n">
        <x:v>46122</x:v>
      </x:c>
      <x:c r="D1073" s="159" t="n">
        <x:v>115138</x:v>
      </x:c>
      <x:c r="E1073" s="159" t="n">
        <x:v>13838</x:v>
      </x:c>
      <x:c r="F1073" s="159" t="n">
        <x:v>3440</x:v>
      </x:c>
      <x:c r="G1073" s="159" t="n">
        <x:f>E1073-F1073</x:f>
        <x:v>10398</x:v>
      </x:c>
      <x:c r="H1073" s="154" t="n">
        <x:f>IFERROR(G1073/D1073,"")</x:f>
        <x:v>0.0903090204797721</x:v>
      </x:c>
      <x:c r="I1073" s="159" t="n">
        <x:v>2164</x:v>
      </x:c>
      <x:c r="J1073" s="159" t="n">
        <x:v>17734</x:v>
      </x:c>
      <x:c r="K1073" s="159" t="n">
        <x:f>I1073-J1073</x:f>
        <x:v>-15570</x:v>
      </x:c>
      <x:c r="L1073" s="154" t="n">
        <x:f>IFERROR(K1073/D1073,"")</x:f>
        <x:v>-0.1352290295124112</x:v>
      </x:c>
    </x:row>
    <x:row r="1074">
      <x:c r="A1074" s="141" t="str">
        <x:v>Gold</x:v>
      </x:c>
      <x:c r="B1074" s="155" t="n">
        <x:v>46126</x:v>
      </x:c>
      <x:c r="C1074" s="155" t="n">
        <x:v>46129</x:v>
      </x:c>
      <x:c r="D1074" s="159" t="n">
        <x:v>362274</x:v>
      </x:c>
      <x:c r="E1074" s="159" t="n">
        <x:v>125422</x:v>
      </x:c>
      <x:c r="F1074" s="159" t="n">
        <x:v>30281</x:v>
      </x:c>
      <x:c r="G1074" s="159" t="n">
        <x:f>E1074-F1074</x:f>
        <x:v>95141</x:v>
      </x:c>
      <x:c r="H1074" s="154" t="n">
        <x:f>IFERROR(G1074/D1074,"")</x:f>
        <x:v>0.2626216620568962</x:v>
      </x:c>
      <x:c r="I1074" s="159" t="n">
        <x:v>13151</x:v>
      </x:c>
      <x:c r="J1074" s="159" t="n">
        <x:v>31681</x:v>
      </x:c>
      <x:c r="K1074" s="159" t="n">
        <x:f>I1074-J1074</x:f>
        <x:v>-18530</x:v>
      </x:c>
      <x:c r="L1074" s="154" t="n">
        <x:f>IFERROR(K1074/D1074,"")</x:f>
        <x:v>-0.05114913021635557</x:v>
      </x:c>
    </x:row>
    <x:row r="1075">
      <x:c r="A1075" s="141" t="str">
        <x:v>Silver</x:v>
      </x:c>
      <x:c r="B1075" s="155" t="n">
        <x:v>46126</x:v>
      </x:c>
      <x:c r="C1075" s="155" t="n">
        <x:v>46129</x:v>
      </x:c>
      <x:c r="D1075" s="159" t="n">
        <x:v>116983</x:v>
      </x:c>
      <x:c r="E1075" s="159" t="n">
        <x:v>14770</x:v>
      </x:c>
      <x:c r="F1075" s="159" t="n">
        <x:v>3500</x:v>
      </x:c>
      <x:c r="G1075" s="159" t="n">
        <x:f>E1075-F1075</x:f>
        <x:v>11270</x:v>
      </x:c>
      <x:c r="H1075" s="154" t="n">
        <x:f>IFERROR(G1075/D1075,"")</x:f>
        <x:v>0.0963387842677996</x:v>
      </x:c>
      <x:c r="I1075" s="159" t="n">
        <x:v>2447</x:v>
      </x:c>
      <x:c r="J1075" s="159" t="n">
        <x:v>19203</x:v>
      </x:c>
      <x:c r="K1075" s="159" t="n">
        <x:f>I1075-J1075</x:f>
        <x:v>-16756</x:v>
      </x:c>
      <x:c r="L1075" s="154" t="n">
        <x:f>IFERROR(K1075/D1075,"")</x:f>
        <x:v>-0.14323448706222272</x:v>
      </x:c>
    </x:row>
    <x:row r="1076">
      <x:c r="A1076" s="141" t="str">
        <x:v>Gold</x:v>
      </x:c>
      <x:c r="B1076" s="155" t="n">
        <x:v>46133</x:v>
      </x:c>
      <x:c r="C1076" s="155" t="n">
        <x:v>46136</x:v>
      </x:c>
      <x:c r="D1076" s="159" t="n">
        <x:v>365842</x:v>
      </x:c>
      <x:c r="E1076" s="159" t="n">
        <x:v>123681</x:v>
      </x:c>
      <x:c r="F1076" s="159" t="n">
        <x:v>30705</x:v>
      </x:c>
      <x:c r="G1076" s="159" t="n">
        <x:f>E1076-F1076</x:f>
        <x:v>92976</x:v>
      </x:c>
      <x:c r="H1076" s="154" t="n">
        <x:f>IFERROR(G1076/D1076,"")</x:f>
        <x:v>0.25414249867429106</x:v>
      </x:c>
      <x:c r="I1076" s="159" t="n">
        <x:v>12633</x:v>
      </x:c>
      <x:c r="J1076" s="159" t="n">
        <x:v>33051</x:v>
      </x:c>
      <x:c r="K1076" s="159" t="n">
        <x:f>I1076-J1076</x:f>
        <x:v>-20418</x:v>
      </x:c>
      <x:c r="L1076" s="154" t="n">
        <x:f>IFERROR(K1076/D1076,"")</x:f>
        <x:v>-0.055810978509848515</x:v>
      </x:c>
    </x:row>
    <x:row r="1077">
      <x:c r="A1077" s="141" t="str">
        <x:v>Silver</x:v>
      </x:c>
      <x:c r="B1077" s="155" t="n">
        <x:v>46133</x:v>
      </x:c>
      <x:c r="C1077" s="155" t="n">
        <x:v>46136</x:v>
      </x:c>
      <x:c r="D1077" s="159" t="n">
        <x:v>115462</x:v>
      </x:c>
      <x:c r="E1077" s="159" t="n">
        <x:v>13354</x:v>
      </x:c>
      <x:c r="F1077" s="159" t="n">
        <x:v>4486</x:v>
      </x:c>
      <x:c r="G1077" s="159" t="n">
        <x:f>E1077-F1077</x:f>
        <x:v>8868</x:v>
      </x:c>
      <x:c r="H1077" s="154" t="n">
        <x:f>IFERROR(G1077/D1077,"")</x:f>
        <x:v>0.07680448978884828</x:v>
      </x:c>
      <x:c r="I1077" s="159" t="n">
        <x:v>2791</x:v>
      </x:c>
      <x:c r="J1077" s="159" t="n">
        <x:v>19208</x:v>
      </x:c>
      <x:c r="K1077" s="159" t="n">
        <x:f>I1077-J1077</x:f>
        <x:v>-16417</x:v>
      </x:c>
      <x:c r="L1077" s="154" t="n">
        <x:f>IFERROR(K1077/D1077,"")</x:f>
        <x:v>-0.14218530772028892</x:v>
      </x:c>
    </x:row>
    <x:row r="1078">
      <x:c r="A1078" s="141" t="str">
        <x:v>Gold</x:v>
      </x:c>
      <x:c r="B1078" s="155" t="n">
        <x:v>46140</x:v>
      </x:c>
      <x:c r="C1078" s="155" t="n">
        <x:v>46143</x:v>
      </x:c>
      <x:c r="D1078" s="159" t="n">
        <x:v>369530</x:v>
      </x:c>
      <x:c r="E1078" s="159" t="n">
        <x:v>122257</x:v>
      </x:c>
      <x:c r="F1078" s="159" t="n">
        <x:v>32505</x:v>
      </x:c>
      <x:c r="G1078" s="159" t="n">
        <x:f>E1078-F1078</x:f>
        <x:v>89752</x:v>
      </x:c>
      <x:c r="H1078" s="154" t="n">
        <x:f>IFERROR(G1078/D1078,"")</x:f>
        <x:v>0.24288149811923254</x:v>
      </x:c>
      <x:c r="I1078" s="159" t="n">
        <x:v>12985</x:v>
      </x:c>
      <x:c r="J1078" s="159" t="n">
        <x:v>33177</x:v>
      </x:c>
      <x:c r="K1078" s="159" t="n">
        <x:f>I1078-J1078</x:f>
        <x:v>-20192</x:v>
      </x:c>
      <x:c r="L1078" s="154" t="n">
        <x:f>IFERROR(K1078/D1078,"")</x:f>
        <x:v>-0.05464238356831651</x:v>
      </x:c>
    </x:row>
    <x:row r="1079">
      <x:c r="A1079" s="141" t="str">
        <x:v>Silver</x:v>
      </x:c>
      <x:c r="B1079" s="155" t="n">
        <x:v>46140</x:v>
      </x:c>
      <x:c r="C1079" s="155" t="n">
        <x:v>46143</x:v>
      </x:c>
      <x:c r="D1079" s="159" t="n">
        <x:v>101275</x:v>
      </x:c>
      <x:c r="E1079" s="159" t="n">
        <x:v>14576</x:v>
      </x:c>
      <x:c r="F1079" s="159" t="n">
        <x:v>3970</x:v>
      </x:c>
      <x:c r="G1079" s="159" t="n">
        <x:f>E1079-F1079</x:f>
        <x:v>10606</x:v>
      </x:c>
      <x:c r="H1079" s="154" t="n">
        <x:f>IFERROR(G1079/D1079,"")</x:f>
        <x:v>0.10472475931868674</x:v>
      </x:c>
      <x:c r="I1079" s="159" t="n">
        <x:v>1497</x:v>
      </x:c>
      <x:c r="J1079" s="159" t="n">
        <x:v>19607</x:v>
      </x:c>
      <x:c r="K1079" s="159" t="n">
        <x:f>I1079-J1079</x:f>
        <x:v>-18110</x:v>
      </x:c>
      <x:c r="L1079" s="154" t="n">
        <x:f>IFERROR(K1079/D1079,"")</x:f>
        <x:v>-0.1788200444334732</x:v>
      </x:c>
    </x:row>
    <x:row r="1080">
      <x:c r="A1080" s="141" t="str">
        <x:v>Gold</x:v>
      </x:c>
      <x:c r="B1080" s="155" t="n">
        <x:v>46147</x:v>
      </x:c>
      <x:c r="C1080" s="155" t="n">
        <x:v>46150</x:v>
      </x:c>
      <x:c r="D1080" s="159" t="n">
        <x:v>367932</x:v>
      </x:c>
      <x:c r="E1080" s="159" t="n">
        <x:v>123353</x:v>
      </x:c>
      <x:c r="F1080" s="159" t="n">
        <x:v>29099</x:v>
      </x:c>
      <x:c r="G1080" s="159" t="n">
        <x:f>E1080-F1080</x:f>
        <x:v>94254</x:v>
      </x:c>
      <x:c r="H1080" s="154" t="n">
        <x:f>IFERROR(G1080/D1080,"")</x:f>
        <x:v>0.2561723361925573</x:v>
      </x:c>
      <x:c r="I1080" s="159" t="n">
        <x:v>12898</x:v>
      </x:c>
      <x:c r="J1080" s="159" t="n">
        <x:v>32010</x:v>
      </x:c>
      <x:c r="K1080" s="159" t="n">
        <x:f>I1080-J1080</x:f>
        <x:v>-19112</x:v>
      </x:c>
      <x:c r="L1080" s="154" t="n">
        <x:f>IFERROR(K1080/D1080,"")</x:f>
        <x:v>-0.05194438102692889</x:v>
      </x:c>
    </x:row>
    <x:row r="1081">
      <x:c r="A1081" s="141" t="str">
        <x:v>Silver</x:v>
      </x:c>
      <x:c r="B1081" s="155" t="n">
        <x:v>46147</x:v>
      </x:c>
      <x:c r="C1081" s="155" t="n">
        <x:v>46150</x:v>
      </x:c>
      <x:c r="D1081" s="159" t="n">
        <x:v>96932</x:v>
      </x:c>
      <x:c r="E1081" s="159" t="n">
        <x:v>15697</x:v>
      </x:c>
      <x:c r="F1081" s="159" t="n">
        <x:v>4854</x:v>
      </x:c>
      <x:c r="G1081" s="159" t="n">
        <x:f>E1081-F1081</x:f>
        <x:v>10843</x:v>
      </x:c>
      <x:c r="H1081" s="154" t="n">
        <x:f>IFERROR(G1081/D1081,"")</x:f>
        <x:v>0.11186192382288615</x:v>
      </x:c>
      <x:c r="I1081" s="159" t="n">
        <x:v>1578</x:v>
      </x:c>
      <x:c r="J1081" s="159" t="n">
        <x:v>19191</x:v>
      </x:c>
      <x:c r="K1081" s="159" t="n">
        <x:f>I1081-J1081</x:f>
        <x:v>-17613</x:v>
      </x:c>
      <x:c r="L1081" s="154" t="n">
        <x:f>IFERROR(K1081/D1081,"")</x:f>
        <x:v>-0.1817047002022036</x:v>
      </x:c>
    </x:row>
    <x:row r="1082">
      <x:c r="A1082" s="141" t="str">
        <x:v>Gold</x:v>
      </x:c>
      <x:c r="B1082" s="155" t="n">
        <x:v>46154</x:v>
      </x:c>
      <x:c r="C1082" s="155" t="n">
        <x:v>46157</x:v>
      </x:c>
      <x:c r="D1082" s="159" t="n">
        <x:v>376496</x:v>
      </x:c>
      <x:c r="E1082" s="159" t="n">
        <x:v>127242</x:v>
      </x:c>
      <x:c r="F1082" s="159" t="n">
        <x:v>29227</x:v>
      </x:c>
      <x:c r="G1082" s="159" t="n">
        <x:f>E1082-F1082</x:f>
        <x:v>98015</x:v>
      </x:c>
      <x:c r="H1082" s="154" t="n">
        <x:f>IFERROR(G1082/D1082,"")</x:f>
        <x:v>0.2603347711529472</x:v>
      </x:c>
      <x:c r="I1082" s="159" t="n">
        <x:v>11437</x:v>
      </x:c>
      <x:c r="J1082" s="159" t="n">
        <x:v>31639</x:v>
      </x:c>
      <x:c r="K1082" s="159" t="n">
        <x:f>I1082-J1082</x:f>
        <x:v>-20202</x:v>
      </x:c>
      <x:c r="L1082" s="154" t="n">
        <x:f>IFERROR(K1082/D1082,"")</x:f>
        <x:v>-0.053657940589010245</x:v>
      </x:c>
    </x:row>
    <x:row r="1083">
      <x:c r="A1083" s="141" t="str">
        <x:v>Silver</x:v>
      </x:c>
      <x:c r="B1083" s="155" t="n">
        <x:v>46154</x:v>
      </x:c>
      <x:c r="C1083" s="155" t="n">
        <x:v>46157</x:v>
      </x:c>
      <x:c r="D1083" s="159" t="n">
        <x:v>103800</x:v>
      </x:c>
      <x:c r="E1083" s="159" t="n">
        <x:v>21191</x:v>
      </x:c>
      <x:c r="F1083" s="159" t="n">
        <x:v>5430</x:v>
      </x:c>
      <x:c r="G1083" s="159" t="n">
        <x:f>E1083-F1083</x:f>
        <x:v>15761</x:v>
      </x:c>
      <x:c r="H1083" s="154" t="n">
        <x:f>IFERROR(G1083/D1083,"")</x:f>
        <x:v>0.15184007707129094</x:v>
      </x:c>
      <x:c r="I1083" s="159" t="n">
        <x:v>1437</x:v>
      </x:c>
      <x:c r="J1083" s="159" t="n">
        <x:v>21069</x:v>
      </x:c>
      <x:c r="K1083" s="159" t="n">
        <x:f>I1083-J1083</x:f>
        <x:v>-19632</x:v>
      </x:c>
      <x:c r="L1083" s="154" t="n">
        <x:f>IFERROR(K1083/D1083,"")</x:f>
        <x:v>-0.1891329479768786</x:v>
      </x:c>
    </x:row>
    <x:row r="1084">
      <x:c r="A1084" s="141" t="str">
        <x:v>Gold</x:v>
      </x:c>
      <x:c r="B1084" s="155" t="n">
        <x:v>46161</x:v>
      </x:c>
      <x:c r="C1084" s="155" t="n">
        <x:v>46164</x:v>
      </x:c>
      <x:c r="D1084" s="159" t="n">
        <x:v>379325</x:v>
      </x:c>
      <x:c r="E1084" s="159" t="n">
        <x:v>122894</x:v>
      </x:c>
      <x:c r="F1084" s="159" t="n">
        <x:v>29354</x:v>
      </x:c>
      <x:c r="G1084" s="159" t="n">
        <x:f>E1084-F1084</x:f>
        <x:v>93540</x:v>
      </x:c>
      <x:c r="H1084" s="154" t="n">
        <x:f>IFERROR(G1084/D1084,"")</x:f>
        <x:v>0.24659592697554866</x:v>
      </x:c>
      <x:c r="I1084" s="159" t="n">
        <x:v>14800</x:v>
      </x:c>
      <x:c r="J1084" s="159" t="n">
        <x:v>32714</x:v>
      </x:c>
      <x:c r="K1084" s="159" t="n">
        <x:f>I1084-J1084</x:f>
        <x:v>-17914</x:v>
      </x:c>
      <x:c r="L1084" s="154" t="n">
        <x:f>IFERROR(K1084/D1084,"")</x:f>
        <x:v>-0.04722599354115864</x:v>
      </x:c>
    </x:row>
    <x:row r="1085">
      <x:c r="A1085" s="141" t="str">
        <x:v>Silver</x:v>
      </x:c>
      <x:c r="B1085" s="155" t="n">
        <x:v>46161</x:v>
      </x:c>
      <x:c r="C1085" s="155" t="n">
        <x:v>46164</x:v>
      </x:c>
      <x:c r="D1085" s="159" t="n">
        <x:v>100751</x:v>
      </x:c>
      <x:c r="E1085" s="159" t="n">
        <x:v>17944</x:v>
      </x:c>
      <x:c r="F1085" s="159" t="n">
        <x:v>6380</x:v>
      </x:c>
      <x:c r="G1085" s="159" t="n">
        <x:f>E1085-F1085</x:f>
        <x:v>11564</x:v>
      </x:c>
      <x:c r="H1085" s="154" t="n">
        <x:f>IFERROR(G1085/D1085,"")</x:f>
        <x:v>0.11477801709164177</x:v>
      </x:c>
      <x:c r="I1085" s="159" t="n">
        <x:v>1902</x:v>
      </x:c>
      <x:c r="J1085" s="159" t="n">
        <x:v>21195</x:v>
      </x:c>
      <x:c r="K1085" s="159" t="n">
        <x:f>I1085-J1085</x:f>
        <x:v>-19293</x:v>
      </x:c>
      <x:c r="L1085" s="154" t="n">
        <x:f>IFERROR(K1085/D1085,"")</x:f>
        <x:v>-0.19149189586207582</x:v>
      </x:c>
    </x:row>
    <x:row r="1086">
      <x:c r="A1086" s="141" t="str">
        <x:v>Gold</x:v>
      </x:c>
      <x:c r="B1086" s="155" t="n">
        <x:v>46168</x:v>
      </x:c>
      <x:c r="C1086" s="155" t="n">
        <x:v>46171</x:v>
      </x:c>
      <x:c r="D1086" s="159" t="n">
        <x:v>353489</x:v>
      </x:c>
      <x:c r="E1086" s="159" t="n">
        <x:v>124277</x:v>
      </x:c>
      <x:c r="F1086" s="159" t="n">
        <x:v>26831</x:v>
      </x:c>
      <x:c r="G1086" s="159" t="n">
        <x:f>E1086-F1086</x:f>
        <x:v>97446</x:v>
      </x:c>
      <x:c r="H1086" s="154" t="n">
        <x:f>IFERROR(G1086/D1086,"")</x:f>
        <x:v>0.2756691155877552</x:v>
      </x:c>
      <x:c r="I1086" s="159" t="n">
        <x:v>12586</x:v>
      </x:c>
      <x:c r="J1086" s="159" t="n">
        <x:v>32096</x:v>
      </x:c>
      <x:c r="K1086" s="159" t="n">
        <x:f>I1086-J1086</x:f>
        <x:v>-19510</x:v>
      </x:c>
      <x:c r="L1086" s="154" t="n">
        <x:f>IFERROR(K1086/D1086,"")</x:f>
        <x:v>-0.055192665118292225</x:v>
      </x:c>
    </x:row>
    <x:row r="1087">
      <x:c r="A1087" s="141" t="str">
        <x:v>Silver</x:v>
      </x:c>
      <x:c r="B1087" s="155" t="n">
        <x:v>46168</x:v>
      </x:c>
      <x:c r="C1087" s="155" t="n">
        <x:v>46171</x:v>
      </x:c>
      <x:c r="D1087" s="159" t="n">
        <x:v>101744</x:v>
      </x:c>
      <x:c r="E1087" s="159" t="n">
        <x:v>16670</x:v>
      </x:c>
      <x:c r="F1087" s="159" t="n">
        <x:v>6615</x:v>
      </x:c>
      <x:c r="G1087" s="159" t="n">
        <x:f>E1087-F1087</x:f>
        <x:v>10055</x:v>
      </x:c>
      <x:c r="H1087" s="154" t="n">
        <x:f>IFERROR(G1087/D1087,"")</x:f>
        <x:v>0.0988264664255386</x:v>
      </x:c>
      <x:c r="I1087" s="159" t="n">
        <x:v>1412</x:v>
      </x:c>
      <x:c r="J1087" s="159" t="n">
        <x:v>20957</x:v>
      </x:c>
      <x:c r="K1087" s="159" t="n">
        <x:f>I1087-J1087</x:f>
        <x:v>-19545</x:v>
      </x:c>
      <x:c r="L1087" s="154" t="n">
        <x:f>IFERROR(K1087/D1087,"")</x:f>
        <x:v>-0.19209977983959742</x:v>
      </x:c>
    </x:row>
    <x:row r="1088">
      <x:c r="A1088" s="141" t="str">
        <x:v>Gold</x:v>
      </x:c>
      <x:c r="B1088" s="155" t="n">
        <x:v>46175</x:v>
      </x:c>
      <x:c r="C1088" s="155" t="n">
        <x:v>46178</x:v>
      </x:c>
      <x:c r="D1088" s="159" t="n">
        <x:v>326052</x:v>
      </x:c>
      <x:c r="E1088" s="159" t="n">
        <x:v>129367</x:v>
      </x:c>
      <x:c r="F1088" s="159" t="n">
        <x:v>17188</x:v>
      </x:c>
      <x:c r="G1088" s="159" t="n">
        <x:f>E1088-F1088</x:f>
        <x:v>112179</x:v>
      </x:c>
      <x:c r="H1088" s="154" t="n">
        <x:f>IFERROR(G1088/D1088,"")</x:f>
        <x:v>0.3440524824261161</x:v>
      </x:c>
      <x:c r="I1088" s="159" t="n">
        <x:v>10275</x:v>
      </x:c>
      <x:c r="J1088" s="159" t="n">
        <x:v>30429</x:v>
      </x:c>
      <x:c r="K1088" s="159" t="n">
        <x:f>I1088-J1088</x:f>
        <x:v>-20154</x:v>
      </x:c>
      <x:c r="L1088" s="154" t="n">
        <x:f>IFERROR(K1088/D1088,"")</x:f>
        <x:v>-0.06181222627065622</x:v>
      </x:c>
    </x:row>
    <x:row r="1089">
      <x:c r="A1089" s="141" t="str">
        <x:v>Silver</x:v>
      </x:c>
      <x:c r="B1089" s="155" t="n">
        <x:v>46175</x:v>
      </x:c>
      <x:c r="C1089" s="155" t="n">
        <x:v>46178</x:v>
      </x:c>
      <x:c r="D1089" s="159" t="n">
        <x:v>102809</x:v>
      </x:c>
      <x:c r="E1089" s="159" t="n">
        <x:v>17047</x:v>
      </x:c>
      <x:c r="F1089" s="159" t="n">
        <x:v>6603</x:v>
      </x:c>
      <x:c r="G1089" s="159" t="n">
        <x:f>E1089-F1089</x:f>
        <x:v>10444</x:v>
      </x:c>
      <x:c r="H1089" s="154" t="n">
        <x:f>IFERROR(G1089/D1089,"")</x:f>
        <x:v>0.10158643698508886</x:v>
      </x:c>
      <x:c r="I1089" s="159" t="n">
        <x:v>2140</x:v>
      </x:c>
      <x:c r="J1089" s="159" t="n">
        <x:v>20133</x:v>
      </x:c>
      <x:c r="K1089" s="159" t="n">
        <x:f>I1089-J1089</x:f>
        <x:v>-17993</x:v>
      </x:c>
      <x:c r="L1089" s="154" t="n">
        <x:f>IFERROR(K1089/D1089,"")</x:f>
        <x:v>-0.1750138606542229</x:v>
      </x:c>
    </x:row>
    <x:row r="1090">
      <x:c r="A1090" s="141" t="str">
        <x:v>Gold</x:v>
      </x:c>
      <x:c r="B1090" s="155" t="n">
        <x:v>46182</x:v>
      </x:c>
      <x:c r="C1090" s="155" t="n">
        <x:v>46185</x:v>
      </x:c>
      <x:c r="D1090" s="159" t="n">
        <x:v>332709</x:v>
      </x:c>
      <x:c r="E1090" s="159" t="n">
        <x:v>126280</x:v>
      </x:c>
      <x:c r="F1090" s="159" t="n">
        <x:v>20417</x:v>
      </x:c>
      <x:c r="G1090" s="159" t="n">
        <x:f>E1090-F1090</x:f>
        <x:v>105863</x:v>
      </x:c>
      <x:c r="H1090" s="154" t="n">
        <x:f>IFERROR(G1090/D1090,"")</x:f>
        <x:v>0.31818496043088706</x:v>
      </x:c>
      <x:c r="I1090" s="159" t="n">
        <x:v>10833</x:v>
      </x:c>
      <x:c r="J1090" s="159" t="n">
        <x:v>30133</x:v>
      </x:c>
      <x:c r="K1090" s="159" t="n">
        <x:f>I1090-J1090</x:f>
        <x:v>-19300</x:v>
      </x:c>
      <x:c r="L1090" s="154" t="n">
        <x:f>IFERROR(K1090/D1090,"")</x:f>
        <x:v>-0.05800865020182802</x:v>
      </x:c>
    </x:row>
    <x:row r="1091">
      <x:c r="A1091" s="141" t="str">
        <x:v>Silver</x:v>
      </x:c>
      <x:c r="B1091" s="155" t="n">
        <x:v>46182</x:v>
      </x:c>
      <x:c r="C1091" s="155" t="n">
        <x:v>46185</x:v>
      </x:c>
      <x:c r="D1091" s="159" t="n">
        <x:v>103440</x:v>
      </x:c>
      <x:c r="E1091" s="159" t="n">
        <x:v>16336</x:v>
      </x:c>
      <x:c r="F1091" s="159" t="n">
        <x:v>5933</x:v>
      </x:c>
      <x:c r="G1091" s="159" t="n">
        <x:f>E1091-F1091</x:f>
        <x:v>10403</x:v>
      </x:c>
      <x:c r="H1091" s="154" t="n">
        <x:f>IFERROR(G1091/D1091,"")</x:f>
        <x:v>0.10057037896365043</x:v>
      </x:c>
      <x:c r="I1091" s="159" t="n">
        <x:v>3740</x:v>
      </x:c>
      <x:c r="J1091" s="159" t="n">
        <x:v>20399</x:v>
      </x:c>
      <x:c r="K1091" s="159" t="n">
        <x:f>I1091-J1091</x:f>
        <x:v>-16659</x:v>
      </x:c>
      <x:c r="L1091" s="154" t="n">
        <x:f>IFERROR(K1091/D1091,"")</x:f>
        <x:v>-0.16104988399071926</x:v>
      </x:c>
    </x:row>
    <x:row r="1092">
      <x:c r="A1092" s="141" t="str">
        <x:v>Gold</x:v>
      </x:c>
      <x:c r="B1092" s="155" t="n">
        <x:v>46189</x:v>
      </x:c>
      <x:c r="C1092" s="155" t="n">
        <x:v>46192</x:v>
      </x:c>
      <x:c r="D1092" s="159" t="n">
        <x:v>339330</x:v>
      </x:c>
      <x:c r="E1092" s="159" t="n">
        <x:v>128043</x:v>
      </x:c>
      <x:c r="F1092" s="159" t="n">
        <x:v>14322</x:v>
      </x:c>
      <x:c r="G1092" s="159" t="n">
        <x:f>E1092-F1092</x:f>
        <x:v>113721</x:v>
      </x:c>
      <x:c r="H1092" s="154" t="n">
        <x:f>IFERROR(G1092/D1092,"")</x:f>
        <x:v>0.33513394041198835</x:v>
      </x:c>
      <x:c r="I1092" s="159" t="n">
        <x:v>12191</x:v>
      </x:c>
      <x:c r="J1092" s="159" t="n">
        <x:v>29238</x:v>
      </x:c>
      <x:c r="K1092" s="159" t="n">
        <x:f>I1092-J1092</x:f>
        <x:v>-17047</x:v>
      </x:c>
      <x:c r="L1092" s="154" t="n">
        <x:f>IFERROR(K1092/D1092,"")</x:f>
        <x:v>-0.05023723219285062</x:v>
      </x:c>
    </x:row>
    <x:row r="1093">
      <x:c r="A1093" s="141" t="str">
        <x:v>Silver</x:v>
      </x:c>
      <x:c r="B1093" s="155" t="n">
        <x:v>46189</x:v>
      </x:c>
      <x:c r="C1093" s="155" t="n">
        <x:v>46192</x:v>
      </x:c>
      <x:c r="D1093" s="159" t="n">
        <x:v>107721</x:v>
      </x:c>
      <x:c r="E1093" s="159" t="n">
        <x:v>18739</x:v>
      </x:c>
      <x:c r="F1093" s="159" t="n">
        <x:v>5854</x:v>
      </x:c>
      <x:c r="G1093" s="159" t="n">
        <x:f>E1093-F1093</x:f>
        <x:v>12885</x:v>
      </x:c>
      <x:c r="H1093" s="154" t="n">
        <x:f>IFERROR(G1093/D1093,"")</x:f>
        <x:v>0.11961455983512964</x:v>
      </x:c>
      <x:c r="I1093" s="159" t="n">
        <x:v>3662</x:v>
      </x:c>
      <x:c r="J1093" s="159" t="n">
        <x:v>20274</x:v>
      </x:c>
      <x:c r="K1093" s="159" t="n">
        <x:f>I1093-J1093</x:f>
        <x:v>-16612</x:v>
      </x:c>
      <x:c r="L1093" s="154" t="n">
        <x:f>IFERROR(K1093/D1093,"")</x:f>
        <x:v>-0.15421319891200416</x:v>
      </x:c>
    </x:row>
    <x:row r="1094">
      <x:c r="A1094" s="141" t="str">
        <x:v>Gold</x:v>
      </x:c>
      <x:c r="B1094" s="155" t="n">
        <x:v>46196</x:v>
      </x:c>
      <x:c r="C1094" s="155" t="n">
        <x:v>46199</x:v>
      </x:c>
      <x:c r="D1094" s="159" t="n">
        <x:v>352167</x:v>
      </x:c>
      <x:c r="E1094" s="159" t="n">
        <x:v>131102</x:v>
      </x:c>
      <x:c r="F1094" s="159" t="n">
        <x:v>15707</x:v>
      </x:c>
      <x:c r="G1094" s="159" t="n">
        <x:f>E1094-F1094</x:f>
        <x:v>115395</x:v>
      </x:c>
      <x:c r="H1094" s="154" t="n">
        <x:f>IFERROR(G1094/D1094,"")</x:f>
        <x:v>0.32767124688003135</x:v>
      </x:c>
      <x:c r="I1094" s="159" t="n">
        <x:v>15839</x:v>
      </x:c>
      <x:c r="J1094" s="159" t="n">
        <x:v>25175</x:v>
      </x:c>
      <x:c r="K1094" s="159" t="n">
        <x:f>I1094-J1094</x:f>
        <x:v>-9336</x:v>
      </x:c>
      <x:c r="L1094" s="154" t="n">
        <x:f>IFERROR(K1094/D1094,"")</x:f>
        <x:v>-0.026510150014055833</x:v>
      </x:c>
    </x:row>
    <x:row r="1095">
      <x:c r="A1095" s="141" t="str">
        <x:v>Silver</x:v>
      </x:c>
      <x:c r="B1095" s="155" t="n">
        <x:v>46196</x:v>
      </x:c>
      <x:c r="C1095" s="155" t="n">
        <x:v>46199</x:v>
      </x:c>
      <x:c r="D1095" s="159" t="n">
        <x:v>108944</x:v>
      </x:c>
      <x:c r="E1095" s="159" t="n">
        <x:v>17559</x:v>
      </x:c>
      <x:c r="F1095" s="159" t="n">
        <x:v>5818</x:v>
      </x:c>
      <x:c r="G1095" s="159" t="n">
        <x:f>E1095-F1095</x:f>
        <x:v>11741</x:v>
      </x:c>
      <x:c r="H1095" s="154" t="n">
        <x:f>IFERROR(G1095/D1095,"")</x:f>
        <x:v>0.10777096489939786</x:v>
      </x:c>
      <x:c r="I1095" s="159" t="n">
        <x:v>4627</x:v>
      </x:c>
      <x:c r="J1095" s="159" t="n">
        <x:v>18349</x:v>
      </x:c>
      <x:c r="K1095" s="159" t="n">
        <x:f>I1095-J1095</x:f>
        <x:v>-13722</x:v>
      </x:c>
      <x:c r="L1095" s="154" t="n">
        <x:f>IFERROR(K1095/D1095,"")</x:f>
        <x:v>-0.1259546188867675</x:v>
      </x:c>
    </x:row>
    <x:row r="1096">
      <x:c r="A1096" s="141" t="str">
        <x:v>Gold</x:v>
      </x:c>
      <x:c r="B1096" s="155" t="n">
        <x:v>46203</x:v>
      </x:c>
      <x:c r="C1096" s="155" t="n">
        <x:v>46206</x:v>
      </x:c>
      <x:c r="D1096" s="159" t="n">
        <x:v>369541</x:v>
      </x:c>
      <x:c r="E1096" s="159" t="n">
        <x:v>134577</x:v>
      </x:c>
      <x:c r="F1096" s="159" t="n">
        <x:v>14486</x:v>
      </x:c>
      <x:c r="G1096" s="159" t="n">
        <x:f>E1096-F1096</x:f>
        <x:v>120091</x:v>
      </x:c>
      <x:c r="H1096" s="154" t="n">
        <x:f>IFERROR(G1096/D1096,"")</x:f>
        <x:v>0.3249734129636495</x:v>
      </x:c>
      <x:c r="I1096" s="159" t="n">
        <x:v>15161</x:v>
      </x:c>
      <x:c r="J1096" s="159" t="n">
        <x:v>32207</x:v>
      </x:c>
      <x:c r="K1096" s="159" t="n">
        <x:f>I1096-J1096</x:f>
        <x:v>-17046</x:v>
      </x:c>
      <x:c r="L1096" s="154" t="n">
        <x:f>IFERROR(K1096/D1096,"")</x:f>
        <x:v>-0.04612749329573714</x:v>
      </x:c>
    </x:row>
    <x:row r="1097">
      <x:c r="A1097" s="141" t="str">
        <x:v>Silver</x:v>
      </x:c>
      <x:c r="B1097" s="155" t="n">
        <x:v>46203</x:v>
      </x:c>
      <x:c r="C1097" s="155" t="n">
        <x:v>46206</x:v>
      </x:c>
      <x:c r="D1097" s="159" t="n">
        <x:v>108964</x:v>
      </x:c>
      <x:c r="E1097" s="159" t="n">
        <x:v>19349</x:v>
      </x:c>
      <x:c r="F1097" s="159" t="n">
        <x:v>5567</x:v>
      </x:c>
      <x:c r="G1097" s="159" t="n">
        <x:f>E1097-F1097</x:f>
        <x:v>13782</x:v>
      </x:c>
      <x:c r="H1097" s="154" t="n">
        <x:f>IFERROR(G1097/D1097,"")</x:f>
        <x:v>0.12648214089056936</x:v>
      </x:c>
      <x:c r="I1097" s="159" t="n">
        <x:v>5108</x:v>
      </x:c>
      <x:c r="J1097" s="159" t="n">
        <x:v>17379</x:v>
      </x:c>
      <x:c r="K1097" s="159" t="n">
        <x:f>I1097-J1097</x:f>
        <x:v>-12271</x:v>
      </x:c>
      <x:c r="L1097" s="154" t="n">
        <x:f>IFERROR(K1097/D1097,"")</x:f>
        <x:v>-0.11261517565434455</x:v>
      </x:c>
    </x:row>
    <x:row r="1098">
      <x:c r="A1098" s="141" t="str">
        <x:v>Gold</x:v>
      </x:c>
      <x:c r="B1098" s="155" t="n">
        <x:v>46210</x:v>
      </x:c>
      <x:c r="C1098" s="155" t="n">
        <x:v>46213</x:v>
      </x:c>
      <x:c r="D1098" s="159" t="n">
        <x:v>371776</x:v>
      </x:c>
      <x:c r="E1098" s="159" t="n">
        <x:v>134941</x:v>
      </x:c>
      <x:c r="F1098" s="159" t="n">
        <x:v>18780</x:v>
      </x:c>
      <x:c r="G1098" s="159" t="n">
        <x:f>E1098-F1098</x:f>
        <x:v>116161</x:v>
      </x:c>
      <x:c r="H1098" s="154" t="n">
        <x:f>IFERROR(G1098/D1098,"")</x:f>
        <x:v>0.3124488939576519</x:v>
      </x:c>
      <x:c r="I1098" s="159" t="n">
        <x:v>14282</x:v>
      </x:c>
      <x:c r="J1098" s="159" t="n">
        <x:v>35268</x:v>
      </x:c>
      <x:c r="K1098" s="159" t="n">
        <x:f>I1098-J1098</x:f>
        <x:v>-20986</x:v>
      </x:c>
      <x:c r="L1098" s="154" t="n">
        <x:f>IFERROR(K1098/D1098,"")</x:f>
        <x:v>-0.05644796866930625</x:v>
      </x:c>
    </x:row>
    <x:row r="1099">
      <x:c r="A1099" s="141" t="str">
        <x:v>Silver</x:v>
      </x:c>
      <x:c r="B1099" s="155" t="n">
        <x:v>46210</x:v>
      </x:c>
      <x:c r="C1099" s="155" t="n">
        <x:v>46213</x:v>
      </x:c>
      <x:c r="D1099" s="159" t="n">
        <x:v>104859</x:v>
      </x:c>
      <x:c r="E1099" s="159" t="n">
        <x:v>19294</x:v>
      </x:c>
      <x:c r="F1099" s="159" t="n">
        <x:v>6093</x:v>
      </x:c>
      <x:c r="G1099" s="159" t="n">
        <x:f>E1099-F1099</x:f>
        <x:v>13201</x:v>
      </x:c>
      <x:c r="H1099" s="154" t="n">
        <x:f>IFERROR(G1099/D1099,"")</x:f>
        <x:v>0.1258928656576927</x:v>
      </x:c>
      <x:c r="I1099" s="159" t="n">
        <x:v>5069</x:v>
      </x:c>
      <x:c r="J1099" s="159" t="n">
        <x:v>18425</x:v>
      </x:c>
      <x:c r="K1099" s="159" t="n">
        <x:f>I1099-J1099</x:f>
        <x:v>-13356</x:v>
      </x:c>
      <x:c r="L1099" s="154" t="n">
        <x:f>IFERROR(K1099/D1099,"")</x:f>
        <x:v>-0.12737104111235087</x:v>
      </x:c>
    </x:row>
  </x:sheetData>
  <x:pageMargins left="0.7" right="0.7" top="0.75" bottom="0.75" header="0.3" footer="0.3"/>
  <x:tableParts count="1">
    <x:tablePart xmlns:r="http://schemas.openxmlformats.org/officeDocument/2006/relationships" r:id="R0373bde5f4d04b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42" hidden="0" customWidth="1"/>
  </x:cols>
  <x:sheetData>
    <x:row r="1" ht="42" customHeight="1">
      <x:c r="A1" s="151" t="str">
        <x:v>month</x:v>
      </x:c>
      <x:c r="B1" s="151" t="str">
        <x:v>gold_usd_oz</x:v>
      </x:c>
      <x:c r="C1" s="151" t="str">
        <x:v>silver_usd_oz</x:v>
      </x:c>
      <x:c r="D1" s="151" t="str">
        <x:v>brent_usd_bbl</x:v>
      </x:c>
      <x:c r="E1" s="151" t="str">
        <x:v>copper_usd_mt</x:v>
      </x:c>
      <x:c r="F1" s="151" t="str">
        <x:v>gold_silver_ratio</x:v>
      </x:c>
      <x:c r="G1" s="151" t="str">
        <x:v>gold_return_1m</x:v>
      </x:c>
      <x:c r="H1" s="151" t="str">
        <x:v>silver_return_1m</x:v>
      </x:c>
      <x:c r="I1" s="151" t="str">
        <x:v>brent_return_1m</x:v>
      </x:c>
      <x:c r="J1" s="151" t="str">
        <x:v>copper_return_1m</x:v>
      </x:c>
      <x:c r="K1" s="151" t="str">
        <x:v>nominal_10y_avg_pct</x:v>
      </x:c>
      <x:c r="L1" s="151" t="str">
        <x:v>real_10y_avg_pct</x:v>
      </x:c>
      <x:c r="M1" s="151" t="str">
        <x:v>real_10y_change_1m</x:v>
      </x:c>
      <x:c r="N1" s="151" t="str">
        <x:v>breakeven_10y_avg_pct</x:v>
      </x:c>
      <x:c r="O1" s="151" t="str">
        <x:v>broad_dollar_avg</x:v>
      </x:c>
      <x:c r="P1" s="151" t="str">
        <x:v>broad_dollar_return_1m</x:v>
      </x:c>
      <x:c r="Q1" s="151" t="str">
        <x:v>vix_avg</x:v>
      </x:c>
      <x:c r="R1" s="151" t="str">
        <x:v>fed_funds_avg_pct</x:v>
      </x:c>
      <x:c r="S1" s="151" t="str">
        <x:v>cpi_index</x:v>
      </x:c>
      <x:c r="T1" s="151" t="str">
        <x:v>cpi_yoy</x:v>
      </x:c>
      <x:c r="U1" s="151" t="str">
        <x:v>indpro_index</x:v>
      </x:c>
      <x:c r="V1" s="151" t="str">
        <x:v>indpro_yoy</x:v>
      </x:c>
      <x:c r="W1" s="151" t="str">
        <x:v>fed_assets_usd_mn</x:v>
      </x:c>
      <x:c r="X1" s="151" t="str">
        <x:v>fed_assets_change_1m</x:v>
      </x:c>
      <x:c r="Y1" s="151" t="str">
        <x:v>gpr_global</x:v>
      </x:c>
      <x:c r="Z1" s="151" t="str">
        <x:v>gpr_change_1m</x:v>
      </x:c>
      <x:c r="AA1" s="151" t="str">
        <x:v>cftc_mm_net_gold_avg</x:v>
      </x:c>
      <x:c r="AB1" s="151" t="str">
        <x:v>cftc_mm_net_gold_change_1m</x:v>
      </x:c>
      <x:c r="AC1" s="151" t="str">
        <x:v>cftc_mm_net_silver_avg</x:v>
      </x:c>
      <x:c r="AD1" s="151" t="str">
        <x:v>cftc_mm_net_silver_change_1m</x:v>
      </x:c>
      <x:c r="AE1" s="151" t="str">
        <x:v>china_epu_partial</x:v>
      </x:c>
      <x:c r="AF1" s="151" t="str">
        <x:v>data_note</x:v>
      </x:c>
    </x:row>
    <x:row r="2">
      <x:c r="A2" s="152" t="n">
        <x:v>42370</x:v>
      </x:c>
      <x:c r="B2" s="153" t="n">
        <x:v>1098</x:v>
      </x:c>
      <x:c r="C2" s="153" t="n">
        <x:v>14.1</x:v>
      </x:c>
      <x:c r="D2" s="153" t="n">
        <x:v>30.8</x:v>
      </x:c>
      <x:c r="E2" s="153" t="n">
        <x:v>4472</x:v>
      </x:c>
      <x:c r="F2" s="153" t="n">
        <x:f>IFERROR(B2/C2,"")</x:f>
        <x:v>77.87234042553192</x:v>
      </x:c>
      <x:c r="G2" s="154"/>
      <x:c r="H2" s="154"/>
      <x:c r="I2" s="154"/>
      <x:c r="J2" s="154"/>
      <x:c r="K2" s="153" t="n">
        <x:v>2.085263157894737</x:v>
      </x:c>
      <x:c r="L2" s="153" t="n">
        <x:v>0.6652631578947368</x:v>
      </x:c>
      <x:c r="M2" s="153"/>
      <x:c r="N2" s="153" t="n">
        <x:v>1.42</x:v>
      </x:c>
      <x:c r="O2" s="153" t="n">
        <x:v>115.23438750000003</x:v>
      </x:c>
      <x:c r="P2" s="153"/>
      <x:c r="Q2" s="153" t="n">
        <x:v>23.7178947368421</x:v>
      </x:c>
      <x:c r="R2" s="153" t="n">
        <x:v>0.3429032258064517</x:v>
      </x:c>
      <x:c r="S2" s="141" t="n">
        <x:v>237.652</x:v>
      </x:c>
      <x:c r="T2" s="154"/>
      <x:c r="U2" s="141" t="n">
        <x:v>99.5607</x:v>
      </x:c>
      <x:c r="V2" s="154"/>
      <x:c r="W2" s="141" t="n">
        <x:v>4482349</x:v>
      </x:c>
      <x:c r="X2" s="154"/>
      <x:c r="Y2" s="141" t="n">
        <x:v>118.21114</x:v>
      </x:c>
      <x:c r="Z2" s="141"/>
      <x:c r="AA2" s="141" t="n">
        <x:v>351.75</x:v>
      </x:c>
      <x:c r="AB2" s="141"/>
      <x:c r="AC2" s="141" t="n">
        <x:v>14571.25</x:v>
      </x:c>
      <x:c r="AD2" s="141"/>
      <x:c r="AE2" s="141"/>
      <x:c r="AF2" s="147" t="str"/>
    </x:row>
    <x:row r="3">
      <x:c r="A3" s="152" t="n">
        <x:v>42401</x:v>
      </x:c>
      <x:c r="B3" s="153" t="n">
        <x:v>1200</x:v>
      </x:c>
      <x:c r="C3" s="153" t="n">
        <x:v>15.2</x:v>
      </x:c>
      <x:c r="D3" s="153" t="n">
        <x:v>33.2</x:v>
      </x:c>
      <x:c r="E3" s="153" t="n">
        <x:v>4599</x:v>
      </x:c>
      <x:c r="F3" s="153" t="n">
        <x:f>IFERROR(B3/C3,"")</x:f>
        <x:v>78.94736842105263</x:v>
      </x:c>
      <x:c r="G3" s="154" t="n">
        <x:f>IFERROR(B3/B2-1,"")</x:f>
        <x:v>0.09289617486338808</x:v>
      </x:c>
      <x:c r="H3" s="154" t="n">
        <x:f>IFERROR(C3/C2-1,"")</x:f>
        <x:v>0.07801418439716312</x:v>
      </x:c>
      <x:c r="I3" s="154" t="n">
        <x:f>IFERROR(D3/D2-1,"")</x:f>
        <x:v>0.07792207792207795</x:v>
      </x:c>
      <x:c r="J3" s="154" t="n">
        <x:f>IFERROR(E3/E2-1,"")</x:f>
        <x:v>0.02839892665474064</x:v>
      </x:c>
      <x:c r="K3" s="153" t="n">
        <x:v>1.7794999999999999</x:v>
      </x:c>
      <x:c r="L3" s="153" t="n">
        <x:v>0.4720000000000001</x:v>
      </x:c>
      <x:c r="M3" s="153" t="n">
        <x:f>IFERROR(L3-L2,"")</x:f>
        <x:v>-0.1932631578947367</x:v>
      </x:c>
      <x:c r="N3" s="153" t="n">
        <x:v>1.3074999999999999</x:v>
      </x:c>
      <x:c r="O3" s="153" t="n">
        <x:v>114.28173499999998</x:v>
      </x:c>
      <x:c r="P3" s="153" t="n">
        <x:f>IFERROR(O3/O2-1,"")</x:f>
        <x:v>-0.008267085204926694</x:v>
      </x:c>
      <x:c r="Q3" s="153" t="n">
        <x:v>22.517000000000003</x:v>
      </x:c>
      <x:c r="R3" s="153" t="n">
        <x:v>0.37517241379310334</x:v>
      </x:c>
      <x:c r="S3" s="141" t="n">
        <x:v>237.336</x:v>
      </x:c>
      <x:c r="T3" s="154"/>
      <x:c r="U3" s="141" t="n">
        <x:v>99.0445</x:v>
      </x:c>
      <x:c r="V3" s="154"/>
      <x:c r="W3" s="141" t="n">
        <x:v>4489796</x:v>
      </x:c>
      <x:c r="X3" s="154" t="n">
        <x:f>IFERROR(W3/W2-1,"")</x:f>
        <x:v>0.0016614056602910487</x:v>
      </x:c>
      <x:c r="Y3" s="141" t="n">
        <x:v>103.74965</x:v>
      </x:c>
      <x:c r="Z3" s="141" t="n">
        <x:f>IFERROR(Y3-Y2,"")</x:f>
        <x:v>-14.461489999999998</x:v>
      </x:c>
      <x:c r="AA3" s="141" t="n">
        <x:v>69945.5</x:v>
      </x:c>
      <x:c r="AB3" s="141" t="n">
        <x:f>IFERROR(AA3-AA2,"")</x:f>
        <x:v>69593.75</x:v>
      </x:c>
      <x:c r="AC3" s="141" t="n">
        <x:v>40875.75</x:v>
      </x:c>
      <x:c r="AD3" s="141" t="n">
        <x:f>IFERROR(AC3-AC2,"")</x:f>
        <x:v>26304.5</x:v>
      </x:c>
      <x:c r="AE3" s="141"/>
      <x:c r="AF3" s="147" t="str"/>
    </x:row>
    <x:row r="4">
      <x:c r="A4" s="152" t="n">
        <x:v>42430</x:v>
      </x:c>
      <x:c r="B4" s="153" t="n">
        <x:v>1245</x:v>
      </x:c>
      <x:c r="C4" s="153" t="n">
        <x:v>15.5</x:v>
      </x:c>
      <x:c r="D4" s="153" t="n">
        <x:v>39.1</x:v>
      </x:c>
      <x:c r="E4" s="153" t="n">
        <x:v>4954</x:v>
      </x:c>
      <x:c r="F4" s="153" t="n">
        <x:f>IFERROR(B4/C4,"")</x:f>
        <x:v>80.3225806451613</x:v>
      </x:c>
      <x:c r="G4" s="154" t="n">
        <x:f>IFERROR(B4/B3-1,"")</x:f>
        <x:v>0.03750000000000009</x:v>
      </x:c>
      <x:c r="H4" s="154" t="n">
        <x:f>IFERROR(C4/C3-1,"")</x:f>
        <x:v>0.019736842105263275</x:v>
      </x:c>
      <x:c r="I4" s="154" t="n">
        <x:f>IFERROR(D4/D3-1,"")</x:f>
        <x:v>0.17771084337349397</x:v>
      </x:c>
      <x:c r="J4" s="154" t="n">
        <x:f>IFERROR(E4/E3-1,"")</x:f>
        <x:v>0.07719069362904984</x:v>
      </x:c>
      <x:c r="K4" s="153" t="n">
        <x:v>1.889090909090909</x:v>
      </x:c>
      <x:c r="L4" s="153" t="n">
        <x:v>0.3372727272727273</x:v>
      </x:c>
      <x:c r="M4" s="153" t="n">
        <x:f>IFERROR(L4-L3,"")</x:f>
        <x:v>-0.1347272727272728</x:v>
      </x:c>
      <x:c r="N4" s="153" t="n">
        <x:v>1.5518181818181818</x:v>
      </x:c>
      <x:c r="O4" s="153" t="n">
        <x:v>111.89339130434782</x:v>
      </x:c>
      <x:c r="P4" s="153" t="n">
        <x:f>IFERROR(O4/O3-1,"")</x:f>
        <x:v>-0.020898735004785896</x:v>
      </x:c>
      <x:c r="Q4" s="153" t="n">
        <x:v>15.84909090909091</x:v>
      </x:c>
      <x:c r="R4" s="153" t="n">
        <x:v>0.3622580645161288</x:v>
      </x:c>
      <x:c r="S4" s="141" t="n">
        <x:v>238.08</x:v>
      </x:c>
      <x:c r="T4" s="154"/>
      <x:c r="U4" s="141" t="n">
        <x:v>98.3096</x:v>
      </x:c>
      <x:c r="V4" s="154"/>
      <x:c r="W4" s="141" t="n">
        <x:v>4482840</x:v>
      </x:c>
      <x:c r="X4" s="154" t="n">
        <x:f>IFERROR(W4/W3-1,"")</x:f>
        <x:v>-0.0015492908809220385</x:v>
      </x:c>
      <x:c r="Y4" s="141" t="n">
        <x:v>109.72029</x:v>
      </x:c>
      <x:c r="Z4" s="141" t="n">
        <x:f>IFERROR(Y4-Y3,"")</x:f>
        <x:v>5.970640000000003</x:v>
      </x:c>
      <x:c r="AA4" s="141" t="n">
        <x:v>126618.25</x:v>
      </x:c>
      <x:c r="AB4" s="141" t="n">
        <x:f>IFERROR(AA4-AA3,"")</x:f>
        <x:v>56672.75</x:v>
      </x:c>
      <x:c r="AC4" s="141" t="n">
        <x:v>50396.25</x:v>
      </x:c>
      <x:c r="AD4" s="141" t="n">
        <x:f>IFERROR(AC4-AC3,"")</x:f>
        <x:v>9520.5</x:v>
      </x:c>
      <x:c r="AE4" s="141"/>
      <x:c r="AF4" s="147" t="str"/>
    </x:row>
    <x:row r="5">
      <x:c r="A5" s="152" t="n">
        <x:v>42461</x:v>
      </x:c>
      <x:c r="B5" s="153" t="n">
        <x:v>1242</x:v>
      </x:c>
      <x:c r="C5" s="153" t="n">
        <x:v>16.4</x:v>
      </x:c>
      <x:c r="D5" s="153" t="n">
        <x:v>42.3</x:v>
      </x:c>
      <x:c r="E5" s="153" t="n">
        <x:v>4873</x:v>
      </x:c>
      <x:c r="F5" s="153" t="n">
        <x:f>IFERROR(B5/C5,"")</x:f>
        <x:v>75.73170731707317</x:v>
      </x:c>
      <x:c r="G5" s="154" t="n">
        <x:f>IFERROR(B5/B4-1,"")</x:f>
        <x:v>-0.002409638554216831</x:v>
      </x:c>
      <x:c r="H5" s="154" t="n">
        <x:f>IFERROR(C5/C4-1,"")</x:f>
        <x:v>0.05806451612903207</x:v>
      </x:c>
      <x:c r="I5" s="154" t="n">
        <x:f>IFERROR(D5/D4-1,"")</x:f>
        <x:v>0.08184143222506379</x:v>
      </x:c>
      <x:c r="J5" s="154" t="n">
        <x:f>IFERROR(E5/E4-1,"")</x:f>
        <x:v>-0.01635042389987884</x:v>
      </x:c>
      <x:c r="K5" s="153" t="n">
        <x:v>1.8052380952380953</x:v>
      </x:c>
      <x:c r="L5" s="153" t="n">
        <x:v>0.19047619047619047</x:v>
      </x:c>
      <x:c r="M5" s="153" t="n">
        <x:f>IFERROR(L5-L4,"")</x:f>
        <x:v>-0.14679653679653681</x:v>
      </x:c>
      <x:c r="N5" s="153" t="n">
        <x:v>1.6147619047619048</x:v>
      </x:c>
      <x:c r="O5" s="153" t="n">
        <x:v>110.01707619047619</x:v>
      </x:c>
      <x:c r="P5" s="153" t="n">
        <x:f>IFERROR(O5/O4-1,"")</x:f>
        <x:v>-0.016768775099220035</x:v>
      </x:c>
      <x:c r="Q5" s="153" t="n">
        <x:v>14.300476190476191</x:v>
      </x:c>
      <x:c r="R5" s="153" t="n">
        <x:v>0.36533333333333323</x:v>
      </x:c>
      <x:c r="S5" s="141" t="n">
        <x:v>238.992</x:v>
      </x:c>
      <x:c r="T5" s="154"/>
      <x:c r="U5" s="141" t="n">
        <x:v>98.6421</x:v>
      </x:c>
      <x:c r="V5" s="154"/>
      <x:c r="W5" s="141" t="n">
        <x:v>4474665</x:v>
      </x:c>
      <x:c r="X5" s="154" t="n">
        <x:f>IFERROR(W5/W4-1,"")</x:f>
        <x:v>-0.001823620740423526</x:v>
      </x:c>
      <x:c r="Y5" s="141" t="n">
        <x:v>85.22145</x:v>
      </x:c>
      <x:c r="Z5" s="141" t="n">
        <x:f>IFERROR(Y5-Y4,"")</x:f>
        <x:v>-24.49884</x:v>
      </x:c>
      <x:c r="AA5" s="141" t="n">
        <x:v>164750.8</x:v>
      </x:c>
      <x:c r="AB5" s="141" t="n">
        <x:f>IFERROR(AA5-AA4,"")</x:f>
        <x:v>38132.54999999999</x:v>
      </x:c>
      <x:c r="AC5" s="141" t="n">
        <x:v>56552.8</x:v>
      </x:c>
      <x:c r="AD5" s="141" t="n">
        <x:f>IFERROR(AC5-AC4,"")</x:f>
        <x:v>6156.550000000003</x:v>
      </x:c>
      <x:c r="AE5" s="141"/>
      <x:c r="AF5" s="147" t="str"/>
    </x:row>
    <x:row r="6">
      <x:c r="A6" s="152" t="n">
        <x:v>42491</x:v>
      </x:c>
      <x:c r="B6" s="153" t="n">
        <x:v>1261</x:v>
      </x:c>
      <x:c r="C6" s="153" t="n">
        <x:v>16.9</x:v>
      </x:c>
      <x:c r="D6" s="153" t="n">
        <x:v>47.1</x:v>
      </x:c>
      <x:c r="E6" s="153" t="n">
        <x:v>4695</x:v>
      </x:c>
      <x:c r="F6" s="153" t="n">
        <x:f>IFERROR(B6/C6,"")</x:f>
        <x:v>74.61538461538463</x:v>
      </x:c>
      <x:c r="G6" s="154" t="n">
        <x:f>IFERROR(B6/B5-1,"")</x:f>
        <x:v>0.015297906602254496</x:v>
      </x:c>
      <x:c r="H6" s="154" t="n">
        <x:f>IFERROR(C6/C5-1,"")</x:f>
        <x:v>0.030487804878048808</x:v>
      </x:c>
      <x:c r="I6" s="154" t="n">
        <x:f>IFERROR(D6/D5-1,"")</x:f>
        <x:v>0.1134751773049647</x:v>
      </x:c>
      <x:c r="J6" s="154" t="n">
        <x:f>IFERROR(E6/E5-1,"")</x:f>
        <x:v>-0.03652780627949925</x:v>
      </x:c>
      <x:c r="K6" s="153" t="n">
        <x:v>1.8061904761904766</x:v>
      </x:c>
      <x:c r="L6" s="153" t="n">
        <x:v>0.21190476190476187</x:v>
      </x:c>
      <x:c r="M6" s="153" t="n">
        <x:f>IFERROR(L6-L5,"")</x:f>
        <x:v>0.021428571428571408</x:v>
      </x:c>
      <x:c r="N6" s="153" t="n">
        <x:v>1.5942857142857139</x:v>
      </x:c>
      <x:c r="O6" s="153" t="n">
        <x:v>111.14051428571426</x:v>
      </x:c>
      <x:c r="P6" s="153" t="n">
        <x:f>IFERROR(O6/O5-1,"")</x:f>
        <x:v>0.010211488381067557</x:v>
      </x:c>
      <x:c r="Q6" s="153" t="n">
        <x:v>14.852857142857141</x:v>
      </x:c>
      <x:c r="R6" s="153" t="n">
        <x:v>0.3651612903225805</x:v>
      </x:c>
      <x:c r="S6" s="141" t="n">
        <x:v>239.557</x:v>
      </x:c>
      <x:c r="T6" s="154"/>
      <x:c r="U6" s="141" t="n">
        <x:v>98.4184</x:v>
      </x:c>
      <x:c r="V6" s="154"/>
      <x:c r="W6" s="141" t="n">
        <x:v>4461111</x:v>
      </x:c>
      <x:c r="X6" s="154" t="n">
        <x:f>IFERROR(W6/W5-1,"")</x:f>
        <x:v>-0.003029053571608209</x:v>
      </x:c>
      <x:c r="Y6" s="141" t="n">
        <x:v>88.33242</x:v>
      </x:c>
      <x:c r="Z6" s="141" t="n">
        <x:f>IFERROR(Y6-Y5,"")</x:f>
        <x:v>3.1109699999999947</x:v>
      </x:c>
      <x:c r="AA6" s="141" t="n">
        <x:v>199747</x:v>
      </x:c>
      <x:c r="AB6" s="141" t="n">
        <x:f>IFERROR(AA6-AA5,"")</x:f>
        <x:v>34996.20000000001</x:v>
      </x:c>
      <x:c r="AC6" s="141" t="n">
        <x:v>66874.75</x:v>
      </x:c>
      <x:c r="AD6" s="141" t="n">
        <x:f>IFERROR(AC6-AC5,"")</x:f>
        <x:v>10321.949999999997</x:v>
      </x:c>
      <x:c r="AE6" s="141"/>
      <x:c r="AF6" s="147" t="str"/>
    </x:row>
    <x:row r="7">
      <x:c r="A7" s="152" t="n">
        <x:v>42522</x:v>
      </x:c>
      <x:c r="B7" s="153" t="n">
        <x:v>1276</x:v>
      </x:c>
      <x:c r="C7" s="153" t="n">
        <x:v>17.3</x:v>
      </x:c>
      <x:c r="D7" s="153" t="n">
        <x:v>48.5</x:v>
      </x:c>
      <x:c r="E7" s="153" t="n">
        <x:v>4642</x:v>
      </x:c>
      <x:c r="F7" s="153" t="n">
        <x:f>IFERROR(B7/C7,"")</x:f>
        <x:v>73.757225433526</x:v>
      </x:c>
      <x:c r="G7" s="154" t="n">
        <x:f>IFERROR(B7/B6-1,"")</x:f>
        <x:v>0.011895321173671647</x:v>
      </x:c>
      <x:c r="H7" s="154" t="n">
        <x:f>IFERROR(C7/C6-1,"")</x:f>
        <x:v>0.02366863905325456</x:v>
      </x:c>
      <x:c r="I7" s="154" t="n">
        <x:f>IFERROR(D7/D6-1,"")</x:f>
        <x:v>0.02972399150743099</x:v>
      </x:c>
      <x:c r="J7" s="154" t="n">
        <x:f>IFERROR(E7/E6-1,"")</x:f>
        <x:v>-0.011288604898828547</x:v>
      </x:c>
      <x:c r="K7" s="153" t="n">
        <x:v>1.6440909090909095</x:v>
      </x:c>
      <x:c r="L7" s="153" t="n">
        <x:v>0.1740909090909091</x:v>
      </x:c>
      <x:c r="M7" s="153" t="n">
        <x:f>IFERROR(L7-L6,"")</x:f>
        <x:v>-0.03781385281385277</x:v>
      </x:c>
      <x:c r="N7" s="153" t="n">
        <x:v>1.4699999999999998</x:v>
      </x:c>
      <x:c r="O7" s="153" t="n">
        <x:v>111.5596272727273</x:v>
      </x:c>
      <x:c r="P7" s="153" t="n">
        <x:f>IFERROR(O7/O6-1,"")</x:f>
        <x:v>0.00377101896375609</x:v>
      </x:c>
      <x:c r="Q7" s="153" t="n">
        <x:v>17.774545454545457</x:v>
      </x:c>
      <x:c r="R7" s="153" t="n">
        <x:v>0.37766666666666676</x:v>
      </x:c>
      <x:c r="S7" s="141" t="n">
        <x:v>240.222</x:v>
      </x:c>
      <x:c r="T7" s="154"/>
      <x:c r="U7" s="141" t="n">
        <x:v>98.8833</x:v>
      </x:c>
      <x:c r="V7" s="154"/>
      <x:c r="W7" s="141" t="n">
        <x:v>4466482</x:v>
      </x:c>
      <x:c r="X7" s="154" t="n">
        <x:f>IFERROR(W7/W6-1,"")</x:f>
        <x:v>0.0012039601794262556</x:v>
      </x:c>
      <x:c r="Y7" s="141" t="n">
        <x:v>90.16813</x:v>
      </x:c>
      <x:c r="Z7" s="141" t="n">
        <x:f>IFERROR(Y7-Y6,"")</x:f>
        <x:v>1.835710000000006</x:v>
      </x:c>
      <x:c r="AA7" s="141" t="n">
        <x:v>201406.25</x:v>
      </x:c>
      <x:c r="AB7" s="141" t="n">
        <x:f>IFERROR(AA7-AA6,"")</x:f>
        <x:v>1659.25</x:v>
      </x:c>
      <x:c r="AC7" s="141" t="n">
        <x:v>60018.5</x:v>
      </x:c>
      <x:c r="AD7" s="141" t="n">
        <x:f>IFERROR(AC7-AC6,"")</x:f>
        <x:v>-6856.25</x:v>
      </x:c>
      <x:c r="AE7" s="141"/>
      <x:c r="AF7" s="147" t="str"/>
    </x:row>
    <x:row r="8">
      <x:c r="A8" s="152" t="n">
        <x:v>42552</x:v>
      </x:c>
      <x:c r="B8" s="153" t="n">
        <x:v>1337</x:v>
      </x:c>
      <x:c r="C8" s="153" t="n">
        <x:v>20</x:v>
      </x:c>
      <x:c r="D8" s="153" t="n">
        <x:v>45.1</x:v>
      </x:c>
      <x:c r="E8" s="153" t="n">
        <x:v>4865</x:v>
      </x:c>
      <x:c r="F8" s="153" t="n">
        <x:f>IFERROR(B8/C8,"")</x:f>
        <x:v>66.85</x:v>
      </x:c>
      <x:c r="G8" s="154" t="n">
        <x:f>IFERROR(B8/B7-1,"")</x:f>
        <x:v>0.04780564263322895</x:v>
      </x:c>
      <x:c r="H8" s="154" t="n">
        <x:f>IFERROR(C8/C7-1,"")</x:f>
        <x:v>0.15606936416184958</x:v>
      </x:c>
      <x:c r="I8" s="154" t="n">
        <x:f>IFERROR(D8/D7-1,"")</x:f>
        <x:v>-0.07010309278350513</x:v>
      </x:c>
      <x:c r="J8" s="154" t="n">
        <x:f>IFERROR(E8/E7-1,"")</x:f>
        <x:v>0.04803963808703138</x:v>
      </x:c>
      <x:c r="K8" s="153" t="n">
        <x:v>1.504</x:v>
      </x:c>
      <x:c r="L8" s="153" t="n">
        <x:v>0.0385</x:v>
      </x:c>
      <x:c r="M8" s="153" t="n">
        <x:f>IFERROR(L8-L7,"")</x:f>
        <x:v>-0.1355909090909091</x:v>
      </x:c>
      <x:c r="N8" s="153" t="n">
        <x:v>1.4655</x:v>
      </x:c>
      <x:c r="O8" s="153" t="n">
        <x:v>112.47729</x:v>
      </x:c>
      <x:c r="P8" s="153" t="n">
        <x:f>IFERROR(O8/O7-1,"")</x:f>
        <x:v>0.00822576006846365</x:v>
      </x:c>
      <x:c r="Q8" s="153" t="n">
        <x:v>13.1585</x:v>
      </x:c>
      <x:c r="R8" s="153" t="n">
        <x:v>0.3916129032258067</x:v>
      </x:c>
      <x:c r="S8" s="141" t="n">
        <x:v>240.101</x:v>
      </x:c>
      <x:c r="T8" s="154"/>
      <x:c r="U8" s="141" t="n">
        <x:v>98.9992</x:v>
      </x:c>
      <x:c r="V8" s="154"/>
      <x:c r="W8" s="141" t="n">
        <x:v>4464498</x:v>
      </x:c>
      <x:c r="X8" s="154" t="n">
        <x:f>IFERROR(W8/W7-1,"")</x:f>
        <x:v>-0.0004441974690595485</x:v>
      </x:c>
      <x:c r="Y8" s="141" t="n">
        <x:v>114.61045</x:v>
      </x:c>
      <x:c r="Z8" s="141" t="n">
        <x:f>IFERROR(Y8-Y7,"")</x:f>
        <x:v>24.442319999999995</x:v>
      </x:c>
      <x:c r="AA8" s="141" t="n">
        <x:v>258614.6</x:v>
      </x:c>
      <x:c r="AB8" s="141" t="n">
        <x:f>IFERROR(AA8-AA7,"")</x:f>
        <x:v>57208.350000000006</x:v>
      </x:c>
      <x:c r="AC8" s="141" t="n">
        <x:v>86318</x:v>
      </x:c>
      <x:c r="AD8" s="141" t="n">
        <x:f>IFERROR(AC8-AC7,"")</x:f>
        <x:v>26299.5</x:v>
      </x:c>
      <x:c r="AE8" s="141"/>
      <x:c r="AF8" s="147" t="str"/>
    </x:row>
    <x:row r="9">
      <x:c r="A9" s="152" t="n">
        <x:v>42583</x:v>
      </x:c>
      <x:c r="B9" s="153" t="n">
        <x:v>1340</x:v>
      </x:c>
      <x:c r="C9" s="153" t="n">
        <x:v>19.6</x:v>
      </x:c>
      <x:c r="D9" s="153" t="n">
        <x:v>46.1</x:v>
      </x:c>
      <x:c r="E9" s="153" t="n">
        <x:v>4752</x:v>
      </x:c>
      <x:c r="F9" s="153" t="n">
        <x:f>IFERROR(B9/C9,"")</x:f>
        <x:v>68.36734693877551</x:v>
      </x:c>
      <x:c r="G9" s="154" t="n">
        <x:f>IFERROR(B9/B8-1,"")</x:f>
        <x:v>0.002243829468960401</x:v>
      </x:c>
      <x:c r="H9" s="154" t="n">
        <x:f>IFERROR(C9/C8-1,"")</x:f>
        <x:v>-0.019999999999999907</x:v>
      </x:c>
      <x:c r="I9" s="154" t="n">
        <x:f>IFERROR(D9/D8-1,"")</x:f>
        <x:v>0.022172949002217335</x:v>
      </x:c>
      <x:c r="J9" s="154" t="n">
        <x:f>IFERROR(E9/E8-1,"")</x:f>
        <x:v>-0.02322713257965059</x:v>
      </x:c>
      <x:c r="K9" s="153" t="n">
        <x:v>1.5565217391304347</x:v>
      </x:c>
      <x:c r="L9" s="153" t="n">
        <x:v>0.08826086956521742</x:v>
      </x:c>
      <x:c r="M9" s="153" t="n">
        <x:f>IFERROR(L9-L8,"")</x:f>
        <x:v>0.04976086956521742</x:v>
      </x:c>
      <x:c r="N9" s="153" t="n">
        <x:v>1.4682608695652173</x:v>
      </x:c>
      <x:c r="O9" s="153" t="n">
        <x:v>111.43836956521741</x:v>
      </x:c>
      <x:c r="P9" s="153" t="n">
        <x:f>IFERROR(O9/O8-1,"")</x:f>
        <x:v>-0.009236712893621268</x:v>
      </x:c>
      <x:c r="Q9" s="153" t="n">
        <x:v>12.399565217391308</x:v>
      </x:c>
      <x:c r="R9" s="153" t="n">
        <x:v>0.3967741935483873</x:v>
      </x:c>
      <x:c r="S9" s="141" t="n">
        <x:v>240.545</x:v>
      </x:c>
      <x:c r="T9" s="154"/>
      <x:c r="U9" s="141" t="n">
        <x:v>98.85</x:v>
      </x:c>
      <x:c r="V9" s="154"/>
      <x:c r="W9" s="141" t="n">
        <x:v>4457907</x:v>
      </x:c>
      <x:c r="X9" s="154" t="n">
        <x:f>IFERROR(W9/W8-1,"")</x:f>
        <x:v>-0.0014763137983262453</x:v>
      </x:c>
      <x:c r="Y9" s="141" t="n">
        <x:v>98.73849</x:v>
      </x:c>
      <x:c r="Z9" s="141" t="n">
        <x:f>IFERROR(Y9-Y8,"")</x:f>
        <x:v>-15.871960000000001</x:v>
      </x:c>
      <x:c r="AA9" s="141" t="n">
        <x:v>249098</x:v>
      </x:c>
      <x:c r="AB9" s="141" t="n">
        <x:f>IFERROR(AA9-AA8,"")</x:f>
        <x:v>-9516.600000000006</x:v>
      </x:c>
      <x:c r="AC9" s="141" t="n">
        <x:v>83564.25</x:v>
      </x:c>
      <x:c r="AD9" s="141" t="n">
        <x:f>IFERROR(AC9-AC8,"")</x:f>
        <x:v>-2753.75</x:v>
      </x:c>
      <x:c r="AE9" s="141"/>
      <x:c r="AF9" s="147" t="str"/>
    </x:row>
    <x:row r="10">
      <x:c r="A10" s="152" t="n">
        <x:v>42614</x:v>
      </x:c>
      <x:c r="B10" s="153" t="n">
        <x:v>1327</x:v>
      </x:c>
      <x:c r="C10" s="153" t="n">
        <x:v>19.4</x:v>
      </x:c>
      <x:c r="D10" s="153" t="n">
        <x:v>46.2</x:v>
      </x:c>
      <x:c r="E10" s="153" t="n">
        <x:v>4722</x:v>
      </x:c>
      <x:c r="F10" s="153" t="n">
        <x:f>IFERROR(B10/C10,"")</x:f>
        <x:v>68.40206185567011</x:v>
      </x:c>
      <x:c r="G10" s="154" t="n">
        <x:f>IFERROR(B10/B9-1,"")</x:f>
        <x:v>-0.00970149253731345</x:v>
      </x:c>
      <x:c r="H10" s="154" t="n">
        <x:f>IFERROR(C10/C9-1,"")</x:f>
        <x:v>-0.010204081632653184</x:v>
      </x:c>
      <x:c r="I10" s="154" t="n">
        <x:f>IFERROR(D10/D9-1,"")</x:f>
        <x:v>0.002169197396963085</x:v>
      </x:c>
      <x:c r="J10" s="154" t="n">
        <x:f>IFERROR(E10/E9-1,"")</x:f>
        <x:v>-0.0063131313131312705</x:v>
      </x:c>
      <x:c r="K10" s="153" t="n">
        <x:v>1.6304761904761906</x:v>
      </x:c>
      <x:c r="L10" s="153" t="n">
        <x:v>0.11571428571428569</x:v>
      </x:c>
      <x:c r="M10" s="153" t="n">
        <x:f>IFERROR(L10-L9,"")</x:f>
        <x:v>0.027453416149068266</x:v>
      </x:c>
      <x:c r="N10" s="153" t="n">
        <x:v>1.5147619047619048</x:v>
      </x:c>
      <x:c r="O10" s="153" t="n">
        <x:v>112.31686190476191</x:v>
      </x:c>
      <x:c r="P10" s="153" t="n">
        <x:f>IFERROR(O10/O9-1,"")</x:f>
        <x:v>0.007883212424697028</x:v>
      </x:c>
      <x:c r="Q10" s="153" t="n">
        <x:v>14.21952380952381</x:v>
      </x:c>
      <x:c r="R10" s="153" t="n">
        <x:v>0.3963333333333335</x:v>
      </x:c>
      <x:c r="S10" s="141" t="n">
        <x:v>241.176</x:v>
      </x:c>
      <x:c r="T10" s="154"/>
      <x:c r="U10" s="141" t="n">
        <x:v>98.7457</x:v>
      </x:c>
      <x:c r="V10" s="154"/>
      <x:c r="W10" s="141" t="n">
        <x:v>4452002</x:v>
      </x:c>
      <x:c r="X10" s="154" t="n">
        <x:f>IFERROR(W10/W9-1,"")</x:f>
        <x:v>-0.0013246126489404597</x:v>
      </x:c>
      <x:c r="Y10" s="141" t="n">
        <x:v>104.54523</x:v>
      </x:c>
      <x:c r="Z10" s="141" t="n">
        <x:f>IFERROR(Y10-Y9,"")</x:f>
        <x:v>5.806740000000005</x:v>
      </x:c>
      <x:c r="AA10" s="141" t="n">
        <x:v>242486</x:v>
      </x:c>
      <x:c r="AB10" s="141" t="n">
        <x:f>IFERROR(AA10-AA9,"")</x:f>
        <x:v>-6612</x:v>
      </x:c>
      <x:c r="AC10" s="141" t="n">
        <x:v>74189.8</x:v>
      </x:c>
      <x:c r="AD10" s="141" t="n">
        <x:f>IFERROR(AC10-AC9,"")</x:f>
        <x:v>-9374.449999999997</x:v>
      </x:c>
      <x:c r="AE10" s="141"/>
      <x:c r="AF10" s="147" t="str"/>
    </x:row>
    <x:row r="11">
      <x:c r="A11" s="152" t="n">
        <x:v>42644</x:v>
      </x:c>
      <x:c r="B11" s="153" t="n">
        <x:v>1267</x:v>
      </x:c>
      <x:c r="C11" s="153" t="n">
        <x:v>17.7</x:v>
      </x:c>
      <x:c r="D11" s="153" t="n">
        <x:v>49.7</x:v>
      </x:c>
      <x:c r="E11" s="153" t="n">
        <x:v>4731</x:v>
      </x:c>
      <x:c r="F11" s="153" t="n">
        <x:f>IFERROR(B11/C11,"")</x:f>
        <x:v>71.58192090395481</x:v>
      </x:c>
      <x:c r="G11" s="154" t="n">
        <x:f>IFERROR(B11/B10-1,"")</x:f>
        <x:v>-0.045214770158251705</x:v>
      </x:c>
      <x:c r="H11" s="154" t="n">
        <x:f>IFERROR(C11/C10-1,"")</x:f>
        <x:v>-0.08762886597938147</x:v>
      </x:c>
      <x:c r="I11" s="154" t="n">
        <x:f>IFERROR(D11/D10-1,"")</x:f>
        <x:v>0.07575757575757569</x:v>
      </x:c>
      <x:c r="J11" s="154" t="n">
        <x:f>IFERROR(E11/E10-1,"")</x:f>
        <x:v>0.001905972045743276</x:v>
      </x:c>
      <x:c r="K11" s="153" t="n">
        <x:v>1.7645000000000004</x:v>
      </x:c>
      <x:c r="L11" s="153" t="n">
        <x:v>0.09750000000000002</x:v>
      </x:c>
      <x:c r="M11" s="153" t="n">
        <x:f>IFERROR(L11-L10,"")</x:f>
        <x:v>-0.01821428571428567</x:v>
      </x:c>
      <x:c r="N11" s="153" t="n">
        <x:v>1.6670000000000003</x:v>
      </x:c>
      <x:c r="O11" s="153" t="n">
        <x:v>113.47469499999997</x:v>
      </x:c>
      <x:c r="P11" s="153" t="n">
        <x:f>IFERROR(O11/O10-1,"")</x:f>
        <x:v>0.01030863109601321</x:v>
      </x:c>
      <x:c r="Q11" s="153" t="n">
        <x:v>14.585238095238097</x:v>
      </x:c>
      <x:c r="R11" s="153" t="n">
        <x:v>0.3964516129032259</x:v>
      </x:c>
      <x:c r="S11" s="141" t="n">
        <x:v>241.741</x:v>
      </x:c>
      <x:c r="T11" s="154"/>
      <x:c r="U11" s="141" t="n">
        <x:v>98.7611</x:v>
      </x:c>
      <x:c r="V11" s="154"/>
      <x:c r="W11" s="141" t="n">
        <x:v>4454326</x:v>
      </x:c>
      <x:c r="X11" s="154" t="n">
        <x:f>IFERROR(W11/W10-1,"")</x:f>
        <x:v>0.0005220123441094238</x:v>
      </x:c>
      <x:c r="Y11" s="141" t="n">
        <x:v>85.74779</x:v>
      </x:c>
      <x:c r="Z11" s="141" t="n">
        <x:f>IFERROR(Y11-Y10,"")</x:f>
        <x:v>-18.79744000000001</x:v>
      </x:c>
      <x:c r="AA11" s="141" t="n">
        <x:v>155943.25</x:v>
      </x:c>
      <x:c r="AB11" s="141" t="n">
        <x:f>IFERROR(AA11-AA10,"")</x:f>
        <x:v>-86542.75</x:v>
      </x:c>
      <x:c r="AC11" s="141" t="n">
        <x:v>47380</x:v>
      </x:c>
      <x:c r="AD11" s="141" t="n">
        <x:f>IFERROR(AC11-AC10,"")</x:f>
        <x:v>-26809.800000000003</x:v>
      </x:c>
      <x:c r="AE11" s="141"/>
      <x:c r="AF11" s="147" t="str"/>
    </x:row>
    <x:row r="12">
      <x:c r="A12" s="152" t="n">
        <x:v>42675</x:v>
      </x:c>
      <x:c r="B12" s="153" t="n">
        <x:v>1238</x:v>
      </x:c>
      <x:c r="C12" s="153" t="n">
        <x:v>17.4</x:v>
      </x:c>
      <x:c r="D12" s="153" t="n">
        <x:v>46.4</x:v>
      </x:c>
      <x:c r="E12" s="153" t="n">
        <x:v>5451</x:v>
      </x:c>
      <x:c r="F12" s="153" t="n">
        <x:f>IFERROR(B12/C12,"")</x:f>
        <x:v>71.14942528735632</x:v>
      </x:c>
      <x:c r="G12" s="154" t="n">
        <x:f>IFERROR(B12/B11-1,"")</x:f>
        <x:v>-0.022888713496448276</x:v>
      </x:c>
      <x:c r="H12" s="154" t="n">
        <x:f>IFERROR(C12/C11-1,"")</x:f>
        <x:v>-0.016949152542372947</x:v>
      </x:c>
      <x:c r="I12" s="154" t="n">
        <x:f>IFERROR(D12/D11-1,"")</x:f>
        <x:v>-0.06639839034205242</x:v>
      </x:c>
      <x:c r="J12" s="154" t="n">
        <x:f>IFERROR(E12/E11-1,"")</x:f>
        <x:v>0.15218769816106525</x:v>
      </x:c>
      <x:c r="K12" s="153" t="n">
        <x:v>2.142</x:v>
      </x:c>
      <x:c r="L12" s="153" t="n">
        <x:v>0.32</x:v>
      </x:c>
      <x:c r="M12" s="153" t="n">
        <x:f>IFERROR(L12-L11,"")</x:f>
        <x:v>0.22249999999999998</x:v>
      </x:c>
      <x:c r="N12" s="153" t="n">
        <x:v>1.8219999999999998</x:v>
      </x:c>
      <x:c r="O12" s="153" t="n">
        <x:v>116.107515</x:v>
      </x:c>
      <x:c r="P12" s="153" t="n">
        <x:f>IFERROR(O12/O11-1,"")</x:f>
        <x:v>0.02320182486500655</x:v>
      </x:c>
      <x:c r="Q12" s="153" t="n">
        <x:v>15.236190476190469</x:v>
      </x:c>
      <x:c r="R12" s="153" t="n">
        <x:v>0.4066666666666668</x:v>
      </x:c>
      <x:c r="S12" s="141" t="n">
        <x:v>242.026</x:v>
      </x:c>
      <x:c r="T12" s="154"/>
      <x:c r="U12" s="141" t="n">
        <x:v>98.3491</x:v>
      </x:c>
      <x:c r="V12" s="154"/>
      <x:c r="W12" s="141" t="n">
        <x:v>4446307</x:v>
      </x:c>
      <x:c r="X12" s="154" t="n">
        <x:f>IFERROR(W12/W11-1,"")</x:f>
        <x:v>-0.001800272364438471</x:v>
      </x:c>
      <x:c r="Y12" s="141" t="n">
        <x:v>82.918755</x:v>
      </x:c>
      <x:c r="Z12" s="141" t="n">
        <x:f>IFERROR(Y12-Y11,"")</x:f>
        <x:v>-2.8290349999999904</x:v>
      </x:c>
      <x:c r="AA12" s="141" t="n">
        <x:v>149743.25</x:v>
      </x:c>
      <x:c r="AB12" s="141" t="n">
        <x:f>IFERROR(AA12-AA11,"")</x:f>
        <x:v>-6200</x:v>
      </x:c>
      <x:c r="AC12" s="141" t="n">
        <x:v>48540.5</x:v>
      </x:c>
      <x:c r="AD12" s="141" t="n">
        <x:f>IFERROR(AC12-AC11,"")</x:f>
        <x:v>1160.5</x:v>
      </x:c>
      <x:c r="AE12" s="141"/>
      <x:c r="AF12" s="147" t="str"/>
    </x:row>
    <x:row r="13">
      <x:c r="A13" s="152" t="n">
        <x:v>42705</x:v>
      </x:c>
      <x:c r="B13" s="153" t="n">
        <x:v>1157</x:v>
      </x:c>
      <x:c r="C13" s="153" t="n">
        <x:v>16.4</x:v>
      </x:c>
      <x:c r="D13" s="153" t="n">
        <x:v>54.1</x:v>
      </x:c>
      <x:c r="E13" s="153" t="n">
        <x:v>5660</x:v>
      </x:c>
      <x:c r="F13" s="153" t="n">
        <x:f>IFERROR(B13/C13,"")</x:f>
        <x:v>70.54878048780489</x:v>
      </x:c>
      <x:c r="G13" s="154" t="n">
        <x:f>IFERROR(B13/B12-1,"")</x:f>
        <x:v>-0.06542810985460423</x:v>
      </x:c>
      <x:c r="H13" s="154" t="n">
        <x:f>IFERROR(C13/C12-1,"")</x:f>
        <x:v>-0.05747126436781613</x:v>
      </x:c>
      <x:c r="I13" s="154" t="n">
        <x:f>IFERROR(D13/D12-1,"")</x:f>
        <x:v>0.16594827586206895</x:v>
      </x:c>
      <x:c r="J13" s="154" t="n">
        <x:f>IFERROR(E13/E12-1,"")</x:f>
        <x:v>0.03834158869932125</x:v>
      </x:c>
      <x:c r="K13" s="153" t="n">
        <x:v>2.491904761904762</x:v>
      </x:c>
      <x:c r="L13" s="153" t="n">
        <x:v>0.5561904761904762</x:v>
      </x:c>
      <x:c r="M13" s="153" t="n">
        <x:f>IFERROR(L13-L12,"")</x:f>
        <x:v>0.23619047619047623</x:v>
      </x:c>
      <x:c r="N13" s="153" t="n">
        <x:v>1.935714285714286</x:v>
      </x:c>
      <x:c r="O13" s="153" t="n">
        <x:v>117.90482857142855</x:v>
      </x:c>
      <x:c r="P13" s="153" t="n">
        <x:f>IFERROR(O13/O12-1,"")</x:f>
        <x:v>0.015479735066490363</x:v>
      </x:c>
      <x:c r="Q13" s="153" t="n">
        <x:v>12.472380952380954</x:v>
      </x:c>
      <x:c r="R13" s="153" t="n">
        <x:v>0.54</x:v>
      </x:c>
      <x:c r="S13" s="141" t="n">
        <x:v>242.637</x:v>
      </x:c>
      <x:c r="T13" s="154"/>
      <x:c r="U13" s="141" t="n">
        <x:v>99.0214</x:v>
      </x:c>
      <x:c r="V13" s="154"/>
      <x:c r="W13" s="141" t="n">
        <x:v>4451451</x:v>
      </x:c>
      <x:c r="X13" s="154" t="n">
        <x:f>IFERROR(W13/W12-1,"")</x:f>
        <x:v>0.0011569151657768728</x:v>
      </x:c>
      <x:c r="Y13" s="141" t="n">
        <x:v>102.180466</x:v>
      </x:c>
      <x:c r="Z13" s="141" t="n">
        <x:f>IFERROR(Y13-Y12,"")</x:f>
        <x:v>19.26171099999999</x:v>
      </x:c>
      <x:c r="AA13" s="141" t="n">
        <x:v>71029.6</x:v>
      </x:c>
      <x:c r="AB13" s="141" t="n">
        <x:f>IFERROR(AA13-AA12,"")</x:f>
        <x:v>-78713.65</x:v>
      </x:c>
      <x:c r="AC13" s="141" t="n">
        <x:v>42288.8</x:v>
      </x:c>
      <x:c r="AD13" s="141" t="n">
        <x:f>IFERROR(AC13-AC12,"")</x:f>
        <x:v>-6251.699999999997</x:v>
      </x:c>
      <x:c r="AE13" s="141"/>
      <x:c r="AF13" s="147" t="str"/>
    </x:row>
    <x:row r="14">
      <x:c r="A14" s="152" t="n">
        <x:v>42736</x:v>
      </x:c>
      <x:c r="B14" s="153" t="n">
        <x:v>1192</x:v>
      </x:c>
      <x:c r="C14" s="153" t="n">
        <x:v>16.9</x:v>
      </x:c>
      <x:c r="D14" s="153" t="n">
        <x:v>54.9</x:v>
      </x:c>
      <x:c r="E14" s="153" t="n">
        <x:v>5755</x:v>
      </x:c>
      <x:c r="F14" s="153" t="n">
        <x:f>IFERROR(B14/C14,"")</x:f>
        <x:v>70.53254437869823</x:v>
      </x:c>
      <x:c r="G14" s="154" t="n">
        <x:f>IFERROR(B14/B13-1,"")</x:f>
        <x:v>0.030250648228176358</x:v>
      </x:c>
      <x:c r="H14" s="154" t="n">
        <x:f>IFERROR(C14/C13-1,"")</x:f>
        <x:v>0.030487804878048808</x:v>
      </x:c>
      <x:c r="I14" s="154" t="n">
        <x:f>IFERROR(D14/D13-1,"")</x:f>
        <x:v>0.014787430683918634</x:v>
      </x:c>
      <x:c r="J14" s="154" t="n">
        <x:f>IFERROR(E14/E13-1,"")</x:f>
        <x:v>0.016784452296819685</x:v>
      </x:c>
      <x:c r="K14" s="153" t="n">
        <x:v>2.4325</x:v>
      </x:c>
      <x:c r="L14" s="153" t="n">
        <x:v>0.4210000000000001</x:v>
      </x:c>
      <x:c r="M14" s="153" t="n">
        <x:f>IFERROR(L14-L13,"")</x:f>
        <x:v>-0.13519047619047614</x:v>
      </x:c>
      <x:c r="N14" s="153" t="n">
        <x:v>2.0114999999999994</x:v>
      </x:c>
      <x:c r="O14" s="153" t="n">
        <x:v>117.78577894736841</x:v>
      </x:c>
      <x:c r="P14" s="153" t="n">
        <x:f>IFERROR(O14/O13-1,"")</x:f>
        <x:v>-0.0010097094877502544</x:v>
      </x:c>
      <x:c r="Q14" s="153" t="n">
        <x:v>11.608500000000001</x:v>
      </x:c>
      <x:c r="R14" s="153" t="n">
        <x:v>0.6496774193548387</x:v>
      </x:c>
      <x:c r="S14" s="141" t="n">
        <x:v>243.618</x:v>
      </x:c>
      <x:c r="T14" s="154" t="n">
        <x:f>IFERROR(S14/S2-1,"")</x:f>
        <x:v>0.025103933482571117</x:v>
      </x:c>
      <x:c r="U14" s="141" t="n">
        <x:v>98.7611</x:v>
      </x:c>
      <x:c r="V14" s="154" t="n">
        <x:f>IFERROR(U14/U2-1,"")</x:f>
        <x:v>-0.008031281419274894</x:v>
      </x:c>
      <x:c r="W14" s="141" t="n">
        <x:v>4452838</x:v>
      </x:c>
      <x:c r="X14" s="154" t="n">
        <x:f>IFERROR(W14/W13-1,"")</x:f>
        <x:v>0.0003115837959353218</x:v>
      </x:c>
      <x:c r="Y14" s="141" t="n">
        <x:v>105.20123</x:v>
      </x:c>
      <x:c r="Z14" s="141" t="n">
        <x:f>IFERROR(Y14-Y13,"")</x:f>
        <x:v>3.020764</x:v>
      </x:c>
      <x:c r="AA14" s="141" t="n">
        <x:v>52656.25</x:v>
      </x:c>
      <x:c r="AB14" s="141" t="n">
        <x:f>IFERROR(AA14-AA13,"")</x:f>
        <x:v>-18373.350000000006</x:v>
      </x:c>
      <x:c r="AC14" s="141" t="n">
        <x:v>49246.5</x:v>
      </x:c>
      <x:c r="AD14" s="141" t="n">
        <x:f>IFERROR(AC14-AC13,"")</x:f>
        <x:v>6957.699999999997</x:v>
      </x:c>
      <x:c r="AE14" s="141"/>
      <x:c r="AF14" s="147" t="str"/>
    </x:row>
    <x:row r="15">
      <x:c r="A15" s="152" t="n">
        <x:v>42767</x:v>
      </x:c>
      <x:c r="B15" s="153" t="n">
        <x:v>1234</x:v>
      </x:c>
      <x:c r="C15" s="153" t="n">
        <x:v>17.9</x:v>
      </x:c>
      <x:c r="D15" s="153" t="n">
        <x:v>55.5</x:v>
      </x:c>
      <x:c r="E15" s="153" t="n">
        <x:v>5941</x:v>
      </x:c>
      <x:c r="F15" s="153" t="n">
        <x:f>IFERROR(B15/C15,"")</x:f>
        <x:v>68.93854748603353</x:v>
      </x:c>
      <x:c r="G15" s="154" t="n">
        <x:f>IFERROR(B15/B14-1,"")</x:f>
        <x:v>0.03523489932885915</x:v>
      </x:c>
      <x:c r="H15" s="154" t="n">
        <x:f>IFERROR(C15/C14-1,"")</x:f>
        <x:v>0.059171597633136175</x:v>
      </x:c>
      <x:c r="I15" s="154" t="n">
        <x:f>IFERROR(D15/D14-1,"")</x:f>
        <x:v>0.010928961748633892</x:v>
      </x:c>
      <x:c r="J15" s="154" t="n">
        <x:f>IFERROR(E15/E14-1,"")</x:f>
        <x:v>0.032319721980886174</x:v>
      </x:c>
      <x:c r="K15" s="153" t="n">
        <x:v>2.4189473684210525</x:v>
      </x:c>
      <x:c r="L15" s="153" t="n">
        <x:v>0.39999999999999997</x:v>
      </x:c>
      <x:c r="M15" s="153" t="n">
        <x:f>IFERROR(L15-L14,"")</x:f>
        <x:v>-0.02100000000000013</x:v>
      </x:c>
      <x:c r="N15" s="153" t="n">
        <x:v>2.0189473684210526</x:v>
      </x:c>
      <x:c r="O15" s="153" t="n">
        <x:v>116.12038947368421</x:v>
      </x:c>
      <x:c r="P15" s="153" t="n">
        <x:f>IFERROR(O15/O14-1,"")</x:f>
        <x:v>-0.014139138770125736</x:v>
      </x:c>
      <x:c r="Q15" s="153" t="n">
        <x:v>11.530526315789473</x:v>
      </x:c>
      <x:c r="R15" s="153" t="n">
        <x:v>0.6567857142857143</x:v>
      </x:c>
      <x:c r="S15" s="141" t="n">
        <x:v>244.006</x:v>
      </x:c>
      <x:c r="T15" s="154" t="n">
        <x:f>IFERROR(S15/S3-1,"")</x:f>
        <x:v>0.028103616813294208</x:v>
      </x:c>
      <x:c r="U15" s="141" t="n">
        <x:v>98.3646</x:v>
      </x:c>
      <x:c r="V15" s="154" t="n">
        <x:f>IFERROR(U15/U3-1,"")</x:f>
        <x:v>-0.006864591168616152</x:v>
      </x:c>
      <x:c r="W15" s="141" t="n">
        <x:v>4468702</x:v>
      </x:c>
      <x:c r="X15" s="154" t="n">
        <x:f>IFERROR(W15/W14-1,"")</x:f>
        <x:v>0.003562671716330179</x:v>
      </x:c>
      <x:c r="Y15" s="141" t="n">
        <x:v>114.20636</x:v>
      </x:c>
      <x:c r="Z15" s="141" t="n">
        <x:f>IFERROR(Y15-Y14,"")</x:f>
        <x:v>9.005130000000008</x:v>
      </x:c>
      <x:c r="AA15" s="141" t="n">
        <x:v>70413.25</x:v>
      </x:c>
      <x:c r="AB15" s="141" t="n">
        <x:f>IFERROR(AA15-AA14,"")</x:f>
        <x:v>17757</x:v>
      </x:c>
      <x:c r="AC15" s="141" t="n">
        <x:v>69805.75</x:v>
      </x:c>
      <x:c r="AD15" s="141" t="n">
        <x:f>IFERROR(AC15-AC14,"")</x:f>
        <x:v>20559.25</x:v>
      </x:c>
      <x:c r="AE15" s="141"/>
      <x:c r="AF15" s="147" t="str"/>
    </x:row>
    <x:row r="16">
      <x:c r="A16" s="152" t="n">
        <x:v>42795</x:v>
      </x:c>
      <x:c r="B16" s="153" t="n">
        <x:v>1231</x:v>
      </x:c>
      <x:c r="C16" s="153" t="n">
        <x:v>17.6</x:v>
      </x:c>
      <x:c r="D16" s="153" t="n">
        <x:v>52</x:v>
      </x:c>
      <x:c r="E16" s="153" t="n">
        <x:v>5825</x:v>
      </x:c>
      <x:c r="F16" s="153" t="n">
        <x:f>IFERROR(B16/C16,"")</x:f>
        <x:v>69.94318181818181</x:v>
      </x:c>
      <x:c r="G16" s="154" t="n">
        <x:f>IFERROR(B16/B15-1,"")</x:f>
        <x:v>-0.002431118314424663</x:v>
      </x:c>
      <x:c r="H16" s="154" t="n">
        <x:f>IFERROR(C16/C15-1,"")</x:f>
        <x:v>-0.016759776536312665</x:v>
      </x:c>
      <x:c r="I16" s="154" t="n">
        <x:f>IFERROR(D16/D15-1,"")</x:f>
        <x:v>-0.06306306306306309</x:v>
      </x:c>
      <x:c r="J16" s="154" t="n">
        <x:f>IFERROR(E16/E15-1,"")</x:f>
        <x:v>-0.019525332435616938</x:v>
      </x:c>
      <x:c r="K16" s="153" t="n">
        <x:v>2.4817391304347827</x:v>
      </x:c>
      <x:c r="L16" s="153" t="n">
        <x:v>0.48565217391304355</x:v>
      </x:c>
      <x:c r="M16" s="153" t="n">
        <x:f>IFERROR(L16-L15,"")</x:f>
        <x:v>0.08565217391304358</x:v>
      </x:c>
      <x:c r="N16" s="153" t="n">
        <x:v>1.996086956521739</x:v>
      </x:c>
      <x:c r="O16" s="153" t="n">
        <x:v>115.65584782608694</x:v>
      </x:c>
      <x:c r="P16" s="153" t="n">
        <x:f>IFERROR(O16/O15-1,"")</x:f>
        <x:v>-0.004000517477617871</x:v>
      </x:c>
      <x:c r="Q16" s="153" t="n">
        <x:v>11.897826086956524</x:v>
      </x:c>
      <x:c r="R16" s="153" t="n">
        <x:v>0.7861290322580645</x:v>
      </x:c>
      <x:c r="S16" s="141" t="n">
        <x:v>243.892</x:v>
      </x:c>
      <x:c r="T16" s="154" t="n">
        <x:f>IFERROR(S16/S4-1,"")</x:f>
        <x:v>0.0244119623655914</x:v>
      </x:c>
      <x:c r="U16" s="141" t="n">
        <x:v>99.0137</x:v>
      </x:c>
      <x:c r="V16" s="154" t="n">
        <x:f>IFERROR(U16/U4-1,"")</x:f>
        <x:v>0.007162067590550603</x:v>
      </x:c>
      <x:c r="W16" s="141" t="n">
        <x:v>4469618</x:v>
      </x:c>
      <x:c r="X16" s="154" t="n">
        <x:f>IFERROR(W16/W15-1,"")</x:f>
        <x:v>0.00020498122273537867</x:v>
      </x:c>
      <x:c r="Y16" s="141" t="n">
        <x:v>96.63588</x:v>
      </x:c>
      <x:c r="Z16" s="141" t="n">
        <x:f>IFERROR(Y16-Y15,"")</x:f>
        <x:v>-17.570480000000003</x:v>
      </x:c>
      <x:c r="AA16" s="141" t="n">
        <x:v>79621</x:v>
      </x:c>
      <x:c r="AB16" s="141" t="n">
        <x:f>IFERROR(AA16-AA15,"")</x:f>
        <x:v>9207.75</x:v>
      </x:c>
      <x:c r="AC16" s="141" t="n">
        <x:v>76343.4</x:v>
      </x:c>
      <x:c r="AD16" s="141" t="n">
        <x:f>IFERROR(AC16-AC15,"")</x:f>
        <x:v>6537.649999999994</x:v>
      </x:c>
      <x:c r="AE16" s="141"/>
      <x:c r="AF16" s="147" t="str"/>
    </x:row>
    <x:row r="17">
      <x:c r="A17" s="152" t="n">
        <x:v>42826</x:v>
      </x:c>
      <x:c r="B17" s="153" t="n">
        <x:v>1267</x:v>
      </x:c>
      <x:c r="C17" s="153" t="n">
        <x:v>18</x:v>
      </x:c>
      <x:c r="D17" s="153" t="n">
        <x:v>53</x:v>
      </x:c>
      <x:c r="E17" s="153" t="n">
        <x:v>5684</x:v>
      </x:c>
      <x:c r="F17" s="153" t="n">
        <x:f>IFERROR(B17/C17,"")</x:f>
        <x:v>70.38888888888889</x:v>
      </x:c>
      <x:c r="G17" s="154" t="n">
        <x:f>IFERROR(B17/B16-1,"")</x:f>
        <x:v>0.02924451665312744</x:v>
      </x:c>
      <x:c r="H17" s="154" t="n">
        <x:f>IFERROR(C17/C16-1,"")</x:f>
        <x:v>0.022727272727272707</x:v>
      </x:c>
      <x:c r="I17" s="154" t="n">
        <x:f>IFERROR(D17/D16-1,"")</x:f>
        <x:v>0.019230769230769162</x:v>
      </x:c>
      <x:c r="J17" s="154" t="n">
        <x:f>IFERROR(E17/E16-1,"")</x:f>
        <x:v>-0.02420600858369104</x:v>
      </x:c>
      <x:c r="K17" s="153" t="n">
        <x:v>2.297368421052632</x:v>
      </x:c>
      <x:c r="L17" s="153" t="n">
        <x:v>0.3910526315789474</x:v>
      </x:c>
      <x:c r="M17" s="153" t="n">
        <x:f>IFERROR(L17-L16,"")</x:f>
        <x:v>-0.09459954233409618</x:v>
      </x:c>
      <x:c r="N17" s="153" t="n">
        <x:v>1.9063157894736842</x:v>
      </x:c>
      <x:c r="O17" s="153" t="n">
        <x:v>114.769795</x:v>
      </x:c>
      <x:c r="P17" s="153" t="n">
        <x:f>IFERROR(O17/O16-1,"")</x:f>
        <x:v>-0.007661115652528916</x:v>
      </x:c>
      <x:c r="Q17" s="153" t="n">
        <x:v>13.136315789473683</x:v>
      </x:c>
      <x:c r="R17" s="153" t="n">
        <x:v>0.8959999999999998</x:v>
      </x:c>
      <x:c r="S17" s="141" t="n">
        <x:v>244.193</x:v>
      </x:c>
      <x:c r="T17" s="154" t="n">
        <x:f>IFERROR(S17/S5-1,"")</x:f>
        <x:v>0.02176223471915395</x:v>
      </x:c>
      <x:c r="U17" s="141" t="n">
        <x:v>100.0224</x:v>
      </x:c>
      <x:c r="V17" s="154" t="n">
        <x:f>IFERROR(U17/U5-1,"")</x:f>
        <x:v>0.013993011097695573</x:v>
      </x:c>
      <x:c r="W17" s="141" t="n">
        <x:v>4470142</x:v>
      </x:c>
      <x:c r="X17" s="154" t="n">
        <x:f>IFERROR(W17/W16-1,"")</x:f>
        <x:v>0.000117235969606444</x:v>
      </x:c>
      <x:c r="Y17" s="141" t="n">
        <x:v>119.45992</x:v>
      </x:c>
      <x:c r="Z17" s="141" t="n">
        <x:f>IFERROR(Y17-Y16,"")</x:f>
        <x:v>22.824039999999997</x:v>
      </x:c>
      <x:c r="AA17" s="141" t="n">
        <x:v>138438.25</x:v>
      </x:c>
      <x:c r="AB17" s="141" t="n">
        <x:f>IFERROR(AA17-AA16,"")</x:f>
        <x:v>58817.25</x:v>
      </x:c>
      <x:c r="AC17" s="141" t="n">
        <x:v>92038.75</x:v>
      </x:c>
      <x:c r="AD17" s="141" t="n">
        <x:f>IFERROR(AC17-AC16,"")</x:f>
        <x:v>15695.350000000006</x:v>
      </x:c>
      <x:c r="AE17" s="141"/>
      <x:c r="AF17" s="147" t="str"/>
    </x:row>
    <x:row r="18">
      <x:c r="A18" s="152" t="n">
        <x:v>42856</x:v>
      </x:c>
      <x:c r="B18" s="153" t="n">
        <x:v>1246</x:v>
      </x:c>
      <x:c r="C18" s="153" t="n">
        <x:v>16.7</x:v>
      </x:c>
      <x:c r="D18" s="153" t="n">
        <x:v>50.9</x:v>
      </x:c>
      <x:c r="E18" s="153" t="n">
        <x:v>5600</x:v>
      </x:c>
      <x:c r="F18" s="153" t="n">
        <x:f>IFERROR(B18/C18,"")</x:f>
        <x:v>74.61077844311377</x:v>
      </x:c>
      <x:c r="G18" s="154" t="n">
        <x:f>IFERROR(B18/B17-1,"")</x:f>
        <x:v>-0.016574585635359074</x:v>
      </x:c>
      <x:c r="H18" s="154" t="n">
        <x:f>IFERROR(C18/C17-1,"")</x:f>
        <x:v>-0.0722222222222223</x:v>
      </x:c>
      <x:c r="I18" s="154" t="n">
        <x:f>IFERROR(D18/D17-1,"")</x:f>
        <x:v>-0.03962264150943395</x:v>
      </x:c>
      <x:c r="J18" s="154" t="n">
        <x:f>IFERROR(E18/E17-1,"")</x:f>
        <x:v>-0.014778325123152691</x:v>
      </x:c>
      <x:c r="K18" s="153" t="n">
        <x:v>2.3036363636363633</x:v>
      </x:c>
      <x:c r="L18" s="153" t="n">
        <x:v>0.4668181818181818</x:v>
      </x:c>
      <x:c r="M18" s="153" t="n">
        <x:f>IFERROR(L18-L17,"")</x:f>
        <x:v>0.07576555023923442</x:v>
      </x:c>
      <x:c r="N18" s="153" t="n">
        <x:v>1.8368181818181823</x:v>
      </x:c>
      <x:c r="O18" s="153" t="n">
        <x:v>114.25913181818183</x:v>
      </x:c>
      <x:c r="P18" s="153" t="n">
        <x:f>IFERROR(O18/O17-1,"")</x:f>
        <x:v>-0.004449456251256478</x:v>
      </x:c>
      <x:c r="Q18" s="153" t="n">
        <x:v>10.862272727272728</x:v>
      </x:c>
      <x:c r="R18" s="153" t="n">
        <x:v>0.9074193548387096</x:v>
      </x:c>
      <x:c r="S18" s="141" t="n">
        <x:v>244.004</x:v>
      </x:c>
      <x:c r="T18" s="154" t="n">
        <x:f>IFERROR(S18/S6-1,"")</x:f>
        <x:v>0.018563431667619756</x:v>
      </x:c>
      <x:c r="U18" s="141" t="n">
        <x:v>100.1408</x:v>
      </x:c>
      <x:c r="V18" s="154" t="n">
        <x:f>IFERROR(U18/U6-1,"")</x:f>
        <x:v>0.017500792534729248</x:v>
      </x:c>
      <x:c r="W18" s="141" t="n">
        <x:v>4459914</x:v>
      </x:c>
      <x:c r="X18" s="154" t="n">
        <x:f>IFERROR(W18/W17-1,"")</x:f>
        <x:v>-0.002288070490825578</x:v>
      </x:c>
      <x:c r="Y18" s="141" t="n">
        <x:v>102.57996</x:v>
      </x:c>
      <x:c r="Z18" s="141" t="n">
        <x:f>IFERROR(Y18-Y17,"")</x:f>
        <x:v>-16.879959999999997</x:v>
      </x:c>
      <x:c r="AA18" s="141" t="n">
        <x:v>104122.25</x:v>
      </x:c>
      <x:c r="AB18" s="141" t="n">
        <x:f>IFERROR(AA18-AA17,"")</x:f>
        <x:v>-34316</x:v>
      </x:c>
      <x:c r="AC18" s="141" t="n">
        <x:v>33796</x:v>
      </x:c>
      <x:c r="AD18" s="141" t="n">
        <x:f>IFERROR(AC18-AC17,"")</x:f>
        <x:v>-58242.75</x:v>
      </x:c>
      <x:c r="AE18" s="141"/>
      <x:c r="AF18" s="147" t="str"/>
    </x:row>
    <x:row r="19">
      <x:c r="A19" s="152" t="n">
        <x:v>42887</x:v>
      </x:c>
      <x:c r="B19" s="153" t="n">
        <x:v>1260</x:v>
      </x:c>
      <x:c r="C19" s="153" t="n">
        <x:v>16.9</x:v>
      </x:c>
      <x:c r="D19" s="153" t="n">
        <x:v>46.9</x:v>
      </x:c>
      <x:c r="E19" s="153" t="n">
        <x:v>5720</x:v>
      </x:c>
      <x:c r="F19" s="153" t="n">
        <x:f>IFERROR(B19/C19,"")</x:f>
        <x:v>74.55621301775149</x:v>
      </x:c>
      <x:c r="G19" s="154" t="n">
        <x:f>IFERROR(B19/B18-1,"")</x:f>
        <x:v>0.011235955056179803</x:v>
      </x:c>
      <x:c r="H19" s="154" t="n">
        <x:f>IFERROR(C19/C18-1,"")</x:f>
        <x:v>0.011976047904191489</x:v>
      </x:c>
      <x:c r="I19" s="154" t="n">
        <x:f>IFERROR(D19/D18-1,"")</x:f>
        <x:v>-0.07858546168958747</x:v>
      </x:c>
      <x:c r="J19" s="154" t="n">
        <x:f>IFERROR(E19/E18-1,"")</x:f>
        <x:v>0.021428571428571352</x:v>
      </x:c>
      <x:c r="K19" s="153" t="n">
        <x:v>2.186818181818182</x:v>
      </x:c>
      <x:c r="L19" s="153" t="n">
        <x:v>0.45818181818181825</x:v>
      </x:c>
      <x:c r="M19" s="153" t="n">
        <x:f>IFERROR(L19-L18,"")</x:f>
        <x:v>-0.008636363636363553</x:v>
      </x:c>
      <x:c r="N19" s="153" t="n">
        <x:v>1.7286363636363633</x:v>
      </x:c>
      <x:c r="O19" s="153" t="n">
        <x:v>112.76027272727273</x:v>
      </x:c>
      <x:c r="P19" s="153" t="n">
        <x:f>IFERROR(O19/O18-1,"")</x:f>
        <x:v>-0.013118068263411997</x:v>
      </x:c>
      <x:c r="Q19" s="153" t="n">
        <x:v>10.513636363636364</x:v>
      </x:c>
      <x:c r="R19" s="153" t="n">
        <x:v>1.04</x:v>
      </x:c>
      <x:c r="S19" s="141" t="n">
        <x:v>244.163</x:v>
      </x:c>
      <x:c r="T19" s="154" t="n">
        <x:f>IFERROR(S19/S7-1,"")</x:f>
        <x:v>0.01640565809959127</x:v>
      </x:c>
      <x:c r="U19" s="141" t="n">
        <x:v>100.3471</x:v>
      </x:c>
      <x:c r="V19" s="154" t="n">
        <x:f>IFERROR(U19/U7-1,"")</x:f>
        <x:v>0.014803308546539107</x:v>
      </x:c>
      <x:c r="W19" s="141" t="n">
        <x:v>4463347</x:v>
      </x:c>
      <x:c r="X19" s="154" t="n">
        <x:f>IFERROR(W19/W18-1,"")</x:f>
        <x:v>0.0007697457843358624</x:v>
      </x:c>
      <x:c r="Y19" s="141" t="n">
        <x:v>126.78902</x:v>
      </x:c>
      <x:c r="Z19" s="141" t="n">
        <x:f>IFERROR(Y19-Y18,"")</x:f>
        <x:v>24.209059999999994</x:v>
      </x:c>
      <x:c r="AA19" s="141" t="n">
        <x:v>121941.8</x:v>
      </x:c>
      <x:c r="AB19" s="141" t="n">
        <x:f>IFERROR(AA19-AA18,"")</x:f>
        <x:v>17819.550000000003</x:v>
      </x:c>
      <x:c r="AC19" s="141" t="n">
        <x:v>34876.8</x:v>
      </x:c>
      <x:c r="AD19" s="141" t="n">
        <x:f>IFERROR(AC19-AC18,"")</x:f>
        <x:v>1080.800000000003</x:v>
      </x:c>
      <x:c r="AE19" s="141"/>
      <x:c r="AF19" s="147" t="str"/>
    </x:row>
    <x:row r="20">
      <x:c r="A20" s="152" t="n">
        <x:v>42917</x:v>
      </x:c>
      <x:c r="B20" s="153" t="n">
        <x:v>1237</x:v>
      </x:c>
      <x:c r="C20" s="153" t="n">
        <x:v>16.2</x:v>
      </x:c>
      <x:c r="D20" s="153" t="n">
        <x:v>48.7</x:v>
      </x:c>
      <x:c r="E20" s="153" t="n">
        <x:v>5985</x:v>
      </x:c>
      <x:c r="F20" s="153" t="n">
        <x:f>IFERROR(B20/C20,"")</x:f>
        <x:v>76.35802469135803</x:v>
      </x:c>
      <x:c r="G20" s="154" t="n">
        <x:f>IFERROR(B20/B19-1,"")</x:f>
        <x:v>-0.0182539682539683</x:v>
      </x:c>
      <x:c r="H20" s="154" t="n">
        <x:f>IFERROR(C20/C19-1,"")</x:f>
        <x:v>-0.041420118343195256</x:v>
      </x:c>
      <x:c r="I20" s="154" t="n">
        <x:f>IFERROR(D20/D19-1,"")</x:f>
        <x:v>0.03837953091684443</x:v>
      </x:c>
      <x:c r="J20" s="154" t="n">
        <x:f>IFERROR(E20/E19-1,"")</x:f>
        <x:v>0.046328671328671245</x:v>
      </x:c>
      <x:c r="K20" s="153" t="n">
        <x:v>2.3179999999999996</x:v>
      </x:c>
      <x:c r="L20" s="153" t="n">
        <x:v>0.546</x:v>
      </x:c>
      <x:c r="M20" s="153" t="n">
        <x:f>IFERROR(L20-L19,"")</x:f>
        <x:v>0.0878181818181818</x:v>
      </x:c>
      <x:c r="N20" s="153" t="n">
        <x:v>1.7720000000000002</x:v>
      </x:c>
      <x:c r="O20" s="153" t="n">
        <x:v>111.060555</x:v>
      </x:c>
      <x:c r="P20" s="153" t="n">
        <x:f>IFERROR(O20/O19-1,"")</x:f>
        <x:v>-0.015073728416600707</x:v>
      </x:c>
      <x:c r="Q20" s="153" t="n">
        <x:v>10.2645</x:v>
      </x:c>
      <x:c r="R20" s="153" t="n">
        <x:v>1.1506451612903223</x:v>
      </x:c>
      <x:c r="S20" s="141" t="n">
        <x:v>244.243</x:v>
      </x:c>
      <x:c r="T20" s="154" t="n">
        <x:f>IFERROR(S20/S8-1,"")</x:f>
        <x:v>0.017251073506566073</x:v>
      </x:c>
      <x:c r="U20" s="141" t="n">
        <x:v>100.1068</x:v>
      </x:c>
      <x:c r="V20" s="154" t="n">
        <x:f>IFERROR(U20/U8-1,"")</x:f>
        <x:v>0.011187969195710634</x:v>
      </x:c>
      <x:c r="W20" s="141" t="n">
        <x:v>4465284</x:v>
      </x:c>
      <x:c r="X20" s="154" t="n">
        <x:f>IFERROR(W20/W19-1,"")</x:f>
        <x:v>0.0004339792536856013</x:v>
      </x:c>
      <x:c r="Y20" s="141" t="n">
        <x:v>102.81346</x:v>
      </x:c>
      <x:c r="Z20" s="141" t="n">
        <x:f>IFERROR(Y20-Y19,"")</x:f>
        <x:v>-23.975559999999987</x:v>
      </x:c>
      <x:c r="AA20" s="141" t="n">
        <x:v>39862</x:v>
      </x:c>
      <x:c r="AB20" s="141" t="n">
        <x:f>IFERROR(AA20-AA19,"")</x:f>
        <x:v>-82079.8</x:v>
      </x:c>
      <x:c r="AC20" s="141" t="n">
        <x:v>-1015.25</x:v>
      </x:c>
      <x:c r="AD20" s="141" t="n">
        <x:f>IFERROR(AC20-AC19,"")</x:f>
        <x:v>-35892.05</x:v>
      </x:c>
      <x:c r="AE20" s="141"/>
      <x:c r="AF20" s="147" t="str"/>
    </x:row>
    <x:row r="21">
      <x:c r="A21" s="152" t="n">
        <x:v>42948</x:v>
      </x:c>
      <x:c r="B21" s="153" t="n">
        <x:v>1283</x:v>
      </x:c>
      <x:c r="C21" s="153" t="n">
        <x:v>17</x:v>
      </x:c>
      <x:c r="D21" s="153" t="n">
        <x:v>51.4</x:v>
      </x:c>
      <x:c r="E21" s="153" t="n">
        <x:v>6486</x:v>
      </x:c>
      <x:c r="F21" s="153" t="n">
        <x:f>IFERROR(B21/C21,"")</x:f>
        <x:v>75.47058823529412</x:v>
      </x:c>
      <x:c r="G21" s="154" t="n">
        <x:f>IFERROR(B21/B20-1,"")</x:f>
        <x:v>0.037186742118027416</x:v>
      </x:c>
      <x:c r="H21" s="154" t="n">
        <x:f>IFERROR(C21/C20-1,"")</x:f>
        <x:v>0.04938271604938271</x:v>
      </x:c>
      <x:c r="I21" s="154" t="n">
        <x:f>IFERROR(D21/D20-1,"")</x:f>
        <x:v>0.05544147843942504</x:v>
      </x:c>
      <x:c r="J21" s="154" t="n">
        <x:f>IFERROR(E21/E20-1,"")</x:f>
        <x:v>0.0837092731829574</x:v>
      </x:c>
      <x:c r="K21" s="153" t="n">
        <x:v>2.209130434782609</x:v>
      </x:c>
      <x:c r="L21" s="153" t="n">
        <x:v>0.43347826086956526</x:v>
      </x:c>
      <x:c r="M21" s="153" t="n">
        <x:f>IFERROR(L21-L20,"")</x:f>
        <x:v>-0.11252173913043478</x:v>
      </x:c>
      <x:c r="N21" s="153" t="n">
        <x:v>1.7756521739130435</x:v>
      </x:c>
      <x:c r="O21" s="153" t="n">
        <x:v>109.9058608695652</x:v>
      </x:c>
      <x:c r="P21" s="153" t="n">
        <x:f>IFERROR(O21/O20-1,"")</x:f>
        <x:v>-0.010396977850820166</x:v>
      </x:c>
      <x:c r="Q21" s="153" t="n">
        <x:v>11.97565217391304</x:v>
      </x:c>
      <x:c r="R21" s="153" t="n">
        <x:v>1.157096774193548</x:v>
      </x:c>
      <x:c r="S21" s="141" t="n">
        <x:v>245.183</x:v>
      </x:c>
      <x:c r="T21" s="154" t="n">
        <x:f>IFERROR(S21/S9-1,"")</x:f>
        <x:v>0.0192812155729698</x:v>
      </x:c>
      <x:c r="U21" s="141" t="n">
        <x:v>99.6925</x:v>
      </x:c>
      <x:c r="V21" s="154" t="n">
        <x:f>IFERROR(U21/U9-1,"")</x:f>
        <x:v>0.008523014668689877</x:v>
      </x:c>
      <x:c r="W21" s="141" t="n">
        <x:v>4452360</x:v>
      </x:c>
      <x:c r="X21" s="154" t="n">
        <x:f>IFERROR(W21/W20-1,"")</x:f>
        <x:v>-0.0028943287817750907</x:v>
      </x:c>
      <x:c r="Y21" s="141" t="n">
        <x:v>138.53162</x:v>
      </x:c>
      <x:c r="Z21" s="141" t="n">
        <x:f>IFERROR(Y21-Y20,"")</x:f>
        <x:v>35.71816</x:v>
      </x:c>
      <x:c r="AA21" s="141" t="n">
        <x:v>156269.5</x:v>
      </x:c>
      <x:c r="AB21" s="141" t="n">
        <x:f>IFERROR(AA21-AA20,"")</x:f>
        <x:v>116407.5</x:v>
      </x:c>
      <x:c r="AC21" s="141" t="n">
        <x:v>32940.25</x:v>
      </x:c>
      <x:c r="AD21" s="141" t="n">
        <x:f>IFERROR(AC21-AC20,"")</x:f>
        <x:v>33955.5</x:v>
      </x:c>
      <x:c r="AE21" s="141"/>
      <x:c r="AF21" s="147" t="str"/>
    </x:row>
    <x:row r="22">
      <x:c r="A22" s="152" t="n">
        <x:v>42979</x:v>
      </x:c>
      <x:c r="B22" s="153" t="n">
        <x:v>1314</x:v>
      </x:c>
      <x:c r="C22" s="153" t="n">
        <x:v>17.4</x:v>
      </x:c>
      <x:c r="D22" s="153" t="n">
        <x:v>55.2</x:v>
      </x:c>
      <x:c r="E22" s="153" t="n">
        <x:v>6577</x:v>
      </x:c>
      <x:c r="F22" s="153" t="n">
        <x:f>IFERROR(B22/C22,"")</x:f>
        <x:v>75.51724137931035</x:v>
      </x:c>
      <x:c r="G22" s="154" t="n">
        <x:f>IFERROR(B22/B21-1,"")</x:f>
        <x:v>0.024162120031177015</x:v>
      </x:c>
      <x:c r="H22" s="154" t="n">
        <x:f>IFERROR(C22/C21-1,"")</x:f>
        <x:v>0.0235294117647058</x:v>
      </x:c>
      <x:c r="I22" s="154" t="n">
        <x:f>IFERROR(D22/D21-1,"")</x:f>
        <x:v>0.07392996108949434</x:v>
      </x:c>
      <x:c r="J22" s="154" t="n">
        <x:f>IFERROR(E22/E21-1,"")</x:f>
        <x:v>0.014030218933086758</x:v>
      </x:c>
      <x:c r="K22" s="153" t="n">
        <x:v>2.2020000000000004</x:v>
      </x:c>
      <x:c r="L22" s="153" t="n">
        <x:v>0.3680000000000001</x:v>
      </x:c>
      <x:c r="M22" s="153" t="n">
        <x:f>IFERROR(L22-L21,"")</x:f>
        <x:v>-0.06547826086956515</x:v>
      </x:c>
      <x:c r="N22" s="153" t="n">
        <x:v>1.8340000000000003</x:v>
      </x:c>
      <x:c r="O22" s="153" t="n">
        <x:v>108.85424499999999</x:v>
      </x:c>
      <x:c r="P22" s="153" t="n">
        <x:f>IFERROR(O22/O21-1,"")</x:f>
        <x:v>-0.009568332946440883</x:v>
      </x:c>
      <x:c r="Q22" s="153" t="n">
        <x:v>10.437999999999999</x:v>
      </x:c>
      <x:c r="R22" s="153" t="n">
        <x:v>1.1533333333333333</x:v>
      </x:c>
      <x:c r="S22" s="141" t="n">
        <x:v>246.435</x:v>
      </x:c>
      <x:c r="T22" s="154" t="n">
        <x:f>IFERROR(S22/S10-1,"")</x:f>
        <x:v>0.021805652303711787</x:v>
      </x:c>
      <x:c r="U22" s="141" t="n">
        <x:v>99.7954</x:v>
      </x:c>
      <x:c r="V22" s="154" t="n">
        <x:f>IFERROR(U22/U10-1,"")</x:f>
        <x:v>0.010630336308315114</x:v>
      </x:c>
      <x:c r="W22" s="141" t="n">
        <x:v>4455661</x:v>
      </x:c>
      <x:c r="X22" s="154" t="n">
        <x:f>IFERROR(W22/W21-1,"")</x:f>
        <x:v>0.0007414045584812623</x:v>
      </x:c>
      <x:c r="Y22" s="141" t="n">
        <x:v>115.53445</x:v>
      </x:c>
      <x:c r="Z22" s="141" t="n">
        <x:f>IFERROR(Y22-Y21,"")</x:f>
        <x:v>-22.997169999999997</x:v>
      </x:c>
      <x:c r="AA22" s="141" t="n">
        <x:v>228237.8</x:v>
      </x:c>
      <x:c r="AB22" s="141" t="n">
        <x:f>IFERROR(AA22-AA21,"")</x:f>
        <x:v>71968.29999999999</x:v>
      </x:c>
      <x:c r="AC22" s="141" t="n">
        <x:v>63250</x:v>
      </x:c>
      <x:c r="AD22" s="141" t="n">
        <x:f>IFERROR(AC22-AC21,"")</x:f>
        <x:v>30309.75</x:v>
      </x:c>
      <x:c r="AE22" s="141"/>
      <x:c r="AF22" s="147" t="str"/>
    </x:row>
    <x:row r="23">
      <x:c r="A23" s="152" t="n">
        <x:v>43009</x:v>
      </x:c>
      <x:c r="B23" s="153" t="n">
        <x:v>1280</x:v>
      </x:c>
      <x:c r="C23" s="153" t="n">
        <x:v>16.9</x:v>
      </x:c>
      <x:c r="D23" s="153" t="n">
        <x:v>57.6</x:v>
      </x:c>
      <x:c r="E23" s="153" t="n">
        <x:v>6808</x:v>
      </x:c>
      <x:c r="F23" s="153" t="n">
        <x:f>IFERROR(B23/C23,"")</x:f>
        <x:v>75.7396449704142</x:v>
      </x:c>
      <x:c r="G23" s="154" t="n">
        <x:f>IFERROR(B23/B22-1,"")</x:f>
        <x:v>-0.025875190258751957</x:v>
      </x:c>
      <x:c r="H23" s="154" t="n">
        <x:f>IFERROR(C23/C22-1,"")</x:f>
        <x:v>-0.028735632183908066</x:v>
      </x:c>
      <x:c r="I23" s="154" t="n">
        <x:f>IFERROR(D23/D22-1,"")</x:f>
        <x:v>0.04347826086956519</x:v>
      </x:c>
      <x:c r="J23" s="154" t="n">
        <x:f>IFERROR(E23/E22-1,"")</x:f>
        <x:v>0.035122396229283925</x:v>
      </x:c>
      <x:c r="K23" s="153" t="n">
        <x:v>2.3600000000000003</x:v>
      </x:c>
      <x:c r="L23" s="153" t="n">
        <x:v>0.498095238095238</x:v>
      </x:c>
      <x:c r="M23" s="153" t="n">
        <x:f>IFERROR(L23-L22,"")</x:f>
        <x:v>0.13009523809523788</x:v>
      </x:c>
      <x:c r="N23" s="153" t="n">
        <x:v>1.861904761904762</x:v>
      </x:c>
      <x:c r="O23" s="153" t="n">
        <x:v>110.88917619047618</x:v>
      </x:c>
      <x:c r="P23" s="153" t="n">
        <x:f>IFERROR(O23/O22-1,"")</x:f>
        <x:v>0.018694091263746104</x:v>
      </x:c>
      <x:c r="Q23" s="153" t="n">
        <x:v>10.125454545454547</x:v>
      </x:c>
      <x:c r="R23" s="153" t="n">
        <x:v>1.1538709677419354</x:v>
      </x:c>
      <x:c r="S23" s="141" t="n">
        <x:v>246.626</x:v>
      </x:c>
      <x:c r="T23" s="154" t="n">
        <x:f>IFERROR(S23/S11-1,"")</x:f>
        <x:v>0.02020757753132485</x:v>
      </x:c>
      <x:c r="U23" s="141" t="n">
        <x:v>101.0247</x:v>
      </x:c>
      <x:c r="V23" s="154" t="n">
        <x:f>IFERROR(U23/U11-1,"")</x:f>
        <x:v>0.022919955326540453</x:v>
      </x:c>
      <x:c r="W23" s="141" t="n">
        <x:v>4461117</x:v>
      </x:c>
      <x:c r="X23" s="154" t="n">
        <x:f>IFERROR(W23/W22-1,"")</x:f>
        <x:v>0.001224509674322194</x:v>
      </x:c>
      <x:c r="Y23" s="141" t="n">
        <x:v>91.46157</x:v>
      </x:c>
      <x:c r="Z23" s="141" t="n">
        <x:f>IFERROR(Y23-Y22,"")</x:f>
        <x:v>-24.072880000000012</x:v>
      </x:c>
      <x:c r="AA23" s="141" t="n">
        <x:v>172164.25</x:v>
      </x:c>
      <x:c r="AB23" s="141" t="n">
        <x:f>IFERROR(AA23-AA22,"")</x:f>
        <x:v>-56073.54999999999</x:v>
      </x:c>
      <x:c r="AC23" s="141" t="n">
        <x:v>59789.75</x:v>
      </x:c>
      <x:c r="AD23" s="141" t="n">
        <x:f>IFERROR(AC23-AC22,"")</x:f>
        <x:v>-3460.25</x:v>
      </x:c>
      <x:c r="AE23" s="141"/>
      <x:c r="AF23" s="147" t="str"/>
    </x:row>
    <x:row r="24">
      <x:c r="A24" s="152" t="n">
        <x:v>43040</x:v>
      </x:c>
      <x:c r="B24" s="153" t="n">
        <x:v>1282</x:v>
      </x:c>
      <x:c r="C24" s="153" t="n">
        <x:v>17</x:v>
      </x:c>
      <x:c r="D24" s="153" t="n">
        <x:v>62.6</x:v>
      </x:c>
      <x:c r="E24" s="153" t="n">
        <x:v>6827</x:v>
      </x:c>
      <x:c r="F24" s="153" t="n">
        <x:f>IFERROR(B24/C24,"")</x:f>
        <x:v>75.41176470588235</x:v>
      </x:c>
      <x:c r="G24" s="154" t="n">
        <x:f>IFERROR(B24/B23-1,"")</x:f>
        <x:v>0.0015624999999999112</x:v>
      </x:c>
      <x:c r="H24" s="154" t="n">
        <x:f>IFERROR(C24/C23-1,"")</x:f>
        <x:v>0.00591715976331364</x:v>
      </x:c>
      <x:c r="I24" s="154" t="n">
        <x:f>IFERROR(D24/D23-1,"")</x:f>
        <x:v>0.08680555555555558</x:v>
      </x:c>
      <x:c r="J24" s="154" t="n">
        <x:f>IFERROR(E24/E23-1,"")</x:f>
        <x:v>0.0027908343125735424</x:v>
      </x:c>
      <x:c r="K24" s="153" t="n">
        <x:v>2.353333333333333</x:v>
      </x:c>
      <x:c r="L24" s="153" t="n">
        <x:v>0.49571428571428583</x:v>
      </x:c>
      <x:c r="M24" s="153" t="n">
        <x:f>IFERROR(L24-L23,"")</x:f>
        <x:v>-0.0023809523809521504</x:v>
      </x:c>
      <x:c r="N24" s="153" t="n">
        <x:v>1.8576190476190482</x:v>
      </x:c>
      <x:c r="O24" s="153" t="n">
        <x:v>111.163525</x:v>
      </x:c>
      <x:c r="P24" s="153" t="n">
        <x:f>IFERROR(O24/O23-1,"")</x:f>
        <x:v>0.0024740810505488042</x:v>
      </x:c>
      <x:c r="Q24" s="153" t="n">
        <x:v>10.54047619047619</x:v>
      </x:c>
      <x:c r="R24" s="153" t="n">
        <x:v>1.1569999999999998</x:v>
      </x:c>
      <x:c r="S24" s="141" t="n">
        <x:v>247.284</x:v>
      </x:c>
      <x:c r="T24" s="154" t="n">
        <x:f>IFERROR(S24/S12-1,"")</x:f>
        <x:v>0.02172493864295566</x:v>
      </x:c>
      <x:c r="U24" s="141" t="n">
        <x:v>101.2664</x:v>
      </x:c>
      <x:c r="V24" s="154" t="n">
        <x:f>IFERROR(U24/U12-1,"")</x:f>
        <x:v>0.029662701539719283</x:v>
      </x:c>
      <x:c r="W24" s="141" t="n">
        <x:v>4438592</x:v>
      </x:c>
      <x:c r="X24" s="154" t="n">
        <x:f>IFERROR(W24/W23-1,"")</x:f>
        <x:v>-0.005049183870317719</x:v>
      </x:c>
      <x:c r="Y24" s="141" t="n">
        <x:v>92.596016</x:v>
      </x:c>
      <x:c r="Z24" s="141" t="n">
        <x:f>IFERROR(Y24-Y23,"")</x:f>
        <x:v>1.1344460000000112</x:v>
      </x:c>
      <x:c r="AA24" s="141" t="n">
        <x:v>171482.5</x:v>
      </x:c>
      <x:c r="AB24" s="141" t="n">
        <x:f>IFERROR(AA24-AA23,"")</x:f>
        <x:v>-681.75</x:v>
      </x:c>
      <x:c r="AC24" s="141" t="n">
        <x:v>64066</x:v>
      </x:c>
      <x:c r="AD24" s="141" t="n">
        <x:f>IFERROR(AC24-AC23,"")</x:f>
        <x:v>4276.25</x:v>
      </x:c>
      <x:c r="AE24" s="141"/>
      <x:c r="AF24" s="147" t="str"/>
    </x:row>
    <x:row r="25">
      <x:c r="A25" s="152" t="n">
        <x:v>43070</x:v>
      </x:c>
      <x:c r="B25" s="153" t="n">
        <x:v>1264</x:v>
      </x:c>
      <x:c r="C25" s="153" t="n">
        <x:v>16.2</x:v>
      </x:c>
      <x:c r="D25" s="153" t="n">
        <x:v>64.2</x:v>
      </x:c>
      <x:c r="E25" s="153" t="n">
        <x:v>6834</x:v>
      </x:c>
      <x:c r="F25" s="153" t="n">
        <x:f>IFERROR(B25/C25,"")</x:f>
        <x:v>78.0246913580247</x:v>
      </x:c>
      <x:c r="G25" s="154" t="n">
        <x:f>IFERROR(B25/B24-1,"")</x:f>
        <x:v>-0.01404056162246492</x:v>
      </x:c>
      <x:c r="H25" s="154" t="n">
        <x:f>IFERROR(C25/C24-1,"")</x:f>
        <x:v>-0.04705882352941182</x:v>
      </x:c>
      <x:c r="I25" s="154" t="n">
        <x:f>IFERROR(D25/D24-1,"")</x:f>
        <x:v>0.025559105431310014</x:v>
      </x:c>
      <x:c r="J25" s="154" t="n">
        <x:f>IFERROR(E25/E24-1,"")</x:f>
        <x:v>0.0010253405595430642</x:v>
      </x:c>
      <x:c r="K25" s="153" t="n">
        <x:v>2.4025</x:v>
      </x:c>
      <x:c r="L25" s="153" t="n">
        <x:v>0.503</x:v>
      </x:c>
      <x:c r="M25" s="153" t="n">
        <x:f>IFERROR(L25-L24,"")</x:f>
        <x:v>0.007285714285714173</x:v>
      </x:c>
      <x:c r="N25" s="153" t="n">
        <x:v>1.8995000000000002</x:v>
      </x:c>
      <x:c r="O25" s="153" t="n">
        <x:v>110.87581</x:v>
      </x:c>
      <x:c r="P25" s="153" t="n">
        <x:f>IFERROR(O25/O24-1,"")</x:f>
        <x:v>-0.0025882140747156557</x:v>
      </x:c>
      <x:c r="Q25" s="153" t="n">
        <x:v>10.2645</x:v>
      </x:c>
      <x:c r="R25" s="153" t="n">
        <x:v>1.3016129032258068</x:v>
      </x:c>
      <x:c r="S25" s="141" t="n">
        <x:v>247.805</x:v>
      </x:c>
      <x:c r="T25" s="154" t="n">
        <x:f>IFERROR(S25/S13-1,"")</x:f>
        <x:v>0.021299307195522532</x:v>
      </x:c>
      <x:c r="U25" s="141" t="n">
        <x:v>101.4644</x:v>
      </x:c>
      <x:c r="V25" s="154" t="n">
        <x:f>IFERROR(U25/U13-1,"")</x:f>
        <x:v>0.02467143465957866</x:v>
      </x:c>
      <x:c r="W25" s="141" t="n">
        <x:v>4448680</x:v>
      </x:c>
      <x:c r="X25" s="154" t="n">
        <x:f>IFERROR(W25/W24-1,"")</x:f>
        <x:v>0.0022727928135768405</x:v>
      </x:c>
      <x:c r="Y25" s="141" t="n">
        <x:v>82.718254</x:v>
      </x:c>
      <x:c r="Z25" s="141" t="n">
        <x:f>IFERROR(Y25-Y24,"")</x:f>
        <x:v>-9.877762000000004</x:v>
      </x:c>
      <x:c r="AA25" s="141" t="n">
        <x:v>119655.8</x:v>
      </x:c>
      <x:c r="AB25" s="141" t="n">
        <x:f>IFERROR(AA25-AA24,"")</x:f>
        <x:v>-51826.7</x:v>
      </x:c>
      <x:c r="AC25" s="141" t="n">
        <x:v>10207</x:v>
      </x:c>
      <x:c r="AD25" s="141" t="n">
        <x:f>IFERROR(AC25-AC24,"")</x:f>
        <x:v>-53859</x:v>
      </x:c>
      <x:c r="AE25" s="141"/>
      <x:c r="AF25" s="147" t="str"/>
    </x:row>
    <x:row r="26">
      <x:c r="A26" s="152" t="n">
        <x:v>43101</x:v>
      </x:c>
      <x:c r="B26" s="153" t="n">
        <x:v>1331</x:v>
      </x:c>
      <x:c r="C26" s="153" t="n">
        <x:v>17.1</x:v>
      </x:c>
      <x:c r="D26" s="153" t="n">
        <x:v>69</x:v>
      </x:c>
      <x:c r="E26" s="153" t="n">
        <x:v>7066</x:v>
      </x:c>
      <x:c r="F26" s="153" t="n">
        <x:f>IFERROR(B26/C26,"")</x:f>
        <x:v>77.83625730994152</x:v>
      </x:c>
      <x:c r="G26" s="154" t="n">
        <x:f>IFERROR(B26/B25-1,"")</x:f>
        <x:v>0.053006329113924</x:v>
      </x:c>
      <x:c r="H26" s="154" t="n">
        <x:f>IFERROR(C26/C25-1,"")</x:f>
        <x:v>0.05555555555555558</x:v>
      </x:c>
      <x:c r="I26" s="154" t="n">
        <x:f>IFERROR(D26/D25-1,"")</x:f>
        <x:v>0.07476635514018692</x:v>
      </x:c>
      <x:c r="J26" s="154" t="n">
        <x:f>IFERROR(E26/E25-1,"")</x:f>
        <x:v>0.03394790752121746</x:v>
      </x:c>
      <x:c r="K26" s="153" t="n">
        <x:v>2.5838095238095242</x:v>
      </x:c>
      <x:c r="L26" s="153" t="n">
        <x:v>0.54</x:v>
      </x:c>
      <x:c r="M26" s="153" t="n">
        <x:f>IFERROR(L26-L25,"")</x:f>
        <x:v>0.03700000000000003</x:v>
      </x:c>
      <x:c r="N26" s="153" t="n">
        <x:v>2.0438095238095237</x:v>
      </x:c>
      <x:c r="O26" s="153" t="n">
        <x:v>108.35677619047621</x:v>
      </x:c>
      <x:c r="P26" s="153" t="n">
        <x:f>IFERROR(O26/O25-1,"")</x:f>
        <x:v>-0.022719417423185395</x:v>
      </x:c>
      <x:c r="Q26" s="153" t="n">
        <x:v>11.062380952380952</x:v>
      </x:c>
      <x:c r="R26" s="153" t="n">
        <x:v>1.414516129032259</x:v>
      </x:c>
      <x:c r="S26" s="141" t="n">
        <x:v>248.859</x:v>
      </x:c>
      <x:c r="T26" s="154" t="n">
        <x:f>IFERROR(S26/S14-1,"")</x:f>
        <x:v>0.02151318868063945</x:v>
      </x:c>
      <x:c r="U26" s="141" t="n">
        <x:v>101.4625</x:v>
      </x:c>
      <x:c r="V26" s="154" t="n">
        <x:f>IFERROR(U26/U14-1,"")</x:f>
        <x:v>0.027352874765469437</x:v>
      </x:c>
      <x:c r="W26" s="141" t="n">
        <x:v>4419225</x:v>
      </x:c>
      <x:c r="X26" s="154" t="n">
        <x:f>IFERROR(W26/W25-1,"")</x:f>
        <x:v>-0.0066210651249359875</x:v>
      </x:c>
      <x:c r="Y26" s="141" t="n">
        <x:v>92.42679</x:v>
      </x:c>
      <x:c r="Z26" s="141" t="n">
        <x:f>IFERROR(Y26-Y25,"")</x:f>
        <x:v>9.708535999999995</x:v>
      </x:c>
      <x:c r="AA26" s="141" t="n">
        <x:v>188823</x:v>
      </x:c>
      <x:c r="AB26" s="141" t="n">
        <x:f>IFERROR(AA26-AA25,"")</x:f>
        <x:v>69167.2</x:v>
      </x:c>
      <x:c r="AC26" s="141" t="n">
        <x:v>27734</x:v>
      </x:c>
      <x:c r="AD26" s="141" t="n">
        <x:f>IFERROR(AC26-AC25,"")</x:f>
        <x:v>17527</x:v>
      </x:c>
      <x:c r="AE26" s="141"/>
      <x:c r="AF26" s="147" t="str"/>
    </x:row>
    <x:row r="27">
      <x:c r="A27" s="152" t="n">
        <x:v>43132</x:v>
      </x:c>
      <x:c r="B27" s="153" t="n">
        <x:v>1331</x:v>
      </x:c>
      <x:c r="C27" s="153" t="n">
        <x:v>16.6</x:v>
      </x:c>
      <x:c r="D27" s="153" t="n">
        <x:v>65.4</x:v>
      </x:c>
      <x:c r="E27" s="153" t="n">
        <x:v>7007</x:v>
      </x:c>
      <x:c r="F27" s="153" t="n">
        <x:f>IFERROR(B27/C27,"")</x:f>
        <x:v>80.18072289156626</x:v>
      </x:c>
      <x:c r="G27" s="154" t="n">
        <x:f>IFERROR(B27/B26-1,"")</x:f>
        <x:v>0</x:v>
      </x:c>
      <x:c r="H27" s="154" t="n">
        <x:f>IFERROR(C27/C26-1,"")</x:f>
        <x:v>-0.029239766081871288</x:v>
      </x:c>
      <x:c r="I27" s="154" t="n">
        <x:f>IFERROR(D27/D26-1,"")</x:f>
        <x:v>-0.05217391304347818</x:v>
      </x:c>
      <x:c r="J27" s="154" t="n">
        <x:f>IFERROR(E27/E26-1,"")</x:f>
        <x:v>-0.00834984432493635</x:v>
      </x:c>
      <x:c r="K27" s="153" t="n">
        <x:v>2.8589473684210525</x:v>
      </x:c>
      <x:c r="L27" s="153" t="n">
        <x:v>0.7573684210526316</x:v>
      </x:c>
      <x:c r="M27" s="153" t="n">
        <x:f>IFERROR(L27-L26,"")</x:f>
        <x:v>0.21736842105263154</x:v>
      </x:c>
      <x:c r="N27" s="153" t="n">
        <x:v>2.101578947368421</x:v>
      </x:c>
      <x:c r="O27" s="153" t="n">
        <x:v>107.6500947368421</x:v>
      </x:c>
      <x:c r="P27" s="153" t="n">
        <x:f>IFERROR(O27/O26-1,"")</x:f>
        <x:v>-0.006521802128847565</x:v>
      </x:c>
      <x:c r="Q27" s="153" t="n">
        <x:v>22.464736842105264</x:v>
      </x:c>
      <x:c r="R27" s="153" t="n">
        <x:v>1.4175000000000009</x:v>
      </x:c>
      <x:c r="S27" s="141" t="n">
        <x:v>249.529</x:v>
      </x:c>
      <x:c r="T27" s="154" t="n">
        <x:f>IFERROR(S27/S15-1,"")</x:f>
        <x:v>0.02263468931091861</x:v>
      </x:c>
      <x:c r="U27" s="141" t="n">
        <x:v>101.7085</x:v>
      </x:c>
      <x:c r="V27" s="154" t="n">
        <x:f>IFERROR(U27/U15-1,"")</x:f>
        <x:v>0.033994953469032696</x:v>
      </x:c>
      <x:c r="W27" s="141" t="n">
        <x:v>4393401</x:v>
      </x:c>
      <x:c r="X27" s="154" t="n">
        <x:f>IFERROR(W27/W26-1,"")</x:f>
        <x:v>-0.005843558542504623</x:v>
      </x:c>
      <x:c r="Y27" s="141" t="n">
        <x:v>64.49137</x:v>
      </x:c>
      <x:c r="Z27" s="141" t="n">
        <x:f>IFERROR(Y27-Y26,"")</x:f>
        <x:v>-27.935419999999993</x:v>
      </x:c>
      <x:c r="AA27" s="141" t="n">
        <x:v>183925.75</x:v>
      </x:c>
      <x:c r="AB27" s="141" t="n">
        <x:f>IFERROR(AA27-AA26,"")</x:f>
        <x:v>-4897.25</x:v>
      </x:c>
      <x:c r="AC27" s="141" t="n">
        <x:v>2658.25</x:v>
      </x:c>
      <x:c r="AD27" s="141" t="n">
        <x:f>IFERROR(AC27-AC26,"")</x:f>
        <x:v>-25075.75</x:v>
      </x:c>
      <x:c r="AE27" s="141"/>
      <x:c r="AF27" s="147" t="str"/>
    </x:row>
    <x:row r="28">
      <x:c r="A28" s="152" t="n">
        <x:v>43160</x:v>
      </x:c>
      <x:c r="B28" s="153" t="n">
        <x:v>1325</x:v>
      </x:c>
      <x:c r="C28" s="153" t="n">
        <x:v>16.5</x:v>
      </x:c>
      <x:c r="D28" s="153" t="n">
        <x:v>66.5</x:v>
      </x:c>
      <x:c r="E28" s="153" t="n">
        <x:v>6799</x:v>
      </x:c>
      <x:c r="F28" s="153" t="n">
        <x:f>IFERROR(B28/C28,"")</x:f>
        <x:v>80.3030303030303</x:v>
      </x:c>
      <x:c r="G28" s="154" t="n">
        <x:f>IFERROR(B28/B27-1,"")</x:f>
        <x:v>-0.004507888805409421</x:v>
      </x:c>
      <x:c r="H28" s="154" t="n">
        <x:f>IFERROR(C28/C27-1,"")</x:f>
        <x:v>-0.006024096385542244</x:v>
      </x:c>
      <x:c r="I28" s="154" t="n">
        <x:f>IFERROR(D28/D27-1,"")</x:f>
        <x:v>0.01681957186544336</x:v>
      </x:c>
      <x:c r="J28" s="154" t="n">
        <x:f>IFERROR(E28/E27-1,"")</x:f>
        <x:v>-0.029684601113172504</x:v>
      </x:c>
      <x:c r="K28" s="153" t="n">
        <x:v>2.8423809523809527</x:v>
      </x:c>
      <x:c r="L28" s="153" t="n">
        <x:v>0.7519047619047619</x:v>
      </x:c>
      <x:c r="M28" s="153" t="n">
        <x:f>IFERROR(L28-L27,"")</x:f>
        <x:v>-0.005463659147869726</x:v>
      </x:c>
      <x:c r="N28" s="153" t="n">
        <x:v>2.09047619047619</x:v>
      </x:c>
      <x:c r="O28" s="153" t="n">
        <x:v>107.94717499999999</x:v>
      </x:c>
      <x:c r="P28" s="153" t="n">
        <x:f>IFERROR(O28/O27-1,"")</x:f>
        <x:v>0.0027596841775578973</x:v>
      </x:c>
      <x:c r="Q28" s="153" t="n">
        <x:v>19.023809523809526</x:v>
      </x:c>
      <x:c r="R28" s="153" t="n">
        <x:v>1.5061290322580647</x:v>
      </x:c>
      <x:c r="S28" s="141" t="n">
        <x:v>249.577</x:v>
      </x:c>
      <x:c r="T28" s="154" t="n">
        <x:f>IFERROR(S28/S16-1,"")</x:f>
        <x:v>0.023309497646499366</x:v>
      </x:c>
      <x:c r="U28" s="141" t="n">
        <x:v>102.2067</x:v>
      </x:c>
      <x:c r="V28" s="154" t="n">
        <x:f>IFERROR(U28/U16-1,"")</x:f>
        <x:v>0.03224806264183644</x:v>
      </x:c>
      <x:c r="W28" s="141" t="n">
        <x:v>4392198</x:v>
      </x:c>
      <x:c r="X28" s="154" t="n">
        <x:f>IFERROR(W28/W27-1,"")</x:f>
        <x:v>-0.0002738197583147528</x:v>
      </x:c>
      <x:c r="Y28" s="141" t="n">
        <x:v>111.962296</x:v>
      </x:c>
      <x:c r="Z28" s="141" t="n">
        <x:f>IFERROR(Y28-Y27,"")</x:f>
        <x:v>47.47092599999999</x:v>
      </x:c>
      <x:c r="AA28" s="141" t="n">
        <x:v>142112</x:v>
      </x:c>
      <x:c r="AB28" s="141" t="n">
        <x:f>IFERROR(AA28-AA27,"")</x:f>
        <x:v>-41813.75</x:v>
      </x:c>
      <x:c r="AC28" s="141" t="n">
        <x:v>-22805</x:v>
      </x:c>
      <x:c r="AD28" s="141" t="n">
        <x:f>IFERROR(AC28-AC27,"")</x:f>
        <x:v>-25463.25</x:v>
      </x:c>
      <x:c r="AE28" s="141"/>
      <x:c r="AF28" s="147" t="str"/>
    </x:row>
    <x:row r="29">
      <x:c r="A29" s="152" t="n">
        <x:v>43191</x:v>
      </x:c>
      <x:c r="B29" s="153" t="n">
        <x:v>1335</x:v>
      </x:c>
      <x:c r="C29" s="153" t="n">
        <x:v>16.6</x:v>
      </x:c>
      <x:c r="D29" s="153" t="n">
        <x:v>71.6</x:v>
      </x:c>
      <x:c r="E29" s="153" t="n">
        <x:v>6852</x:v>
      </x:c>
      <x:c r="F29" s="153" t="n">
        <x:f>IFERROR(B29/C29,"")</x:f>
        <x:v>80.42168674698794</x:v>
      </x:c>
      <x:c r="G29" s="154" t="n">
        <x:f>IFERROR(B29/B28-1,"")</x:f>
        <x:v>0.007547169811320753</x:v>
      </x:c>
      <x:c r="H29" s="154" t="n">
        <x:f>IFERROR(C29/C28-1,"")</x:f>
        <x:v>0.0060606060606061</x:v>
      </x:c>
      <x:c r="I29" s="154" t="n">
        <x:f>IFERROR(D29/D28-1,"")</x:f>
        <x:v>0.07669172932330826</x:v>
      </x:c>
      <x:c r="J29" s="154" t="n">
        <x:f>IFERROR(E29/E28-1,"")</x:f>
        <x:v>0.007795264009413216</x:v>
      </x:c>
      <x:c r="K29" s="153" t="n">
        <x:v>2.869047619047619</x:v>
      </x:c>
      <x:c r="L29" s="153" t="n">
        <x:v>0.7414285714285713</x:v>
      </x:c>
      <x:c r="M29" s="153" t="n">
        <x:f>IFERROR(L29-L28,"")</x:f>
        <x:v>-0.010476190476190528</x:v>
      </x:c>
      <x:c r="N29" s="153" t="n">
        <x:v>2.127619047619048</x:v>
      </x:c>
      <x:c r="O29" s="153" t="n">
        <x:v>107.94335714285714</x:v>
      </x:c>
      <x:c r="P29" s="153" t="n">
        <x:f>IFERROR(O29/O28-1,"")</x:f>
        <x:v>-0.00003536782822566309</x:v>
      </x:c>
      <x:c r="Q29" s="153" t="n">
        <x:v>18.267619047619046</x:v>
      </x:c>
      <x:c r="R29" s="153" t="n">
        <x:v>1.6923333333333344</x:v>
      </x:c>
      <x:c r="S29" s="141" t="n">
        <x:v>250.227</x:v>
      </x:c>
      <x:c r="T29" s="154" t="n">
        <x:f>IFERROR(S29/S17-1,"")</x:f>
        <x:v>0.024709963021052994</x:v>
      </x:c>
      <x:c r="U29" s="141" t="n">
        <x:v>103.3329</x:v>
      </x:c>
      <x:c r="V29" s="154" t="n">
        <x:f>IFERROR(U29/U17-1,"")</x:f>
        <x:v>0.03309758614070435</x:v>
      </x:c>
      <x:c r="W29" s="141" t="n">
        <x:v>4372886</x:v>
      </x:c>
      <x:c r="X29" s="154" t="n">
        <x:f>IFERROR(W29/W28-1,"")</x:f>
        <x:v>-0.00439688738986721</x:v>
      </x:c>
      <x:c r="Y29" s="141" t="n">
        <x:v>123.26347</x:v>
      </x:c>
      <x:c r="Z29" s="141" t="n">
        <x:f>IFERROR(Y29-Y28,"")</x:f>
        <x:v>11.301174000000003</x:v>
      </x:c>
      <x:c r="AA29" s="141" t="n">
        <x:v>121125.75</x:v>
      </x:c>
      <x:c r="AB29" s="141" t="n">
        <x:f>IFERROR(AA29-AA28,"")</x:f>
        <x:v>-20986.25</x:v>
      </x:c>
      <x:c r="AC29" s="141" t="n">
        <x:v>-22001.75</x:v>
      </x:c>
      <x:c r="AD29" s="141" t="n">
        <x:f>IFERROR(AC29-AC28,"")</x:f>
        <x:v>803.25</x:v>
      </x:c>
      <x:c r="AE29" s="141"/>
      <x:c r="AF29" s="147" t="str"/>
    </x:row>
    <x:row r="30">
      <x:c r="A30" s="152" t="n">
        <x:v>43221</x:v>
      </x:c>
      <x:c r="B30" s="153" t="n">
        <x:v>1303</x:v>
      </x:c>
      <x:c r="C30" s="153" t="n">
        <x:v>16.5</x:v>
      </x:c>
      <x:c r="D30" s="153" t="n">
        <x:v>76.7</x:v>
      </x:c>
      <x:c r="E30" s="153" t="n">
        <x:v>6825</x:v>
      </x:c>
      <x:c r="F30" s="153" t="n">
        <x:f>IFERROR(B30/C30,"")</x:f>
        <x:v>78.96969696969697</x:v>
      </x:c>
      <x:c r="G30" s="154" t="n">
        <x:f>IFERROR(B30/B29-1,"")</x:f>
        <x:v>-0.02397003745318349</x:v>
      </x:c>
      <x:c r="H30" s="154" t="n">
        <x:f>IFERROR(C30/C29-1,"")</x:f>
        <x:v>-0.006024096385542244</x:v>
      </x:c>
      <x:c r="I30" s="154" t="n">
        <x:f>IFERROR(D30/D29-1,"")</x:f>
        <x:v>0.0712290502793298</x:v>
      </x:c>
      <x:c r="J30" s="154" t="n">
        <x:f>IFERROR(E30/E29-1,"")</x:f>
        <x:v>-0.0039404553415061105</x:v>
      </x:c>
      <x:c r="K30" s="153" t="n">
        <x:v>2.977727272727273</x:v>
      </x:c>
      <x:c r="L30" s="153" t="n">
        <x:v>0.835909090909091</x:v>
      </x:c>
      <x:c r="M30" s="153" t="n">
        <x:f>IFERROR(L30-L29,"")</x:f>
        <x:v>0.09448051948051972</x:v>
      </x:c>
      <x:c r="N30" s="153" t="n">
        <x:v>2.141818181818181</x:v>
      </x:c>
      <x:c r="O30" s="153" t="n">
        <x:v>111.04704090909091</x:v>
      </x:c>
      <x:c r="P30" s="153" t="n">
        <x:f>IFERROR(O30/O29-1,"")</x:f>
        <x:v>0.028752892705812494</x:v>
      </x:c>
      <x:c r="Q30" s="153" t="n">
        <x:v>14.124545454545455</x:v>
      </x:c>
      <x:c r="R30" s="153" t="n">
        <x:v>1.7000000000000008</x:v>
      </x:c>
      <x:c r="S30" s="141" t="n">
        <x:v>250.792</x:v>
      </x:c>
      <x:c r="T30" s="154" t="n">
        <x:f>IFERROR(S30/S18-1,"")</x:f>
        <x:v>0.02781921607842497</x:v>
      </x:c>
      <x:c r="U30" s="141" t="n">
        <x:v>102.4024</x:v>
      </x:c>
      <x:c r="V30" s="154" t="n">
        <x:f>IFERROR(U30/U18-1,"")</x:f>
        <x:v>0.022584201444366236</x:v>
      </x:c>
      <x:c r="W30" s="141" t="n">
        <x:v>4327519</x:v>
      </x:c>
      <x:c r="X30" s="154" t="n">
        <x:f>IFERROR(W30/W29-1,"")</x:f>
        <x:v>-0.010374613013007905</x:v>
      </x:c>
      <x:c r="Y30" s="141" t="n">
        <x:v>125.66662</x:v>
      </x:c>
      <x:c r="Z30" s="141" t="n">
        <x:f>IFERROR(Y30-Y29,"")</x:f>
        <x:v>2.4031499999999966</x:v>
      </x:c>
      <x:c r="AA30" s="141" t="n">
        <x:v>29121.25</x:v>
      </x:c>
      <x:c r="AB30" s="141" t="n">
        <x:f>IFERROR(AA30-AA29,"")</x:f>
        <x:v>-92004.5</x:v>
      </x:c>
      <x:c r="AC30" s="141" t="n">
        <x:v>-15143</x:v>
      </x:c>
      <x:c r="AD30" s="141" t="n">
        <x:f>IFERROR(AC30-AC29,"")</x:f>
        <x:v>6858.75</x:v>
      </x:c>
      <x:c r="AE30" s="141"/>
      <x:c r="AF30" s="147" t="str"/>
    </x:row>
    <x:row r="31">
      <x:c r="A31" s="152" t="n">
        <x:v>43252</x:v>
      </x:c>
      <x:c r="B31" s="153" t="n">
        <x:v>1282</x:v>
      </x:c>
      <x:c r="C31" s="153" t="n">
        <x:v>16.5</x:v>
      </x:c>
      <x:c r="D31" s="153" t="n">
        <x:v>75.2</x:v>
      </x:c>
      <x:c r="E31" s="153" t="n">
        <x:v>6966</x:v>
      </x:c>
      <x:c r="F31" s="153" t="n">
        <x:f>IFERROR(B31/C31,"")</x:f>
        <x:v>77.6969696969697</x:v>
      </x:c>
      <x:c r="G31" s="154" t="n">
        <x:f>IFERROR(B31/B30-1,"")</x:f>
        <x:v>-0.016116653875671516</x:v>
      </x:c>
      <x:c r="H31" s="154" t="n">
        <x:f>IFERROR(C31/C30-1,"")</x:f>
        <x:v>0</x:v>
      </x:c>
      <x:c r="I31" s="154" t="n">
        <x:f>IFERROR(D31/D30-1,"")</x:f>
        <x:v>-0.019556714471968717</x:v>
      </x:c>
      <x:c r="J31" s="154" t="n">
        <x:f>IFERROR(E31/E30-1,"")</x:f>
        <x:v>0.02065934065934072</x:v>
      </x:c>
      <x:c r="K31" s="153" t="n">
        <x:v>2.9123809523809525</x:v>
      </x:c>
      <x:c r="L31" s="153" t="n">
        <x:v>0.7947619047619048</x:v>
      </x:c>
      <x:c r="M31" s="153" t="n">
        <x:f>IFERROR(L31-L30,"")</x:f>
        <x:v>-0.041147186147186265</x:v>
      </x:c>
      <x:c r="N31" s="153" t="n">
        <x:v>2.1176190476190477</x:v>
      </x:c>
      <x:c r="O31" s="153" t="n">
        <x:v>112.84441904761904</x:v>
      </x:c>
      <x:c r="P31" s="153" t="n">
        <x:f>IFERROR(O31/O30-1,"")</x:f>
        <x:v>0.016185736457395183</x:v>
      </x:c>
      <x:c r="Q31" s="153" t="n">
        <x:v>13.678095238095239</x:v>
      </x:c>
      <x:c r="R31" s="153" t="n">
        <x:v>1.819666666666666</x:v>
      </x:c>
      <x:c r="S31" s="141" t="n">
        <x:v>251.018</x:v>
      </x:c>
      <x:c r="T31" s="154" t="n">
        <x:f>IFERROR(S31/S19-1,"")</x:f>
        <x:v>0.028075506935940187</x:v>
      </x:c>
      <x:c r="U31" s="141" t="n">
        <x:v>103.198</x:v>
      </x:c>
      <x:c r="V31" s="154" t="n">
        <x:f>IFERROR(U31/U19-1,"")</x:f>
        <x:v>0.028410387544831828</x:v>
      </x:c>
      <x:c r="W31" s="141" t="n">
        <x:v>4305491</x:v>
      </x:c>
      <x:c r="X31" s="154" t="n">
        <x:f>IFERROR(W31/W30-1,"")</x:f>
        <x:v>-0.005090214508590263</x:v>
      </x:c>
      <x:c r="Y31" s="141" t="n">
        <x:v>103.96859</x:v>
      </x:c>
      <x:c r="Z31" s="141" t="n">
        <x:f>IFERROR(Y31-Y30,"")</x:f>
        <x:v>-21.69802999999999</x:v>
      </x:c>
      <x:c r="AA31" s="141" t="n">
        <x:v>34177.8</x:v>
      </x:c>
      <x:c r="AB31" s="141" t="n">
        <x:f>IFERROR(AA31-AA30,"")</x:f>
        <x:v>5056.550000000003</x:v>
      </x:c>
      <x:c r="AC31" s="141" t="n">
        <x:v>19190.2</x:v>
      </x:c>
      <x:c r="AD31" s="141" t="n">
        <x:f>IFERROR(AC31-AC30,"")</x:f>
        <x:v>34333.2</x:v>
      </x:c>
      <x:c r="AE31" s="141"/>
      <x:c r="AF31" s="147" t="str"/>
    </x:row>
    <x:row r="32">
      <x:c r="A32" s="152" t="n">
        <x:v>43282</x:v>
      </x:c>
      <x:c r="B32" s="153" t="n">
        <x:v>1238</x:v>
      </x:c>
      <x:c r="C32" s="153" t="n">
        <x:v>15.7</x:v>
      </x:c>
      <x:c r="D32" s="153" t="n">
        <x:v>74.4</x:v>
      </x:c>
      <x:c r="E32" s="153" t="n">
        <x:v>6251</x:v>
      </x:c>
      <x:c r="F32" s="153" t="n">
        <x:f>IFERROR(B32/C32,"")</x:f>
        <x:v>78.85350318471338</x:v>
      </x:c>
      <x:c r="G32" s="154" t="n">
        <x:f>IFERROR(B32/B31-1,"")</x:f>
        <x:v>-0.03432137285491421</x:v>
      </x:c>
      <x:c r="H32" s="154" t="n">
        <x:f>IFERROR(C32/C31-1,"")</x:f>
        <x:v>-0.048484848484848575</x:v>
      </x:c>
      <x:c r="I32" s="154" t="n">
        <x:f>IFERROR(D32/D31-1,"")</x:f>
        <x:v>-0.010638297872340385</x:v>
      </x:c>
      <x:c r="J32" s="154" t="n">
        <x:f>IFERROR(E32/E31-1,"")</x:f>
        <x:v>-0.1026414010910135</x:v>
      </x:c>
      <x:c r="K32" s="153" t="n">
        <x:v>2.8890476190476195</x:v>
      </x:c>
      <x:c r="L32" s="153" t="n">
        <x:v>0.7747619047619048</x:v>
      </x:c>
      <x:c r="M32" s="153" t="n">
        <x:f>IFERROR(L32-L31,"")</x:f>
        <x:v>-0.020000000000000018</x:v>
      </x:c>
      <x:c r="N32" s="153" t="n">
        <x:v>2.1142857142857143</x:v>
      </x:c>
      <x:c r="O32" s="153" t="n">
        <x:v>113.05953333333333</x:v>
      </x:c>
      <x:c r="P32" s="153" t="n">
        <x:f>IFERROR(O32/O31-1,"")</x:f>
        <x:v>0.001906290869586602</x:v>
      </x:c>
      <x:c r="Q32" s="153" t="n">
        <x:v>13.147619047619045</x:v>
      </x:c>
      <x:c r="R32" s="153" t="n">
        <x:v>1.9099999999999984</x:v>
      </x:c>
      <x:c r="S32" s="141" t="n">
        <x:v>251.214</x:v>
      </x:c>
      <x:c r="T32" s="154" t="n">
        <x:f>IFERROR(S32/S20-1,"")</x:f>
        <x:v>0.02854124785561929</x:v>
      </x:c>
      <x:c r="U32" s="141" t="n">
        <x:v>103.3646</x:v>
      </x:c>
      <x:c r="V32" s="154" t="n">
        <x:f>IFERROR(U32/U20-1,"")</x:f>
        <x:v>0.032543243815604805</x:v>
      </x:c>
      <x:c r="W32" s="141" t="n">
        <x:v>4277681</x:v>
      </x:c>
      <x:c r="X32" s="154" t="n">
        <x:f>IFERROR(W32/W31-1,"")</x:f>
        <x:v>-0.006459193620425685</x:v>
      </x:c>
      <x:c r="Y32" s="141" t="n">
        <x:v>110.02843</x:v>
      </x:c>
      <x:c r="Z32" s="141" t="n">
        <x:f>IFERROR(Y32-Y31,"")</x:f>
        <x:v>6.059839999999994</x:v>
      </x:c>
      <x:c r="AA32" s="141" t="n">
        <x:v>-16663</x:v>
      </x:c>
      <x:c r="AB32" s="141" t="n">
        <x:f>IFERROR(AA32-AA31,"")</x:f>
        <x:v>-50840.8</x:v>
      </x:c>
      <x:c r="AC32" s="141" t="n">
        <x:v>-899</x:v>
      </x:c>
      <x:c r="AD32" s="141" t="n">
        <x:f>IFERROR(AC32-AC31,"")</x:f>
        <x:v>-20089.2</x:v>
      </x:c>
      <x:c r="AE32" s="141"/>
      <x:c r="AF32" s="147" t="str"/>
    </x:row>
    <x:row r="33">
      <x:c r="A33" s="152" t="n">
        <x:v>43313</x:v>
      </x:c>
      <x:c r="B33" s="153" t="n">
        <x:v>1202</x:v>
      </x:c>
      <x:c r="C33" s="153" t="n">
        <x:v>15</x:v>
      </x:c>
      <x:c r="D33" s="153" t="n">
        <x:v>73.1</x:v>
      </x:c>
      <x:c r="E33" s="153" t="n">
        <x:v>6051</x:v>
      </x:c>
      <x:c r="F33" s="153" t="n">
        <x:f>IFERROR(B33/C33,"")</x:f>
        <x:v>80.13333333333334</x:v>
      </x:c>
      <x:c r="G33" s="154" t="n">
        <x:f>IFERROR(B33/B32-1,"")</x:f>
        <x:v>-0.029079159935379684</x:v>
      </x:c>
      <x:c r="H33" s="154" t="n">
        <x:f>IFERROR(C33/C32-1,"")</x:f>
        <x:v>-0.04458598726114649</x:v>
      </x:c>
      <x:c r="I33" s="154" t="n">
        <x:f>IFERROR(D33/D32-1,"")</x:f>
        <x:v>-0.0174731182795701</x:v>
      </x:c>
      <x:c r="J33" s="154" t="n">
        <x:f>IFERROR(E33/E32-1,"")</x:f>
        <x:v>-0.03199488081906898</x:v>
      </x:c>
      <x:c r="K33" s="153" t="n">
        <x:v>2.889130434782609</x:v>
      </x:c>
      <x:c r="L33" s="153" t="n">
        <x:v>0.79</x:v>
      </x:c>
      <x:c r="M33" s="153" t="n">
        <x:f>IFERROR(L33-L32,"")</x:f>
        <x:v>0.015238095238095273</x:v>
      </x:c>
      <x:c r="N33" s="153" t="n">
        <x:v>2.0991304347826083</x:v>
      </x:c>
      <x:c r="O33" s="153" t="n">
        <x:v>113.83163043478261</x:v>
      </x:c>
      <x:c r="P33" s="153" t="n">
        <x:f>IFERROR(O33/O32-1,"")</x:f>
        <x:v>0.006829119833467789</x:v>
      </x:c>
      <x:c r="Q33" s="153" t="n">
        <x:v>12.54695652173913</x:v>
      </x:c>
      <x:c r="R33" s="153" t="n">
        <x:v>1.91483870967742</x:v>
      </x:c>
      <x:c r="S33" s="141" t="n">
        <x:v>251.663</x:v>
      </x:c>
      <x:c r="T33" s="154" t="n">
        <x:f>IFERROR(S33/S21-1,"")</x:f>
        <x:v>0.026429238568742575</x:v>
      </x:c>
      <x:c r="U33" s="141" t="n">
        <x:v>104.0327</x:v>
      </x:c>
      <x:c r="V33" s="154" t="n">
        <x:f>IFERROR(U33/U21-1,"")</x:f>
        <x:v>0.04353587280888749</x:v>
      </x:c>
      <x:c r="W33" s="141" t="n">
        <x:v>4218914</x:v>
      </x:c>
      <x:c r="X33" s="154" t="n">
        <x:f>IFERROR(W33/W32-1,"")</x:f>
        <x:v>-0.01373805106084347</x:v>
      </x:c>
      <x:c r="Y33" s="141" t="n">
        <x:v>112.741684</x:v>
      </x:c>
      <x:c r="Z33" s="141" t="n">
        <x:f>IFERROR(Y33-Y32,"")</x:f>
        <x:v>2.7132540000000063</x:v>
      </x:c>
      <x:c r="AA33" s="141" t="n">
        <x:v>-71553.6</x:v>
      </x:c>
      <x:c r="AB33" s="141" t="n">
        <x:f>IFERROR(AA33-AA32,"")</x:f>
        <x:v>-54890.600000000006</x:v>
      </x:c>
      <x:c r="AC33" s="141" t="n">
        <x:v>-21526.6</x:v>
      </x:c>
      <x:c r="AD33" s="141" t="n">
        <x:f>IFERROR(AC33-AC32,"")</x:f>
        <x:v>-20627.6</x:v>
      </x:c>
      <x:c r="AE33" s="141"/>
      <x:c r="AF33" s="147" t="str"/>
    </x:row>
    <x:row r="34">
      <x:c r="A34" s="152" t="n">
        <x:v>43344</x:v>
      </x:c>
      <x:c r="B34" s="153" t="n">
        <x:v>1198</x:v>
      </x:c>
      <x:c r="C34" s="153" t="n">
        <x:v>14.3</x:v>
      </x:c>
      <x:c r="D34" s="153" t="n">
        <x:v>78.9</x:v>
      </x:c>
      <x:c r="E34" s="153" t="n">
        <x:v>6051</x:v>
      </x:c>
      <x:c r="F34" s="153" t="n">
        <x:f>IFERROR(B34/C34,"")</x:f>
        <x:v>83.77622377622377</x:v>
      </x:c>
      <x:c r="G34" s="154" t="n">
        <x:f>IFERROR(B34/B33-1,"")</x:f>
        <x:v>-0.0033277870216306127</x:v>
      </x:c>
      <x:c r="H34" s="154" t="n">
        <x:f>IFERROR(C34/C33-1,"")</x:f>
        <x:v>-0.046666666666666634</x:v>
      </x:c>
      <x:c r="I34" s="154" t="n">
        <x:f>IFERROR(D34/D33-1,"")</x:f>
        <x:v>0.07934336525307817</x:v>
      </x:c>
      <x:c r="J34" s="154" t="n">
        <x:f>IFERROR(E34/E33-1,"")</x:f>
        <x:v>0</x:v>
      </x:c>
      <x:c r="K34" s="153" t="n">
        <x:v>3.004210526315789</x:v>
      </x:c>
      <x:c r="L34" s="153" t="n">
        <x:v>0.8810526315789473</x:v>
      </x:c>
      <x:c r="M34" s="153" t="n">
        <x:f>IFERROR(L34-L33,"")</x:f>
        <x:v>0.09105263157894727</x:v>
      </x:c>
      <x:c r="N34" s="153" t="n">
        <x:v>2.123157894736842</x:v>
      </x:c>
      <x:c r="O34" s="153" t="n">
        <x:v>114.07866315789474</x:v>
      </x:c>
      <x:c r="P34" s="153" t="n">
        <x:f>IFERROR(O34/O33-1,"")</x:f>
        <x:v>0.0021701588756006807</x:v>
      </x:c>
      <x:c r="Q34" s="153" t="n">
        <x:v>12.910526315789474</x:v>
      </x:c>
      <x:c r="R34" s="153" t="n">
        <x:v>1.9546666666666674</x:v>
      </x:c>
      <x:c r="S34" s="141" t="n">
        <x:v>252.182</x:v>
      </x:c>
      <x:c r="T34" s="154" t="n">
        <x:f>IFERROR(S34/S22-1,"")</x:f>
        <x:v>0.02332055105808828</x:v>
      </x:c>
      <x:c r="U34" s="141" t="n">
        <x:v>104.1004</x:v>
      </x:c>
      <x:c r="V34" s="154" t="n">
        <x:f>IFERROR(U34/U22-1,"")</x:f>
        <x:v>0.04313826088176409</x:v>
      </x:c>
      <x:c r="W34" s="141" t="n">
        <x:v>4192909</x:v>
      </x:c>
      <x:c r="X34" s="154" t="n">
        <x:f>IFERROR(W34/W33-1,"")</x:f>
        <x:v>-0.0061639085319112885</x:v>
      </x:c>
      <x:c r="Y34" s="141" t="n">
        <x:v>75.05391</x:v>
      </x:c>
      <x:c r="Z34" s="141" t="n">
        <x:f>IFERROR(Y34-Y33,"")</x:f>
        <x:v>-37.687774000000005</x:v>
      </x:c>
      <x:c r="AA34" s="141" t="n">
        <x:v>-81020.25</x:v>
      </x:c>
      <x:c r="AB34" s="141" t="n">
        <x:f>IFERROR(AA34-AA33,"")</x:f>
        <x:v>-9466.649999999994</x:v>
      </x:c>
      <x:c r="AC34" s="141" t="n">
        <x:v>-46608</x:v>
      </x:c>
      <x:c r="AD34" s="141" t="n">
        <x:f>IFERROR(AC34-AC33,"")</x:f>
        <x:v>-25081.4</x:v>
      </x:c>
      <x:c r="AE34" s="141"/>
      <x:c r="AF34" s="147" t="str"/>
    </x:row>
    <x:row r="35">
      <x:c r="A35" s="152" t="n">
        <x:v>43374</x:v>
      </x:c>
      <x:c r="B35" s="153" t="n">
        <x:v>1215</x:v>
      </x:c>
      <x:c r="C35" s="153" t="n">
        <x:v>14.6</x:v>
      </x:c>
      <x:c r="D35" s="153" t="n">
        <x:v>80.5</x:v>
      </x:c>
      <x:c r="E35" s="153" t="n">
        <x:v>6220</x:v>
      </x:c>
      <x:c r="F35" s="153" t="n">
        <x:f>IFERROR(B35/C35,"")</x:f>
        <x:v>83.21917808219179</x:v>
      </x:c>
      <x:c r="G35" s="154" t="n">
        <x:f>IFERROR(B35/B34-1,"")</x:f>
        <x:v>0.014190317195325486</x:v>
      </x:c>
      <x:c r="H35" s="154" t="n">
        <x:f>IFERROR(C35/C34-1,"")</x:f>
        <x:v>0.020979020979020824</x:v>
      </x:c>
      <x:c r="I35" s="154" t="n">
        <x:f>IFERROR(D35/D34-1,"")</x:f>
        <x:v>0.020278833967046772</x:v>
      </x:c>
      <x:c r="J35" s="154" t="n">
        <x:f>IFERROR(E35/E34-1,"")</x:f>
        <x:v>0.027929267889605036</x:v>
      </x:c>
      <x:c r="K35" s="153" t="n">
        <x:v>3.152272727272728</x:v>
      </x:c>
      <x:c r="L35" s="153" t="n">
        <x:v>1.040909090909091</x:v>
      </x:c>
      <x:c r="M35" s="153" t="n">
        <x:f>IFERROR(L35-L34,"")</x:f>
        <x:v>0.1598564593301437</x:v>
      </x:c>
      <x:c r="N35" s="153" t="n">
        <x:v>2.1113636363636363</x:v>
      </x:c>
      <x:c r="O35" s="153" t="n">
        <x:v>114.8312590909091</x:v>
      </x:c>
      <x:c r="P35" s="153" t="n">
        <x:f>IFERROR(O35/O34-1,"")</x:f>
        <x:v>0.006597166483031991</x:v>
      </x:c>
      <x:c r="Q35" s="153" t="n">
        <x:v>19.35217391304348</x:v>
      </x:c>
      <x:c r="R35" s="153" t="n">
        <x:v>2.187741935483871</x:v>
      </x:c>
      <x:c r="S35" s="141" t="n">
        <x:v>252.772</x:v>
      </x:c>
      <x:c r="T35" s="154" t="n">
        <x:f>IFERROR(S35/S23-1,"")</x:f>
        <x:v>0.02492032470218053</x:v>
      </x:c>
      <x:c r="U35" s="141" t="n">
        <x:v>103.9856</x:v>
      </x:c>
      <x:c r="V35" s="154" t="n">
        <x:f>IFERROR(U35/U23-1,"")</x:f>
        <x:v>0.02930867401734427</x:v>
      </x:c>
      <x:c r="W35" s="141" t="n">
        <x:v>4139731</x:v>
      </x:c>
      <x:c r="X35" s="154" t="n">
        <x:f>IFERROR(W35/W34-1,"")</x:f>
        <x:v>-0.01268284143538534</x:v>
      </x:c>
      <x:c r="Y35" s="141" t="n">
        <x:v>92.01648</x:v>
      </x:c>
      <x:c r="Z35" s="141" t="n">
        <x:f>IFERROR(Y35-Y34,"")</x:f>
        <x:v>16.96257</x:v>
      </x:c>
      <x:c r="AA35" s="141" t="n">
        <x:v>-69138.75</x:v>
      </x:c>
      <x:c r="AB35" s="141" t="n">
        <x:f>IFERROR(AA35-AA34,"")</x:f>
        <x:v>11881.5</x:v>
      </x:c>
      <x:c r="AC35" s="141" t="n">
        <x:v>-32939.5</x:v>
      </x:c>
      <x:c r="AD35" s="141" t="n">
        <x:f>IFERROR(AC35-AC34,"")</x:f>
        <x:v>13668.5</x:v>
      </x:c>
      <x:c r="AE35" s="141"/>
      <x:c r="AF35" s="147" t="str"/>
    </x:row>
    <x:row r="36">
      <x:c r="A36" s="152" t="n">
        <x:v>43405</x:v>
      </x:c>
      <x:c r="B36" s="153" t="n">
        <x:v>1221</x:v>
      </x:c>
      <x:c r="C36" s="153" t="n">
        <x:v>14.4</x:v>
      </x:c>
      <x:c r="D36" s="153" t="n">
        <x:v>65.2</x:v>
      </x:c>
      <x:c r="E36" s="153" t="n">
        <x:v>6196</x:v>
      </x:c>
      <x:c r="F36" s="153" t="n">
        <x:f>IFERROR(B36/C36,"")</x:f>
        <x:v>84.79166666666667</x:v>
      </x:c>
      <x:c r="G36" s="154" t="n">
        <x:f>IFERROR(B36/B35-1,"")</x:f>
        <x:v>0.004938271604938205</x:v>
      </x:c>
      <x:c r="H36" s="154" t="n">
        <x:f>IFERROR(C36/C35-1,"")</x:f>
        <x:v>-0.013698630136986245</x:v>
      </x:c>
      <x:c r="I36" s="154" t="n">
        <x:f>IFERROR(D36/D35-1,"")</x:f>
        <x:v>-0.19006211180124222</x:v>
      </x:c>
      <x:c r="J36" s="154" t="n">
        <x:f>IFERROR(E36/E35-1,"")</x:f>
        <x:v>-0.0038585209003215715</x:v>
      </x:c>
      <x:c r="K36" s="153" t="n">
        <x:v>3.1170000000000004</x:v>
      </x:c>
      <x:c r="L36" s="153" t="n">
        <x:v>1.113</x:v>
      </x:c>
      <x:c r="M36" s="153" t="n">
        <x:f>IFERROR(L36-L35,"")</x:f>
        <x:v>0.07209090909090898</x:v>
      </x:c>
      <x:c r="N36" s="153" t="n">
        <x:v>2.003999999999999</x:v>
      </x:c>
      <x:c r="O36" s="153" t="n">
        <x:v>116.16904500000001</x:v>
      </x:c>
      <x:c r="P36" s="153" t="n">
        <x:f>IFERROR(O36/O35-1,"")</x:f>
        <x:v>0.011650015158606086</x:v>
      </x:c>
      <x:c r="Q36" s="153" t="n">
        <x:v>19.389047619047616</x:v>
      </x:c>
      <x:c r="R36" s="153" t="n">
        <x:v>2.197666666666668</x:v>
      </x:c>
      <x:c r="S36" s="141" t="n">
        <x:v>252.594</x:v>
      </x:c>
      <x:c r="T36" s="154" t="n">
        <x:f>IFERROR(S36/S24-1,"")</x:f>
        <x:v>0.02147328577667773</x:v>
      </x:c>
      <x:c r="U36" s="141" t="n">
        <x:v>104.0681</x:v>
      </x:c>
      <x:c r="V36" s="154" t="n">
        <x:f>IFERROR(U36/U24-1,"")</x:f>
        <x:v>0.027666629800210174</x:v>
      </x:c>
      <x:c r="W36" s="141" t="n">
        <x:v>4097170</x:v>
      </x:c>
      <x:c r="X36" s="154" t="n">
        <x:f>IFERROR(W36/W35-1,"")</x:f>
        <x:v>-0.010281102805955289</x:v>
      </x:c>
      <x:c r="Y36" s="141" t="n">
        <x:v>80.407585</x:v>
      </x:c>
      <x:c r="Z36" s="141" t="n">
        <x:f>IFERROR(Y36-Y35,"")</x:f>
        <x:v>-11.608895000000004</x:v>
      </x:c>
      <x:c r="AA36" s="141" t="n">
        <x:v>-58480.8</x:v>
      </x:c>
      <x:c r="AB36" s="141" t="n">
        <x:f>IFERROR(AA36-AA35,"")</x:f>
        <x:v>10657.949999999997</x:v>
      </x:c>
      <x:c r="AC36" s="141" t="n">
        <x:v>-30241.8</x:v>
      </x:c>
      <x:c r="AD36" s="141" t="n">
        <x:f>IFERROR(AC36-AC35,"")</x:f>
        <x:v>2697.7000000000007</x:v>
      </x:c>
      <x:c r="AE36" s="141"/>
      <x:c r="AF36" s="147" t="str"/>
    </x:row>
    <x:row r="37">
      <x:c r="A37" s="152" t="n">
        <x:v>43435</x:v>
      </x:c>
      <x:c r="B37" s="153" t="n">
        <x:v>1250</x:v>
      </x:c>
      <x:c r="C37" s="153" t="n">
        <x:v>14.8</x:v>
      </x:c>
      <x:c r="D37" s="153" t="n">
        <x:v>56.5</x:v>
      </x:c>
      <x:c r="E37" s="153" t="n">
        <x:v>6075</x:v>
      </x:c>
      <x:c r="F37" s="153" t="n">
        <x:f>IFERROR(B37/C37,"")</x:f>
        <x:v>84.45945945945945</x:v>
      </x:c>
      <x:c r="G37" s="154" t="n">
        <x:f>IFERROR(B37/B36-1,"")</x:f>
        <x:v>0.02375102375102367</x:v>
      </x:c>
      <x:c r="H37" s="154" t="n">
        <x:f>IFERROR(C37/C36-1,"")</x:f>
        <x:v>0.0277777777777779</x:v>
      </x:c>
      <x:c r="I37" s="154" t="n">
        <x:f>IFERROR(D37/D36-1,"")</x:f>
        <x:v>-0.1334355828220859</x:v>
      </x:c>
      <x:c r="J37" s="154" t="n">
        <x:f>IFERROR(E37/E36-1,"")</x:f>
        <x:v>-0.019528728211749558</x:v>
      </x:c>
      <x:c r="K37" s="153" t="n">
        <x:v>2.832631578947369</x:v>
      </x:c>
      <x:c r="L37" s="153" t="n">
        <x:v>1.0163157894736843</x:v>
      </x:c>
      <x:c r="M37" s="153" t="n">
        <x:f>IFERROR(L37-L36,"")</x:f>
        <x:v>-0.0966842105263157</x:v>
      </x:c>
      <x:c r="N37" s="153" t="n">
        <x:v>1.816315789473684</x:v>
      </x:c>
      <x:c r="O37" s="153" t="n">
        <x:v>116.2118052631579</x:v>
      </x:c>
      <x:c r="P37" s="153" t="n">
        <x:f>IFERROR(O37/O36-1,"")</x:f>
        <x:v>0.00036808655143794056</x:v>
      </x:c>
      <x:c r="Q37" s="153" t="n">
        <x:v>24.953157894736844</x:v>
      </x:c>
      <x:c r="R37" s="153" t="n">
        <x:v>2.2741935483870974</x:v>
      </x:c>
      <x:c r="S37" s="141" t="n">
        <x:v>252.767</x:v>
      </x:c>
      <x:c r="T37" s="154" t="n">
        <x:f>IFERROR(S37/S25-1,"")</x:f>
        <x:v>0.020023809043401064</x:v>
      </x:c>
      <x:c r="U37" s="141" t="n">
        <x:v>104.0936</x:v>
      </x:c>
      <x:c r="V37" s="154" t="n">
        <x:f>IFERROR(U37/U25-1,"")</x:f>
        <x:v>0.025912536810940523</x:v>
      </x:c>
      <x:c r="W37" s="141" t="n">
        <x:v>4075636</x:v>
      </x:c>
      <x:c r="X37" s="154" t="n">
        <x:f>IFERROR(W37/W36-1,"")</x:f>
        <x:v>-0.005255822921675257</x:v>
      </x:c>
      <x:c r="Y37" s="141" t="n">
        <x:v>90.607666</x:v>
      </x:c>
      <x:c r="Z37" s="141" t="n">
        <x:f>IFERROR(Y37-Y36,"")</x:f>
        <x:v>10.200080999999997</x:v>
      </x:c>
      <x:c r="AA37" s="141" t="n">
        <x:v>10828.25</x:v>
      </x:c>
      <x:c r="AB37" s="141" t="n">
        <x:f>IFERROR(AA37-AA36,"")</x:f>
        <x:v>69309.05</x:v>
      </x:c>
      <x:c r="AC37" s="141" t="n">
        <x:v>-5207.5</x:v>
      </x:c>
      <x:c r="AD37" s="141" t="n">
        <x:f>IFERROR(AC37-AC36,"")</x:f>
        <x:v>25034.3</x:v>
      </x:c>
      <x:c r="AE37" s="141"/>
      <x:c r="AF37" s="147" t="str"/>
    </x:row>
    <x:row r="38">
      <x:c r="A38" s="152" t="n">
        <x:v>43466</x:v>
      </x:c>
      <x:c r="B38" s="153" t="n">
        <x:v>1292</x:v>
      </x:c>
      <x:c r="C38" s="153" t="n">
        <x:v>15.6</x:v>
      </x:c>
      <x:c r="D38" s="153" t="n">
        <x:v>59.3</x:v>
      </x:c>
      <x:c r="E38" s="153" t="n">
        <x:v>5939</x:v>
      </x:c>
      <x:c r="F38" s="153" t="n">
        <x:f>IFERROR(B38/C38,"")</x:f>
        <x:v>82.82051282051282</x:v>
      </x:c>
      <x:c r="G38" s="154" t="n">
        <x:f>IFERROR(B38/B37-1,"")</x:f>
        <x:v>0.033600000000000074</x:v>
      </x:c>
      <x:c r="H38" s="154" t="n">
        <x:f>IFERROR(C38/C37-1,"")</x:f>
        <x:v>0.054054054054053946</x:v>
      </x:c>
      <x:c r="I38" s="154" t="n">
        <x:f>IFERROR(D38/D37-1,"")</x:f>
        <x:v>0.04955752212389375</x:v>
      </x:c>
      <x:c r="J38" s="154" t="n">
        <x:f>IFERROR(E38/E37-1,"")</x:f>
        <x:v>-0.022386831275720165</x:v>
      </x:c>
      <x:c r="K38" s="153" t="n">
        <x:v>2.713809523809524</x:v>
      </x:c>
      <x:c r="L38" s="153" t="n">
        <x:v>0.9200000000000002</x:v>
      </x:c>
      <x:c r="M38" s="153" t="n">
        <x:f>IFERROR(L38-L37,"")</x:f>
        <x:v>-0.09631578947368413</x:v>
      </x:c>
      <x:c r="N38" s="153" t="n">
        <x:v>1.793809523809524</x:v>
      </x:c>
      <x:c r="O38" s="153" t="n">
        <x:v>114.44249000000002</x:v>
      </x:c>
      <x:c r="P38" s="153" t="n">
        <x:f>IFERROR(O38/O37-1,"")</x:f>
        <x:v>-0.015224918493876971</x:v>
      </x:c>
      <x:c r="Q38" s="153" t="n">
        <x:v>19.57238095238095</x:v>
      </x:c>
      <x:c r="R38" s="153" t="n">
        <x:v>2.4000000000000004</x:v>
      </x:c>
      <x:c r="S38" s="141" t="n">
        <x:v>252.561</x:v>
      </x:c>
      <x:c r="T38" s="154" t="n">
        <x:f>IFERROR(S38/S26-1,"")</x:f>
        <x:v>0.014875893578291333</x:v>
      </x:c>
      <x:c r="U38" s="141" t="n">
        <x:v>103.4021</x:v>
      </x:c>
      <x:c r="V38" s="154" t="n">
        <x:f>IFERROR(U38/U26-1,"")</x:f>
        <x:v>0.01911642232351851</x:v>
      </x:c>
      <x:c r="W38" s="141" t="n">
        <x:v>4039678</x:v>
      </x:c>
      <x:c r="X38" s="154" t="n">
        <x:f>IFERROR(W38/W37-1,"")</x:f>
        <x:v>-0.008822672093386164</x:v>
      </x:c>
      <x:c r="Y38" s="141" t="n">
        <x:v>87.4241</x:v>
      </x:c>
      <x:c r="Z38" s="141" t="n">
        <x:f>IFERROR(Y38-Y37,"")</x:f>
        <x:v>-3.183565999999999</x:v>
      </x:c>
      <x:c r="AA38" s="141" t="n">
        <x:v>30950</x:v>
      </x:c>
      <x:c r="AB38" s="141" t="n">
        <x:f>IFERROR(AA38-AA37,"")</x:f>
        <x:v>20121.75</x:v>
      </x:c>
      <x:c r="AC38" s="141" t="n">
        <x:v>36790.25</x:v>
      </x:c>
      <x:c r="AD38" s="141" t="n">
        <x:f>IFERROR(AC38-AC37,"")</x:f>
        <x:v>41997.75</x:v>
      </x:c>
      <x:c r="AE38" s="141"/>
      <x:c r="AF38" s="147" t="str"/>
    </x:row>
    <x:row r="39">
      <x:c r="A39" s="152" t="n">
        <x:v>43497</x:v>
      </x:c>
      <x:c r="B39" s="153" t="n">
        <x:v>1320</x:v>
      </x:c>
      <x:c r="C39" s="153" t="n">
        <x:v>15.8</x:v>
      </x:c>
      <x:c r="D39" s="153" t="n">
        <x:v>64.1</x:v>
      </x:c>
      <x:c r="E39" s="153" t="n">
        <x:v>6300</x:v>
      </x:c>
      <x:c r="F39" s="153" t="n">
        <x:f>IFERROR(B39/C39,"")</x:f>
        <x:v>83.54430379746834</x:v>
      </x:c>
      <x:c r="G39" s="154" t="n">
        <x:f>IFERROR(B39/B38-1,"")</x:f>
        <x:v>0.021671826625387025</x:v>
      </x:c>
      <x:c r="H39" s="154" t="n">
        <x:f>IFERROR(C39/C38-1,"")</x:f>
        <x:v>0.012820512820512997</x:v>
      </x:c>
      <x:c r="I39" s="154" t="n">
        <x:f>IFERROR(D39/D38-1,"")</x:f>
        <x:v>0.0809443507588532</x:v>
      </x:c>
      <x:c r="J39" s="154" t="n">
        <x:f>IFERROR(E39/E38-1,"")</x:f>
        <x:v>0.06078464387944105</x:v>
      </x:c>
      <x:c r="K39" s="153" t="n">
        <x:v>2.676315789473684</x:v>
      </x:c>
      <x:c r="L39" s="153" t="n">
        <x:v>0.7994736842105263</x:v>
      </x:c>
      <x:c r="M39" s="153" t="n">
        <x:f>IFERROR(L39-L38,"")</x:f>
        <x:v>-0.12052631578947381</x:v>
      </x:c>
      <x:c r="N39" s="153" t="n">
        <x:v>1.8768421052631585</x:v>
      </x:c>
      <x:c r="O39" s="153" t="n">
        <x:v>114.41300555555556</x:v>
      </x:c>
      <x:c r="P39" s="153" t="n">
        <x:f>IFERROR(O39/O38-1,"")</x:f>
        <x:v>-0.0002576354677747972</x:v>
      </x:c>
      <x:c r="Q39" s="153" t="n">
        <x:v>15.234736842105262</x:v>
      </x:c>
      <x:c r="R39" s="153" t="n">
        <x:v>2.3999999999999995</x:v>
      </x:c>
      <x:c r="S39" s="141" t="n">
        <x:v>253.319</x:v>
      </x:c>
      <x:c r="T39" s="154" t="n">
        <x:f>IFERROR(S39/S27-1,"")</x:f>
        <x:v>0.015188615351321877</x:v>
      </x:c>
      <x:c r="U39" s="141" t="n">
        <x:v>102.8371</x:v>
      </x:c>
      <x:c r="V39" s="154" t="n">
        <x:f>IFERROR(U39/U27-1,"")</x:f>
        <x:v>0.011096417703535089</x:v>
      </x:c>
      <x:c r="W39" s="141" t="n">
        <x:v>3974590</x:v>
      </x:c>
      <x:c r="X39" s="154" t="n">
        <x:f>IFERROR(W39/W38-1,"")</x:f>
        <x:v>-0.016112175277336438</x:v>
      </x:c>
      <x:c r="Y39" s="141" t="n">
        <x:v>96.80016</x:v>
      </x:c>
      <x:c r="Z39" s="141" t="n">
        <x:f>IFERROR(Y39-Y38,"")</x:f>
        <x:v>9.37606000000001</x:v>
      </x:c>
      <x:c r="AA39" s="141" t="n">
        <x:v>50567</x:v>
      </x:c>
      <x:c r="AB39" s="141" t="n">
        <x:f>IFERROR(AA39-AA38,"")</x:f>
        <x:v>19617</x:v>
      </x:c>
      <x:c r="AC39" s="141" t="n">
        <x:v>42087.25</x:v>
      </x:c>
      <x:c r="AD39" s="141" t="n">
        <x:f>IFERROR(AC39-AC38,"")</x:f>
        <x:v>5297</x:v>
      </x:c>
      <x:c r="AE39" s="141"/>
      <x:c r="AF39" s="147" t="str"/>
    </x:row>
    <x:row r="40">
      <x:c r="A40" s="152" t="n">
        <x:v>43525</x:v>
      </x:c>
      <x:c r="B40" s="153" t="n">
        <x:v>1301</x:v>
      </x:c>
      <x:c r="C40" s="153" t="n">
        <x:v>15.3</x:v>
      </x:c>
      <x:c r="D40" s="153" t="n">
        <x:v>66.4</x:v>
      </x:c>
      <x:c r="E40" s="153" t="n">
        <x:v>6439</x:v>
      </x:c>
      <x:c r="F40" s="153" t="n">
        <x:f>IFERROR(B40/C40,"")</x:f>
        <x:v>85.03267973856208</x:v>
      </x:c>
      <x:c r="G40" s="154" t="n">
        <x:f>IFERROR(B40/B39-1,"")</x:f>
        <x:v>-0.014393939393939403</x:v>
      </x:c>
      <x:c r="H40" s="154" t="n">
        <x:f>IFERROR(C40/C39-1,"")</x:f>
        <x:v>-0.03164556962025311</x:v>
      </x:c>
      <x:c r="I40" s="154" t="n">
        <x:f>IFERROR(D40/D39-1,"")</x:f>
        <x:v>0.03588143525741039</x:v>
      </x:c>
      <x:c r="J40" s="154" t="n">
        <x:f>IFERROR(E40/E39-1,"")</x:f>
        <x:v>0.02206349206349212</x:v>
      </x:c>
      <x:c r="K40" s="153" t="n">
        <x:v>2.570952380952381</x:v>
      </x:c>
      <x:c r="L40" s="153" t="n">
        <x:v>0.6580952380952383</x:v>
      </x:c>
      <x:c r="M40" s="153" t="n">
        <x:f>IFERROR(L40-L39,"")</x:f>
        <x:v>-0.14137844611528805</x:v>
      </x:c>
      <x:c r="N40" s="153" t="n">
        <x:v>1.9128571428571433</x:v>
      </x:c>
      <x:c r="O40" s="153" t="n">
        <x:v>114.78351904761905</x:v>
      </x:c>
      <x:c r="P40" s="153" t="n">
        <x:f>IFERROR(O40/O39-1,"")</x:f>
        <x:v>0.003238386145564487</x:v>
      </x:c>
      <x:c r="Q40" s="153" t="n">
        <x:v>14.485238095238092</x:v>
      </x:c>
      <x:c r="R40" s="153" t="n">
        <x:v>2.4051612903225803</x:v>
      </x:c>
      <x:c r="S40" s="141" t="n">
        <x:v>254.277</x:v>
      </x:c>
      <x:c r="T40" s="154" t="n">
        <x:f>IFERROR(S40/S28-1,"")</x:f>
        <x:v>0.018831863513063984</x:v>
      </x:c>
      <x:c r="U40" s="141" t="n">
        <x:v>102.8757</x:v>
      </x:c>
      <x:c r="V40" s="154" t="n">
        <x:f>IFERROR(U40/U28-1,"")</x:f>
        <x:v>0.006545559146318158</x:v>
      </x:c>
      <x:c r="W40" s="141" t="n">
        <x:v>3955617</x:v>
      </x:c>
      <x:c r="X40" s="154" t="n">
        <x:f>IFERROR(W40/W39-1,"")</x:f>
        <x:v>-0.00477357412965862</x:v>
      </x:c>
      <x:c r="Y40" s="141" t="n">
        <x:v>82.32829</x:v>
      </x:c>
      <x:c r="Z40" s="141" t="n">
        <x:f>IFERROR(Y40-Y39,"")</x:f>
        <x:v>-14.47187000000001</x:v>
      </x:c>
      <x:c r="AA40" s="141" t="n">
        <x:v>43135</x:v>
      </x:c>
      <x:c r="AB40" s="141" t="n">
        <x:f>IFERROR(AA40-AA39,"")</x:f>
        <x:v>-7432</x:v>
      </x:c>
      <x:c r="AC40" s="141" t="n">
        <x:v>19425.4</x:v>
      </x:c>
      <x:c r="AD40" s="141" t="n">
        <x:f>IFERROR(AC40-AC39,"")</x:f>
        <x:v>-22661.85</x:v>
      </x:c>
      <x:c r="AE40" s="141"/>
      <x:c r="AF40" s="147" t="str"/>
    </x:row>
    <x:row r="41">
      <x:c r="A41" s="152" t="n">
        <x:v>43556</x:v>
      </x:c>
      <x:c r="B41" s="153" t="n">
        <x:v>1286</x:v>
      </x:c>
      <x:c r="C41" s="153" t="n">
        <x:v>15.1</x:v>
      </x:c>
      <x:c r="D41" s="153" t="n">
        <x:v>71.2</x:v>
      </x:c>
      <x:c r="E41" s="153" t="n">
        <x:v>6438</x:v>
      </x:c>
      <x:c r="F41" s="153" t="n">
        <x:f>IFERROR(B41/C41,"")</x:f>
        <x:v>85.16556291390728</x:v>
      </x:c>
      <x:c r="G41" s="154" t="n">
        <x:f>IFERROR(B41/B40-1,"")</x:f>
        <x:v>-0.01152959262106068</x:v>
      </x:c>
      <x:c r="H41" s="154" t="n">
        <x:f>IFERROR(C41/C40-1,"")</x:f>
        <x:v>-0.013071895424836666</x:v>
      </x:c>
      <x:c r="I41" s="154" t="n">
        <x:f>IFERROR(D41/D40-1,"")</x:f>
        <x:v>0.07228915662650603</x:v>
      </x:c>
      <x:c r="J41" s="154" t="n">
        <x:f>IFERROR(E41/E40-1,"")</x:f>
        <x:v>-0.00015530361857429842</x:v>
      </x:c>
      <x:c r="K41" s="153" t="n">
        <x:v>2.532380952380952</x:v>
      </x:c>
      <x:c r="L41" s="153" t="n">
        <x:v>0.5957142857142858</x:v>
      </x:c>
      <x:c r="M41" s="153" t="n">
        <x:f>IFERROR(L41-L40,"")</x:f>
        <x:v>-0.06238095238095254</x:v>
      </x:c>
      <x:c r="N41" s="153" t="n">
        <x:v>1.9366666666666668</x:v>
      </x:c>
      <x:c r="O41" s="153" t="n">
        <x:v>114.90375454545456</x:v>
      </x:c>
      <x:c r="P41" s="153" t="n">
        <x:f>IFERROR(O41/O40-1,"")</x:f>
        <x:v>0.001047497923335472</x:v>
      </x:c>
      <x:c r="Q41" s="153" t="n">
        <x:v>12.949047619047617</x:v>
      </x:c>
      <x:c r="R41" s="153" t="n">
        <x:v>2.4236666666666666</x:v>
      </x:c>
      <x:c r="S41" s="141" t="n">
        <x:v>255.233</x:v>
      </x:c>
      <x:c r="T41" s="154" t="n">
        <x:f>IFERROR(S41/S29-1,"")</x:f>
        <x:v>0.020005834702090608</x:v>
      </x:c>
      <x:c r="U41" s="141" t="n">
        <x:v>102.274</x:v>
      </x:c>
      <x:c r="V41" s="154" t="n">
        <x:f>IFERROR(U41/U29-1,"")</x:f>
        <x:v>-0.010247462328067725</x:v>
      </x:c>
      <x:c r="W41" s="141" t="n">
        <x:v>3928273</x:v>
      </x:c>
      <x:c r="X41" s="154" t="n">
        <x:f>IFERROR(W41/W40-1,"")</x:f>
        <x:v>-0.006912701608876692</x:v>
      </x:c>
      <x:c r="Y41" s="141" t="n">
        <x:v>79.25345</x:v>
      </x:c>
      <x:c r="Z41" s="141" t="n">
        <x:f>IFERROR(Y41-Y40,"")</x:f>
        <x:v>-3.0748399999999947</x:v>
      </x:c>
      <x:c r="AA41" s="141" t="n">
        <x:v>3109.75</x:v>
      </x:c>
      <x:c r="AB41" s="141" t="n">
        <x:f>IFERROR(AA41-AA40,"")</x:f>
        <x:v>-40025.25</x:v>
      </x:c>
      <x:c r="AC41" s="141" t="n">
        <x:v>-8180.75</x:v>
      </x:c>
      <x:c r="AD41" s="141" t="n">
        <x:f>IFERROR(AC41-AC40,"")</x:f>
        <x:v>-27606.15</x:v>
      </x:c>
      <x:c r="AE41" s="141"/>
      <x:c r="AF41" s="147" t="str"/>
    </x:row>
    <x:row r="42">
      <x:c r="A42" s="152" t="n">
        <x:v>43586</x:v>
      </x:c>
      <x:c r="B42" s="153" t="n">
        <x:v>1284</x:v>
      </x:c>
      <x:c r="C42" s="153" t="n">
        <x:v>14.7</x:v>
      </x:c>
      <x:c r="D42" s="153" t="n">
        <x:v>70.5</x:v>
      </x:c>
      <x:c r="E42" s="153" t="n">
        <x:v>6018</x:v>
      </x:c>
      <x:c r="F42" s="153" t="n">
        <x:f>IFERROR(B42/C42,"")</x:f>
        <x:v>87.34693877551021</x:v>
      </x:c>
      <x:c r="G42" s="154" t="n">
        <x:f>IFERROR(B42/B41-1,"")</x:f>
        <x:v>-0.0015552099533436836</x:v>
      </x:c>
      <x:c r="H42" s="154" t="n">
        <x:f>IFERROR(C42/C41-1,"")</x:f>
        <x:v>-0.026490066225165587</x:v>
      </x:c>
      <x:c r="I42" s="154" t="n">
        <x:f>IFERROR(D42/D41-1,"")</x:f>
        <x:v>-0.0098314606741573</x:v>
      </x:c>
      <x:c r="J42" s="154" t="n">
        <x:f>IFERROR(E42/E41-1,"")</x:f>
        <x:v>-0.06523765144454796</x:v>
      </x:c>
      <x:c r="K42" s="153" t="n">
        <x:v>2.395</x:v>
      </x:c>
      <x:c r="L42" s="153" t="n">
        <x:v>0.5686363636363636</x:v>
      </x:c>
      <x:c r="M42" s="153" t="n">
        <x:f>IFERROR(L42-L41,"")</x:f>
        <x:v>-0.027077922077922145</x:v>
      </x:c>
      <x:c r="N42" s="153" t="n">
        <x:v>1.8263636363636364</x:v>
      </x:c>
      <x:c r="O42" s="153" t="n">
        <x:v>115.95738181818183</x:v>
      </x:c>
      <x:c r="P42" s="153" t="n">
        <x:f>IFERROR(O42/O41-1,"")</x:f>
        <x:v>0.009169650520953754</x:v>
      </x:c>
      <x:c r="Q42" s="153" t="n">
        <x:v>16.721818181818183</x:v>
      </x:c>
      <x:c r="R42" s="153" t="n">
        <x:v>2.3909677419354844</x:v>
      </x:c>
      <x:c r="S42" s="141" t="n">
        <x:v>255.296</x:v>
      </x:c>
      <x:c r="T42" s="154" t="n">
        <x:f>IFERROR(S42/S30-1,"")</x:f>
        <x:v>0.017959105553606136</x:v>
      </x:c>
      <x:c r="U42" s="141" t="n">
        <x:v>102.392</x:v>
      </x:c>
      <x:c r="V42" s="154" t="n">
        <x:f>IFERROR(U42/U30-1,"")</x:f>
        <x:v>-0.00010156011968476264</x:v>
      </x:c>
      <x:c r="W42" s="141" t="n">
        <x:v>3851444</x:v>
      </x:c>
      <x:c r="X42" s="154" t="n">
        <x:f>IFERROR(W42/W41-1,"")</x:f>
        <x:v>-0.019557958420914234</x:v>
      </x:c>
      <x:c r="Y42" s="141" t="n">
        <x:v>106.4719</x:v>
      </x:c>
      <x:c r="Z42" s="141" t="n">
        <x:f>IFERROR(Y42-Y41,"")</x:f>
        <x:v>27.218450000000004</x:v>
      </x:c>
      <x:c r="AA42" s="141" t="n">
        <x:v>20876</x:v>
      </x:c>
      <x:c r="AB42" s="141" t="n">
        <x:f>IFERROR(AA42-AA41,"")</x:f>
        <x:v>17766.25</x:v>
      </x:c>
      <x:c r="AC42" s="141" t="n">
        <x:v>-21902.4</x:v>
      </x:c>
      <x:c r="AD42" s="141" t="n">
        <x:f>IFERROR(AC42-AC41,"")</x:f>
        <x:v>-13721.650000000001</x:v>
      </x:c>
      <x:c r="AE42" s="141"/>
      <x:c r="AF42" s="147" t="str"/>
    </x:row>
    <x:row r="43">
      <x:c r="A43" s="152" t="n">
        <x:v>43617</x:v>
      </x:c>
      <x:c r="B43" s="153" t="n">
        <x:v>1359</x:v>
      </x:c>
      <x:c r="C43" s="153" t="n">
        <x:v>15</x:v>
      </x:c>
      <x:c r="D43" s="153" t="n">
        <x:v>63.3</x:v>
      </x:c>
      <x:c r="E43" s="153" t="n">
        <x:v>5882</x:v>
      </x:c>
      <x:c r="F43" s="153" t="n">
        <x:f>IFERROR(B43/C43,"")</x:f>
        <x:v>90.6</x:v>
      </x:c>
      <x:c r="G43" s="154" t="n">
        <x:f>IFERROR(B43/B42-1,"")</x:f>
        <x:v>0.05841121495327095</x:v>
      </x:c>
      <x:c r="H43" s="154" t="n">
        <x:f>IFERROR(C43/C42-1,"")</x:f>
        <x:v>0.020408163265306145</x:v>
      </x:c>
      <x:c r="I43" s="154" t="n">
        <x:f>IFERROR(D43/D42-1,"")</x:f>
        <x:v>-0.10212765957446812</x:v>
      </x:c>
      <x:c r="J43" s="154" t="n">
        <x:f>IFERROR(E43/E42-1,"")</x:f>
        <x:v>-0.02259887005649719</x:v>
      </x:c>
      <x:c r="K43" s="153" t="n">
        <x:v>2.074</x:v>
      </x:c>
      <x:c r="L43" s="153" t="n">
        <x:v>0.37399999999999994</x:v>
      </x:c>
      <x:c r="M43" s="153" t="n">
        <x:f>IFERROR(L43-L42,"")</x:f>
        <x:v>-0.19463636363636366</x:v>
      </x:c>
      <x:c r="N43" s="153" t="n">
        <x:v>1.7</x:v>
      </x:c>
      <x:c r="O43" s="153" t="n">
        <x:v>115.42707</x:v>
      </x:c>
      <x:c r="P43" s="153" t="n">
        <x:f>IFERROR(O43/O42-1,"")</x:f>
        <x:v>-0.004573333839266391</x:v>
      </x:c>
      <x:c r="Q43" s="153" t="n">
        <x:v>15.835999999999999</x:v>
      </x:c>
      <x:c r="R43" s="153" t="n">
        <x:v>2.3776666666666677</x:v>
      </x:c>
      <x:c r="S43" s="141" t="n">
        <x:v>255.213</x:v>
      </x:c>
      <x:c r="T43" s="154" t="n">
        <x:f>IFERROR(S43/S31-1,"")</x:f>
        <x:v>0.01671194894390049</x:v>
      </x:c>
      <x:c r="U43" s="141" t="n">
        <x:v>102.4375</x:v>
      </x:c>
      <x:c r="V43" s="154" t="n">
        <x:f>IFERROR(U43/U31-1,"")</x:f>
        <x:v>-0.0073693288629623765</x:v>
      </x:c>
      <x:c r="W43" s="141" t="n">
        <x:v>3826817</x:v>
      </x:c>
      <x:c r="X43" s="154" t="n">
        <x:f>IFERROR(W43/W42-1,"")</x:f>
        <x:v>-0.006394225126991282</x:v>
      </x:c>
      <x:c r="Y43" s="141" t="n">
        <x:v>106.588455</x:v>
      </x:c>
      <x:c r="Z43" s="141" t="n">
        <x:f>IFERROR(Y43-Y42,"")</x:f>
        <x:v>0.11655499999999108</x:v>
      </x:c>
      <x:c r="AA43" s="141" t="n">
        <x:v>138399.75</x:v>
      </x:c>
      <x:c r="AB43" s="141" t="n">
        <x:f>IFERROR(AA43-AA42,"")</x:f>
        <x:v>117523.75</x:v>
      </x:c>
      <x:c r="AC43" s="141" t="n">
        <x:v>-5</x:v>
      </x:c>
      <x:c r="AD43" s="141" t="n">
        <x:f>IFERROR(AC43-AC42,"")</x:f>
        <x:v>21897.4</x:v>
      </x:c>
      <x:c r="AE43" s="141"/>
      <x:c r="AF43" s="147" t="str"/>
    </x:row>
    <x:row r="44">
      <x:c r="A44" s="152" t="n">
        <x:v>43647</x:v>
      </x:c>
      <x:c r="B44" s="153" t="n">
        <x:v>1413</x:v>
      </x:c>
      <x:c r="C44" s="153" t="n">
        <x:v>15.8</x:v>
      </x:c>
      <x:c r="D44" s="153" t="n">
        <x:v>64</x:v>
      </x:c>
      <x:c r="E44" s="153" t="n">
        <x:v>5941</x:v>
      </x:c>
      <x:c r="F44" s="153" t="n">
        <x:f>IFERROR(B44/C44,"")</x:f>
        <x:v>89.43037974683544</x:v>
      </x:c>
      <x:c r="G44" s="154" t="n">
        <x:f>IFERROR(B44/B43-1,"")</x:f>
        <x:v>0.039735099337748325</x:v>
      </x:c>
      <x:c r="H44" s="154" t="n">
        <x:f>IFERROR(C44/C43-1,"")</x:f>
        <x:v>0.053333333333333455</x:v>
      </x:c>
      <x:c r="I44" s="154" t="n">
        <x:f>IFERROR(D44/D43-1,"")</x:f>
        <x:v>0.011058451816745807</x:v>
      </x:c>
      <x:c r="J44" s="154" t="n">
        <x:f>IFERROR(E44/E43-1,"")</x:f>
        <x:v>0.010030601836110264</x:v>
      </x:c>
      <x:c r="K44" s="153" t="n">
        <x:v>2.059090909090909</x:v>
      </x:c>
      <x:c r="L44" s="153" t="n">
        <x:v>0.3063636363636364</x:v>
      </x:c>
      <x:c r="M44" s="153" t="n">
        <x:f>IFERROR(L44-L43,"")</x:f>
        <x:v>-0.06763636363636355</x:v>
      </x:c>
      <x:c r="N44" s="153" t="n">
        <x:v>1.752727272727273</x:v>
      </x:c>
      <x:c r="O44" s="153" t="n">
        <x:v>115.07759090909089</x:v>
      </x:c>
      <x:c r="P44" s="153" t="n">
        <x:f>IFERROR(O44/O43-1,"")</x:f>
        <x:v>-0.0030277047741843477</x:v>
      </x:c>
      <x:c r="Q44" s="153" t="n">
        <x:v>13.305909090909092</x:v>
      </x:c>
      <x:c r="R44" s="153" t="n">
        <x:v>2.402903225806451</x:v>
      </x:c>
      <x:c r="S44" s="141" t="n">
        <x:v>255.802</x:v>
      </x:c>
      <x:c r="T44" s="154" t="n">
        <x:f>IFERROR(S44/S32-1,"")</x:f>
        <x:v>0.01826331335037068</x:v>
      </x:c>
      <x:c r="U44" s="141" t="n">
        <x:v>101.9408</x:v>
      </x:c>
      <x:c r="V44" s="154" t="n">
        <x:f>IFERROR(U44/U32-1,"")</x:f>
        <x:v>-0.013774541767684445</x:v>
      </x:c>
      <x:c r="W44" s="141" t="n">
        <x:v>3779102</x:v>
      </x:c>
      <x:c r="X44" s="154" t="n">
        <x:f>IFERROR(W44/W43-1,"")</x:f>
        <x:v>-0.012468586817713012</x:v>
      </x:c>
      <x:c r="Y44" s="141" t="n">
        <x:v>93.521255</x:v>
      </x:c>
      <x:c r="Z44" s="141" t="n">
        <x:f>IFERROR(Y44-Y43,"")</x:f>
        <x:v>-13.0672</x:v>
      </x:c>
      <x:c r="AA44" s="141" t="n">
        <x:v>183732.5</x:v>
      </x:c>
      <x:c r="AB44" s="141" t="n">
        <x:f>IFERROR(AA44-AA43,"")</x:f>
        <x:v>45332.75</x:v>
      </x:c>
      <x:c r="AC44" s="141" t="n">
        <x:v>29217.5</x:v>
      </x:c>
      <x:c r="AD44" s="141" t="n">
        <x:f>IFERROR(AC44-AC43,"")</x:f>
        <x:v>29222.5</x:v>
      </x:c>
      <x:c r="AE44" s="141"/>
      <x:c r="AF44" s="147" t="str"/>
    </x:row>
    <x:row r="45">
      <x:c r="A45" s="152" t="n">
        <x:v>43678</x:v>
      </x:c>
      <x:c r="B45" s="153" t="n">
        <x:v>1500</x:v>
      </x:c>
      <x:c r="C45" s="153" t="n">
        <x:v>17.2</x:v>
      </x:c>
      <x:c r="D45" s="153" t="n">
        <x:v>59.3</x:v>
      </x:c>
      <x:c r="E45" s="153" t="n">
        <x:v>5709</x:v>
      </x:c>
      <x:c r="F45" s="153" t="n">
        <x:f>IFERROR(B45/C45,"")</x:f>
        <x:v>87.2093023255814</x:v>
      </x:c>
      <x:c r="G45" s="154" t="n">
        <x:f>IFERROR(B45/B44-1,"")</x:f>
        <x:v>0.06157112526539277</x:v>
      </x:c>
      <x:c r="H45" s="154" t="n">
        <x:f>IFERROR(C45/C44-1,"")</x:f>
        <x:v>0.08860759493670867</x:v>
      </x:c>
      <x:c r="I45" s="154" t="n">
        <x:f>IFERROR(D45/D44-1,"")</x:f>
        <x:v>-0.07343750000000004</x:v>
      </x:c>
      <x:c r="J45" s="154" t="n">
        <x:f>IFERROR(E45/E44-1,"")</x:f>
        <x:v>-0.039050664871233765</x:v>
      </x:c>
      <x:c r="K45" s="153" t="n">
        <x:v>1.6263636363636365</x:v>
      </x:c>
      <x:c r="L45" s="153" t="n">
        <x:v>0.04</x:v>
      </x:c>
      <x:c r="M45" s="153" t="n">
        <x:f>IFERROR(L45-L44,"")</x:f>
        <x:v>-0.2663636363636364</x:v>
      </x:c>
      <x:c r="N45" s="153" t="n">
        <x:v>1.5863636363636362</x:v>
      </x:c>
      <x:c r="O45" s="153" t="n">
        <x:v>117.10038636363635</x:v>
      </x:c>
      <x:c r="P45" s="153" t="n">
        <x:f>IFERROR(O45/O44-1,"")</x:f>
        <x:v>0.017577665977935197</x:v>
      </x:c>
      <x:c r="Q45" s="153" t="n">
        <x:v>18.979090909090914</x:v>
      </x:c>
      <x:c r="R45" s="153" t="n">
        <x:v>2.125806451612903</x:v>
      </x:c>
      <x:c r="S45" s="141" t="n">
        <x:v>256.036</x:v>
      </x:c>
      <x:c r="T45" s="154" t="n">
        <x:f>IFERROR(S45/S33-1,"")</x:f>
        <x:v>0.017376412106666406</x:v>
      </x:c>
      <x:c r="U45" s="141" t="n">
        <x:v>102.639</x:v>
      </x:c>
      <x:c r="V45" s="154" t="n">
        <x:f>IFERROR(U45/U33-1,"")</x:f>
        <x:v>-0.013396749291328724</x:v>
      </x:c>
      <x:c r="W45" s="141" t="n">
        <x:v>3759946</x:v>
      </x:c>
      <x:c r="X45" s="154" t="n">
        <x:f>IFERROR(W45/W44-1,"")</x:f>
        <x:v>-0.005068929073626438</x:v>
      </x:c>
      <x:c r="Y45" s="141" t="n">
        <x:v>103.40442</x:v>
      </x:c>
      <x:c r="Z45" s="141" t="n">
        <x:f>IFERROR(Y45-Y44,"")</x:f>
        <x:v>9.883165000000005</x:v>
      </x:c>
      <x:c r="AA45" s="141" t="n">
        <x:v>218543.8</x:v>
      </x:c>
      <x:c r="AB45" s="141" t="n">
        <x:f>IFERROR(AA45-AA44,"")</x:f>
        <x:v>34811.29999999999</x:v>
      </x:c>
      <x:c r="AC45" s="141" t="n">
        <x:v>48613.6</x:v>
      </x:c>
      <x:c r="AD45" s="141" t="n">
        <x:f>IFERROR(AC45-AC44,"")</x:f>
        <x:v>19396.1</x:v>
      </x:c>
      <x:c r="AE45" s="141"/>
      <x:c r="AF45" s="147" t="str"/>
    </x:row>
    <x:row r="46">
      <x:c r="A46" s="152" t="n">
        <x:v>43709</x:v>
      </x:c>
      <x:c r="B46" s="153" t="n">
        <x:v>1511</x:v>
      </x:c>
      <x:c r="C46" s="153" t="n">
        <x:v>18.2</x:v>
      </x:c>
      <x:c r="D46" s="153" t="n">
        <x:v>62.3</x:v>
      </x:c>
      <x:c r="E46" s="153" t="n">
        <x:v>5759</x:v>
      </x:c>
      <x:c r="F46" s="153" t="n">
        <x:f>IFERROR(B46/C46,"")</x:f>
        <x:v>83.02197802197803</x:v>
      </x:c>
      <x:c r="G46" s="154" t="n">
        <x:f>IFERROR(B46/B45-1,"")</x:f>
        <x:v>0.007333333333333414</x:v>
      </x:c>
      <x:c r="H46" s="154" t="n">
        <x:f>IFERROR(C46/C45-1,"")</x:f>
        <x:v>0.058139534883721034</x:v>
      </x:c>
      <x:c r="I46" s="154" t="n">
        <x:f>IFERROR(D46/D45-1,"")</x:f>
        <x:v>0.050590219224283306</x:v>
      </x:c>
      <x:c r="J46" s="154" t="n">
        <x:f>IFERROR(E46/E45-1,"")</x:f>
        <x:v>0.008758101243650396</x:v>
      </x:c>
      <x:c r="K46" s="153" t="n">
        <x:v>1.6994999999999998</x:v>
      </x:c>
      <x:c r="L46" s="153" t="n">
        <x:v>0.11250000000000002</x:v>
      </x:c>
      <x:c r="M46" s="153" t="n">
        <x:f>IFERROR(L46-L45,"")</x:f>
        <x:v>0.07250000000000001</x:v>
      </x:c>
      <x:c r="N46" s="153" t="n">
        <x:v>1.5870000000000002</x:v>
      </x:c>
      <x:c r="O46" s="153" t="n">
        <x:v>117.32392000000002</x:v>
      </x:c>
      <x:c r="P46" s="153" t="n">
        <x:f>IFERROR(O46/O45-1,"")</x:f>
        <x:v>0.001908906053217585</x:v>
      </x:c>
      <x:c r="Q46" s="153" t="n">
        <x:v>15.558999999999997</x:v>
      </x:c>
      <x:c r="R46" s="153" t="n">
        <x:v>2.0429999999999997</x:v>
      </x:c>
      <x:c r="S46" s="141" t="n">
        <x:v>256.43</x:v>
      </x:c>
      <x:c r="T46" s="154" t="n">
        <x:f>IFERROR(S46/S34-1,"")</x:f>
        <x:v>0.016844977040391562</x:v>
      </x:c>
      <x:c r="U46" s="141" t="n">
        <x:v>102.2917</x:v>
      </x:c>
      <x:c r="V46" s="154" t="n">
        <x:f>IFERROR(U46/U34-1,"")</x:f>
        <x:v>-0.01737457300836487</x:v>
      </x:c>
      <x:c r="W46" s="141" t="n">
        <x:v>3857715</x:v>
      </x:c>
      <x:c r="X46" s="154" t="n">
        <x:f>IFERROR(W46/W45-1,"")</x:f>
        <x:v>0.02600276706101634</x:v>
      </x:c>
      <x:c r="Y46" s="141" t="n">
        <x:v>90.36799</x:v>
      </x:c>
      <x:c r="Z46" s="141" t="n">
        <x:f>IFERROR(Y46-Y45,"")</x:f>
        <x:v>-13.036429999999996</x:v>
      </x:c>
      <x:c r="AA46" s="141" t="n">
        <x:v>222383.5</x:v>
      </x:c>
      <x:c r="AB46" s="141" t="n">
        <x:f>IFERROR(AA46-AA45,"")</x:f>
        <x:v>3839.7000000000116</x:v>
      </x:c>
      <x:c r="AC46" s="141" t="n">
        <x:v>55505.5</x:v>
      </x:c>
      <x:c r="AD46" s="141" t="n">
        <x:f>IFERROR(AC46-AC45,"")</x:f>
        <x:v>6891.9000000000015</x:v>
      </x:c>
      <x:c r="AE46" s="141"/>
      <x:c r="AF46" s="147" t="str"/>
    </x:row>
    <x:row r="47">
      <x:c r="A47" s="152" t="n">
        <x:v>43739</x:v>
      </x:c>
      <x:c r="B47" s="153" t="n">
        <x:v>1495</x:v>
      </x:c>
      <x:c r="C47" s="153" t="n">
        <x:v>17.6</x:v>
      </x:c>
      <x:c r="D47" s="153" t="n">
        <x:v>59.4</x:v>
      </x:c>
      <x:c r="E47" s="153" t="n">
        <x:v>5757</x:v>
      </x:c>
      <x:c r="F47" s="153" t="n">
        <x:f>IFERROR(B47/C47,"")</x:f>
        <x:v>84.94318181818181</x:v>
      </x:c>
      <x:c r="G47" s="154" t="n">
        <x:f>IFERROR(B47/B46-1,"")</x:f>
        <x:v>-0.010589013898080757</x:v>
      </x:c>
      <x:c r="H47" s="154" t="n">
        <x:f>IFERROR(C47/C46-1,"")</x:f>
        <x:v>-0.03296703296703285</x:v>
      </x:c>
      <x:c r="I47" s="154" t="n">
        <x:f>IFERROR(D47/D46-1,"")</x:f>
        <x:v>-0.0465489566613162</x:v>
      </x:c>
      <x:c r="J47" s="154" t="n">
        <x:f>IFERROR(E47/E46-1,"")</x:f>
        <x:v>-0.0003472825143253644</x:v>
      </x:c>
      <x:c r="K47" s="153" t="n">
        <x:v>1.706818181818182</x:v>
      </x:c>
      <x:c r="L47" s="153" t="n">
        <x:v>0.14590909090909088</x:v>
      </x:c>
      <x:c r="M47" s="153" t="n">
        <x:f>IFERROR(L47-L46,"")</x:f>
        <x:v>0.03340909090909086</x:v>
      </x:c>
      <x:c r="N47" s="153" t="n">
        <x:v>1.5609090909090908</x:v>
      </x:c>
      <x:c r="O47" s="153" t="n">
        <x:v>116.74625909090906</x:v>
      </x:c>
      <x:c r="P47" s="153" t="n">
        <x:f>IFERROR(O47/O46-1,"")</x:f>
        <x:v>-0.004923641394618872</x:v>
      </x:c>
      <x:c r="Q47" s="153" t="n">
        <x:v>15.466521739130433</x:v>
      </x:c>
      <x:c r="R47" s="153" t="n">
        <x:v>1.8296774193548386</x:v>
      </x:c>
      <x:c r="S47" s="141" t="n">
        <x:v>257.155</x:v>
      </x:c>
      <x:c r="T47" s="154" t="n">
        <x:f>IFERROR(S47/S35-1,"")</x:f>
        <x:v>0.017339736996186295</x:v>
      </x:c>
      <x:c r="U47" s="141" t="n">
        <x:v>101.4281</x:v>
      </x:c>
      <x:c r="V47" s="154" t="n">
        <x:f>IFERROR(U47/U35-1,"")</x:f>
        <x:v>-0.024594751580988228</x:v>
      </x:c>
      <x:c r="W47" s="141" t="n">
        <x:v>4019823</x:v>
      </x:c>
      <x:c r="X47" s="154" t="n">
        <x:f>IFERROR(W47/W46-1,"")</x:f>
        <x:v>0.04202176677126235</x:v>
      </x:c>
      <x:c r="Y47" s="141" t="n">
        <x:v>97.83673</x:v>
      </x:c>
      <x:c r="Z47" s="141" t="n">
        <x:f>IFERROR(Y47-Y46,"")</x:f>
        <x:v>7.468739999999997</x:v>
      </x:c>
      <x:c r="AA47" s="141" t="n">
        <x:v>187884.25</x:v>
      </x:c>
      <x:c r="AB47" s="141" t="n">
        <x:f>IFERROR(AA47-AA46,"")</x:f>
        <x:v>-34499.25</x:v>
      </x:c>
      <x:c r="AC47" s="141" t="n">
        <x:v>43514.25</x:v>
      </x:c>
      <x:c r="AD47" s="141" t="n">
        <x:f>IFERROR(AC47-AC46,"")</x:f>
        <x:v>-11991.25</x:v>
      </x:c>
      <x:c r="AE47" s="141"/>
      <x:c r="AF47" s="147" t="str"/>
    </x:row>
    <x:row r="48">
      <x:c r="A48" s="152" t="n">
        <x:v>43770</x:v>
      </x:c>
      <x:c r="B48" s="153" t="n">
        <x:v>1471</x:v>
      </x:c>
      <x:c r="C48" s="153" t="n">
        <x:v>17.2</x:v>
      </x:c>
      <x:c r="D48" s="153" t="n">
        <x:v>62.7</x:v>
      </x:c>
      <x:c r="E48" s="153" t="n">
        <x:v>5860</x:v>
      </x:c>
      <x:c r="F48" s="153" t="n">
        <x:f>IFERROR(B48/C48,"")</x:f>
        <x:v>85.5232558139535</x:v>
      </x:c>
      <x:c r="G48" s="154" t="n">
        <x:f>IFERROR(B48/B47-1,"")</x:f>
        <x:v>-0.016053511705685586</x:v>
      </x:c>
      <x:c r="H48" s="154" t="n">
        <x:f>IFERROR(C48/C47-1,"")</x:f>
        <x:v>-0.022727272727272818</x:v>
      </x:c>
      <x:c r="I48" s="154" t="n">
        <x:f>IFERROR(D48/D47-1,"")</x:f>
        <x:v>0.05555555555555558</x:v>
      </x:c>
      <x:c r="J48" s="154" t="n">
        <x:f>IFERROR(E48/E47-1,"")</x:f>
        <x:v>0.01789126281049147</x:v>
      </x:c>
      <x:c r="K48" s="153" t="n">
        <x:v>1.8121052631578947</x:v>
      </x:c>
      <x:c r="L48" s="153" t="n">
        <x:v>0.17157894736842105</x:v>
      </x:c>
      <x:c r="M48" s="153" t="n">
        <x:f>IFERROR(L48-L47,"")</x:f>
        <x:v>0.025669856459330176</x:v>
      </x:c>
      <x:c r="N48" s="153" t="n">
        <x:v>1.6405263157894736</x:v>
      </x:c>
      <x:c r="O48" s="153" t="n">
        <x:v>116.55946842105263</x:v>
      </x:c>
      <x:c r="P48" s="153" t="n">
        <x:f>IFERROR(O48/O47-1,"")</x:f>
        <x:v>-0.0015999713507820479</x:v>
      </x:c>
      <x:c r="Q48" s="153" t="n">
        <x:v>12.5235</x:v>
      </x:c>
      <x:c r="R48" s="153" t="n">
        <x:v>1.5533333333333332</x:v>
      </x:c>
      <x:c r="S48" s="141" t="n">
        <x:v>257.879</x:v>
      </x:c>
      <x:c r="T48" s="154" t="n">
        <x:f>IFERROR(S48/S36-1,"")</x:f>
        <x:v>0.020922903948629168</x:v>
      </x:c>
      <x:c r="U48" s="141" t="n">
        <x:v>101.9372</x:v>
      </x:c>
      <x:c r="V48" s="154" t="n">
        <x:f>IFERROR(U48/U36-1,"")</x:f>
        <x:v>-0.02047601522464615</x:v>
      </x:c>
      <x:c r="W48" s="141" t="n">
        <x:v>4052875</x:v>
      </x:c>
      <x:c r="X48" s="154" t="n">
        <x:f>IFERROR(W48/W47-1,"")</x:f>
        <x:v>0.00822225257181719</x:v>
      </x:c>
      <x:c r="Y48" s="141" t="n">
        <x:v>73.078384</x:v>
      </x:c>
      <x:c r="Z48" s="141" t="n">
        <x:f>IFERROR(Y48-Y47,"")</x:f>
        <x:v>-24.758346000000003</x:v>
      </x:c>
      <x:c r="AA48" s="141" t="n">
        <x:v>192146.4</x:v>
      </x:c>
      <x:c r="AB48" s="141" t="n">
        <x:f>IFERROR(AA48-AA47,"")</x:f>
        <x:v>4262.149999999994</x:v>
      </x:c>
      <x:c r="AC48" s="141" t="n">
        <x:v>41656.8</x:v>
      </x:c>
      <x:c r="AD48" s="141" t="n">
        <x:f>IFERROR(AC48-AC47,"")</x:f>
        <x:v>-1857.449999999997</x:v>
      </x:c>
      <x:c r="AE48" s="141"/>
      <x:c r="AF48" s="147" t="str"/>
    </x:row>
    <x:row r="49">
      <x:c r="A49" s="152" t="n">
        <x:v>43800</x:v>
      </x:c>
      <x:c r="B49" s="153" t="n">
        <x:v>1479</x:v>
      </x:c>
      <x:c r="C49" s="153" t="n">
        <x:v>17.1</x:v>
      </x:c>
      <x:c r="D49" s="153" t="n">
        <x:v>65.9</x:v>
      </x:c>
      <x:c r="E49" s="153" t="n">
        <x:v>6077</x:v>
      </x:c>
      <x:c r="F49" s="153" t="n">
        <x:f>IFERROR(B49/C49,"")</x:f>
        <x:v>86.49122807017544</x:v>
      </x:c>
      <x:c r="G49" s="154" t="n">
        <x:f>IFERROR(B49/B48-1,"")</x:f>
        <x:v>0.005438477226376692</x:v>
      </x:c>
      <x:c r="H49" s="154" t="n">
        <x:f>IFERROR(C49/C48-1,"")</x:f>
        <x:v>-0.005813953488371992</x:v>
      </x:c>
      <x:c r="I49" s="154" t="n">
        <x:f>IFERROR(D49/D48-1,"")</x:f>
        <x:v>0.0510366826156301</x:v>
      </x:c>
      <x:c r="J49" s="154" t="n">
        <x:f>IFERROR(E49/E48-1,"")</x:f>
        <x:v>0.03703071672354952</x:v>
      </x:c>
      <x:c r="K49" s="153" t="n">
        <x:v>1.862857142857143</x:v>
      </x:c>
      <x:c r="L49" s="153" t="n">
        <x:v>0.14476190476190473</x:v>
      </x:c>
      <x:c r="M49" s="153" t="n">
        <x:f>IFERROR(L49-L48,"")</x:f>
        <x:v>-0.026817042606516323</x:v>
      </x:c>
      <x:c r="N49" s="153" t="n">
        <x:v>1.7180952380952381</x:v>
      </x:c>
      <x:c r="O49" s="153" t="n">
        <x:v>115.90961</x:v>
      </x:c>
      <x:c r="P49" s="153" t="n">
        <x:f>IFERROR(O49/O48-1,"")</x:f>
        <x:v>-0.005575337892800958</x:v>
      </x:c>
      <x:c r="Q49" s="153" t="n">
        <x:v>13.756666666666666</x:v>
      </x:c>
      <x:c r="R49" s="153" t="n">
        <x:v>1.550967741935483</x:v>
      </x:c>
      <x:c r="S49" s="141" t="n">
        <x:v>258.63</x:v>
      </x:c>
      <x:c r="T49" s="154" t="n">
        <x:f>IFERROR(S49/S37-1,"")</x:f>
        <x:v>0.023195274699624457</x:v>
      </x:c>
      <x:c r="U49" s="141" t="n">
        <x:v>101.7003</x:v>
      </x:c>
      <x:c r="V49" s="154" t="n">
        <x:f>IFERROR(U49/U37-1,"")</x:f>
        <x:v>-0.022991807373363926</x:v>
      </x:c>
      <x:c r="W49" s="141" t="n">
        <x:v>4165591</x:v>
      </x:c>
      <x:c r="X49" s="154" t="n">
        <x:f>IFERROR(W49/W48-1,"")</x:f>
        <x:v>0.027811368472997477</x:v>
      </x:c>
      <x:c r="Y49" s="141" t="n">
        <x:v>74.27989</x:v>
      </x:c>
      <x:c r="Z49" s="141" t="n">
        <x:f>IFERROR(Y49-Y48,"")</x:f>
        <x:v>1.2015059999999949</x:v>
      </x:c>
      <x:c r="AA49" s="141" t="n">
        <x:v>203044.25</x:v>
      </x:c>
      <x:c r="AB49" s="141" t="n">
        <x:f>IFERROR(AA49-AA48,"")</x:f>
        <x:v>10897.850000000006</x:v>
      </x:c>
      <x:c r="AC49" s="141" t="n">
        <x:v>40440.25</x:v>
      </x:c>
      <x:c r="AD49" s="141" t="n">
        <x:f>IFERROR(AC49-AC48,"")</x:f>
        <x:v>-1216.550000000003</x:v>
      </x:c>
      <x:c r="AE49" s="141"/>
      <x:c r="AF49" s="147" t="str"/>
    </x:row>
    <x:row r="50">
      <x:c r="A50" s="152" t="n">
        <x:v>43831</x:v>
      </x:c>
      <x:c r="B50" s="153" t="n">
        <x:v>1561</x:v>
      </x:c>
      <x:c r="C50" s="153" t="n">
        <x:v>18</x:v>
      </x:c>
      <x:c r="D50" s="153" t="n">
        <x:v>63.6</x:v>
      </x:c>
      <x:c r="E50" s="153" t="n">
        <x:v>6031</x:v>
      </x:c>
      <x:c r="F50" s="153" t="n">
        <x:f>IFERROR(B50/C50,"")</x:f>
        <x:v>86.72222222222223</x:v>
      </x:c>
      <x:c r="G50" s="154" t="n">
        <x:f>IFERROR(B50/B49-1,"")</x:f>
        <x:v>0.05544286680189314</x:v>
      </x:c>
      <x:c r="H50" s="154" t="n">
        <x:f>IFERROR(C50/C49-1,"")</x:f>
        <x:v>0.05263157894736836</x:v>
      </x:c>
      <x:c r="I50" s="154" t="n">
        <x:f>IFERROR(D50/D49-1,"")</x:f>
        <x:v>-0.03490136570561464</x:v>
      </x:c>
      <x:c r="J50" s="154" t="n">
        <x:f>IFERROR(E50/E49-1,"")</x:f>
        <x:v>-0.007569524436399577</x:v>
      </x:c>
      <x:c r="K50" s="153" t="n">
        <x:v>1.7576190476190474</x:v>
      </x:c>
      <x:c r="L50" s="153" t="n">
        <x:v>0.03666666666666666</x:v>
      </x:c>
      <x:c r="M50" s="153" t="n">
        <x:f>IFERROR(L50-L49,"")</x:f>
        <x:v>-0.10809523809523808</x:v>
      </x:c>
      <x:c r="N50" s="153" t="n">
        <x:v>1.7209523809523806</x:v>
      </x:c>
      <x:c r="O50" s="153" t="n">
        <x:v>115.27938571428571</x:v>
      </x:c>
      <x:c r="P50" s="153" t="n">
        <x:f>IFERROR(O50/O49-1,"")</x:f>
        <x:v>-0.0054372047815042235</x:v>
      </x:c>
      <x:c r="Q50" s="153" t="n">
        <x:v>13.940952380952378</x:v>
      </x:c>
      <x:c r="R50" s="153" t="n">
        <x:v>1.5506451612903218</x:v>
      </x:c>
      <x:c r="S50" s="141" t="n">
        <x:v>259.127</x:v>
      </x:c>
      <x:c r="T50" s="154" t="n">
        <x:f>IFERROR(S50/S38-1,"")</x:f>
        <x:v>0.02599767976845202</x:v>
      </x:c>
      <x:c r="U50" s="141" t="n">
        <x:v>101.0338</x:v>
      </x:c>
      <x:c r="V50" s="154" t="n">
        <x:f>IFERROR(U50/U38-1,"")</x:f>
        <x:v>-0.02290379015513233</x:v>
      </x:c>
      <x:c r="W50" s="141" t="n">
        <x:v>4151630</x:v>
      </x:c>
      <x:c r="X50" s="154" t="n">
        <x:f>IFERROR(W50/W49-1,"")</x:f>
        <x:v>-0.0033515052245888244</x:v>
      </x:c>
      <x:c r="Y50" s="141" t="n">
        <x:v>138.42094</x:v>
      </x:c>
      <x:c r="Z50" s="141" t="n">
        <x:f>IFERROR(Y50-Y49,"")</x:f>
        <x:v>64.14105</x:v>
      </x:c>
      <x:c r="AA50" s="141" t="n">
        <x:v>227343.6</x:v>
      </x:c>
      <x:c r="AB50" s="141" t="n">
        <x:f>IFERROR(AA50-AA49,"")</x:f>
        <x:v>24299.350000000006</x:v>
      </x:c>
      <x:c r="AC50" s="141" t="n">
        <x:v>55517.2</x:v>
      </x:c>
      <x:c r="AD50" s="141" t="n">
        <x:f>IFERROR(AC50-AC49,"")</x:f>
        <x:v>15076.949999999997</x:v>
      </x:c>
      <x:c r="AE50" s="141"/>
      <x:c r="AF50" s="147" t="str"/>
    </x:row>
    <x:row r="51">
      <x:c r="A51" s="152" t="n">
        <x:v>43862</x:v>
      </x:c>
      <x:c r="B51" s="153" t="n">
        <x:v>1597</x:v>
      </x:c>
      <x:c r="C51" s="153" t="n">
        <x:v>17.9</x:v>
      </x:c>
      <x:c r="D51" s="153" t="n">
        <x:v>55</x:v>
      </x:c>
      <x:c r="E51" s="153" t="n">
        <x:v>5688</x:v>
      </x:c>
      <x:c r="F51" s="153" t="n">
        <x:f>IFERROR(B51/C51,"")</x:f>
        <x:v>89.21787709497207</x:v>
      </x:c>
      <x:c r="G51" s="154" t="n">
        <x:f>IFERROR(B51/B50-1,"")</x:f>
        <x:v>0.023062139654068003</x:v>
      </x:c>
      <x:c r="H51" s="154" t="n">
        <x:f>IFERROR(C51/C50-1,"")</x:f>
        <x:v>-0.005555555555555647</x:v>
      </x:c>
      <x:c r="I51" s="154" t="n">
        <x:f>IFERROR(D51/D50-1,"")</x:f>
        <x:v>-0.1352201257861635</x:v>
      </x:c>
      <x:c r="J51" s="154" t="n">
        <x:f>IFERROR(E51/E50-1,"")</x:f>
        <x:v>-0.05687282374398939</x:v>
      </x:c>
      <x:c r="K51" s="153" t="n">
        <x:v>1.5042105263157894</x:v>
      </x:c>
      <x:c r="L51" s="153" t="n">
        <x:v>-0.11157894736842106</x:v>
      </x:c>
      <x:c r="M51" s="153" t="n">
        <x:f>IFERROR(L51-L50,"")</x:f>
        <x:v>-0.1482456140350877</x:v>
      </x:c>
      <x:c r="N51" s="153" t="n">
        <x:v>1.6157894736842102</x:v>
      </x:c>
      <x:c r="O51" s="153" t="n">
        <x:v>116.71054210526317</x:v>
      </x:c>
      <x:c r="P51" s="153" t="n">
        <x:f>IFERROR(O51/O50-1,"")</x:f>
        <x:v>0.012414677456076273</x:v>
      </x:c>
      <x:c r="Q51" s="153" t="n">
        <x:v>19.628947368421056</x:v>
      </x:c>
      <x:c r="R51" s="153" t="n">
        <x:v>1.5831034482758615</x:v>
      </x:c>
      <x:c r="S51" s="141" t="n">
        <x:v>259.25</x:v>
      </x:c>
      <x:c r="T51" s="154" t="n">
        <x:f>IFERROR(S51/S39-1,"")</x:f>
        <x:v>0.023413166797595197</x:v>
      </x:c>
      <x:c r="U51" s="141" t="n">
        <x:v>101.3735</x:v>
      </x:c>
      <x:c r="V51" s="154" t="n">
        <x:f>IFERROR(U51/U39-1,"")</x:f>
        <x:v>-0.014232217750208775</x:v>
      </x:c>
      <x:c r="W51" s="141" t="n">
        <x:v>4158637</x:v>
      </x:c>
      <x:c r="X51" s="154" t="n">
        <x:f>IFERROR(W51/W50-1,"")</x:f>
        <x:v>0.001687770827361712</x:v>
      </x:c>
      <x:c r="Y51" s="141" t="n">
        <x:v>75.95556</x:v>
      </x:c>
      <x:c r="Z51" s="141" t="n">
        <x:f>IFERROR(Y51-Y50,"")</x:f>
        <x:v>-62.465379999999996</x:v>
      </x:c>
      <x:c r="AA51" s="141" t="n">
        <x:v>211668.25</x:v>
      </x:c>
      <x:c r="AB51" s="141" t="n">
        <x:f>IFERROR(AA51-AA50,"")</x:f>
        <x:v>-15675.350000000006</x:v>
      </x:c>
      <x:c r="AC51" s="141" t="n">
        <x:v>59391.5</x:v>
      </x:c>
      <x:c r="AD51" s="141" t="n">
        <x:f>IFERROR(AC51-AC50,"")</x:f>
        <x:v>3874.300000000003</x:v>
      </x:c>
      <x:c r="AE51" s="141"/>
      <x:c r="AF51" s="147" t="str"/>
    </x:row>
    <x:row r="52">
      <x:c r="A52" s="152" t="n">
        <x:v>43891</x:v>
      </x:c>
      <x:c r="B52" s="153" t="n">
        <x:v>1592</x:v>
      </x:c>
      <x:c r="C52" s="153" t="n">
        <x:v>14.9</x:v>
      </x:c>
      <x:c r="D52" s="153" t="n">
        <x:v>33</x:v>
      </x:c>
      <x:c r="E52" s="153" t="n">
        <x:v>5183</x:v>
      </x:c>
      <x:c r="F52" s="153" t="n">
        <x:f>IFERROR(B52/C52,"")</x:f>
        <x:v>106.84563758389261</x:v>
      </x:c>
      <x:c r="G52" s="154" t="n">
        <x:f>IFERROR(B52/B51-1,"")</x:f>
        <x:v>-0.003130870381966133</x:v>
      </x:c>
      <x:c r="H52" s="154" t="n">
        <x:f>IFERROR(C52/C51-1,"")</x:f>
        <x:v>-0.16759776536312843</x:v>
      </x:c>
      <x:c r="I52" s="154" t="n">
        <x:f>IFERROR(D52/D51-1,"")</x:f>
        <x:v>-0.4</x:v>
      </x:c>
      <x:c r="J52" s="154" t="n">
        <x:f>IFERROR(E52/E51-1,"")</x:f>
        <x:v>-0.08878340365682136</x:v>
      </x:c>
      <x:c r="K52" s="153" t="n">
        <x:v>0.8699999999999997</x:v>
      </x:c>
      <x:c r="L52" s="153" t="n">
        <x:v>-0.11681818181818181</x:v>
      </x:c>
      <x:c r="M52" s="153" t="n">
        <x:f>IFERROR(L52-L51,"")</x:f>
        <x:v>-0.005239234449760752</x:v>
      </x:c>
      <x:c r="N52" s="153" t="n">
        <x:v>0.986818181818182</x:v>
      </x:c>
      <x:c r="O52" s="153" t="n">
        <x:v>121.02274090909091</x:v>
      </x:c>
      <x:c r="P52" s="153" t="n">
        <x:f>IFERROR(O52/O51-1,"")</x:f>
        <x:v>0.03694780887864013</x:v>
      </x:c>
      <x:c r="Q52" s="153" t="n">
        <x:v>57.73681818181817</x:v>
      </x:c>
      <x:c r="R52" s="153" t="n">
        <x:v>0.652258064516129</x:v>
      </x:c>
      <x:c r="S52" s="141" t="n">
        <x:v>258.076</x:v>
      </x:c>
      <x:c r="T52" s="154" t="n">
        <x:f>IFERROR(S52/S40-1,"")</x:f>
        <x:v>0.014940399642909163</x:v>
      </x:c>
      <x:c r="U52" s="141" t="n">
        <x:v>97.4078</x:v>
      </x:c>
      <x:c r="V52" s="154" t="n">
        <x:f>IFERROR(U52/U40-1,"")</x:f>
        <x:v>-0.053150549643890654</x:v>
      </x:c>
      <x:c r="W52" s="141" t="n">
        <x:v>5254278</x:v>
      </x:c>
      <x:c r="X52" s="154" t="n">
        <x:f>IFERROR(W52/W51-1,"")</x:f>
        <x:v>0.263461562045449</x:v>
      </x:c>
      <x:c r="Y52" s="141" t="n">
        <x:v>81.54003</x:v>
      </x:c>
      <x:c r="Z52" s="141" t="n">
        <x:f>IFERROR(Y52-Y51,"")</x:f>
        <x:v>5.584469999999996</x:v>
      </x:c>
      <x:c r="AA52" s="141" t="n">
        <x:v>184258.5</x:v>
      </x:c>
      <x:c r="AB52" s="141" t="n">
        <x:f>IFERROR(AA52-AA51,"")</x:f>
        <x:v>-27409.75</x:v>
      </x:c>
      <x:c r="AC52" s="141" t="n">
        <x:v>22916.5</x:v>
      </x:c>
      <x:c r="AD52" s="141" t="n">
        <x:f>IFERROR(AC52-AC51,"")</x:f>
        <x:v>-36475</x:v>
      </x:c>
      <x:c r="AE52" s="141"/>
      <x:c r="AF52" s="147" t="str"/>
    </x:row>
    <x:row r="53">
      <x:c r="A53" s="152" t="n">
        <x:v>43922</x:v>
      </x:c>
      <x:c r="B53" s="153" t="n">
        <x:v>1683</x:v>
      </x:c>
      <x:c r="C53" s="153" t="n">
        <x:v>15.1</x:v>
      </x:c>
      <x:c r="D53" s="153" t="n">
        <x:v>23.3</x:v>
      </x:c>
      <x:c r="E53" s="153" t="n">
        <x:v>5058</x:v>
      </x:c>
      <x:c r="F53" s="153" t="n">
        <x:f>IFERROR(B53/C53,"")</x:f>
        <x:v>111.45695364238411</x:v>
      </x:c>
      <x:c r="G53" s="154" t="n">
        <x:f>IFERROR(B53/B52-1,"")</x:f>
        <x:v>0.0571608040201006</x:v>
      </x:c>
      <x:c r="H53" s="154" t="n">
        <x:f>IFERROR(C53/C52-1,"")</x:f>
        <x:v>0.01342281879194629</x:v>
      </x:c>
      <x:c r="I53" s="154" t="n">
        <x:f>IFERROR(D53/D52-1,"")</x:f>
        <x:v>-0.29393939393939394</x:v>
      </x:c>
      <x:c r="J53" s="154" t="n">
        <x:f>IFERROR(E53/E52-1,"")</x:f>
        <x:v>-0.024117306579201192</x:v>
      </x:c>
      <x:c r="K53" s="153" t="n">
        <x:v>0.6576190476190478</x:v>
      </x:c>
      <x:c r="L53" s="153" t="n">
        <x:v>-0.4457142857142857</x:v>
      </x:c>
      <x:c r="M53" s="153" t="n">
        <x:f>IFERROR(L53-L52,"")</x:f>
        <x:v>-0.32889610389610385</x:v>
      </x:c>
      <x:c r="N53" s="153" t="n">
        <x:v>1.1033333333333335</x:v>
      </x:c>
      <x:c r="O53" s="153" t="n">
        <x:v>123.28034545454548</x:v>
      </x:c>
      <x:c r="P53" s="153" t="n">
        <x:f>IFERROR(O53/O52-1,"")</x:f>
        <x:v>0.01865438287462373</x:v>
      </x:c>
      <x:c r="Q53" s="153" t="n">
        <x:v>41.453809523809525</x:v>
      </x:c>
      <x:c r="R53" s="153" t="n">
        <x:v>0.04900000000000003</x:v>
      </x:c>
      <x:c r="S53" s="141" t="n">
        <x:v>256.032</x:v>
      </x:c>
      <x:c r="T53" s="154" t="n">
        <x:f>IFERROR(S53/S41-1,"")</x:f>
        <x:v>0.003130472940411133</x:v>
      </x:c>
      <x:c r="U53" s="141" t="n">
        <x:v>84.5619</x:v>
      </x:c>
      <x:c r="V53" s="154" t="n">
        <x:f>IFERROR(U53/U41-1,"")</x:f>
        <x:v>-0.17318282261376305</x:v>
      </x:c>
      <x:c r="W53" s="141" t="n">
        <x:v>6655929</x:v>
      </x:c>
      <x:c r="X53" s="154" t="n">
        <x:f>IFERROR(W53/W52-1,"")</x:f>
        <x:v>0.26676376849492933</x:v>
      </x:c>
      <x:c r="Y53" s="141" t="n">
        <x:v>69.3394</x:v>
      </x:c>
      <x:c r="Z53" s="141" t="n">
        <x:f>IFERROR(Y53-Y52,"")</x:f>
        <x:v>-12.200630000000004</x:v>
      </x:c>
      <x:c r="AA53" s="141" t="n">
        <x:v>151648.75</x:v>
      </x:c>
      <x:c r="AB53" s="141" t="n">
        <x:f>IFERROR(AA53-AA52,"")</x:f>
        <x:v>-32609.75</x:v>
      </x:c>
      <x:c r="AC53" s="141" t="n">
        <x:v>15958.75</x:v>
      </x:c>
      <x:c r="AD53" s="141" t="n">
        <x:f>IFERROR(AC53-AC52,"")</x:f>
        <x:v>-6957.75</x:v>
      </x:c>
      <x:c r="AE53" s="141"/>
      <x:c r="AF53" s="147" t="str"/>
    </x:row>
    <x:row r="54">
      <x:c r="A54" s="152" t="n">
        <x:v>43952</x:v>
      </x:c>
      <x:c r="B54" s="153" t="n">
        <x:v>1716</x:v>
      </x:c>
      <x:c r="C54" s="153" t="n">
        <x:v>16.3</x:v>
      </x:c>
      <x:c r="D54" s="153" t="n">
        <x:v>31</x:v>
      </x:c>
      <x:c r="E54" s="153" t="n">
        <x:v>5240</x:v>
      </x:c>
      <x:c r="F54" s="153" t="n">
        <x:f>IFERROR(B54/C54,"")</x:f>
        <x:v>105.2760736196319</x:v>
      </x:c>
      <x:c r="G54" s="154" t="n">
        <x:f>IFERROR(B54/B53-1,"")</x:f>
        <x:v>0.019607843137254832</x:v>
      </x:c>
      <x:c r="H54" s="154" t="n">
        <x:f>IFERROR(C54/C53-1,"")</x:f>
        <x:v>0.07947019867549665</x:v>
      </x:c>
      <x:c r="I54" s="154" t="n">
        <x:f>IFERROR(D54/D53-1,"")</x:f>
        <x:v>0.33047210300429186</x:v>
      </x:c>
      <x:c r="J54" s="154" t="n">
        <x:f>IFERROR(E54/E53-1,"")</x:f>
        <x:v>0.03598260181890067</x:v>
      </x:c>
      <x:c r="K54" s="153" t="n">
        <x:v>0.6739999999999998</x:v>
      </x:c>
      <x:c r="L54" s="153" t="n">
        <x:v>-0.4415000000000001</x:v>
      </x:c>
      <x:c r="M54" s="153" t="n">
        <x:f>IFERROR(L54-L53,"")</x:f>
        <x:v>0.004214285714285559</x:v>
      </x:c>
      <x:c r="N54" s="153" t="n">
        <x:v>1.1155</x:v>
      </x:c>
      <x:c r="O54" s="153" t="n">
        <x:v>122.61501000000001</x:v>
      </x:c>
      <x:c r="P54" s="153" t="n">
        <x:f>IFERROR(O54/O53-1,"")</x:f>
        <x:v>-0.005396930484679596</x:v>
      </x:c>
      <x:c r="Q54" s="153" t="n">
        <x:v>30.897000000000002</x:v>
      </x:c>
      <x:c r="R54" s="153" t="n">
        <x:v>0.050000000000000024</x:v>
      </x:c>
      <x:c r="S54" s="141" t="n">
        <x:v>255.802</x:v>
      </x:c>
      <x:c r="T54" s="154" t="n">
        <x:f>IFERROR(S54/S42-1,"")</x:f>
        <x:v>0.001982013035848551</x:v>
      </x:c>
      <x:c r="U54" s="141" t="n">
        <x:v>85.9604</x:v>
      </x:c>
      <x:c r="V54" s="154" t="n">
        <x:f>IFERROR(U54/U42-1,"")</x:f>
        <x:v>-0.1604773810453941</x:v>
      </x:c>
      <x:c r="W54" s="141" t="n">
        <x:v>7097316</x:v>
      </x:c>
      <x:c r="X54" s="154" t="n">
        <x:f>IFERROR(W54/W53-1,"")</x:f>
        <x:v>0.0663148600293062</x:v>
      </x:c>
      <x:c r="Y54" s="141" t="n">
        <x:v>68.50722</x:v>
      </x:c>
      <x:c r="Z54" s="141" t="n">
        <x:f>IFERROR(Y54-Y53,"")</x:f>
        <x:v>-0.8321799999999939</x:v>
      </x:c>
      <x:c r="AA54" s="141" t="n">
        <x:v>128401.8</x:v>
      </x:c>
      <x:c r="AB54" s="141" t="n">
        <x:f>IFERROR(AA54-AA53,"")</x:f>
        <x:v>-23246.949999999997</x:v>
      </x:c>
      <x:c r="AC54" s="141" t="n">
        <x:v>17294.4</x:v>
      </x:c>
      <x:c r="AD54" s="141" t="n">
        <x:f>IFERROR(AC54-AC53,"")</x:f>
        <x:v>1335.6500000000015</x:v>
      </x:c>
      <x:c r="AE54" s="141"/>
      <x:c r="AF54" s="147" t="str"/>
    </x:row>
    <x:row r="55">
      <x:c r="A55" s="152" t="n">
        <x:v>43983</x:v>
      </x:c>
      <x:c r="B55" s="153" t="n">
        <x:v>1732</x:v>
      </x:c>
      <x:c r="C55" s="153" t="n">
        <x:v>17.7</x:v>
      </x:c>
      <x:c r="D55" s="153" t="n">
        <x:v>39.9</x:v>
      </x:c>
      <x:c r="E55" s="153" t="n">
        <x:v>5755</x:v>
      </x:c>
      <x:c r="F55" s="153" t="n">
        <x:f>IFERROR(B55/C55,"")</x:f>
        <x:v>97.85310734463278</x:v>
      </x:c>
      <x:c r="G55" s="154" t="n">
        <x:f>IFERROR(B55/B54-1,"")</x:f>
        <x:v>0.00932400932400923</x:v>
      </x:c>
      <x:c r="H55" s="154" t="n">
        <x:f>IFERROR(C55/C54-1,"")</x:f>
        <x:v>0.08588957055214719</x:v>
      </x:c>
      <x:c r="I55" s="154" t="n">
        <x:f>IFERROR(D55/D54-1,"")</x:f>
        <x:v>0.2870967741935484</x:v>
      </x:c>
      <x:c r="J55" s="154" t="n">
        <x:f>IFERROR(E55/E54-1,"")</x:f>
        <x:v>0.0982824427480915</x:v>
      </x:c>
      <x:c r="K55" s="153" t="n">
        <x:v>0.7286363636363636</x:v>
      </x:c>
      <x:c r="L55" s="153" t="n">
        <x:v>-0.5445454545454544</x:v>
      </x:c>
      <x:c r="M55" s="153" t="n">
        <x:f>IFERROR(L55-L54,"")</x:f>
        <x:v>-0.10304545454545433</x:v>
      </x:c>
      <x:c r="N55" s="153" t="n">
        <x:v>1.2731818181818184</x:v>
      </x:c>
      <x:c r="O55" s="153" t="n">
        <x:v>119.67660454545457</x:v>
      </x:c>
      <x:c r="P55" s="153" t="n">
        <x:f>IFERROR(O55/O54-1,"")</x:f>
        <x:v>-0.02396448407536278</x:v>
      </x:c>
      <x:c r="Q55" s="153" t="n">
        <x:v>31.11954545454545</x:v>
      </x:c>
      <x:c r="R55" s="153" t="n">
        <x:v>0.0776666666666667</x:v>
      </x:c>
      <x:c r="S55" s="141" t="n">
        <x:v>257.042</x:v>
      </x:c>
      <x:c r="T55" s="154" t="n">
        <x:f>IFERROR(S55/S43-1,"")</x:f>
        <x:v>0.007166562831830481</x:v>
      </x:c>
      <x:c r="U55" s="141" t="n">
        <x:v>91.5934</x:v>
      </x:c>
      <x:c r="V55" s="154" t="n">
        <x:f>IFERROR(U55/U43-1,"")</x:f>
        <x:v>-0.10586064673581452</x:v>
      </x:c>
      <x:c r="W55" s="141" t="n">
        <x:v>7082302</x:v>
      </x:c>
      <x:c r="X55" s="154" t="n">
        <x:f>IFERROR(W55/W54-1,"")</x:f>
        <x:v>-0.002115447586101604</x:v>
      </x:c>
      <x:c r="Y55" s="141" t="n">
        <x:v>71.22786</x:v>
      </x:c>
      <x:c r="Z55" s="141" t="n">
        <x:f>IFERROR(Y55-Y54,"")</x:f>
        <x:v>2.720640000000003</x:v>
      </x:c>
      <x:c r="AA55" s="141" t="n">
        <x:v>106433.75</x:v>
      </x:c>
      <x:c r="AB55" s="141" t="n">
        <x:f>IFERROR(AA55-AA54,"")</x:f>
        <x:v>-21968.050000000003</x:v>
      </x:c>
      <x:c r="AC55" s="141" t="n">
        <x:v>26430.25</x:v>
      </x:c>
      <x:c r="AD55" s="141" t="n">
        <x:f>IFERROR(AC55-AC54,"")</x:f>
        <x:v>9135.849999999999</x:v>
      </x:c>
      <x:c r="AE55" s="141"/>
      <x:c r="AF55" s="147" t="str"/>
    </x:row>
    <x:row r="56">
      <x:c r="A56" s="152" t="n">
        <x:v>44013</x:v>
      </x:c>
      <x:c r="B56" s="153" t="n">
        <x:v>1847</x:v>
      </x:c>
      <x:c r="C56" s="153" t="n">
        <x:v>20.6</x:v>
      </x:c>
      <x:c r="D56" s="153" t="n">
        <x:v>42.8</x:v>
      </x:c>
      <x:c r="E56" s="153" t="n">
        <x:v>6372</x:v>
      </x:c>
      <x:c r="F56" s="153" t="n">
        <x:f>IFERROR(B56/C56,"")</x:f>
        <x:v>89.66019417475728</x:v>
      </x:c>
      <x:c r="G56" s="154" t="n">
        <x:f>IFERROR(B56/B55-1,"")</x:f>
        <x:v>0.06639722863741349</x:v>
      </x:c>
      <x:c r="H56" s="154" t="n">
        <x:f>IFERROR(C56/C55-1,"")</x:f>
        <x:v>0.16384180790960468</x:v>
      </x:c>
      <x:c r="I56" s="154" t="n">
        <x:f>IFERROR(D56/D55-1,"")</x:f>
        <x:v>0.07268170426065157</x:v>
      </x:c>
      <x:c r="J56" s="154" t="n">
        <x:f>IFERROR(E56/E55-1,"")</x:f>
        <x:v>0.10721112076455253</x:v>
      </x:c>
      <x:c r="K56" s="153" t="n">
        <x:v>0.6236363636363635</x:v>
      </x:c>
      <x:c r="L56" s="153" t="n">
        <x:v>-0.8327272727272728</x:v>
      </x:c>
      <x:c r="M56" s="153" t="n">
        <x:f>IFERROR(L56-L55,"")</x:f>
        <x:v>-0.2881818181818183</x:v>
      </x:c>
      <x:c r="N56" s="153" t="n">
        <x:v>1.4563636363636367</x:v>
      </x:c>
      <x:c r="O56" s="153" t="n">
        <x:v>118.69005000000001</x:v>
      </x:c>
      <x:c r="P56" s="153" t="n">
        <x:f>IFERROR(O56/O55-1,"")</x:f>
        <x:v>-0.008243503809300057</x:v>
      </x:c>
      <x:c r="Q56" s="153" t="n">
        <x:v>26.840454545454545</x:v>
      </x:c>
      <x:c r="R56" s="153" t="n">
        <x:v>0.09258064516129035</x:v>
      </x:c>
      <x:c r="S56" s="141" t="n">
        <x:v>258.352</x:v>
      </x:c>
      <x:c r="T56" s="154" t="n">
        <x:f>IFERROR(S56/S44-1,"")</x:f>
        <x:v>0.009968647625897997</x:v>
      </x:c>
      <x:c r="U56" s="141" t="n">
        <x:v>95.0256</x:v>
      </x:c>
      <x:c r="V56" s="154" t="n">
        <x:f>IFERROR(U56/U44-1,"")</x:f>
        <x:v>-0.06783544959427434</x:v>
      </x:c>
      <x:c r="W56" s="141" t="n">
        <x:v>6949032</x:v>
      </x:c>
      <x:c r="X56" s="154" t="n">
        <x:f>IFERROR(W56/W55-1,"")</x:f>
        <x:v>-0.01881732803825653</x:v>
      </x:c>
      <x:c r="Y56" s="141" t="n">
        <x:v>66.47328</x:v>
      </x:c>
      <x:c r="Z56" s="141" t="n">
        <x:f>IFERROR(Y56-Y55,"")</x:f>
        <x:v>-4.754580000000004</x:v>
      </x:c>
      <x:c r="AA56" s="141" t="n">
        <x:v>134055.2</x:v>
      </x:c>
      <x:c r="AB56" s="141" t="n">
        <x:f>IFERROR(AA56-AA55,"")</x:f>
        <x:v>27621.45000000001</x:v>
      </x:c>
      <x:c r="AC56" s="141" t="n">
        <x:v>39044.8</x:v>
      </x:c>
      <x:c r="AD56" s="141" t="n">
        <x:f>IFERROR(AC56-AC55,"")</x:f>
        <x:v>12614.550000000003</x:v>
      </x:c>
      <x:c r="AE56" s="141"/>
      <x:c r="AF56" s="147" t="str"/>
    </x:row>
    <x:row r="57">
      <x:c r="A57" s="152" t="n">
        <x:v>44044</x:v>
      </x:c>
      <x:c r="B57" s="153" t="n">
        <x:v>1969</x:v>
      </x:c>
      <x:c r="C57" s="153" t="n">
        <x:v>27</x:v>
      </x:c>
      <x:c r="D57" s="153" t="n">
        <x:v>44.3</x:v>
      </x:c>
      <x:c r="E57" s="153" t="n">
        <x:v>6499</x:v>
      </x:c>
      <x:c r="F57" s="153" t="n">
        <x:f>IFERROR(B57/C57,"")</x:f>
        <x:v>72.92592592592592</x:v>
      </x:c>
      <x:c r="G57" s="154" t="n">
        <x:f>IFERROR(B57/B56-1,"")</x:f>
        <x:v>0.06605305901461822</x:v>
      </x:c>
      <x:c r="H57" s="154" t="n">
        <x:f>IFERROR(C57/C56-1,"")</x:f>
        <x:v>0.3106796116504853</x:v>
      </x:c>
      <x:c r="I57" s="154" t="n">
        <x:f>IFERROR(D57/D56-1,"")</x:f>
        <x:v>0.035046728971962704</x:v>
      </x:c>
      <x:c r="J57" s="154" t="n">
        <x:f>IFERROR(E57/E56-1,"")</x:f>
        <x:v>0.019930947897049522</x:v>
      </x:c>
      <x:c r="K57" s="153" t="n">
        <x:v>0.65</x:v>
      </x:c>
      <x:c r="L57" s="153" t="n">
        <x:v>-1.0114285714285718</x:v>
      </x:c>
      <x:c r="M57" s="153" t="n">
        <x:f>IFERROR(L57-L56,"")</x:f>
        <x:v>-0.17870129870129903</x:v>
      </x:c>
      <x:c r="N57" s="153" t="n">
        <x:v>1.661428571428571</x:v>
      </x:c>
      <x:c r="O57" s="153" t="n">
        <x:v>116.9453476190476</x:v>
      </x:c>
      <x:c r="P57" s="153" t="n">
        <x:f>IFERROR(O57/O56-1,"")</x:f>
        <x:v>-0.01469965157949149</x:v>
      </x:c>
      <x:c r="Q57" s="153" t="n">
        <x:v>22.889523809523812</x:v>
      </x:c>
      <x:c r="R57" s="153" t="n">
        <x:v>0.09516129032258062</x:v>
      </x:c>
      <x:c r="S57" s="141" t="n">
        <x:v>259.316</x:v>
      </x:c>
      <x:c r="T57" s="154" t="n">
        <x:f>IFERROR(S57/S45-1,"")</x:f>
        <x:v>0.012810698495523853</x:v>
      </x:c>
      <x:c r="U57" s="141" t="n">
        <x:v>95.9549</x:v>
      </x:c>
      <x:c r="V57" s="154" t="n">
        <x:f>IFERROR(U57/U45-1,"")</x:f>
        <x:v>-0.06512241935326724</x:v>
      </x:c>
      <x:c r="W57" s="141" t="n">
        <x:v>6990418</x:v>
      </x:c>
      <x:c r="X57" s="154" t="n">
        <x:f>IFERROR(W57/W56-1,"")</x:f>
        <x:v>0.005955649650195793</x:v>
      </x:c>
      <x:c r="Y57" s="141" t="n">
        <x:v>65.46605</x:v>
      </x:c>
      <x:c r="Z57" s="141" t="n">
        <x:f>IFERROR(Y57-Y56,"")</x:f>
        <x:v>-1.007230000000007</x:v>
      </x:c>
      <x:c r="AA57" s="141" t="n">
        <x:v>98362.75</x:v>
      </x:c>
      <x:c r="AB57" s="141" t="n">
        <x:f>IFERROR(AA57-AA56,"")</x:f>
        <x:v>-35692.45000000001</x:v>
      </x:c>
      <x:c r="AC57" s="141" t="n">
        <x:v>31610.5</x:v>
      </x:c>
      <x:c r="AD57" s="141" t="n">
        <x:f>IFERROR(AC57-AC56,"")</x:f>
        <x:v>-7434.300000000003</x:v>
      </x:c>
      <x:c r="AE57" s="141"/>
      <x:c r="AF57" s="147" t="str"/>
    </x:row>
    <x:row r="58">
      <x:c r="A58" s="152" t="n">
        <x:v>44075</x:v>
      </x:c>
      <x:c r="B58" s="153" t="n">
        <x:v>1922</x:v>
      </x:c>
      <x:c r="C58" s="153" t="n">
        <x:v>25.7</x:v>
      </x:c>
      <x:c r="D58" s="153" t="n">
        <x:v>41.1</x:v>
      </x:c>
      <x:c r="E58" s="153" t="n">
        <x:v>6705</x:v>
      </x:c>
      <x:c r="F58" s="153" t="n">
        <x:f>IFERROR(B58/C58,"")</x:f>
        <x:v>74.78599221789884</x:v>
      </x:c>
      <x:c r="G58" s="154" t="n">
        <x:f>IFERROR(B58/B57-1,"")</x:f>
        <x:v>-0.023869984763839502</x:v>
      </x:c>
      <x:c r="H58" s="154" t="n">
        <x:f>IFERROR(C58/C57-1,"")</x:f>
        <x:v>-0.04814814814814816</x:v>
      </x:c>
      <x:c r="I58" s="154" t="n">
        <x:f>IFERROR(D58/D57-1,"")</x:f>
        <x:v>-0.0722347629796839</x:v>
      </x:c>
      <x:c r="J58" s="154" t="n">
        <x:f>IFERROR(E58/E57-1,"")</x:f>
        <x:v>0.031697184182181815</x:v>
      </x:c>
      <x:c r="K58" s="153" t="n">
        <x:v>0.6795238095238093</x:v>
      </x:c>
      <x:c r="L58" s="153" t="n">
        <x:v>-0.9766666666666669</x:v>
      </x:c>
      <x:c r="M58" s="153" t="n">
        <x:f>IFERROR(L58-L57,"")</x:f>
        <x:v>0.03476190476190488</x:v>
      </x:c>
      <x:c r="N58" s="153" t="n">
        <x:v>1.6561904761904762</x:v>
      </x:c>
      <x:c r="O58" s="153" t="n">
        <x:v>116.3431333333333</x:v>
      </x:c>
      <x:c r="P58" s="153" t="n">
        <x:f>IFERROR(O58/O57-1,"")</x:f>
        <x:v>-0.005149536069412708</x:v>
      </x:c>
      <x:c r="Q58" s="153" t="n">
        <x:v>27.64761904761904</x:v>
      </x:c>
      <x:c r="R58" s="153" t="n">
        <x:v>0.09</x:v>
      </x:c>
      <x:c r="S58" s="141" t="n">
        <x:v>259.997</x:v>
      </x:c>
      <x:c r="T58" s="154" t="n">
        <x:f>IFERROR(S58/S46-1,"")</x:f>
        <x:v>0.013910228912373812</x:v>
      </x:c>
      <x:c r="U58" s="141" t="n">
        <x:v>95.9669</x:v>
      </x:c>
      <x:c r="V58" s="154" t="n">
        <x:f>IFERROR(U58/U46-1,"")</x:f>
        <x:v>-0.061831018547937044</x:v>
      </x:c>
      <x:c r="W58" s="141" t="n">
        <x:v>7056129</x:v>
      </x:c>
      <x:c r="X58" s="154" t="n">
        <x:f>IFERROR(W58/W57-1,"")</x:f>
        <x:v>0.009400153181111648</x:v>
      </x:c>
      <x:c r="Y58" s="141" t="n">
        <x:v>80.37738</x:v>
      </x:c>
      <x:c r="Z58" s="141" t="n">
        <x:f>IFERROR(Y58-Y57,"")</x:f>
        <x:v>14.911330000000007</x:v>
      </x:c>
      <x:c r="AA58" s="141" t="n">
        <x:v>98645</x:v>
      </x:c>
      <x:c r="AB58" s="141" t="n">
        <x:f>IFERROR(AA58-AA57,"")</x:f>
        <x:v>282.25</x:v>
      </x:c>
      <x:c r="AC58" s="141" t="n">
        <x:v>37292.75</x:v>
      </x:c>
      <x:c r="AD58" s="141" t="n">
        <x:f>IFERROR(AC58-AC57,"")</x:f>
        <x:v>5682.25</x:v>
      </x:c>
      <x:c r="AE58" s="141"/>
      <x:c r="AF58" s="147" t="str"/>
    </x:row>
    <x:row r="59">
      <x:c r="A59" s="152" t="n">
        <x:v>44105</x:v>
      </x:c>
      <x:c r="B59" s="153" t="n">
        <x:v>1900</x:v>
      </x:c>
      <x:c r="C59" s="153" t="n">
        <x:v>24.2</x:v>
      </x:c>
      <x:c r="D59" s="153" t="n">
        <x:v>40.5</x:v>
      </x:c>
      <x:c r="E59" s="153" t="n">
        <x:v>6714</x:v>
      </x:c>
      <x:c r="F59" s="153" t="n">
        <x:f>IFERROR(B59/C59,"")</x:f>
        <x:v>78.51239669421489</x:v>
      </x:c>
      <x:c r="G59" s="154" t="n">
        <x:f>IFERROR(B59/B58-1,"")</x:f>
        <x:v>-0.01144640998959412</x:v>
      </x:c>
      <x:c r="H59" s="154" t="n">
        <x:f>IFERROR(C59/C58-1,"")</x:f>
        <x:v>-0.05836575875486383</x:v>
      </x:c>
      <x:c r="I59" s="154" t="n">
        <x:f>IFERROR(D59/D58-1,"")</x:f>
        <x:v>-0.014598540145985384</x:v>
      </x:c>
      <x:c r="J59" s="154" t="n">
        <x:f>IFERROR(E59/E58-1,"")</x:f>
        <x:v>0.0013422818791946067</x:v>
      </x:c>
      <x:c r="K59" s="153" t="n">
        <x:v>0.787142857142857</x:v>
      </x:c>
      <x:c r="L59" s="153" t="n">
        <x:v>-0.9166666666666666</x:v>
      </x:c>
      <x:c r="M59" s="153" t="n">
        <x:f>IFERROR(L59-L58,"")</x:f>
        <x:v>0.060000000000000275</x:v>
      </x:c>
      <x:c r="N59" s="153" t="n">
        <x:v>1.703809523809524</x:v>
      </x:c>
      <x:c r="O59" s="153" t="n">
        <x:v>115.77981428571431</x:v>
      </x:c>
      <x:c r="P59" s="153" t="n">
        <x:f>IFERROR(O59/O58-1,"")</x:f>
        <x:v>-0.004841876193973804</x:v>
      </x:c>
      <x:c r="Q59" s="153" t="n">
        <x:v>29.438636363636363</x:v>
      </x:c>
      <x:c r="R59" s="153" t="n">
        <x:v>0.08999999999999998</x:v>
      </x:c>
      <x:c r="S59" s="141" t="n">
        <x:v>260.319</x:v>
      </x:c>
      <x:c r="T59" s="154" t="n">
        <x:f>IFERROR(S59/S47-1,"")</x:f>
        <x:v>0.012303863428671624</x:v>
      </x:c>
      <x:c r="U59" s="141" t="n">
        <x:v>96.7394</x:v>
      </x:c>
      <x:c r="V59" s="154" t="n">
        <x:f>IFERROR(U59/U47-1,"")</x:f>
        <x:v>-0.04622683457542831</x:v>
      </x:c>
      <x:c r="W59" s="141" t="n">
        <x:v>7146306</x:v>
      </x:c>
      <x:c r="X59" s="154" t="n">
        <x:f>IFERROR(W59/W58-1,"")</x:f>
        <x:v>0.012779953427722202</x:v>
      </x:c>
      <x:c r="Y59" s="141" t="n">
        <x:v>76.08317</x:v>
      </x:c>
      <x:c r="Z59" s="141" t="n">
        <x:f>IFERROR(Y59-Y58,"")</x:f>
        <x:v>-4.294210000000007</x:v>
      </x:c>
      <x:c r="AA59" s="141" t="n">
        <x:v>92641</x:v>
      </x:c>
      <x:c r="AB59" s="141" t="n">
        <x:f>IFERROR(AA59-AA58,"")</x:f>
        <x:v>-6004</x:v>
      </x:c>
      <x:c r="AC59" s="141" t="n">
        <x:v>37336</x:v>
      </x:c>
      <x:c r="AD59" s="141" t="n">
        <x:f>IFERROR(AC59-AC58,"")</x:f>
        <x:v>43.25</x:v>
      </x:c>
      <x:c r="AE59" s="141"/>
      <x:c r="AF59" s="147" t="str"/>
    </x:row>
    <x:row r="60">
      <x:c r="A60" s="152" t="n">
        <x:v>44136</x:v>
      </x:c>
      <x:c r="B60" s="153" t="n">
        <x:v>1866</x:v>
      </x:c>
      <x:c r="C60" s="153" t="n">
        <x:v>24.1</x:v>
      </x:c>
      <x:c r="D60" s="153" t="n">
        <x:v>43.2</x:v>
      </x:c>
      <x:c r="E60" s="153" t="n">
        <x:v>7069</x:v>
      </x:c>
      <x:c r="F60" s="153" t="n">
        <x:f>IFERROR(B60/C60,"")</x:f>
        <x:v>77.42738589211618</x:v>
      </x:c>
      <x:c r="G60" s="154" t="n">
        <x:f>IFERROR(B60/B59-1,"")</x:f>
        <x:v>-0.017894736842105297</x:v>
      </x:c>
      <x:c r="H60" s="154" t="n">
        <x:f>IFERROR(C60/C59-1,"")</x:f>
        <x:v>-0.004132231404958553</x:v>
      </x:c>
      <x:c r="I60" s="154" t="n">
        <x:f>IFERROR(D60/D59-1,"")</x:f>
        <x:v>0.06666666666666665</x:v>
      </x:c>
      <x:c r="J60" s="154" t="n">
        <x:f>IFERROR(E60/E59-1,"")</x:f>
        <x:v>0.052874590408102495</x:v>
      </x:c>
      <x:c r="K60" s="153" t="n">
        <x:v>0.8700000000000001</x:v>
      </x:c>
      <x:c r="L60" s="153" t="n">
        <x:v>-0.8421052631578947</x:v>
      </x:c>
      <x:c r="M60" s="153" t="n">
        <x:f>IFERROR(L60-L59,"")</x:f>
        <x:v>0.07456140350877194</x:v>
      </x:c>
      <x:c r="N60" s="153" t="n">
        <x:v>1.7121052631578948</x:v>
      </x:c>
      <x:c r="O60" s="153" t="n">
        <x:v>114.09840000000001</x:v>
      </x:c>
      <x:c r="P60" s="153" t="n">
        <x:f>IFERROR(O60/O59-1,"")</x:f>
        <x:v>-0.014522516693324494</x:v>
      </x:c>
      <x:c r="Q60" s="153" t="n">
        <x:v>24.995499999999996</x:v>
      </x:c>
      <x:c r="R60" s="153" t="n">
        <x:v>0.08633333333333336</x:v>
      </x:c>
      <x:c r="S60" s="141" t="n">
        <x:v>260.911</x:v>
      </x:c>
      <x:c r="T60" s="154" t="n">
        <x:f>IFERROR(S60/S48-1,"")</x:f>
        <x:v>0.011757452138405844</x:v>
      </x:c>
      <x:c r="U60" s="141" t="n">
        <x:v>97.0816</x:v>
      </x:c>
      <x:c r="V60" s="154" t="n">
        <x:f>IFERROR(U60/U48-1,"")</x:f>
        <x:v>-0.04763324870606622</x:v>
      </x:c>
      <x:c r="W60" s="141" t="n">
        <x:v>7216480</x:v>
      </x:c>
      <x:c r="X60" s="154" t="n">
        <x:f>IFERROR(W60/W59-1,"")</x:f>
        <x:v>0.009819618695309229</x:v>
      </x:c>
      <x:c r="Y60" s="141" t="n">
        <x:v>70.06747</x:v>
      </x:c>
      <x:c r="Z60" s="141" t="n">
        <x:f>IFERROR(Y60-Y59,"")</x:f>
        <x:v>-6.015699999999995</x:v>
      </x:c>
      <x:c r="AA60" s="141" t="n">
        <x:v>86568.25</x:v>
      </x:c>
      <x:c r="AB60" s="141" t="n">
        <x:f>IFERROR(AA60-AA59,"")</x:f>
        <x:v>-6072.75</x:v>
      </x:c>
      <x:c r="AC60" s="141" t="n">
        <x:v>41556.5</x:v>
      </x:c>
      <x:c r="AD60" s="141" t="n">
        <x:f>IFERROR(AC60-AC59,"")</x:f>
        <x:v>4220.5</x:v>
      </x:c>
      <x:c r="AE60" s="141"/>
      <x:c r="AF60" s="147" t="str"/>
    </x:row>
    <x:row r="61">
      <x:c r="A61" s="152" t="n">
        <x:v>44166</x:v>
      </x:c>
      <x:c r="B61" s="153" t="n">
        <x:v>1858</x:v>
      </x:c>
      <x:c r="C61" s="153" t="n">
        <x:v>25</x:v>
      </x:c>
      <x:c r="D61" s="153" t="n">
        <x:v>49.9</x:v>
      </x:c>
      <x:c r="E61" s="153" t="n">
        <x:v>7772</x:v>
      </x:c>
      <x:c r="F61" s="153" t="n">
        <x:f>IFERROR(B61/C61,"")</x:f>
        <x:v>74.32</x:v>
      </x:c>
      <x:c r="G61" s="154" t="n">
        <x:f>IFERROR(B61/B60-1,"")</x:f>
        <x:v>-0.004287245444801746</x:v>
      </x:c>
      <x:c r="H61" s="154" t="n">
        <x:f>IFERROR(C61/C60-1,"")</x:f>
        <x:v>0.03734439834024883</x:v>
      </x:c>
      <x:c r="I61" s="154" t="n">
        <x:f>IFERROR(D61/D60-1,"")</x:f>
        <x:v>0.15509259259259256</x:v>
      </x:c>
      <x:c r="J61" s="154" t="n">
        <x:f>IFERROR(E61/E60-1,"")</x:f>
        <x:v>0.09944829537416888</x:v>
      </x:c>
      <x:c r="K61" s="153" t="n">
        <x:v>0.9336363636363636</x:v>
      </x:c>
      <x:c r="L61" s="153" t="n">
        <x:v>-0.9822727272727274</x:v>
      </x:c>
      <x:c r="M61" s="153" t="n">
        <x:f>IFERROR(L61-L60,"")</x:f>
        <x:v>-0.14016746411483272</x:v>
      </x:c>
      <x:c r="N61" s="153" t="n">
        <x:v>1.9159090909090908</x:v>
      </x:c>
      <x:c r="O61" s="153" t="n">
        <x:v>111.89921428571428</x:v>
      </x:c>
      <x:c r="P61" s="153" t="n">
        <x:f>IFERROR(O61/O60-1,"")</x:f>
        <x:v>-0.019274465849527522</x:v>
      </x:c>
      <x:c r="Q61" s="153" t="n">
        <x:v>22.37409090909091</x:v>
      </x:c>
      <x:c r="R61" s="153" t="n">
        <x:v>0.08999999999999998</x:v>
      </x:c>
      <x:c r="S61" s="141" t="n">
        <x:v>262.045</x:v>
      </x:c>
      <x:c r="T61" s="154" t="n">
        <x:f>IFERROR(S61/S49-1,"")</x:f>
        <x:v>0.013204191315779434</x:v>
      </x:c>
      <x:c r="U61" s="141" t="n">
        <x:v>98.363</x:v>
      </x:c>
      <x:c r="V61" s="154" t="n">
        <x:f>IFERROR(U61/U49-1,"")</x:f>
        <x:v>-0.0328150457766595</x:v>
      </x:c>
      <x:c r="W61" s="141" t="n">
        <x:v>7363351</x:v>
      </x:c>
      <x:c r="X61" s="154" t="n">
        <x:f>IFERROR(W61/W60-1,"")</x:f>
        <x:v>0.020352166153027484</x:v>
      </x:c>
      <x:c r="Y61" s="141" t="n">
        <x:v>64.06729</x:v>
      </x:c>
      <x:c r="Z61" s="141" t="n">
        <x:f>IFERROR(Y61-Y60,"")</x:f>
        <x:v>-6.00018</x:v>
      </x:c>
      <x:c r="AA61" s="141" t="n">
        <x:v>98589.25</x:v>
      </x:c>
      <x:c r="AB61" s="141" t="n">
        <x:f>IFERROR(AA61-AA60,"")</x:f>
        <x:v>12021</x:v>
      </x:c>
      <x:c r="AC61" s="141" t="n">
        <x:v>43978</x:v>
      </x:c>
      <x:c r="AD61" s="141" t="n">
        <x:f>IFERROR(AC61-AC60,"")</x:f>
        <x:v>2421.5</x:v>
      </x:c>
      <x:c r="AE61" s="141"/>
      <x:c r="AF61" s="147" t="str"/>
    </x:row>
    <x:row r="62">
      <x:c r="A62" s="152" t="n">
        <x:v>44197</x:v>
      </x:c>
      <x:c r="B62" s="153" t="n">
        <x:v>1867</x:v>
      </x:c>
      <x:c r="C62" s="153" t="n">
        <x:v>25.9</x:v>
      </x:c>
      <x:c r="D62" s="153" t="n">
        <x:v>54.6</x:v>
      </x:c>
      <x:c r="E62" s="153" t="n">
        <x:v>7972</x:v>
      </x:c>
      <x:c r="F62" s="153" t="n">
        <x:f>IFERROR(B62/C62,"")</x:f>
        <x:v>72.08494208494209</x:v>
      </x:c>
      <x:c r="G62" s="154" t="n">
        <x:f>IFERROR(B62/B61-1,"")</x:f>
        <x:v>0.004843918191603791</x:v>
      </x:c>
      <x:c r="H62" s="154" t="n">
        <x:f>IFERROR(C62/C61-1,"")</x:f>
        <x:v>0.03600000000000003</x:v>
      </x:c>
      <x:c r="I62" s="154" t="n">
        <x:f>IFERROR(D62/D61-1,"")</x:f>
        <x:v>0.094188376753507</x:v>
      </x:c>
      <x:c r="J62" s="154" t="n">
        <x:f>IFERROR(E62/E61-1,"")</x:f>
        <x:v>0.025733401955738477</x:v>
      </x:c>
      <x:c r="K62" s="153" t="n">
        <x:v>1.081052631578947</x:v>
      </x:c>
      <x:c r="L62" s="153" t="n">
        <x:v>-1.0005263157894735</x:v>
      </x:c>
      <x:c r="M62" s="153" t="n">
        <x:f>IFERROR(L62-L61,"")</x:f>
        <x:v>-0.018253588516746078</x:v>
      </x:c>
      <x:c r="N62" s="153" t="n">
        <x:v>2.0815789473684214</x:v>
      </x:c>
      <x:c r="O62" s="153" t="n">
        <x:v>111.48727222222223</x:v>
      </x:c>
      <x:c r="P62" s="153" t="n">
        <x:f>IFERROR(O62/O61-1,"")</x:f>
        <x:v>-0.0036813668989688075</x:v>
      </x:c>
      <x:c r="Q62" s="153" t="n">
        <x:v>24.909999999999997</x:v>
      </x:c>
      <x:c r="R62" s="153" t="n">
        <x:v>0.08516129032258064</x:v>
      </x:c>
      <x:c r="S62" s="141" t="n">
        <x:v>262.687</x:v>
      </x:c>
      <x:c r="T62" s="154" t="n">
        <x:f>IFERROR(S62/S50-1,"")</x:f>
        <x:v>0.013738437137002402</x:v>
      </x:c>
      <x:c r="U62" s="141" t="n">
        <x:v>98.8822</x:v>
      </x:c>
      <x:c r="V62" s="154" t="n">
        <x:f>IFERROR(U62/U50-1,"")</x:f>
        <x:v>-0.021295843569181794</x:v>
      </x:c>
      <x:c r="W62" s="141" t="n">
        <x:v>7404926</x:v>
      </x:c>
      <x:c r="X62" s="154" t="n">
        <x:f>IFERROR(W62/W61-1,"")</x:f>
        <x:v>0.005646206462248005</x:v>
      </x:c>
      <x:c r="Y62" s="141" t="n">
        <x:v>77.4187</x:v>
      </x:c>
      <x:c r="Z62" s="141" t="n">
        <x:f>IFERROR(Y62-Y61,"")</x:f>
        <x:v>13.351410000000001</x:v>
      </x:c>
      <x:c r="AA62" s="141" t="n">
        <x:v>95653.6</x:v>
      </x:c>
      <x:c r="AB62" s="141" t="n">
        <x:f>IFERROR(AA62-AA61,"")</x:f>
        <x:v>-2935.649999999994</x:v>
      </x:c>
      <x:c r="AC62" s="141" t="n">
        <x:v>43400</x:v>
      </x:c>
      <x:c r="AD62" s="141" t="n">
        <x:f>IFERROR(AC62-AC61,"")</x:f>
        <x:v>-578</x:v>
      </x:c>
      <x:c r="AE62" s="141"/>
      <x:c r="AF62" s="147" t="str"/>
    </x:row>
    <x:row r="63">
      <x:c r="A63" s="152" t="n">
        <x:v>44228</x:v>
      </x:c>
      <x:c r="B63" s="153" t="n">
        <x:v>1808</x:v>
      </x:c>
      <x:c r="C63" s="153" t="n">
        <x:v>27.3</x:v>
      </x:c>
      <x:c r="D63" s="153" t="n">
        <x:v>62</x:v>
      </x:c>
      <x:c r="E63" s="153" t="n">
        <x:v>8471</x:v>
      </x:c>
      <x:c r="F63" s="153" t="n">
        <x:f>IFERROR(B63/C63,"")</x:f>
        <x:v>66.22710622710622</x:v>
      </x:c>
      <x:c r="G63" s="154" t="n">
        <x:f>IFERROR(B63/B62-1,"")</x:f>
        <x:v>-0.03160149973219073</x:v>
      </x:c>
      <x:c r="H63" s="154" t="n">
        <x:f>IFERROR(C63/C62-1,"")</x:f>
        <x:v>0.05405405405405417</x:v>
      </x:c>
      <x:c r="I63" s="154" t="n">
        <x:f>IFERROR(D63/D62-1,"")</x:f>
        <x:v>0.1355311355311355</x:v>
      </x:c>
      <x:c r="J63" s="154" t="n">
        <x:f>IFERROR(E63/E62-1,"")</x:f>
        <x:v>0.06259407927747107</x:v>
      </x:c>
      <x:c r="K63" s="153" t="n">
        <x:v>1.2578947368421052</x:v>
      </x:c>
      <x:c r="L63" s="153" t="n">
        <x:v>-0.9221052631578948</x:v>
      </x:c>
      <x:c r="M63" s="153" t="n">
        <x:f>IFERROR(L63-L62,"")</x:f>
        <x:v>0.07842105263157872</x:v>
      </x:c>
      <x:c r="N63" s="153" t="n">
        <x:v>2.1800000000000006</x:v>
      </x:c>
      <x:c r="O63" s="153" t="n">
        <x:v>112.01705263157892</x:v>
      </x:c>
      <x:c r="P63" s="153" t="n">
        <x:f>IFERROR(O63/O62-1,"")</x:f>
        <x:v>0.004751936241660815</x:v>
      </x:c>
      <x:c r="Q63" s="153" t="n">
        <x:v>23.140526315789472</x:v>
      </x:c>
      <x:c r="R63" s="153" t="n">
        <x:v>0.07571428571428573</x:v>
      </x:c>
      <x:c r="S63" s="141" t="n">
        <x:v>263.579</x:v>
      </x:c>
      <x:c r="T63" s="154" t="n">
        <x:f>IFERROR(S63/S51-1,"")</x:f>
        <x:v>0.016698167791706853</x:v>
      </x:c>
      <x:c r="U63" s="141" t="n">
        <x:v>95.6149</x:v>
      </x:c>
      <x:c r="V63" s="154" t="n">
        <x:f>IFERROR(U63/U51-1,"")</x:f>
        <x:v>-0.056805772711803426</x:v>
      </x:c>
      <x:c r="W63" s="141" t="n">
        <x:v>7590111</x:v>
      </x:c>
      <x:c r="X63" s="154" t="n">
        <x:f>IFERROR(W63/W62-1,"")</x:f>
        <x:v>0.02500835254802003</x:v>
      </x:c>
      <x:c r="Y63" s="141" t="n">
        <x:v>73.9568</x:v>
      </x:c>
      <x:c r="Z63" s="141" t="n">
        <x:f>IFERROR(Y63-Y62,"")</x:f>
        <x:v>-3.4619</x:v>
      </x:c>
      <x:c r="AA63" s="141" t="n">
        <x:v>78124.25</x:v>
      </x:c>
      <x:c r="AB63" s="141" t="n">
        <x:f>IFERROR(AA63-AA62,"")</x:f>
        <x:v>-17529.350000000006</x:v>
      </x:c>
      <x:c r="AC63" s="141" t="n">
        <x:v>38087.25</x:v>
      </x:c>
      <x:c r="AD63" s="141" t="n">
        <x:f>IFERROR(AC63-AC62,"")</x:f>
        <x:v>-5312.75</x:v>
      </x:c>
      <x:c r="AE63" s="141"/>
      <x:c r="AF63" s="147" t="str"/>
    </x:row>
    <x:row r="64">
      <x:c r="A64" s="152" t="n">
        <x:v>44256</x:v>
      </x:c>
      <x:c r="B64" s="153" t="n">
        <x:v>1718</x:v>
      </x:c>
      <x:c r="C64" s="153" t="n">
        <x:v>25.6</x:v>
      </x:c>
      <x:c r="D64" s="153" t="n">
        <x:v>65.2</x:v>
      </x:c>
      <x:c r="E64" s="153" t="n">
        <x:v>8988</x:v>
      </x:c>
      <x:c r="F64" s="153" t="n">
        <x:f>IFERROR(B64/C64,"")</x:f>
        <x:v>67.109375</x:v>
      </x:c>
      <x:c r="G64" s="154" t="n">
        <x:f>IFERROR(B64/B63-1,"")</x:f>
        <x:v>-0.0497787610619469</x:v>
      </x:c>
      <x:c r="H64" s="154" t="n">
        <x:f>IFERROR(C64/C63-1,"")</x:f>
        <x:v>-0.06227106227106227</x:v>
      </x:c>
      <x:c r="I64" s="154" t="n">
        <x:f>IFERROR(D64/D63-1,"")</x:f>
        <x:v>0.05161290322580658</x:v>
      </x:c>
      <x:c r="J64" s="154" t="n">
        <x:f>IFERROR(E64/E63-1,"")</x:f>
        <x:v>0.0610317554007791</x:v>
      </x:c>
      <x:c r="K64" s="153" t="n">
        <x:v>1.6108695652173912</x:v>
      </x:c>
      <x:c r="L64" s="153" t="n">
        <x:v>-0.6643478260869566</x:v>
      </x:c>
      <x:c r="M64" s="153" t="n">
        <x:f>IFERROR(L64-L63,"")</x:f>
        <x:v>0.2577574370709381</x:v>
      </x:c>
      <x:c r="N64" s="153" t="n">
        <x:v>2.2752173913043476</x:v>
      </x:c>
      <x:c r="O64" s="153" t="n">
        <x:v>113.33664347826087</x:v>
      </x:c>
      <x:c r="P64" s="153" t="n">
        <x:f>IFERROR(O64/O63-1,"")</x:f>
        <x:v>0.01178026751892891</x:v>
      </x:c>
      <x:c r="Q64" s="153" t="n">
        <x:v>21.84304347826087</x:v>
      </x:c>
      <x:c r="R64" s="153" t="n">
        <x:v>0.06967741935483875</x:v>
      </x:c>
      <x:c r="S64" s="141" t="n">
        <x:v>264.961</x:v>
      </x:c>
      <x:c r="T64" s="154" t="n">
        <x:f>IFERROR(S64/S52-1,"")</x:f>
        <x:v>0.026678187820641908</x:v>
      </x:c>
      <x:c r="U64" s="141" t="n">
        <x:v>98.3856</x:v>
      </x:c>
      <x:c r="V64" s="154" t="n">
        <x:f>IFERROR(U64/U52-1,"")</x:f>
        <x:v>0.010038210492383515</x:v>
      </x:c>
      <x:c r="W64" s="141" t="n">
        <x:v>7688988</x:v>
      </x:c>
      <x:c r="X64" s="154" t="n">
        <x:f>IFERROR(W64/W63-1,"")</x:f>
        <x:v>0.013027082212631713</x:v>
      </x:c>
      <x:c r="Y64" s="141" t="n">
        <x:v>78.61877</x:v>
      </x:c>
      <x:c r="Z64" s="141" t="n">
        <x:f>IFERROR(Y64-Y63,"")</x:f>
        <x:v>4.661969999999997</x:v>
      </x:c>
      <x:c r="AA64" s="141" t="n">
        <x:v>40008</x:v>
      </x:c>
      <x:c r="AB64" s="141" t="n">
        <x:f>IFERROR(AA64-AA63,"")</x:f>
        <x:v>-38116.25</x:v>
      </x:c>
      <x:c r="AC64" s="141" t="n">
        <x:v>25578.5</x:v>
      </x:c>
      <x:c r="AD64" s="141" t="n">
        <x:f>IFERROR(AC64-AC63,"")</x:f>
        <x:v>-12508.75</x:v>
      </x:c>
      <x:c r="AE64" s="141"/>
      <x:c r="AF64" s="147" t="str"/>
    </x:row>
    <x:row r="65">
      <x:c r="A65" s="152" t="n">
        <x:v>44287</x:v>
      </x:c>
      <x:c r="B65" s="153" t="n">
        <x:v>1760</x:v>
      </x:c>
      <x:c r="C65" s="153" t="n">
        <x:v>25.7</x:v>
      </x:c>
      <x:c r="D65" s="153" t="n">
        <x:v>64.8</x:v>
      </x:c>
      <x:c r="E65" s="153" t="n">
        <x:v>9325</x:v>
      </x:c>
      <x:c r="F65" s="153" t="n">
        <x:f>IFERROR(B65/C65,"")</x:f>
        <x:v>68.48249027237354</x:v>
      </x:c>
      <x:c r="G65" s="154" t="n">
        <x:f>IFERROR(B65/B64-1,"")</x:f>
        <x:v>0.024447031431897637</x:v>
      </x:c>
      <x:c r="H65" s="154" t="n">
        <x:f>IFERROR(C65/C64-1,"")</x:f>
        <x:v>0.00390625</x:v>
      </x:c>
      <x:c r="I65" s="154" t="n">
        <x:f>IFERROR(D65/D64-1,"")</x:f>
        <x:v>-0.00613496932515345</x:v>
      </x:c>
      <x:c r="J65" s="154" t="n">
        <x:f>IFERROR(E65/E64-1,"")</x:f>
        <x:v>0.037494437027147276</x:v>
      </x:c>
      <x:c r="K65" s="153" t="n">
        <x:v>1.6349999999999996</x:v>
      </x:c>
      <x:c r="L65" s="153" t="n">
        <x:v>-0.7145454545454544</x:v>
      </x:c>
      <x:c r="M65" s="153" t="n">
        <x:f>IFERROR(L65-L64,"")</x:f>
        <x:v>-0.050197628458497734</x:v>
      </x:c>
      <x:c r="N65" s="153" t="n">
        <x:v>2.3495454545454537</x:v>
      </x:c>
      <x:c r="O65" s="153" t="n">
        <x:v>112.63228636363637</x:v>
      </x:c>
      <x:c r="P65" s="153" t="n">
        <x:f>IFERROR(O65/O64-1,"")</x:f>
        <x:v>-0.006214734202531824</x:v>
      </x:c>
      <x:c r="Q65" s="153" t="n">
        <x:v>17.416190476190476</x:v>
      </x:c>
      <x:c r="R65" s="153" t="n">
        <x:v>0.06900000000000003</x:v>
      </x:c>
      <x:c r="S65" s="141" t="n">
        <x:v>266.614</x:v>
      </x:c>
      <x:c r="T65" s="154" t="n">
        <x:f>IFERROR(S65/S53-1,"")</x:f>
        <x:v>0.04133077115360573</x:v>
      </x:c>
      <x:c r="U65" s="141" t="n">
        <x:v>98.5587</x:v>
      </x:c>
      <x:c r="V65" s="154" t="n">
        <x:f>IFERROR(U65/U53-1,"")</x:f>
        <x:v>0.1655213518144698</x:v>
      </x:c>
      <x:c r="W65" s="141" t="n">
        <x:v>7780962</x:v>
      </x:c>
      <x:c r="X65" s="154" t="n">
        <x:f>IFERROR(W65/W64-1,"")</x:f>
        <x:v>0.011961782226737716</x:v>
      </x:c>
      <x:c r="Y65" s="141" t="n">
        <x:v>88.16622</x:v>
      </x:c>
      <x:c r="Z65" s="141" t="n">
        <x:f>IFERROR(Y65-Y64,"")</x:f>
        <x:v>9.547449999999998</x:v>
      </x:c>
      <x:c r="AA65" s="141" t="n">
        <x:v>54085.4</x:v>
      </x:c>
      <x:c r="AB65" s="141" t="n">
        <x:f>IFERROR(AA65-AA64,"")</x:f>
        <x:v>14077.400000000001</x:v>
      </x:c>
      <x:c r="AC65" s="141" t="n">
        <x:v>28876.8</x:v>
      </x:c>
      <x:c r="AD65" s="141" t="n">
        <x:f>IFERROR(AC65-AC64,"")</x:f>
        <x:v>3298.2999999999993</x:v>
      </x:c>
      <x:c r="AE65" s="141"/>
      <x:c r="AF65" s="147" t="str"/>
    </x:row>
    <x:row r="66">
      <x:c r="A66" s="152" t="n">
        <x:v>44317</x:v>
      </x:c>
      <x:c r="B66" s="153" t="n">
        <x:v>1850</x:v>
      </x:c>
      <x:c r="C66" s="153" t="n">
        <x:v>27.5</x:v>
      </x:c>
      <x:c r="D66" s="153" t="n">
        <x:v>68</x:v>
      </x:c>
      <x:c r="E66" s="153" t="n">
        <x:v>10162</x:v>
      </x:c>
      <x:c r="F66" s="153" t="n">
        <x:f>IFERROR(B66/C66,"")</x:f>
        <x:v>67.27272727272727</x:v>
      </x:c>
      <x:c r="G66" s="154" t="n">
        <x:f>IFERROR(B66/B65-1,"")</x:f>
        <x:v>0.051136363636363535</x:v>
      </x:c>
      <x:c r="H66" s="154" t="n">
        <x:f>IFERROR(C66/C65-1,"")</x:f>
        <x:v>0.07003891050583655</x:v>
      </x:c>
      <x:c r="I66" s="154" t="n">
        <x:f>IFERROR(D66/D65-1,"")</x:f>
        <x:v>0.04938271604938271</x:v>
      </x:c>
      <x:c r="J66" s="154" t="n">
        <x:f>IFERROR(E66/E65-1,"")</x:f>
        <x:v>0.08975871313672923</x:v>
      </x:c>
      <x:c r="K66" s="153" t="n">
        <x:v>1.6209999999999998</x:v>
      </x:c>
      <x:c r="L66" s="153" t="n">
        <x:v>-0.8470000000000001</x:v>
      </x:c>
      <x:c r="M66" s="153" t="n">
        <x:f>IFERROR(L66-L65,"")</x:f>
        <x:v>-0.1324545454545457</x:v>
      </x:c>
      <x:c r="N66" s="153" t="n">
        <x:v>2.468</x:v>
      </x:c>
      <x:c r="O66" s="153" t="n">
        <x:v>111.21227000000002</x:v>
      </x:c>
      <x:c r="P66" s="153" t="n">
        <x:f>IFERROR(O66/O65-1,"")</x:f>
        <x:v>-0.012607542734698551</x:v>
      </x:c>
      <x:c r="Q66" s="153" t="n">
        <x:v>19.760499999999997</x:v>
      </x:c>
      <x:c r="R66" s="153" t="n">
        <x:v>0.058064516129032295</x:v>
      </x:c>
      <x:c r="S66" s="141" t="n">
        <x:v>268.383</x:v>
      </x:c>
      <x:c r="T66" s="154" t="n">
        <x:f>IFERROR(S66/S54-1,"")</x:f>
        <x:v>0.04918257089467626</x:v>
      </x:c>
      <x:c r="U66" s="141" t="n">
        <x:v>99.4333</x:v>
      </x:c>
      <x:c r="V66" s="154" t="n">
        <x:f>IFERROR(U66/U54-1,"")</x:f>
        <x:v>0.15673379835366053</x:v>
      </x:c>
      <x:c r="W66" s="141" t="n">
        <x:v>7903541</x:v>
      </x:c>
      <x:c r="X66" s="154" t="n">
        <x:f>IFERROR(W66/W65-1,"")</x:f>
        <x:v>0.01575370757497585</x:v>
      </x:c>
      <x:c r="Y66" s="141" t="n">
        <x:v>93.00713</x:v>
      </x:c>
      <x:c r="Z66" s="141" t="n">
        <x:f>IFERROR(Y66-Y65,"")</x:f>
        <x:v>4.840910000000008</x:v>
      </x:c>
      <x:c r="AA66" s="141" t="n">
        <x:v>83621.25</x:v>
      </x:c>
      <x:c r="AB66" s="141" t="n">
        <x:f>IFERROR(AA66-AA65,"")</x:f>
        <x:v>29535.85</x:v>
      </x:c>
      <x:c r="AC66" s="141" t="n">
        <x:v>44430.5</x:v>
      </x:c>
      <x:c r="AD66" s="141" t="n">
        <x:f>IFERROR(AC66-AC65,"")</x:f>
        <x:v>15553.7</x:v>
      </x:c>
      <x:c r="AE66" s="141"/>
      <x:c r="AF66" s="147" t="str"/>
    </x:row>
    <x:row r="67">
      <x:c r="A67" s="152" t="n">
        <x:v>44348</x:v>
      </x:c>
      <x:c r="B67" s="153" t="n">
        <x:v>1835</x:v>
      </x:c>
      <x:c r="C67" s="153" t="n">
        <x:v>27</x:v>
      </x:c>
      <x:c r="D67" s="153" t="n">
        <x:v>73.1</x:v>
      </x:c>
      <x:c r="E67" s="153" t="n">
        <x:v>9632</x:v>
      </x:c>
      <x:c r="F67" s="153" t="n">
        <x:f>IFERROR(B67/C67,"")</x:f>
        <x:v>67.96296296296296</x:v>
      </x:c>
      <x:c r="G67" s="154" t="n">
        <x:f>IFERROR(B67/B66-1,"")</x:f>
        <x:v>-0.008108108108108136</x:v>
      </x:c>
      <x:c r="H67" s="154" t="n">
        <x:f>IFERROR(C67/C66-1,"")</x:f>
        <x:v>-0.018181818181818188</x:v>
      </x:c>
      <x:c r="I67" s="154" t="n">
        <x:f>IFERROR(D67/D66-1,"")</x:f>
        <x:v>0.07499999999999996</x:v>
      </x:c>
      <x:c r="J67" s="154" t="n">
        <x:f>IFERROR(E67/E66-1,"")</x:f>
        <x:v>-0.05215508758118481</x:v>
      </x:c>
      <x:c r="K67" s="153" t="n">
        <x:v>1.5190909090909088</x:v>
      </x:c>
      <x:c r="L67" s="153" t="n">
        <x:v>-0.8236363636363637</x:v>
      </x:c>
      <x:c r="M67" s="153" t="n">
        <x:f>IFERROR(L67-L66,"")</x:f>
        <x:v>0.023363636363636364</x:v>
      </x:c>
      <x:c r="N67" s="153" t="n">
        <x:v>2.342727272727273</x:v>
      </x:c>
      <x:c r="O67" s="153" t="n">
        <x:v>111.57769545454548</x:v>
      </x:c>
      <x:c r="P67" s="153" t="n">
        <x:f>IFERROR(O67/O66-1,"")</x:f>
        <x:v>0.0032858375658140204</x:v>
      </x:c>
      <x:c r="Q67" s="153" t="n">
        <x:v>16.956818181818182</x:v>
      </x:c>
      <x:c r="R67" s="153" t="n">
        <x:v>0.07800000000000006</x:v>
      </x:c>
      <x:c r="S67" s="141" t="n">
        <x:v>270.654</x:v>
      </x:c>
      <x:c r="T67" s="154" t="n">
        <x:f>IFERROR(S67/S55-1,"")</x:f>
        <x:v>0.05295632620349999</x:v>
      </x:c>
      <x:c r="U67" s="141" t="n">
        <x:v>99.7987</x:v>
      </x:c>
      <x:c r="V67" s="154" t="n">
        <x:f>IFERROR(U67/U55-1,"")</x:f>
        <x:v>0.08958396565691418</x:v>
      </x:c>
      <x:c r="W67" s="141" t="n">
        <x:v>8078544</x:v>
      </x:c>
      <x:c r="X67" s="154" t="n">
        <x:f>IFERROR(W67/W66-1,"")</x:f>
        <x:v>0.022142353661479097</x:v>
      </x:c>
      <x:c r="Y67" s="141" t="n">
        <x:v>74.12712</x:v>
      </x:c>
      <x:c r="Z67" s="141" t="n">
        <x:f>IFERROR(Y67-Y66,"")</x:f>
        <x:v>-18.88001</x:v>
      </x:c>
      <x:c r="AA67" s="141" t="n">
        <x:v>94241.25</x:v>
      </x:c>
      <x:c r="AB67" s="141" t="n">
        <x:f>IFERROR(AA67-AA66,"")</x:f>
        <x:v>10620</x:v>
      </x:c>
      <x:c r="AC67" s="141" t="n">
        <x:v>39215</x:v>
      </x:c>
      <x:c r="AD67" s="141" t="n">
        <x:f>IFERROR(AC67-AC66,"")</x:f>
        <x:v>-5215.5</x:v>
      </x:c>
      <x:c r="AE67" s="141"/>
      <x:c r="AF67" s="147" t="str"/>
    </x:row>
    <x:row r="68">
      <x:c r="A68" s="152" t="n">
        <x:v>44378</x:v>
      </x:c>
      <x:c r="B68" s="153" t="n">
        <x:v>1808</x:v>
      </x:c>
      <x:c r="C68" s="153" t="n">
        <x:v>25.7</x:v>
      </x:c>
      <x:c r="D68" s="153" t="n">
        <x:v>74.4</x:v>
      </x:c>
      <x:c r="E68" s="153" t="n">
        <x:v>9451</x:v>
      </x:c>
      <x:c r="F68" s="153" t="n">
        <x:f>IFERROR(B68/C68,"")</x:f>
        <x:v>70.35019455252919</x:v>
      </x:c>
      <x:c r="G68" s="154" t="n">
        <x:f>IFERROR(B68/B67-1,"")</x:f>
        <x:v>-0.014713896457765663</x:v>
      </x:c>
      <x:c r="H68" s="154" t="n">
        <x:f>IFERROR(C68/C67-1,"")</x:f>
        <x:v>-0.04814814814814816</x:v>
      </x:c>
      <x:c r="I68" s="154" t="n">
        <x:f>IFERROR(D68/D67-1,"")</x:f>
        <x:v>0.017783857729138264</x:v>
      </x:c>
      <x:c r="J68" s="154" t="n">
        <x:f>IFERROR(E68/E67-1,"")</x:f>
        <x:v>-0.018791528239202604</x:v>
      </x:c>
      <x:c r="K68" s="153" t="n">
        <x:v>1.3185714285714287</x:v>
      </x:c>
      <x:c r="L68" s="153" t="n">
        <x:v>-1.009047619047619</x:v>
      </x:c>
      <x:c r="M68" s="153" t="n">
        <x:f>IFERROR(L68-L67,"")</x:f>
        <x:v>-0.18541125541125525</x:v>
      </x:c>
      <x:c r="N68" s="153" t="n">
        <x:v>2.327619047619048</x:v>
      </x:c>
      <x:c r="O68" s="153" t="n">
        <x:v>113.06331904761906</x:v>
      </x:c>
      <x:c r="P68" s="153" t="n">
        <x:f>IFERROR(O68/O67-1,"")</x:f>
        <x:v>0.013314700460709927</x:v>
      </x:c>
      <x:c r="Q68" s="153" t="n">
        <x:v>17.60333333333333</x:v>
      </x:c>
      <x:c r="R68" s="153" t="n">
        <x:v>0.09806451612903229</x:v>
      </x:c>
      <x:c r="S68" s="141" t="n">
        <x:v>271.903</x:v>
      </x:c>
      <x:c r="T68" s="154" t="n">
        <x:f>IFERROR(S68/S56-1,"")</x:f>
        <x:v>0.05245169381309234</x:v>
      </x:c>
      <x:c r="U68" s="141" t="n">
        <x:v>100.2519</x:v>
      </x:c>
      <x:c r="V68" s="154" t="n">
        <x:f>IFERROR(U68/U56-1,"")</x:f>
        <x:v>0.054998863464161385</x:v>
      </x:c>
      <x:c r="W68" s="141" t="n">
        <x:v>8221473</x:v>
      </x:c>
      <x:c r="X68" s="154" t="n">
        <x:f>IFERROR(W68/W67-1,"")</x:f>
        <x:v>0.01769242081246314</x:v>
      </x:c>
      <x:c r="Y68" s="141" t="n">
        <x:v>58.42077</x:v>
      </x:c>
      <x:c r="Z68" s="141" t="n">
        <x:f>IFERROR(Y68-Y67,"")</x:f>
        <x:v>-15.706350000000008</x:v>
      </x:c>
      <x:c r="AA68" s="141" t="n">
        <x:v>81258.2</x:v>
      </x:c>
      <x:c r="AB68" s="141" t="n">
        <x:f>IFERROR(AA68-AA67,"")</x:f>
        <x:v>-12983.050000000003</x:v>
      </x:c>
      <x:c r="AC68" s="141" t="n">
        <x:v>29803.2</x:v>
      </x:c>
      <x:c r="AD68" s="141" t="n">
        <x:f>IFERROR(AC68-AC67,"")</x:f>
        <x:v>-9411.8</x:v>
      </x:c>
      <x:c r="AE68" s="141"/>
      <x:c r="AF68" s="147" t="str"/>
    </x:row>
    <x:row r="69">
      <x:c r="A69" s="152" t="n">
        <x:v>44409</x:v>
      </x:c>
      <x:c r="B69" s="153" t="n">
        <x:v>1785</x:v>
      </x:c>
      <x:c r="C69" s="153" t="n">
        <x:v>24</x:v>
      </x:c>
      <x:c r="D69" s="153" t="n">
        <x:v>70</x:v>
      </x:c>
      <x:c r="E69" s="153" t="n">
        <x:v>9370</x:v>
      </x:c>
      <x:c r="F69" s="153" t="n">
        <x:f>IFERROR(B69/C69,"")</x:f>
        <x:v>74.375</x:v>
      </x:c>
      <x:c r="G69" s="154" t="n">
        <x:f>IFERROR(B69/B68-1,"")</x:f>
        <x:v>-0.012721238938053103</x:v>
      </x:c>
      <x:c r="H69" s="154" t="n">
        <x:f>IFERROR(C69/C68-1,"")</x:f>
        <x:v>-0.06614785992217898</x:v>
      </x:c>
      <x:c r="I69" s="154" t="n">
        <x:f>IFERROR(D69/D68-1,"")</x:f>
        <x:v>-0.05913978494623662</x:v>
      </x:c>
      <x:c r="J69" s="154" t="n">
        <x:f>IFERROR(E69/E68-1,"")</x:f>
        <x:v>-0.008570521637921935</x:v>
      </x:c>
      <x:c r="K69" s="153" t="n">
        <x:v>1.283181818181818</x:v>
      </x:c>
      <x:c r="L69" s="153" t="n">
        <x:v>-1.0654545454545457</x:v>
      </x:c>
      <x:c r="M69" s="153" t="n">
        <x:f>IFERROR(L69-L68,"")</x:f>
        <x:v>-0.05640692640692668</x:v>
      </x:c>
      <x:c r="N69" s="153" t="n">
        <x:v>2.3486363636363636</x:v>
      </x:c>
      <x:c r="O69" s="153" t="n">
        <x:v>113.40253636363636</x:v>
      </x:c>
      <x:c r="P69" s="153" t="n">
        <x:f>IFERROR(O69/O68-1,"")</x:f>
        <x:v>0.0030002419783417</x:v>
      </x:c>
      <x:c r="Q69" s="153" t="n">
        <x:v>17.47272727272727</x:v>
      </x:c>
      <x:c r="R69" s="153" t="n">
        <x:v>0.09225806451612904</x:v>
      </x:c>
      <x:c r="S69" s="141" t="n">
        <x:v>272.676</x:v>
      </x:c>
      <x:c r="T69" s="154" t="n">
        <x:f>IFERROR(S69/S57-1,"")</x:f>
        <x:v>0.05152015301793966</x:v>
      </x:c>
      <x:c r="U69" s="141" t="n">
        <x:v>100.0437</x:v>
      </x:c>
      <x:c r="V69" s="154" t="n">
        <x:f>IFERROR(U69/U57-1,"")</x:f>
        <x:v>0.04261168528131454</x:v>
      </x:c>
      <x:c r="W69" s="141" t="n">
        <x:v>8332743</x:v>
      </x:c>
      <x:c r="X69" s="154" t="n">
        <x:f>IFERROR(W69/W68-1,"")</x:f>
        <x:v>0.013534071084342125</x:v>
      </x:c>
      <x:c r="Y69" s="141" t="n">
        <x:v>89.48655</x:v>
      </x:c>
      <x:c r="Z69" s="141" t="n">
        <x:f>IFERROR(Y69-Y68,"")</x:f>
        <x:v>31.065779999999997</x:v>
      </x:c>
      <x:c r="AA69" s="141" t="n">
        <x:v>64949.5</x:v>
      </x:c>
      <x:c r="AB69" s="141" t="n">
        <x:f>IFERROR(AA69-AA68,"")</x:f>
        <x:v>-16308.699999999997</x:v>
      </x:c>
      <x:c r="AC69" s="141" t="n">
        <x:v>14382.25</x:v>
      </x:c>
      <x:c r="AD69" s="141" t="n">
        <x:f>IFERROR(AC69-AC68,"")</x:f>
        <x:v>-15420.95</x:v>
      </x:c>
      <x:c r="AE69" s="141"/>
      <x:c r="AF69" s="147" t="str"/>
    </x:row>
    <x:row r="70">
      <x:c r="A70" s="152" t="n">
        <x:v>44440</x:v>
      </x:c>
      <x:c r="B70" s="153" t="n">
        <x:v>1775</x:v>
      </x:c>
      <x:c r="C70" s="153" t="n">
        <x:v>23.2</x:v>
      </x:c>
      <x:c r="D70" s="153" t="n">
        <x:v>74.6</x:v>
      </x:c>
      <x:c r="E70" s="153" t="n">
        <x:v>9325</x:v>
      </x:c>
      <x:c r="F70" s="153" t="n">
        <x:f>IFERROR(B70/C70,"")</x:f>
        <x:v>76.50862068965517</x:v>
      </x:c>
      <x:c r="G70" s="154" t="n">
        <x:f>IFERROR(B70/B69-1,"")</x:f>
        <x:v>-0.0056022408963585235</x:v>
      </x:c>
      <x:c r="H70" s="154" t="n">
        <x:f>IFERROR(C70/C69-1,"")</x:f>
        <x:v>-0.033333333333333326</x:v>
      </x:c>
      <x:c r="I70" s="154" t="n">
        <x:f>IFERROR(D70/D69-1,"")</x:f>
        <x:v>0.06571428571428561</x:v>
      </x:c>
      <x:c r="J70" s="154" t="n">
        <x:f>IFERROR(E70/E69-1,"")</x:f>
        <x:v>-0.0048025613660619415</x:v>
      </x:c>
      <x:c r="K70" s="153" t="n">
        <x:v>1.3747619047619046</x:v>
      </x:c>
      <x:c r="L70" s="153" t="n">
        <x:v>-0.9695238095238097</x:v>
      </x:c>
      <x:c r="M70" s="153" t="n">
        <x:f>IFERROR(L70-L69,"")</x:f>
        <x:v>0.09593073593073598</x:v>
      </x:c>
      <x:c r="N70" s="153" t="n">
        <x:v>2.3442857142857143</x:v>
      </x:c>
      <x:c r="O70" s="153" t="n">
        <x:v>113.44374761904761</x:v>
      </x:c>
      <x:c r="P70" s="153" t="n">
        <x:f>IFERROR(O70/O69-1,"")</x:f>
        <x:v>0.0003634068225697451</x:v>
      </x:c>
      <x:c r="Q70" s="153" t="n">
        <x:v>19.824761904761903</x:v>
      </x:c>
      <x:c r="R70" s="153" t="n">
        <x:v>0.07933333333333335</x:v>
      </x:c>
      <x:c r="S70" s="141" t="n">
        <x:v>273.91</x:v>
      </x:c>
      <x:c r="T70" s="154" t="n">
        <x:f>IFERROR(S70/S58-1,"")</x:f>
        <x:v>0.05351215590949132</x:v>
      </x:c>
      <x:c r="U70" s="141" t="n">
        <x:v>98.8579</x:v>
      </x:c>
      <x:c r="V70" s="154" t="n">
        <x:f>IFERROR(U70/U58-1,"")</x:f>
        <x:v>0.030124970172007215</x:v>
      </x:c>
      <x:c r="W70" s="141" t="n">
        <x:v>8447981</x:v>
      </x:c>
      <x:c r="X70" s="154" t="n">
        <x:f>IFERROR(W70/W69-1,"")</x:f>
        <x:v>0.01382953968459133</x:v>
      </x:c>
      <x:c r="Y70" s="141" t="n">
        <x:v>80.69697</x:v>
      </x:c>
      <x:c r="Z70" s="141" t="n">
        <x:f>IFERROR(Y70-Y69,"")</x:f>
        <x:v>-8.78958</x:v>
      </x:c>
      <x:c r="AA70" s="141" t="n">
        <x:v>66834.5</x:v>
      </x:c>
      <x:c r="AB70" s="141" t="n">
        <x:f>IFERROR(AA70-AA69,"")</x:f>
        <x:v>1885</x:v>
      </x:c>
      <x:c r="AC70" s="141" t="n">
        <x:v>11361.25</x:v>
      </x:c>
      <x:c r="AD70" s="141" t="n">
        <x:f>IFERROR(AC70-AC69,"")</x:f>
        <x:v>-3021</x:v>
      </x:c>
      <x:c r="AE70" s="141"/>
      <x:c r="AF70" s="147" t="str"/>
    </x:row>
    <x:row r="71">
      <x:c r="A71" s="152" t="n">
        <x:v>44470</x:v>
      </x:c>
      <x:c r="B71" s="153" t="n">
        <x:v>1777</x:v>
      </x:c>
      <x:c r="C71" s="153" t="n">
        <x:v>23.4</x:v>
      </x:c>
      <x:c r="D71" s="153" t="n">
        <x:v>83.7</x:v>
      </x:c>
      <x:c r="E71" s="153" t="n">
        <x:v>9829</x:v>
      </x:c>
      <x:c r="F71" s="153" t="n">
        <x:f>IFERROR(B71/C71,"")</x:f>
        <x:v>75.94017094017094</x:v>
      </x:c>
      <x:c r="G71" s="154" t="n">
        <x:f>IFERROR(B71/B70-1,"")</x:f>
        <x:v>0.0011267605633802358</x:v>
      </x:c>
      <x:c r="H71" s="154" t="n">
        <x:f>IFERROR(C71/C70-1,"")</x:f>
        <x:v>0.008620689655172376</x:v>
      </x:c>
      <x:c r="I71" s="154" t="n">
        <x:f>IFERROR(D71/D70-1,"")</x:f>
        <x:v>0.12198391420911547</x:v>
      </x:c>
      <x:c r="J71" s="154" t="n">
        <x:f>IFERROR(E71/E70-1,"")</x:f>
        <x:v>0.054048257372654174</x:v>
      </x:c>
      <x:c r="K71" s="153" t="n">
        <x:v>1.5825</x:v>
      </x:c>
      <x:c r="L71" s="153" t="n">
        <x:v>-0.9525000000000002</x:v>
      </x:c>
      <x:c r="M71" s="153" t="n">
        <x:f>IFERROR(L71-L70,"")</x:f>
        <x:v>0.01702380952380944</x:v>
      </x:c>
      <x:c r="N71" s="153" t="n">
        <x:v>2.5349999999999997</x:v>
      </x:c>
      <x:c r="O71" s="153" t="n">
        <x:v>114.06348500000001</x:v>
      </x:c>
      <x:c r="P71" s="153" t="n">
        <x:f>IFERROR(O71/O70-1,"")</x:f>
        <x:v>0.005462948764999531</x:v>
      </x:c>
      <x:c r="Q71" s="153" t="n">
        <x:v>17.871428571428574</x:v>
      </x:c>
      <x:c r="R71" s="153" t="n">
        <x:v>0.07903225806451614</x:v>
      </x:c>
      <x:c r="S71" s="141" t="n">
        <x:v>276.55</x:v>
      </x:c>
      <x:c r="T71" s="154" t="n">
        <x:f>IFERROR(S71/S59-1,"")</x:f>
        <x:v>0.06235042390298062</x:v>
      </x:c>
      <x:c r="U71" s="141" t="n">
        <x:v>100.1861</x:v>
      </x:c>
      <x:c r="V71" s="154" t="n">
        <x:f>IFERROR(U71/U59-1,"")</x:f>
        <x:v>0.03562870970876397</x:v>
      </x:c>
      <x:c r="W71" s="141" t="n">
        <x:v>8556181</x:v>
      </x:c>
      <x:c r="X71" s="154" t="n">
        <x:f>IFERROR(W71/W70-1,"")</x:f>
        <x:v>0.012807793956922886</x:v>
      </x:c>
      <x:c r="Y71" s="141" t="n">
        <x:v>79.029236</x:v>
      </x:c>
      <x:c r="Z71" s="141" t="n">
        <x:f>IFERROR(Y71-Y70,"")</x:f>
        <x:v>-1.6677339999999958</x:v>
      </x:c>
      <x:c r="AA71" s="141" t="n">
        <x:v>57541.4</x:v>
      </x:c>
      <x:c r="AB71" s="141" t="n">
        <x:f>IFERROR(AA71-AA70,"")</x:f>
        <x:v>-9293.099999999999</x:v>
      </x:c>
      <x:c r="AC71" s="141" t="n">
        <x:v>12358.6</x:v>
      </x:c>
      <x:c r="AD71" s="141" t="n">
        <x:f>IFERROR(AC71-AC70,"")</x:f>
        <x:v>997.3500000000004</x:v>
      </x:c>
      <x:c r="AE71" s="141"/>
      <x:c r="AF71" s="147" t="str"/>
    </x:row>
    <x:row r="72">
      <x:c r="A72" s="152" t="n">
        <x:v>44501</x:v>
      </x:c>
      <x:c r="B72" s="153" t="n">
        <x:v>1822</x:v>
      </x:c>
      <x:c r="C72" s="153" t="n">
        <x:v>24.2</x:v>
      </x:c>
      <x:c r="D72" s="153" t="n">
        <x:v>80.8</x:v>
      </x:c>
      <x:c r="E72" s="153" t="n">
        <x:v>9729</x:v>
      </x:c>
      <x:c r="F72" s="153" t="n">
        <x:f>IFERROR(B72/C72,"")</x:f>
        <x:v>75.2892561983471</x:v>
      </x:c>
      <x:c r="G72" s="154" t="n">
        <x:f>IFERROR(B72/B71-1,"")</x:f>
        <x:v>0.025323579065841262</x:v>
      </x:c>
      <x:c r="H72" s="154" t="n">
        <x:f>IFERROR(C72/C71-1,"")</x:f>
        <x:v>0.03418803418803429</x:v>
      </x:c>
      <x:c r="I72" s="154" t="n">
        <x:f>IFERROR(D72/D71-1,"")</x:f>
        <x:v>-0.0346475507765831</x:v>
      </x:c>
      <x:c r="J72" s="154" t="n">
        <x:f>IFERROR(E72/E71-1,"")</x:f>
        <x:v>-0.010173974972021549</x:v>
      </x:c>
      <x:c r="K72" s="153" t="n">
        <x:v>1.5594999999999999</x:v>
      </x:c>
      <x:c r="L72" s="153" t="n">
        <x:v>-1.0565</x:v>
      </x:c>
      <x:c r="M72" s="153" t="n">
        <x:f>IFERROR(L72-L71,"")</x:f>
        <x:v>-0.10399999999999976</x:v>
      </x:c>
      <x:c r="N72" s="153" t="n">
        <x:v>2.615999999999999</x:v>
      </x:c>
      <x:c r="O72" s="153" t="n">
        <x:v>114.98979500000003</x:v>
      </x:c>
      <x:c r="P72" s="153" t="n">
        <x:f>IFERROR(O72/O71-1,"")</x:f>
        <x:v>0.008121003842728625</x:v>
      </x:c>
      <x:c r="Q72" s="153" t="n">
        <x:v>18.50047619047619</x:v>
      </x:c>
      <x:c r="R72" s="153" t="n">
        <x:v>0.07966666666666669</x:v>
      </x:c>
      <x:c r="S72" s="141" t="n">
        <x:v>278.919</x:v>
      </x:c>
      <x:c r="T72" s="154" t="n">
        <x:f>IFERROR(S72/S60-1,"")</x:f>
        <x:v>0.06901970403700863</x:v>
      </x:c>
      <x:c r="U72" s="141" t="n">
        <x:v>100.8654</x:v>
      </x:c>
      <x:c r="V72" s="154" t="n">
        <x:f>IFERROR(U72/U60-1,"")</x:f>
        <x:v>0.03897545981936834</x:v>
      </x:c>
      <x:c r="W72" s="141" t="n">
        <x:v>8681771</x:v>
      </x:c>
      <x:c r="X72" s="154" t="n">
        <x:f>IFERROR(W72/W71-1,"")</x:f>
        <x:v>0.014678277610069346</x:v>
      </x:c>
      <x:c r="Y72" s="141" t="n">
        <x:v>86.569145</x:v>
      </x:c>
      <x:c r="Z72" s="141" t="n">
        <x:f>IFERROR(Y72-Y71,"")</x:f>
        <x:v>7.539909000000009</x:v>
      </x:c>
      <x:c r="AA72" s="141" t="n">
        <x:v>114643.25</x:v>
      </x:c>
      <x:c r="AB72" s="141" t="n">
        <x:f>IFERROR(AA72-AA71,"")</x:f>
        <x:v>57101.85</x:v>
      </x:c>
      <x:c r="AC72" s="141" t="n">
        <x:v>29080</x:v>
      </x:c>
      <x:c r="AD72" s="141" t="n">
        <x:f>IFERROR(AC72-AC71,"")</x:f>
        <x:v>16721.4</x:v>
      </x:c>
      <x:c r="AE72" s="141"/>
      <x:c r="AF72" s="147" t="str"/>
    </x:row>
    <x:row r="73">
      <x:c r="A73" s="152" t="n">
        <x:v>44531</x:v>
      </x:c>
      <x:c r="B73" s="153" t="n">
        <x:v>1790</x:v>
      </x:c>
      <x:c r="C73" s="153" t="n">
        <x:v>22.5</x:v>
      </x:c>
      <x:c r="D73" s="153" t="n">
        <x:v>74.3</x:v>
      </x:c>
      <x:c r="E73" s="153" t="n">
        <x:v>9551</x:v>
      </x:c>
      <x:c r="F73" s="153" t="n">
        <x:f>IFERROR(B73/C73,"")</x:f>
        <x:v>79.55555555555556</x:v>
      </x:c>
      <x:c r="G73" s="154" t="n">
        <x:f>IFERROR(B73/B72-1,"")</x:f>
        <x:v>-0.01756311745334793</x:v>
      </x:c>
      <x:c r="H73" s="154" t="n">
        <x:f>IFERROR(C73/C72-1,"")</x:f>
        <x:v>-0.07024793388429751</x:v>
      </x:c>
      <x:c r="I73" s="154" t="n">
        <x:f>IFERROR(D73/D72-1,"")</x:f>
        <x:v>-0.0804455445544554</x:v>
      </x:c>
      <x:c r="J73" s="154" t="n">
        <x:f>IFERROR(E73/E72-1,"")</x:f>
        <x:v>-0.018295816630691797</x:v>
      </x:c>
      <x:c r="K73" s="153" t="n">
        <x:v>1.465</x:v>
      </x:c>
      <x:c r="L73" s="153" t="n">
        <x:v>-0.9931818181818183</x:v>
      </x:c>
      <x:c r="M73" s="153" t="n">
        <x:f>IFERROR(L73-L72,"")</x:f>
        <x:v>0.06331818181818172</x:v>
      </x:c>
      <x:c r="N73" s="153" t="n">
        <x:v>2.4581818181818176</x:v>
      </x:c>
      <x:c r="O73" s="153" t="n">
        <x:v>115.80453809523809</x:v>
      </x:c>
      <x:c r="P73" s="153" t="n">
        <x:f>IFERROR(O73/O72-1,"")</x:f>
        <x:v>0.007085351315202049</x:v>
      </x:c>
      <x:c r="Q73" s="153" t="n">
        <x:v>21.354545454545452</x:v>
      </x:c>
      <x:c r="R73" s="153" t="n">
        <x:v>0.07967741935483873</x:v>
      </x:c>
      <x:c r="S73" s="141" t="n">
        <x:v>280.845</x:v>
      </x:c>
      <x:c r="T73" s="154" t="n">
        <x:f>IFERROR(S73/S61-1,"")</x:f>
        <x:v>0.07174340285065539</x:v>
      </x:c>
      <x:c r="U73" s="141" t="n">
        <x:v>100.5726</x:v>
      </x:c>
      <x:c r="V73" s="154" t="n">
        <x:f>IFERROR(U73/U61-1,"")</x:f>
        <x:v>0.022463731281071153</x:v>
      </x:c>
      <x:c r="W73" s="141" t="n">
        <x:v>8757460</x:v>
      </x:c>
      <x:c r="X73" s="154" t="n">
        <x:f>IFERROR(W73/W72-1,"")</x:f>
        <x:v>0.008718152091318654</x:v>
      </x:c>
      <x:c r="Y73" s="141" t="n">
        <x:v>105.34542</x:v>
      </x:c>
      <x:c r="Z73" s="141" t="n">
        <x:f>IFERROR(Y73-Y72,"")</x:f>
        <x:v>18.776275</x:v>
      </x:c>
      <x:c r="AA73" s="141" t="n">
        <x:v>78330.8</x:v>
      </x:c>
      <x:c r="AB73" s="141" t="n">
        <x:f>IFERROR(AA73-AA72,"")</x:f>
        <x:v>-36312.45</x:v>
      </x:c>
      <x:c r="AC73" s="141" t="n">
        <x:v>16499.6</x:v>
      </x:c>
      <x:c r="AD73" s="141" t="n">
        <x:f>IFERROR(AC73-AC72,"")</x:f>
        <x:v>-12580.400000000001</x:v>
      </x:c>
      <x:c r="AE73" s="141"/>
      <x:c r="AF73" s="147" t="str"/>
    </x:row>
    <x:row r="74">
      <x:c r="A74" s="152" t="n">
        <x:v>44562</x:v>
      </x:c>
      <x:c r="B74" s="153" t="n">
        <x:v>1816</x:v>
      </x:c>
      <x:c r="C74" s="153" t="n">
        <x:v>23.2</x:v>
      </x:c>
      <x:c r="D74" s="153" t="n">
        <x:v>85.5</x:v>
      </x:c>
      <x:c r="E74" s="153" t="n">
        <x:v>9782</x:v>
      </x:c>
      <x:c r="F74" s="153" t="n">
        <x:f>IFERROR(B74/C74,"")</x:f>
        <x:v>78.27586206896552</x:v>
      </x:c>
      <x:c r="G74" s="154" t="n">
        <x:f>IFERROR(B74/B73-1,"")</x:f>
        <x:v>0.01452513966480451</x:v>
      </x:c>
      <x:c r="H74" s="154" t="n">
        <x:f>IFERROR(C74/C73-1,"")</x:f>
        <x:v>0.03111111111111109</x:v>
      </x:c>
      <x:c r="I74" s="154" t="n">
        <x:f>IFERROR(D74/D73-1,"")</x:f>
        <x:v>0.15074024226110372</x:v>
      </x:c>
      <x:c r="J74" s="154" t="n">
        <x:f>IFERROR(E74/E73-1,"")</x:f>
        <x:v>0.02418594911527583</x:v>
      </x:c>
      <x:c r="K74" s="153" t="n">
        <x:v>1.7639999999999998</x:v>
      </x:c>
      <x:c r="L74" s="153" t="n">
        <x:v>-0.6855</x:v>
      </x:c>
      <x:c r="M74" s="153" t="n">
        <x:f>IFERROR(L74-L73,"")</x:f>
        <x:v>0.3076818181818183</x:v>
      </x:c>
      <x:c r="N74" s="153" t="n">
        <x:v>2.4495000000000005</x:v>
      </x:c>
      <x:c r="O74" s="153" t="n">
        <x:v>115.03727999999998</x:v>
      </x:c>
      <x:c r="P74" s="153" t="n">
        <x:f>IFERROR(O74/O73-1,"")</x:f>
        <x:v>-0.006625457929870682</x:v>
      </x:c>
      <x:c r="Q74" s="153" t="n">
        <x:v>23.181</x:v>
      </x:c>
      <x:c r="R74" s="153" t="n">
        <x:v>0.07935483870967745</x:v>
      </x:c>
      <x:c r="S74" s="141" t="n">
        <x:v>282.543</x:v>
      </x:c>
      <x:c r="T74" s="154" t="n">
        <x:f>IFERROR(S74/S62-1,"")</x:f>
        <x:v>0.07558805726967832</x:v>
      </x:c>
      <x:c r="U74" s="141" t="n">
        <x:v>100.1856</x:v>
      </x:c>
      <x:c r="V74" s="154" t="n">
        <x:f>IFERROR(U74/U62-1,"")</x:f>
        <x:v>0.013181341030033655</x:v>
      </x:c>
      <x:c r="W74" s="141" t="n">
        <x:v>8860485</x:v>
      </x:c>
      <x:c r="X74" s="154" t="n">
        <x:f>IFERROR(W74/W73-1,"")</x:f>
        <x:v>0.01176425584587304</x:v>
      </x:c>
      <x:c r="Y74" s="141" t="n">
        <x:v>138.67499</x:v>
      </x:c>
      <x:c r="Z74" s="141" t="n">
        <x:f>IFERROR(Y74-Y73,"")</x:f>
        <x:v>33.329570000000004</x:v>
      </x:c>
      <x:c r="AA74" s="141" t="n">
        <x:v>81746.5</x:v>
      </x:c>
      <x:c r="AB74" s="141" t="n">
        <x:f>IFERROR(AA74-AA73,"")</x:f>
        <x:v>3415.699999999997</x:v>
      </x:c>
      <x:c r="AC74" s="141" t="n">
        <x:v>22678.5</x:v>
      </x:c>
      <x:c r="AD74" s="141" t="n">
        <x:f>IFERROR(AC74-AC73,"")</x:f>
        <x:v>6178.9000000000015</x:v>
      </x:c>
      <x:c r="AE74" s="141"/>
      <x:c r="AF74" s="147" t="str"/>
    </x:row>
    <x:row r="75">
      <x:c r="A75" s="152" t="n">
        <x:v>44593</x:v>
      </x:c>
      <x:c r="B75" s="153" t="n">
        <x:v>1856</x:v>
      </x:c>
      <x:c r="C75" s="153" t="n">
        <x:v>23.5</x:v>
      </x:c>
      <x:c r="D75" s="153" t="n">
        <x:v>95.8</x:v>
      </x:c>
      <x:c r="E75" s="153" t="n">
        <x:v>9943</x:v>
      </x:c>
      <x:c r="F75" s="153" t="n">
        <x:f>IFERROR(B75/C75,"")</x:f>
        <x:v>78.97872340425532</x:v>
      </x:c>
      <x:c r="G75" s="154" t="n">
        <x:f>IFERROR(B75/B74-1,"")</x:f>
        <x:v>0.022026431718061623</x:v>
      </x:c>
      <x:c r="H75" s="154" t="n">
        <x:f>IFERROR(C75/C74-1,"")</x:f>
        <x:v>0.012931034482758674</x:v>
      </x:c>
      <x:c r="I75" s="154" t="n">
        <x:f>IFERROR(D75/D74-1,"")</x:f>
        <x:v>0.12046783625730995</x:v>
      </x:c>
      <x:c r="J75" s="154" t="n">
        <x:f>IFERROR(E75/E74-1,"")</x:f>
        <x:v>0.016458801881005902</x:v>
      </x:c>
      <x:c r="K75" s="153" t="n">
        <x:v>1.9342105263157894</x:v>
      </x:c>
      <x:c r="L75" s="153" t="n">
        <x:v>-0.5236842105263158</x:v>
      </x:c>
      <x:c r="M75" s="153" t="n">
        <x:f>IFERROR(L75-L74,"")</x:f>
        <x:v>0.16181578947368425</x:v>
      </x:c>
      <x:c r="N75" s="153" t="n">
        <x:v>2.457894736842105</x:v>
      </x:c>
      <x:c r="O75" s="153" t="n">
        <x:v>114.99774210526316</x:v>
      </x:c>
      <x:c r="P75" s="153" t="n">
        <x:f>IFERROR(O75/O74-1,"")</x:f>
        <x:v>-0.00034369636292530537</x:v>
      </x:c>
      <x:c r="Q75" s="153" t="n">
        <x:v>25.748421052631578</x:v>
      </x:c>
      <x:c r="R75" s="153" t="n">
        <x:v>0.08000000000000003</x:v>
      </x:c>
      <x:c r="S75" s="141" t="n">
        <x:v>284.5</x:v>
      </x:c>
      <x:c r="T75" s="154" t="n">
        <x:f>IFERROR(S75/S63-1,"")</x:f>
        <x:v>0.07937278766517819</x:v>
      </x:c>
      <x:c r="U75" s="141" t="n">
        <x:v>100.8064</x:v>
      </x:c>
      <x:c r="V75" s="154" t="n">
        <x:f>IFERROR(U75/U63-1,"")</x:f>
        <x:v>0.05429593086433182</x:v>
      </x:c>
      <x:c r="W75" s="141" t="n">
        <x:v>8928129</x:v>
      </x:c>
      <x:c r="X75" s="154" t="n">
        <x:f>IFERROR(W75/W74-1,"")</x:f>
        <x:v>0.007634345072532689</x:v>
      </x:c>
      <x:c r="Y75" s="141" t="n">
        <x:v>216.15901</x:v>
      </x:c>
      <x:c r="Z75" s="141" t="n">
        <x:f>IFERROR(Y75-Y74,"")</x:f>
        <x:v>77.48401999999999</x:v>
      </x:c>
      <x:c r="AA75" s="141" t="n">
        <x:v>91515.75</x:v>
      </x:c>
      <x:c r="AB75" s="141" t="n">
        <x:f>IFERROR(AA75-AA74,"")</x:f>
        <x:v>9769.25</x:v>
      </x:c>
      <x:c r="AC75" s="141" t="n">
        <x:v>16308.5</x:v>
      </x:c>
      <x:c r="AD75" s="141" t="n">
        <x:f>IFERROR(AC75-AC74,"")</x:f>
        <x:v>-6370</x:v>
      </x:c>
      <x:c r="AE75" s="141" t="n">
        <x:v>167.081875584505</x:v>
      </x:c>
      <x:c r="AF75" s="147" t="str">
        <x:v>EPU为论文候选代理；其余为官方/公开数据</x:v>
      </x:c>
    </x:row>
    <x:row r="76">
      <x:c r="A76" s="152" t="n">
        <x:v>44621</x:v>
      </x:c>
      <x:c r="B76" s="153" t="n">
        <x:v>1948</x:v>
      </x:c>
      <x:c r="C76" s="153" t="n">
        <x:v>25.3</x:v>
      </x:c>
      <x:c r="D76" s="153" t="n">
        <x:v>115.6</x:v>
      </x:c>
      <x:c r="E76" s="153" t="n">
        <x:v>10231</x:v>
      </x:c>
      <x:c r="F76" s="153" t="n">
        <x:f>IFERROR(B76/C76,"")</x:f>
        <x:v>76.99604743083003</x:v>
      </x:c>
      <x:c r="G76" s="154" t="n">
        <x:f>IFERROR(B76/B75-1,"")</x:f>
        <x:v>0.049568965517241326</x:v>
      </x:c>
      <x:c r="H76" s="154" t="n">
        <x:f>IFERROR(C76/C75-1,"")</x:f>
        <x:v>0.07659574468085117</x:v>
      </x:c>
      <x:c r="I76" s="154" t="n">
        <x:f>IFERROR(D76/D75-1,"")</x:f>
        <x:v>0.20668058455114813</x:v>
      </x:c>
      <x:c r="J76" s="154" t="n">
        <x:f>IFERROR(E76/E75-1,"")</x:f>
        <x:v>0.028965101076134037</x:v>
      </x:c>
      <x:c r="K76" s="153" t="n">
        <x:v>2.1278260869565218</x:v>
      </x:c>
      <x:c r="L76" s="153" t="n">
        <x:v>-0.718695652173913</x:v>
      </x:c>
      <x:c r="M76" s="153" t="n">
        <x:f>IFERROR(L76-L75,"")</x:f>
        <x:v>-0.1950114416475972</x:v>
      </x:c>
      <x:c r="N76" s="153" t="n">
        <x:v>2.846521739130435</x:v>
      </x:c>
      <x:c r="O76" s="153" t="n">
        <x:v>116.29083913043478</x:v>
      </x:c>
      <x:c r="P76" s="153" t="n">
        <x:f>IFERROR(O76/O75-1,"")</x:f>
        <x:v>0.011244542731873697</x:v>
      </x:c>
      <x:c r="Q76" s="153" t="n">
        <x:v>26.968695652173906</x:v>
      </x:c>
      <x:c r="R76" s="153" t="n">
        <x:v>0.2009677419354839</x:v>
      </x:c>
      <x:c r="S76" s="141" t="n">
        <x:v>287.674</x:v>
      </x:c>
      <x:c r="T76" s="154" t="n">
        <x:f>IFERROR(S76/S64-1,"")</x:f>
        <x:v>0.08572204966013852</x:v>
      </x:c>
      <x:c r="U76" s="141" t="n">
        <x:v>101.3907</x:v>
      </x:c>
      <x:c r="V76" s="154" t="n">
        <x:f>IFERROR(U76/U64-1,"")</x:f>
        <x:v>0.030544104015221674</x:v>
      </x:c>
      <x:c r="W76" s="141" t="n">
        <x:v>8937142</x:v>
      </x:c>
      <x:c r="X76" s="154" t="n">
        <x:f>IFERROR(W76/W75-1,"")</x:f>
        <x:v>0.0010095060230423947</x:v>
      </x:c>
      <x:c r="Y76" s="141" t="n">
        <x:v>318.95493</x:v>
      </x:c>
      <x:c r="Z76" s="141" t="n">
        <x:f>IFERROR(Y76-Y75,"")</x:f>
        <x:v>102.79592</x:v>
      </x:c>
      <x:c r="AA76" s="141" t="n">
        <x:v>133315.75</x:v>
      </x:c>
      <x:c r="AB76" s="141" t="n">
        <x:f>IFERROR(AA76-AA75,"")</x:f>
        <x:v>41800</x:v>
      </x:c>
      <x:c r="AC76" s="141" t="n">
        <x:v>45711.5</x:v>
      </x:c>
      <x:c r="AD76" s="141" t="n">
        <x:f>IFERROR(AC76-AC75,"")</x:f>
        <x:v>29403</x:v>
      </x:c>
      <x:c r="AE76" s="141" t="n">
        <x:v>359.005178984309</x:v>
      </x:c>
      <x:c r="AF76" s="147" t="str">
        <x:v>EPU为论文候选代理；其余为官方/公开数据</x:v>
      </x:c>
    </x:row>
    <x:row r="77">
      <x:c r="A77" s="152" t="n">
        <x:v>44652</x:v>
      </x:c>
      <x:c r="B77" s="153" t="n">
        <x:v>1937</x:v>
      </x:c>
      <x:c r="C77" s="153" t="n">
        <x:v>24.5</x:v>
      </x:c>
      <x:c r="D77" s="153" t="n">
        <x:v>105.8</x:v>
      </x:c>
      <x:c r="E77" s="153" t="n">
        <x:v>10161</x:v>
      </x:c>
      <x:c r="F77" s="153" t="n">
        <x:f>IFERROR(B77/C77,"")</x:f>
        <x:v>79.06122448979592</x:v>
      </x:c>
      <x:c r="G77" s="154" t="n">
        <x:f>IFERROR(B77/B76-1,"")</x:f>
        <x:v>-0.0056468172484599455</x:v>
      </x:c>
      <x:c r="H77" s="154" t="n">
        <x:f>IFERROR(C77/C76-1,"")</x:f>
        <x:v>-0.031620553359683834</x:v>
      </x:c>
      <x:c r="I77" s="154" t="n">
        <x:f>IFERROR(D77/D76-1,"")</x:f>
        <x:v>-0.08477508650519028</x:v>
      </x:c>
      <x:c r="J77" s="154" t="n">
        <x:f>IFERROR(E77/E76-1,"")</x:f>
        <x:v>-0.006841950933437646</x:v>
      </x:c>
      <x:c r="K77" s="153" t="n">
        <x:v>2.7475000000000005</x:v>
      </x:c>
      <x:c r="L77" s="153" t="n">
        <x:v>-0.1365</x:v>
      </x:c>
      <x:c r="M77" s="153" t="n">
        <x:f>IFERROR(L77-L76,"")</x:f>
        <x:v>0.5821956521739129</x:v>
      </x:c>
      <x:c r="N77" s="153" t="n">
        <x:v>2.884000000000001</x:v>
      </x:c>
      <x:c r="O77" s="153" t="n">
        <x:v>117.16879523809526</x:v>
      </x:c>
      <x:c r="P77" s="153" t="n">
        <x:f>IFERROR(O77/O76-1,"")</x:f>
        <x:v>0.007549658375719082</x:v>
      </x:c>
      <x:c r="Q77" s="153" t="n">
        <x:v>24.373499999999996</x:v>
      </x:c>
      <x:c r="R77" s="153" t="n">
        <x:v>0.33</x:v>
      </x:c>
      <x:c r="S77" s="141" t="n">
        <x:v>288.561</x:v>
      </x:c>
      <x:c r="T77" s="154" t="n">
        <x:f>IFERROR(S77/S65-1,"")</x:f>
        <x:v>0.08231750770777224</x:v>
      </x:c>
      <x:c r="U77" s="141" t="n">
        <x:v>101.44</x:v>
      </x:c>
      <x:c r="V77" s="154" t="n">
        <x:f>IFERROR(U77/U65-1,"")</x:f>
        <x:v>0.029234354755085068</x:v>
      </x:c>
      <x:c r="W77" s="141" t="n">
        <x:v>8939199</x:v>
      </x:c>
      <x:c r="X77" s="154" t="n">
        <x:f>IFERROR(W77/W76-1,"")</x:f>
        <x:v>0.00023016306555279087</x:v>
      </x:c>
      <x:c r="Y77" s="141" t="n">
        <x:v>191.1431</x:v>
      </x:c>
      <x:c r="Z77" s="141" t="n">
        <x:f>IFERROR(Y77-Y76,"")</x:f>
        <x:v>-127.81182999999999</x:v>
      </x:c>
      <x:c r="AA77" s="141" t="n">
        <x:v>101867.4</x:v>
      </x:c>
      <x:c r="AB77" s="141" t="n">
        <x:f>IFERROR(AA77-AA76,"")</x:f>
        <x:v>-31448.350000000006</x:v>
      </x:c>
      <x:c r="AC77" s="141" t="n">
        <x:v>38058.4</x:v>
      </x:c>
      <x:c r="AD77" s="141" t="n">
        <x:f>IFERROR(AC77-AC76,"")</x:f>
        <x:v>-7653.0999999999985</x:v>
      </x:c>
      <x:c r="AE77" s="141" t="n">
        <x:v>337.153789726457</x:v>
      </x:c>
      <x:c r="AF77" s="147" t="str">
        <x:v>EPU为论文候选代理；其余为官方/公开数据</x:v>
      </x:c>
    </x:row>
    <x:row r="78">
      <x:c r="A78" s="152" t="n">
        <x:v>44682</x:v>
      </x:c>
      <x:c r="B78" s="153" t="n">
        <x:v>1849</x:v>
      </x:c>
      <x:c r="C78" s="153" t="n">
        <x:v>21.9</x:v>
      </x:c>
      <x:c r="D78" s="153" t="n">
        <x:v>112.4</x:v>
      </x:c>
      <x:c r="E78" s="153" t="n">
        <x:v>9377</x:v>
      </x:c>
      <x:c r="F78" s="153" t="n">
        <x:f>IFERROR(B78/C78,"")</x:f>
        <x:v>84.42922374429224</x:v>
      </x:c>
      <x:c r="G78" s="154" t="n">
        <x:f>IFERROR(B78/B77-1,"")</x:f>
        <x:v>-0.04543107898812593</x:v>
      </x:c>
      <x:c r="H78" s="154" t="n">
        <x:f>IFERROR(C78/C77-1,"")</x:f>
        <x:v>-0.10612244897959189</x:v>
      </x:c>
      <x:c r="I78" s="154" t="n">
        <x:f>IFERROR(D78/D77-1,"")</x:f>
        <x:v>0.06238185255198503</x:v>
      </x:c>
      <x:c r="J78" s="154" t="n">
        <x:f>IFERROR(E78/E77-1,"")</x:f>
        <x:v>-0.07715776006298591</x:v>
      </x:c>
      <x:c r="K78" s="153" t="n">
        <x:v>2.8980952380952383</x:v>
      </x:c>
      <x:c r="L78" s="153" t="n">
        <x:v>0.20952380952380953</x:v>
      </x:c>
      <x:c r="M78" s="153" t="n">
        <x:f>IFERROR(L78-L77,"")</x:f>
        <x:v>0.3460238095238095</x:v>
      </x:c>
      <x:c r="N78" s="153" t="n">
        <x:v>2.6885714285714286</x:v>
      </x:c>
      <x:c r="O78" s="153" t="n">
        <x:v>119.69619047619045</x:v>
      </x:c>
      <x:c r="P78" s="153" t="n">
        <x:f>IFERROR(O78/O77-1,"")</x:f>
        <x:v>0.02157054899266786</x:v>
      </x:c>
      <x:c r="Q78" s="153" t="n">
        <x:v>29.313636363636366</x:v>
      </x:c>
      <x:c r="R78" s="153" t="n">
        <x:v>0.7654838709677414</x:v>
      </x:c>
      <x:c r="S78" s="141" t="n">
        <x:v>291.298</x:v>
      </x:c>
      <x:c r="T78" s="154" t="n">
        <x:f>IFERROR(S78/S66-1,"")</x:f>
        <x:v>0.08538171195642064</x:v>
      </x:c>
      <x:c r="U78" s="141" t="n">
        <x:v>101.3335</x:v>
      </x:c>
      <x:c r="V78" s="154" t="n">
        <x:f>IFERROR(U78/U66-1,"")</x:f>
        <x:v>0.019110298059100916</x:v>
      </x:c>
      <x:c r="W78" s="141" t="n">
        <x:v>8914281</x:v>
      </x:c>
      <x:c r="X78" s="154" t="n">
        <x:f>IFERROR(W78/W77-1,"")</x:f>
        <x:v>-0.0027874980744918565</x:v>
      </x:c>
      <x:c r="Y78" s="141" t="n">
        <x:v>142.25848</x:v>
      </x:c>
      <x:c r="Z78" s="141" t="n">
        <x:f>IFERROR(Y78-Y77,"")</x:f>
        <x:v>-48.88462000000001</x:v>
      </x:c>
      <x:c r="AA78" s="141" t="n">
        <x:v>58564</x:v>
      </x:c>
      <x:c r="AB78" s="141" t="n">
        <x:f>IFERROR(AA78-AA77,"")</x:f>
        <x:v>-43303.399999999994</x:v>
      </x:c>
      <x:c r="AC78" s="141" t="n">
        <x:v>4126</x:v>
      </x:c>
      <x:c r="AD78" s="141" t="n">
        <x:f>IFERROR(AC78-AC77,"")</x:f>
        <x:v>-33932.4</x:v>
      </x:c>
      <x:c r="AE78" s="141" t="n">
        <x:v>386.750242902272</x:v>
      </x:c>
      <x:c r="AF78" s="147" t="str">
        <x:v>EPU为论文候选代理；其余为官方/公开数据</x:v>
      </x:c>
    </x:row>
    <x:row r="79">
      <x:c r="A79" s="152" t="n">
        <x:v>44713</x:v>
      </x:c>
      <x:c r="B79" s="153" t="n">
        <x:v>1837</x:v>
      </x:c>
      <x:c r="C79" s="153" t="n">
        <x:v>21.6</x:v>
      </x:c>
      <x:c r="D79" s="153" t="n">
        <x:v>120.1</x:v>
      </x:c>
      <x:c r="E79" s="153" t="n">
        <x:v>9024</x:v>
      </x:c>
      <x:c r="F79" s="153" t="n">
        <x:f>IFERROR(B79/C79,"")</x:f>
        <x:v>85.04629629629629</x:v>
      </x:c>
      <x:c r="G79" s="154" t="n">
        <x:f>IFERROR(B79/B78-1,"")</x:f>
        <x:v>-0.006489994591671211</x:v>
      </x:c>
      <x:c r="H79" s="154" t="n">
        <x:f>IFERROR(C79/C78-1,"")</x:f>
        <x:v>-0.013698630136986134</x:v>
      </x:c>
      <x:c r="I79" s="154" t="n">
        <x:f>IFERROR(D79/D78-1,"")</x:f>
        <x:v>0.06850533807829162</x:v>
      </x:c>
      <x:c r="J79" s="154" t="n">
        <x:f>IFERROR(E79/E78-1,"")</x:f>
        <x:v>-0.037645302335501785</x:v>
      </x:c>
      <x:c r="K79" s="153" t="n">
        <x:v>3.1433333333333344</x:v>
      </x:c>
      <x:c r="L79" s="153" t="n">
        <x:v>0.5257142857142858</x:v>
      </x:c>
      <x:c r="M79" s="153" t="n">
        <x:f>IFERROR(L79-L78,"")</x:f>
        <x:v>0.31619047619047624</x:v>
      </x:c>
      <x:c r="N79" s="153" t="n">
        <x:v>2.6176190476190473</x:v>
      </x:c>
      <x:c r="O79" s="153" t="n">
        <x:v>120.02570952380954</x:v>
      </x:c>
      <x:c r="P79" s="153" t="n">
        <x:f>IFERROR(O79/O78-1,"")</x:f>
        <x:v>0.002752961863766501</x:v>
      </x:c>
      <x:c r="Q79" s="153" t="n">
        <x:v>28.23318181818182</x:v>
      </x:c>
      <x:c r="R79" s="153" t="n">
        <x:v>1.2049999999999992</x:v>
      </x:c>
      <x:c r="S79" s="141" t="n">
        <x:v>294.957</x:v>
      </x:c>
      <x:c r="T79" s="154" t="n">
        <x:f>IFERROR(S79/S67-1,"")</x:f>
        <x:v>0.08979361103105798</x:v>
      </x:c>
      <x:c r="U79" s="141" t="n">
        <x:v>101.018</x:v>
      </x:c>
      <x:c r="V79" s="154" t="n">
        <x:f>IFERROR(U79/U67-1,"")</x:f>
        <x:v>0.012217594016755706</x:v>
      </x:c>
      <x:c r="W79" s="141" t="n">
        <x:v>8913553</x:v>
      </x:c>
      <x:c r="X79" s="154" t="n">
        <x:f>IFERROR(W79/W78-1,"")</x:f>
        <x:v>-0.00008166670985576552</x:v>
      </x:c>
      <x:c r="Y79" s="141" t="n">
        <x:v>130.70732</x:v>
      </x:c>
      <x:c r="Z79" s="141" t="n">
        <x:f>IFERROR(Y79-Y78,"")</x:f>
        <x:v>-11.551159999999982</x:v>
      </x:c>
      <x:c r="AA79" s="141" t="n">
        <x:v>48758</x:v>
      </x:c>
      <x:c r="AB79" s="141" t="n">
        <x:f>IFERROR(AA79-AA78,"")</x:f>
        <x:v>-9806</x:v>
      </x:c>
      <x:c r="AC79" s="141" t="n">
        <x:v>4680.5</x:v>
      </x:c>
      <x:c r="AD79" s="141" t="n">
        <x:f>IFERROR(AC79-AC78,"")</x:f>
        <x:v>554.5</x:v>
      </x:c>
      <x:c r="AE79" s="141" t="n">
        <x:v>328.094950109791</x:v>
      </x:c>
      <x:c r="AF79" s="147" t="str">
        <x:v>EPU为论文候选代理；其余为官方/公开数据</x:v>
      </x:c>
    </x:row>
    <x:row r="80">
      <x:c r="A80" s="152" t="n">
        <x:v>44743</x:v>
      </x:c>
      <x:c r="B80" s="153" t="n">
        <x:v>1733</x:v>
      </x:c>
      <x:c r="C80" s="153" t="n">
        <x:v>19.1</x:v>
      </x:c>
      <x:c r="D80" s="153" t="n">
        <x:v>108.9</x:v>
      </x:c>
      <x:c r="E80" s="153" t="n">
        <x:v>7545</x:v>
      </x:c>
      <x:c r="F80" s="153" t="n">
        <x:f>IFERROR(B80/C80,"")</x:f>
        <x:v>90.73298429319371</x:v>
      </x:c>
      <x:c r="G80" s="154" t="n">
        <x:f>IFERROR(B80/B79-1,"")</x:f>
        <x:v>-0.056614044637996686</x:v>
      </x:c>
      <x:c r="H80" s="154" t="n">
        <x:f>IFERROR(C80/C79-1,"")</x:f>
        <x:v>-0.1157407407407407</x:v>
      </x:c>
      <x:c r="I80" s="154" t="n">
        <x:f>IFERROR(D80/D79-1,"")</x:f>
        <x:v>-0.09325562031640289</x:v>
      </x:c>
      <x:c r="J80" s="154" t="n">
        <x:f>IFERROR(E80/E79-1,"")</x:f>
        <x:v>-0.16389627659574468</x:v>
      </x:c>
      <x:c r="K80" s="153" t="n">
        <x:v>2.896</x:v>
      </x:c>
      <x:c r="L80" s="153" t="n">
        <x:v>0.5339999999999999</x:v>
      </x:c>
      <x:c r="M80" s="153" t="n">
        <x:f>IFERROR(L80-L79,"")</x:f>
        <x:v>0.008285714285714119</x:v>
      </x:c>
      <x:c r="N80" s="153" t="n">
        <x:v>2.362</x:v>
      </x:c>
      <x:c r="O80" s="153" t="n">
        <x:v>122.7512</x:v>
      </x:c>
      <x:c r="P80" s="153" t="n">
        <x:f>IFERROR(O80/O79-1,"")</x:f>
        <x:v>0.022707555631235943</x:v>
      </x:c>
      <x:c r="Q80" s="153" t="n">
        <x:v>24.9952380952381</x:v>
      </x:c>
      <x:c r="R80" s="153" t="n">
        <x:v>1.6758064516129023</x:v>
      </x:c>
      <x:c r="S80" s="141" t="n">
        <x:v>294.913</x:v>
      </x:c>
      <x:c r="T80" s="154" t="n">
        <x:f>IFERROR(S80/S68-1,"")</x:f>
        <x:v>0.08462576727730098</x:v>
      </x:c>
      <x:c r="U80" s="141" t="n">
        <x:v>101.223</x:v>
      </x:c>
      <x:c r="V80" s="154" t="n">
        <x:f>IFERROR(U80/U68-1,"")</x:f>
        <x:v>0.00968659945597028</x:v>
      </x:c>
      <x:c r="W80" s="141" t="n">
        <x:v>8890004</x:v>
      </x:c>
      <x:c r="X80" s="154" t="n">
        <x:f>IFERROR(W80/W79-1,"")</x:f>
        <x:v>-0.002641931898537009</x:v>
      </x:c>
      <x:c r="Y80" s="141" t="n">
        <x:v>117.176765</x:v>
      </x:c>
      <x:c r="Z80" s="141" t="n">
        <x:f>IFERROR(Y80-Y79,"")</x:f>
        <x:v>-13.530555000000007</x:v>
      </x:c>
      <x:c r="AA80" s="141" t="n">
        <x:v>1834.4</x:v>
      </x:c>
      <x:c r="AB80" s="141" t="n">
        <x:f>IFERROR(AA80-AA79,"")</x:f>
        <x:v>-46923.6</x:v>
      </x:c>
      <x:c r="AC80" s="141" t="n">
        <x:v>-10061.4</x:v>
      </x:c>
      <x:c r="AD80" s="141" t="n">
        <x:f>IFERROR(AC80-AC79,"")</x:f>
        <x:v>-14741.9</x:v>
      </x:c>
      <x:c r="AE80" s="141" t="n">
        <x:v>359.977442421623</x:v>
      </x:c>
      <x:c r="AF80" s="147" t="str">
        <x:v>EPU为论文候选代理；其余为官方/公开数据</x:v>
      </x:c>
    </x:row>
    <x:row r="81">
      <x:c r="A81" s="152" t="n">
        <x:v>44774</x:v>
      </x:c>
      <x:c r="B81" s="153" t="n">
        <x:v>1765</x:v>
      </x:c>
      <x:c r="C81" s="153" t="n">
        <x:v>19.7</x:v>
      </x:c>
      <x:c r="D81" s="153" t="n">
        <x:v>98.6</x:v>
      </x:c>
      <x:c r="E81" s="153" t="n">
        <x:v>7982</x:v>
      </x:c>
      <x:c r="F81" s="153" t="n">
        <x:f>IFERROR(B81/C81,"")</x:f>
        <x:v>89.59390862944163</x:v>
      </x:c>
      <x:c r="G81" s="154" t="n">
        <x:f>IFERROR(B81/B80-1,"")</x:f>
        <x:v>0.018465089440276916</x:v>
      </x:c>
      <x:c r="H81" s="154" t="n">
        <x:f>IFERROR(C81/C80-1,"")</x:f>
        <x:v>0.03141361256544495</x:v>
      </x:c>
      <x:c r="I81" s="154" t="n">
        <x:f>IFERROR(D81/D80-1,"")</x:f>
        <x:v>-0.0945821854912765</x:v>
      </x:c>
      <x:c r="J81" s="154" t="n">
        <x:f>IFERROR(E81/E80-1,"")</x:f>
        <x:v>0.05791915175612994</x:v>
      </x:c>
      <x:c r="K81" s="153" t="n">
        <x:v>2.8978260869565213</x:v>
      </x:c>
      <x:c r="L81" s="153" t="n">
        <x:v>0.3895652173913043</x:v>
      </x:c>
      <x:c r="M81" s="153" t="n">
        <x:f>IFERROR(L81-L80,"")</x:f>
        <x:v>-0.14443478260869563</x:v>
      </x:c>
      <x:c r="N81" s="153" t="n">
        <x:v>2.508260869565217</x:v>
      </x:c>
      <x:c r="O81" s="153" t="n">
        <x:v>122.31775217391304</x:v>
      </x:c>
      <x:c r="P81" s="153" t="n">
        <x:f>IFERROR(O81/O80-1,"")</x:f>
        <x:v>-0.003531108666041227</x:v>
      </x:c>
      <x:c r="Q81" s="153" t="n">
        <x:v>22.169565217391305</x:v>
      </x:c>
      <x:c r="R81" s="153" t="n">
        <x:v>2.3299999999999987</x:v>
      </x:c>
      <x:c r="S81" s="141" t="n">
        <x:v>295.097</x:v>
      </x:c>
      <x:c r="T81" s="154" t="n">
        <x:f>IFERROR(S81/S69-1,"")</x:f>
        <x:v>0.08222579178218825</x:v>
      </x:c>
      <x:c r="U81" s="141" t="n">
        <x:v>101.0963</x:v>
      </x:c>
      <x:c r="V81" s="154" t="n">
        <x:f>IFERROR(U81/U69-1,"")</x:f>
        <x:v>0.010521402147261716</x:v>
      </x:c>
      <x:c r="W81" s="141" t="n">
        <x:v>8826093</x:v>
      </x:c>
      <x:c r="X81" s="154" t="n">
        <x:f>IFERROR(W81/W80-1,"")</x:f>
        <x:v>-0.0071890856292078364</x:v>
      </x:c>
      <x:c r="Y81" s="141" t="n">
        <x:v>132.86322</x:v>
      </x:c>
      <x:c r="Z81" s="141" t="n">
        <x:f>IFERROR(Y81-Y80,"")</x:f>
        <x:v>15.68645500000001</x:v>
      </x:c>
      <x:c r="AA81" s="141" t="n">
        <x:v>28768.25</x:v>
      </x:c>
      <x:c r="AB81" s="141" t="n">
        <x:f>IFERROR(AA81-AA80,"")</x:f>
        <x:v>26933.85</x:v>
      </x:c>
      <x:c r="AC81" s="141" t="n">
        <x:v>-9328.5</x:v>
      </x:c>
      <x:c r="AD81" s="141" t="n">
        <x:f>IFERROR(AC81-AC80,"")</x:f>
        <x:v>732.8999999999996</x:v>
      </x:c>
      <x:c r="AE81" s="141" t="n">
        <x:v>260.880966957428</x:v>
      </x:c>
      <x:c r="AF81" s="147" t="str">
        <x:v>EPU为论文候选代理；其余为官方/公开数据</x:v>
      </x:c>
    </x:row>
    <x:row r="82">
      <x:c r="A82" s="152" t="n">
        <x:v>44805</x:v>
      </x:c>
      <x:c r="B82" s="153" t="n">
        <x:v>1681</x:v>
      </x:c>
      <x:c r="C82" s="153" t="n">
        <x:v>18.9</x:v>
      </x:c>
      <x:c r="D82" s="153" t="n">
        <x:v>90.2</x:v>
      </x:c>
      <x:c r="E82" s="153" t="n">
        <x:v>7746</x:v>
      </x:c>
      <x:c r="F82" s="153" t="n">
        <x:f>IFERROR(B82/C82,"")</x:f>
        <x:v>88.94179894179895</x:v>
      </x:c>
      <x:c r="G82" s="154" t="n">
        <x:f>IFERROR(B82/B81-1,"")</x:f>
        <x:v>-0.04759206798866855</x:v>
      </x:c>
      <x:c r="H82" s="154" t="n">
        <x:f>IFERROR(C82/C81-1,"")</x:f>
        <x:v>-0.040609137055837574</x:v>
      </x:c>
      <x:c r="I82" s="154" t="n">
        <x:f>IFERROR(D82/D81-1,"")</x:f>
        <x:v>-0.08519269776876259</x:v>
      </x:c>
      <x:c r="J82" s="154" t="n">
        <x:f>IFERROR(E82/E81-1,"")</x:f>
        <x:v>-0.029566524680531225</x:v>
      </x:c>
      <x:c r="K82" s="153" t="n">
        <x:v>3.5190476190476194</x:v>
      </x:c>
      <x:c r="L82" s="153" t="n">
        <x:v>1.1366666666666667</x:v>
      </x:c>
      <x:c r="M82" s="153" t="n">
        <x:f>IFERROR(L82-L81,"")</x:f>
        <x:v>0.7471014492753625</x:v>
      </x:c>
      <x:c r="N82" s="153" t="n">
        <x:v>2.3823809523809523</x:v>
      </x:c>
      <x:c r="O82" s="153" t="n">
        <x:v>125.59460000000003</x:v>
      </x:c>
      <x:c r="P82" s="153" t="n">
        <x:f>IFERROR(O82/O81-1,"")</x:f>
        <x:v>0.026789634111554994</x:v>
      </x:c>
      <x:c r="Q82" s="153" t="n">
        <x:v>27.341818181818187</x:v>
      </x:c>
      <x:c r="R82" s="153" t="n">
        <x:v>2.554999999999999</x:v>
      </x:c>
      <x:c r="S82" s="141" t="n">
        <x:v>296.349</x:v>
      </x:c>
      <x:c r="T82" s="154" t="n">
        <x:f>IFERROR(S82/S70-1,"")</x:f>
        <x:v>0.08192106896425821</x:v>
      </x:c>
      <x:c r="U82" s="141" t="n">
        <x:v>101.2918</x:v>
      </x:c>
      <x:c r="V82" s="154" t="n">
        <x:f>IFERROR(U82/U70-1,"")</x:f>
        <x:v>0.024620187157526008</x:v>
      </x:c>
      <x:c r="W82" s="141" t="n">
        <x:v>8795567</x:v>
      </x:c>
      <x:c r="X82" s="154" t="n">
        <x:f>IFERROR(W82/W81-1,"")</x:f>
        <x:v>-0.00345860846922863</x:v>
      </x:c>
      <x:c r="Y82" s="141" t="n">
        <x:v>131.98587</x:v>
      </x:c>
      <x:c r="Z82" s="141" t="n">
        <x:f>IFERROR(Y82-Y81,"")</x:f>
        <x:v>-0.877350000000007</x:v>
      </x:c>
      <x:c r="AA82" s="141" t="n">
        <x:v>-18660</x:v>
      </x:c>
      <x:c r="AB82" s="141" t="n">
        <x:f>IFERROR(AA82-AA81,"")</x:f>
        <x:v>-47428.25</x:v>
      </x:c>
      <x:c r="AC82" s="141" t="n">
        <x:v>-14034.6</x:v>
      </x:c>
      <x:c r="AD82" s="141" t="n">
        <x:f>IFERROR(AC82-AC81,"")</x:f>
        <x:v>-4706.1</x:v>
      </x:c>
      <x:c r="AE82" s="141" t="n">
        <x:v>242.556936393941</x:v>
      </x:c>
      <x:c r="AF82" s="147" t="str">
        <x:v>EPU为论文候选代理；其余为官方/公开数据</x:v>
      </x:c>
    </x:row>
    <x:row r="83">
      <x:c r="A83" s="152" t="n">
        <x:v>44835</x:v>
      </x:c>
      <x:c r="B83" s="153" t="n">
        <x:v>1664</x:v>
      </x:c>
      <x:c r="C83" s="153" t="n">
        <x:v>19.4</x:v>
      </x:c>
      <x:c r="D83" s="153" t="n">
        <x:v>93.1</x:v>
      </x:c>
      <x:c r="E83" s="153" t="n">
        <x:v>7651</x:v>
      </x:c>
      <x:c r="F83" s="153" t="n">
        <x:f>IFERROR(B83/C83,"")</x:f>
        <x:v>85.77319587628867</x:v>
      </x:c>
      <x:c r="G83" s="154" t="n">
        <x:f>IFERROR(B83/B82-1,"")</x:f>
        <x:v>-0.010113027959547938</x:v>
      </x:c>
      <x:c r="H83" s="154" t="n">
        <x:f>IFERROR(C83/C82-1,"")</x:f>
        <x:v>0.02645502645502651</x:v>
      </x:c>
      <x:c r="I83" s="154" t="n">
        <x:f>IFERROR(D83/D82-1,"")</x:f>
        <x:v>0.032150776053214924</x:v>
      </x:c>
      <x:c r="J83" s="154" t="n">
        <x:f>IFERROR(E83/E82-1,"")</x:f>
        <x:v>-0.01226439452620709</x:v>
      </x:c>
      <x:c r="K83" s="153" t="n">
        <x:v>3.9834999999999994</x:v>
      </x:c>
      <x:c r="L83" s="153" t="n">
        <x:v>1.5900000000000003</x:v>
      </x:c>
      <x:c r="M83" s="153" t="n">
        <x:f>IFERROR(L83-L82,"")</x:f>
        <x:v>0.4533333333333336</x:v>
      </x:c>
      <x:c r="N83" s="153" t="n">
        <x:v>2.3935</x:v>
      </x:c>
      <x:c r="O83" s="153" t="n">
        <x:v>127.48060500000001</x:v>
      </x:c>
      <x:c r="P83" s="153" t="n">
        <x:f>IFERROR(O83/O82-1,"")</x:f>
        <x:v>0.015016608994335545</x:v>
      </x:c>
      <x:c r="Q83" s="153" t="n">
        <x:v>30.005714285714287</x:v>
      </x:c>
      <x:c r="R83" s="153" t="n">
        <x:v>3.0799999999999987</x:v>
      </x:c>
      <x:c r="S83" s="141" t="n">
        <x:v>298.007</x:v>
      </x:c>
      <x:c r="T83" s="154" t="n">
        <x:f>IFERROR(S83/S71-1,"")</x:f>
        <x:v>0.07758813957693</x:v>
      </x:c>
      <x:c r="U83" s="141" t="n">
        <x:v>101.2529</x:v>
      </x:c>
      <x:c r="V83" s="154" t="n">
        <x:f>IFERROR(U83/U71-1,"")</x:f>
        <x:v>0.010648183730078253</x:v>
      </x:c>
      <x:c r="W83" s="141" t="n">
        <x:v>8723090</x:v>
      </x:c>
      <x:c r="X83" s="154" t="n">
        <x:f>IFERROR(W83/W82-1,"")</x:f>
        <x:v>-0.008240173714781585</x:v>
      </x:c>
      <x:c r="Y83" s="141" t="n">
        <x:v>143.16241</x:v>
      </x:c>
      <x:c r="Z83" s="141" t="n">
        <x:f>IFERROR(Y83-Y82,"")</x:f>
        <x:v>11.176539999999989</x:v>
      </x:c>
      <x:c r="AA83" s="141" t="n">
        <x:v>-19235.25</x:v>
      </x:c>
      <x:c r="AB83" s="141" t="n">
        <x:f>IFERROR(AA83-AA82,"")</x:f>
        <x:v>-575.25</x:v>
      </x:c>
      <x:c r="AC83" s="141" t="n">
        <x:v>-2419.5</x:v>
      </x:c>
      <x:c r="AD83" s="141" t="n">
        <x:f>IFERROR(AC83-AC82,"")</x:f>
        <x:v>11615.1</x:v>
      </x:c>
      <x:c r="AE83" s="141" t="n">
        <x:v>259.049214802676</x:v>
      </x:c>
      <x:c r="AF83" s="147" t="str">
        <x:v>EPU为论文候选代理；其余为官方/公开数据</x:v>
      </x:c>
    </x:row>
    <x:row r="84">
      <x:c r="A84" s="152" t="n">
        <x:v>44866</x:v>
      </x:c>
      <x:c r="B84" s="153" t="n">
        <x:v>1725</x:v>
      </x:c>
      <x:c r="C84" s="153" t="n">
        <x:v>21</x:v>
      </x:c>
      <x:c r="D84" s="153" t="n">
        <x:v>91.1</x:v>
      </x:c>
      <x:c r="E84" s="153" t="n">
        <x:v>8050</x:v>
      </x:c>
      <x:c r="F84" s="153" t="n">
        <x:f>IFERROR(B84/C84,"")</x:f>
        <x:v>82.14285714285714</x:v>
      </x:c>
      <x:c r="G84" s="154" t="n">
        <x:f>IFERROR(B84/B83-1,"")</x:f>
        <x:v>0.036658653846153744</x:v>
      </x:c>
      <x:c r="H84" s="154" t="n">
        <x:f>IFERROR(C84/C83-1,"")</x:f>
        <x:v>0.08247422680412386</x:v>
      </x:c>
      <x:c r="I84" s="154" t="n">
        <x:f>IFERROR(D84/D83-1,"")</x:f>
        <x:v>-0.02148227712137485</x:v>
      </x:c>
      <x:c r="J84" s="154" t="n">
        <x:f>IFERROR(E84/E83-1,"")</x:f>
        <x:v>0.05215004574565407</x:v>
      </x:c>
      <x:c r="K84" s="153" t="n">
        <x:v>3.8910000000000005</x:v>
      </x:c>
      <x:c r="L84" s="153" t="n">
        <x:v>1.52</x:v>
      </x:c>
      <x:c r="M84" s="153" t="n">
        <x:f>IFERROR(L84-L83,"")</x:f>
        <x:v>-0.07000000000000028</x:v>
      </x:c>
      <x:c r="N84" s="153" t="n">
        <x:v>2.371</x:v>
      </x:c>
      <x:c r="O84" s="153" t="n">
        <x:v>124.85272</x:v>
      </x:c>
      <x:c r="P84" s="153" t="n">
        <x:f>IFERROR(O84/O83-1,"")</x:f>
        <x:v>-0.020613998498046127</x:v>
      </x:c>
      <x:c r="Q84" s="153" t="n">
        <x:v>23.29909090909091</x:v>
      </x:c>
      <x:c r="R84" s="153" t="n">
        <x:v>3.779999999999999</x:v>
      </x:c>
      <x:c r="S84" s="141" t="n">
        <x:v>298.786</x:v>
      </x:c>
      <x:c r="T84" s="154" t="n">
        <x:f>IFERROR(S84/S72-1,"")</x:f>
        <x:v>0.07122856456533988</x:v>
      </x:c>
      <x:c r="U84" s="141" t="n">
        <x:v>100.9552</x:v>
      </x:c>
      <x:c r="V84" s="154" t="n">
        <x:f>IFERROR(U84/U72-1,"")</x:f>
        <x:v>0.0008902953837490735</x:v>
      </x:c>
      <x:c r="W84" s="141" t="n">
        <x:v>8584576</x:v>
      </x:c>
      <x:c r="X84" s="154" t="n">
        <x:f>IFERROR(W84/W83-1,"")</x:f>
        <x:v>-0.015879006177856647</x:v>
      </x:c>
      <x:c r="Y84" s="141" t="n">
        <x:v>116.716286</x:v>
      </x:c>
      <x:c r="Z84" s="141" t="n">
        <x:f>IFERROR(Y84-Y83,"")</x:f>
        <x:v>-26.446123999999998</x:v>
      </x:c>
      <x:c r="AA84" s="141" t="n">
        <x:v>-3214.75</x:v>
      </x:c>
      <x:c r="AB84" s="141" t="n">
        <x:f>IFERROR(AA84-AA83,"")</x:f>
        <x:v>16020.5</x:v>
      </x:c>
      <x:c r="AC84" s="141" t="n">
        <x:v>7191.25</x:v>
      </x:c>
      <x:c r="AD84" s="141" t="n">
        <x:f>IFERROR(AC84-AC83,"")</x:f>
        <x:v>9610.75</x:v>
      </x:c>
      <x:c r="AE84" s="141" t="n">
        <x:v>448.588845798041</x:v>
      </x:c>
      <x:c r="AF84" s="147" t="str">
        <x:v>EPU为论文候选代理；其余为官方/公开数据</x:v>
      </x:c>
    </x:row>
    <x:row r="85">
      <x:c r="A85" s="152" t="n">
        <x:v>44896</x:v>
      </x:c>
      <x:c r="B85" s="153" t="n">
        <x:v>1798</x:v>
      </x:c>
      <x:c r="C85" s="153" t="n">
        <x:v>23.3</x:v>
      </x:c>
      <x:c r="D85" s="153" t="n">
        <x:v>80.9</x:v>
      </x:c>
      <x:c r="E85" s="153" t="n">
        <x:v>8375</x:v>
      </x:c>
      <x:c r="F85" s="153" t="n">
        <x:f>IFERROR(B85/C85,"")</x:f>
        <x:v>77.16738197424893</x:v>
      </x:c>
      <x:c r="G85" s="154" t="n">
        <x:f>IFERROR(B85/B84-1,"")</x:f>
        <x:v>0.04231884057971014</x:v>
      </x:c>
      <x:c r="H85" s="154" t="n">
        <x:f>IFERROR(C85/C84-1,"")</x:f>
        <x:v>0.10952380952380958</x:v>
      </x:c>
      <x:c r="I85" s="154" t="n">
        <x:f>IFERROR(D85/D84-1,"")</x:f>
        <x:v>-0.11196487376509323</x:v>
      </x:c>
      <x:c r="J85" s="154" t="n">
        <x:f>IFERROR(E85/E84-1,"")</x:f>
        <x:v>0.04037267080745344</x:v>
      </x:c>
      <x:c r="K85" s="153" t="n">
        <x:v>3.6161904761904755</x:v>
      </x:c>
      <x:c r="L85" s="153" t="n">
        <x:v>1.3566666666666667</x:v>
      </x:c>
      <x:c r="M85" s="153" t="n">
        <x:f>IFERROR(L85-L84,"")</x:f>
        <x:v>-0.16333333333333333</x:v>
      </x:c>
      <x:c r="N85" s="153" t="n">
        <x:v>2.2595238095238095</x:v>
      </x:c>
      <x:c r="O85" s="153" t="n">
        <x:v>122.23432857142859</x:v>
      </x:c>
      <x:c r="P85" s="153" t="n">
        <x:f>IFERROR(O85/O84-1,"")</x:f>
        <x:v>-0.020971841290853832</x:v>
      </x:c>
      <x:c r="Q85" s="153" t="n">
        <x:v>21.784285714285716</x:v>
      </x:c>
      <x:c r="R85" s="153" t="n">
        <x:v>4.104193548387095</x:v>
      </x:c>
      <x:c r="S85" s="141" t="n">
        <x:v>298.832</x:v>
      </x:c>
      <x:c r="T85" s="154" t="n">
        <x:f>IFERROR(S85/S73-1,"")</x:f>
        <x:v>0.06404600402357152</x:v>
      </x:c>
      <x:c r="U85" s="141" t="n">
        <x:v>99.7664</x:v>
      </x:c>
      <x:c r="V85" s="154" t="n">
        <x:f>IFERROR(U85/U73-1,"")</x:f>
        <x:v>-0.008016099812473643</x:v>
      </x:c>
      <x:c r="W85" s="141" t="n">
        <x:v>8551169</x:v>
      </x:c>
      <x:c r="X85" s="154" t="n">
        <x:f>IFERROR(W85/W84-1,"")</x:f>
        <x:v>-0.003891514269312779</x:v>
      </x:c>
      <x:c r="Y85" s="141" t="n">
        <x:v>111.19594</x:v>
      </x:c>
      <x:c r="Z85" s="141" t="n">
        <x:f>IFERROR(Y85-Y84,"")</x:f>
        <x:v>-5.5203460000000035</x:v>
      </x:c>
      <x:c r="AA85" s="141" t="n">
        <x:v>33125.6</x:v>
      </x:c>
      <x:c r="AB85" s="141" t="n">
        <x:f>IFERROR(AA85-AA84,"")</x:f>
        <x:v>36340.35</x:v>
      </x:c>
      <x:c r="AC85" s="141" t="n">
        <x:v>20675.2</x:v>
      </x:c>
      <x:c r="AD85" s="141" t="n">
        <x:f>IFERROR(AC85-AC84,"")</x:f>
        <x:v>13483.95</x:v>
      </x:c>
      <x:c r="AE85" s="141" t="n">
        <x:v>310.496979941266</x:v>
      </x:c>
      <x:c r="AF85" s="147" t="str">
        <x:v>EPU为论文候选代理；其余为官方/公开数据</x:v>
      </x:c>
    </x:row>
    <x:row r="86">
      <x:c r="A86" s="152" t="n">
        <x:v>44927</x:v>
      </x:c>
      <x:c r="B86" s="153" t="n">
        <x:v>1898</x:v>
      </x:c>
      <x:c r="C86" s="153" t="n">
        <x:v>23.7</x:v>
      </x:c>
      <x:c r="D86" s="153" t="n">
        <x:v>83.1</x:v>
      </x:c>
      <x:c r="E86" s="153" t="n">
        <x:v>9038</x:v>
      </x:c>
      <x:c r="F86" s="153" t="n">
        <x:f>IFERROR(B86/C86,"")</x:f>
        <x:v>80.084388185654</x:v>
      </x:c>
      <x:c r="G86" s="154" t="n">
        <x:f>IFERROR(B86/B85-1,"")</x:f>
        <x:v>0.05561735261401557</x:v>
      </x:c>
      <x:c r="H86" s="154" t="n">
        <x:f>IFERROR(C86/C85-1,"")</x:f>
        <x:v>0.01716738197424883</x:v>
      </x:c>
      <x:c r="I86" s="154" t="n">
        <x:f>IFERROR(D86/D85-1,"")</x:f>
        <x:v>0.027194066749072876</x:v>
      </x:c>
      <x:c r="J86" s="154" t="n">
        <x:f>IFERROR(E86/E85-1,"")</x:f>
        <x:v>0.0791641791044777</x:v>
      </x:c>
      <x:c r="K86" s="153" t="n">
        <x:v>3.5315000000000003</x:v>
      </x:c>
      <x:c r="L86" s="153" t="n">
        <x:v>1.2945000000000002</x:v>
      </x:c>
      <x:c r="M86" s="153" t="n">
        <x:f>IFERROR(L86-L85,"")</x:f>
        <x:v>-0.06216666666666648</x:v>
      </x:c>
      <x:c r="N86" s="153" t="n">
        <x:v>2.237</x:v>
      </x:c>
      <x:c r="O86" s="153" t="n">
        <x:v>119.81006499999998</x:v>
      </x:c>
      <x:c r="P86" s="153" t="n">
        <x:f>IFERROR(O86/O85-1,"")</x:f>
        <x:v>-0.019832919276944194</x:v>
      </x:c>
      <x:c r="Q86" s="153" t="n">
        <x:v>20.16904761904762</x:v>
      </x:c>
      <x:c r="R86" s="153" t="n">
        <x:v>4.33</x:v>
      </x:c>
      <x:c r="S86" s="141" t="n">
        <x:v>300.42</x:v>
      </x:c>
      <x:c r="T86" s="154" t="n">
        <x:f>IFERROR(S86/S74-1,"")</x:f>
        <x:v>0.06327178517960097</x:v>
      </x:c>
      <x:c r="U86" s="141" t="n">
        <x:v>100.505</x:v>
      </x:c>
      <x:c r="V86" s="154" t="n">
        <x:f>IFERROR(U86/U74-1,"")</x:f>
        <x:v>0.003188082918103907</x:v>
      </x:c>
      <x:c r="W86" s="141" t="n">
        <x:v>8470557</x:v>
      </x:c>
      <x:c r="X86" s="154" t="n">
        <x:f>IFERROR(W86/W85-1,"")</x:f>
        <x:v>-0.009427015183538057</x:v>
      </x:c>
      <x:c r="Y86" s="141" t="n">
        <x:v>104.267044</x:v>
      </x:c>
      <x:c r="Z86" s="141" t="n">
        <x:f>IFERROR(Y86-Y85,"")</x:f>
        <x:v>-6.928895999999995</x:v>
      </x:c>
      <x:c r="AA86" s="141" t="n">
        <x:v>66411.5</x:v>
      </x:c>
      <x:c r="AB86" s="141" t="n">
        <x:f>IFERROR(AA86-AA85,"")</x:f>
        <x:v>33285.9</x:v>
      </x:c>
      <x:c r="AC86" s="141" t="n">
        <x:v>24325</x:v>
      </x:c>
      <x:c r="AD86" s="141" t="n">
        <x:f>IFERROR(AC86-AC85,"")</x:f>
        <x:v>3649.7999999999993</x:v>
      </x:c>
      <x:c r="AE86" s="141" t="n">
        <x:v>275.41359579382</x:v>
      </x:c>
      <x:c r="AF86" s="147" t="str">
        <x:v>EPU为论文候选代理；其余为官方/公开数据</x:v>
      </x:c>
    </x:row>
    <x:row r="87">
      <x:c r="A87" s="152" t="n">
        <x:v>44958</x:v>
      </x:c>
      <x:c r="B87" s="153" t="n">
        <x:v>1855</x:v>
      </x:c>
      <x:c r="C87" s="153" t="n">
        <x:v>21.9</x:v>
      </x:c>
      <x:c r="D87" s="153" t="n">
        <x:v>82.7</x:v>
      </x:c>
      <x:c r="E87" s="153" t="n">
        <x:v>8937</x:v>
      </x:c>
      <x:c r="F87" s="153" t="n">
        <x:f>IFERROR(B87/C87,"")</x:f>
        <x:v>84.70319634703196</x:v>
      </x:c>
      <x:c r="G87" s="154" t="n">
        <x:f>IFERROR(B87/B86-1,"")</x:f>
        <x:v>-0.02265542676501575</x:v>
      </x:c>
      <x:c r="H87" s="154" t="n">
        <x:f>IFERROR(C87/C86-1,"")</x:f>
        <x:v>-0.07594936708860767</x:v>
      </x:c>
      <x:c r="I87" s="154" t="n">
        <x:f>IFERROR(D87/D86-1,"")</x:f>
        <x:v>-0.004813477737665384</x:v>
      </x:c>
      <x:c r="J87" s="154" t="n">
        <x:f>IFERROR(E87/E86-1,"")</x:f>
        <x:v>-0.011175038725381725</x:v>
      </x:c>
      <x:c r="K87" s="153" t="n">
        <x:v>3.7468421052631586</x:v>
      </x:c>
      <x:c r="L87" s="153" t="n">
        <x:v>1.413157894736842</x:v>
      </x:c>
      <x:c r="M87" s="153" t="n">
        <x:f>IFERROR(L87-L86,"")</x:f>
        <x:v>0.11865789473684174</x:v>
      </x:c>
      <x:c r="N87" s="153" t="n">
        <x:v>2.333684210526316</x:v>
      </x:c>
      <x:c r="O87" s="153" t="n">
        <x:v>120.30837368421054</x:v>
      </x:c>
      <x:c r="P87" s="153" t="n">
        <x:f>IFERROR(O87/O86-1,"")</x:f>
        <x:v>0.004159155445000007</x:v>
      </x:c>
      <x:c r="Q87" s="153" t="n">
        <x:v>20.1205</x:v>
      </x:c>
      <x:c r="R87" s="153" t="n">
        <x:v>4.5699999999999985</x:v>
      </x:c>
      <x:c r="S87" s="141" t="n">
        <x:v>301.45</x:v>
      </x:c>
      <x:c r="T87" s="154" t="n">
        <x:f>IFERROR(S87/S75-1,"")</x:f>
        <x:v>0.05957820738137087</x:v>
      </x:c>
      <x:c r="U87" s="141" t="n">
        <x:v>100.6416</x:v>
      </x:c>
      <x:c r="V87" s="154" t="n">
        <x:f>IFERROR(U87/U75-1,"")</x:f>
        <x:v>-0.001634816837026265</x:v>
      </x:c>
      <x:c r="W87" s="141" t="n">
        <x:v>8382190</x:v>
      </x:c>
      <x:c r="X87" s="154" t="n">
        <x:f>IFERROR(W87/W86-1,"")</x:f>
        <x:v>-0.010432253746713416</x:v>
      </x:c>
      <x:c r="Y87" s="141" t="n">
        <x:v>120.99438</x:v>
      </x:c>
      <x:c r="Z87" s="141" t="n">
        <x:f>IFERROR(Y87-Y86,"")</x:f>
        <x:v>16.727336000000008</x:v>
      </x:c>
      <x:c r="AA87" s="141" t="n">
        <x:v>55475.5</x:v>
      </x:c>
      <x:c r="AB87" s="141" t="n">
        <x:f>IFERROR(AA87-AA86,"")</x:f>
        <x:v>-10936</x:v>
      </x:c>
      <x:c r="AC87" s="141" t="n">
        <x:v>10001.25</x:v>
      </x:c>
      <x:c r="AD87" s="141" t="n">
        <x:f>IFERROR(AC87-AC86,"")</x:f>
        <x:v>-14323.75</x:v>
      </x:c>
      <x:c r="AE87" s="141" t="n">
        <x:v>364.287677422576</x:v>
      </x:c>
      <x:c r="AF87" s="147" t="str">
        <x:v>EPU为论文候选代理；其余为官方/公开数据</x:v>
      </x:c>
    </x:row>
    <x:row r="88">
      <x:c r="A88" s="152" t="n">
        <x:v>44986</x:v>
      </x:c>
      <x:c r="B88" s="153" t="n">
        <x:v>1913</x:v>
      </x:c>
      <x:c r="C88" s="153" t="n">
        <x:v>22</x:v>
      </x:c>
      <x:c r="D88" s="153" t="n">
        <x:v>78.5</x:v>
      </x:c>
      <x:c r="E88" s="153" t="n">
        <x:v>8856</x:v>
      </x:c>
      <x:c r="F88" s="153" t="n">
        <x:f>IFERROR(B88/C88,"")</x:f>
        <x:v>86.95454545454545</x:v>
      </x:c>
      <x:c r="G88" s="154" t="n">
        <x:f>IFERROR(B88/B87-1,"")</x:f>
        <x:v>0.03126684636118604</x:v>
      </x:c>
      <x:c r="H88" s="154" t="n">
        <x:f>IFERROR(C88/C87-1,"")</x:f>
        <x:v>0.004566210045662267</x:v>
      </x:c>
      <x:c r="I88" s="154" t="n">
        <x:f>IFERROR(D88/D87-1,"")</x:f>
        <x:v>-0.050785973397823536</x:v>
      </x:c>
      <x:c r="J88" s="154" t="n">
        <x:f>IFERROR(E88/E87-1,"")</x:f>
        <x:v>-0.009063444108761365</x:v>
      </x:c>
      <x:c r="K88" s="153" t="n">
        <x:v>3.6630434782608687</x:v>
      </x:c>
      <x:c r="L88" s="153" t="n">
        <x:v>1.3608695652173912</x:v>
      </x:c>
      <x:c r="M88" s="153" t="n">
        <x:f>IFERROR(L88-L87,"")</x:f>
        <x:v>-0.05228832951945073</x:v>
      </x:c>
      <x:c r="N88" s="153" t="n">
        <x:v>2.302173913043478</x:v>
      </x:c>
      <x:c r="O88" s="153" t="n">
        <x:v>120.74501304347828</x:v>
      </x:c>
      <x:c r="P88" s="153" t="n">
        <x:f>IFERROR(O88/O87-1,"")</x:f>
        <x:v>0.003629334732874412</x:v>
      </x:c>
      <x:c r="Q88" s="153" t="n">
        <x:v>21.644347826086957</x:v>
      </x:c>
      <x:c r="R88" s="153" t="n">
        <x:v>4.649032258064517</x:v>
      </x:c>
      <x:c r="S88" s="141" t="n">
        <x:v>301.821</x:v>
      </x:c>
      <x:c r="T88" s="154" t="n">
        <x:f>IFERROR(S88/S76-1,"")</x:f>
        <x:v>0.04917719362889961</x:v>
      </x:c>
      <x:c r="U88" s="141" t="n">
        <x:v>101.0205</x:v>
      </x:c>
      <x:c r="V88" s="154" t="n">
        <x:f>IFERROR(U88/U76-1,"")</x:f>
        <x:v>-0.0036512224493961964</x:v>
      </x:c>
      <x:c r="W88" s="141" t="n">
        <x:v>8705942</x:v>
      </x:c>
      <x:c r="X88" s="154" t="n">
        <x:f>IFERROR(W88/W87-1,"")</x:f>
        <x:v>0.038623796406428434</x:v>
      </x:c>
      <x:c r="Y88" s="141" t="n">
        <x:v>105.379974</x:v>
      </x:c>
      <x:c r="Z88" s="141" t="n">
        <x:f>IFERROR(Y88-Y87,"")</x:f>
        <x:v>-15.614406000000002</x:v>
      </x:c>
      <x:c r="AA88" s="141" t="n">
        <x:v>56216.8</x:v>
      </x:c>
      <x:c r="AB88" s="141" t="n">
        <x:f>IFERROR(AA88-AA87,"")</x:f>
        <x:v>741.3000000000029</x:v>
      </x:c>
      <x:c r="AC88" s="141" t="n">
        <x:v>-3877</x:v>
      </x:c>
      <x:c r="AD88" s="141" t="n">
        <x:f>IFERROR(AC88-AC87,"")</x:f>
        <x:v>-13878.25</x:v>
      </x:c>
      <x:c r="AE88" s="141" t="n">
        <x:v>516.976889834461</x:v>
      </x:c>
      <x:c r="AF88" s="147" t="str">
        <x:v>EPU为论文候选代理；其余为官方/公开数据</x:v>
      </x:c>
    </x:row>
    <x:row r="89">
      <x:c r="A89" s="152" t="n">
        <x:v>45017</x:v>
      </x:c>
      <x:c r="B89" s="153" t="n">
        <x:v>2000</x:v>
      </x:c>
      <x:c r="C89" s="153" t="n">
        <x:v>25</x:v>
      </x:c>
      <x:c r="D89" s="153" t="n">
        <x:v>84.1</x:v>
      </x:c>
      <x:c r="E89" s="153" t="n">
        <x:v>8809</x:v>
      </x:c>
      <x:c r="F89" s="153" t="n">
        <x:f>IFERROR(B89/C89,"")</x:f>
        <x:v>80</x:v>
      </x:c>
      <x:c r="G89" s="154" t="n">
        <x:f>IFERROR(B89/B88-1,"")</x:f>
        <x:v>0.045478306325143825</x:v>
      </x:c>
      <x:c r="H89" s="154" t="n">
        <x:f>IFERROR(C89/C88-1,"")</x:f>
        <x:v>0.13636363636363646</x:v>
      </x:c>
      <x:c r="I89" s="154" t="n">
        <x:f>IFERROR(D89/D88-1,"")</x:f>
        <x:v>0.07133757961783438</x:v>
      </x:c>
      <x:c r="J89" s="154" t="n">
        <x:f>IFERROR(E89/E88-1,"")</x:f>
        <x:v>-0.005307136404697377</x:v>
      </x:c>
      <x:c r="K89" s="153" t="n">
        <x:v>3.46</x:v>
      </x:c>
      <x:c r="L89" s="153" t="n">
        <x:v>1.1935</x:v>
      </x:c>
      <x:c r="M89" s="153" t="n">
        <x:f>IFERROR(L89-L88,"")</x:f>
        <x:v>-0.16736956521739121</x:v>
      </x:c>
      <x:c r="N89" s="153" t="n">
        <x:v>2.2665</x:v>
      </x:c>
      <x:c r="O89" s="153" t="n">
        <x:v>119.24514500000001</x:v>
      </x:c>
      <x:c r="P89" s="153" t="n">
        <x:f>IFERROR(O89/O88-1,"")</x:f>
        <x:v>-0.012421780458445886</x:v>
      </x:c>
      <x:c r="Q89" s="153" t="n">
        <x:v>17.817894736842103</x:v>
      </x:c>
      <x:c r="R89" s="153" t="n">
        <x:v>4.83</x:v>
      </x:c>
      <x:c r="S89" s="141" t="n">
        <x:v>302.845</x:v>
      </x:c>
      <x:c r="T89" s="154" t="n">
        <x:f>IFERROR(S89/S77-1,"")</x:f>
        <x:v>0.049500798791243694</x:v>
      </x:c>
      <x:c r="U89" s="141" t="n">
        <x:v>101.253</x:v>
      </x:c>
      <x:c r="V89" s="154" t="n">
        <x:f>IFERROR(U89/U77-1,"")</x:f>
        <x:v>-0.001843454258675048</x:v>
      </x:c>
      <x:c r="W89" s="141" t="n">
        <x:v>8562768</x:v>
      </x:c>
      <x:c r="X89" s="154" t="n">
        <x:f>IFERROR(W89/W88-1,"")</x:f>
        <x:v>-0.016445549487924427</x:v>
      </x:c>
      <x:c r="Y89" s="141" t="n">
        <x:v>106.809654</x:v>
      </x:c>
      <x:c r="Z89" s="141" t="n">
        <x:f>IFERROR(Y89-Y88,"")</x:f>
        <x:v>1.4296799999999905</x:v>
      </x:c>
      <x:c r="AA89" s="141" t="n">
        <x:v>105059</x:v>
      </x:c>
      <x:c r="AB89" s="141" t="n">
        <x:f>IFERROR(AA89-AA88,"")</x:f>
        <x:v>48842.2</x:v>
      </x:c>
      <x:c r="AC89" s="141" t="n">
        <x:v>20030</x:v>
      </x:c>
      <x:c r="AD89" s="141" t="n">
        <x:f>IFERROR(AC89-AC88,"")</x:f>
        <x:v>23907</x:v>
      </x:c>
      <x:c r="AE89" s="141" t="n">
        <x:v>392.605046550195</x:v>
      </x:c>
      <x:c r="AF89" s="147" t="str">
        <x:v>EPU为论文候选代理；其余为官方/公开数据</x:v>
      </x:c>
    </x:row>
    <x:row r="90">
      <x:c r="A90" s="152" t="n">
        <x:v>45047</x:v>
      </x:c>
      <x:c r="B90" s="153" t="n">
        <x:v>1992</x:v>
      </x:c>
      <x:c r="C90" s="153" t="n">
        <x:v>24.3</x:v>
      </x:c>
      <x:c r="D90" s="153" t="n">
        <x:v>75.7</x:v>
      </x:c>
      <x:c r="E90" s="153" t="n">
        <x:v>8217</x:v>
      </x:c>
      <x:c r="F90" s="153" t="n">
        <x:f>IFERROR(B90/C90,"")</x:f>
        <x:v>81.9753086419753</x:v>
      </x:c>
      <x:c r="G90" s="154" t="n">
        <x:f>IFERROR(B90/B89-1,"")</x:f>
        <x:v>-0.0040000000000000036</x:v>
      </x:c>
      <x:c r="H90" s="154" t="n">
        <x:f>IFERROR(C90/C89-1,"")</x:f>
        <x:v>-0.028000000000000025</x:v>
      </x:c>
      <x:c r="I90" s="154" t="n">
        <x:f>IFERROR(D90/D89-1,"")</x:f>
        <x:v>-0.09988109393579059</x:v>
      </x:c>
      <x:c r="J90" s="154" t="n">
        <x:f>IFERROR(E90/E89-1,"")</x:f>
        <x:v>-0.06720399591327053</x:v>
      </x:c>
      <x:c r="K90" s="153" t="n">
        <x:v>3.5736363636363637</x:v>
      </x:c>
      <x:c r="L90" s="153" t="n">
        <x:v>1.36</x:v>
      </x:c>
      <x:c r="M90" s="153" t="n">
        <x:f>IFERROR(L90-L89,"")</x:f>
        <x:v>0.1665000000000001</x:v>
      </x:c>
      <x:c r="N90" s="153" t="n">
        <x:v>2.213636363636364</x:v>
      </x:c>
      <x:c r="O90" s="153" t="n">
        <x:v>119.62925454545453</x:v>
      </x:c>
      <x:c r="P90" s="153" t="n">
        <x:f>IFERROR(O90/O89-1,"")</x:f>
        <x:v>0.003221175549365407</x:v>
      </x:c>
      <x:c r="Q90" s="153" t="n">
        <x:v>17.636086956521734</x:v>
      </x:c>
      <x:c r="R90" s="153" t="n">
        <x:v>5.055806451612905</x:v>
      </x:c>
      <x:c r="S90" s="141" t="n">
        <x:v>303.334</x:v>
      </x:c>
      <x:c r="T90" s="154" t="n">
        <x:f>IFERROR(S90/S78-1,"")</x:f>
        <x:v>0.04131851231385042</x:v>
      </x:c>
      <x:c r="U90" s="141" t="n">
        <x:v>100.9286</x:v>
      </x:c>
      <x:c r="V90" s="154" t="n">
        <x:f>IFERROR(U90/U78-1,"")</x:f>
        <x:v>-0.003995717112307395</x:v>
      </x:c>
      <x:c r="W90" s="141" t="n">
        <x:v>8385854</x:v>
      </x:c>
      <x:c r="X90" s="154" t="n">
        <x:f>IFERROR(W90/W89-1,"")</x:f>
        <x:v>-0.020660842381809208</x:v>
      </x:c>
      <x:c r="Y90" s="141" t="n">
        <x:v>108.46768</x:v>
      </x:c>
      <x:c r="Z90" s="141" t="n">
        <x:f>IFERROR(Y90-Y89,"")</x:f>
        <x:v>1.6580260000000067</x:v>
      </x:c>
      <x:c r="AA90" s="141" t="n">
        <x:v>105474.5</x:v>
      </x:c>
      <x:c r="AB90" s="141" t="n">
        <x:f>IFERROR(AA90-AA89,"")</x:f>
        <x:v>415.5</x:v>
      </x:c>
      <x:c r="AC90" s="141" t="n">
        <x:v>19105.75</x:v>
      </x:c>
      <x:c r="AD90" s="141" t="n">
        <x:f>IFERROR(AC90-AC89,"")</x:f>
        <x:v>-924.25</x:v>
      </x:c>
      <x:c r="AE90" s="141" t="n">
        <x:v>233.991581001473</x:v>
      </x:c>
      <x:c r="AF90" s="147" t="str">
        <x:v>EPU为论文候选代理；其余为官方/公开数据</x:v>
      </x:c>
    </x:row>
    <x:row r="91">
      <x:c r="A91" s="152" t="n">
        <x:v>45078</x:v>
      </x:c>
      <x:c r="B91" s="153" t="n">
        <x:v>1943</x:v>
      </x:c>
      <x:c r="C91" s="153" t="n">
        <x:v>23.4</x:v>
      </x:c>
      <x:c r="D91" s="153" t="n">
        <x:v>74.9</x:v>
      </x:c>
      <x:c r="E91" s="153" t="n">
        <x:v>8397</x:v>
      </x:c>
      <x:c r="F91" s="153" t="n">
        <x:f>IFERROR(B91/C91,"")</x:f>
        <x:v>83.03418803418803</x:v>
      </x:c>
      <x:c r="G91" s="154" t="n">
        <x:f>IFERROR(B91/B90-1,"")</x:f>
        <x:v>-0.02459839357429716</x:v>
      </x:c>
      <x:c r="H91" s="154" t="n">
        <x:f>IFERROR(C91/C90-1,"")</x:f>
        <x:v>-0.03703703703703709</x:v>
      </x:c>
      <x:c r="I91" s="154" t="n">
        <x:f>IFERROR(D91/D90-1,"")</x:f>
        <x:v>-0.010568031704095038</x:v>
      </x:c>
      <x:c r="J91" s="154" t="n">
        <x:f>IFERROR(E91/E90-1,"")</x:f>
        <x:v>0.02190580503833517</x:v>
      </x:c>
      <x:c r="K91" s="153" t="n">
        <x:v>3.748095238095238</x:v>
      </x:c>
      <x:c r="L91" s="153" t="n">
        <x:v>1.547619047619048</x:v>
      </x:c>
      <x:c r="M91" s="153" t="n">
        <x:f>IFERROR(L91-L90,"")</x:f>
        <x:v>0.1876190476190478</x:v>
      </x:c>
      <x:c r="N91" s="153" t="n">
        <x:v>2.2004761904761905</x:v>
      </x:c>
      <x:c r="O91" s="153" t="n">
        <x:v>119.29695238095242</x:v>
      </x:c>
      <x:c r="P91" s="153" t="n">
        <x:f>IFERROR(O91/O90-1,"")</x:f>
        <x:v>-0.002777766740791998</x:v>
      </x:c>
      <x:c r="Q91" s="153" t="n">
        <x:v>14.003181818181817</x:v>
      </x:c>
      <x:c r="R91" s="153" t="n">
        <x:v>5.076333333333332</x:v>
      </x:c>
      <x:c r="S91" s="141" t="n">
        <x:v>304.014</x:v>
      </x:c>
      <x:c r="T91" s="154" t="n">
        <x:f>IFERROR(S91/S79-1,"")</x:f>
        <x:v>0.03070617072997095</x:v>
      </x:c>
      <x:c r="U91" s="141" t="n">
        <x:v>100.1196</x:v>
      </x:c>
      <x:c r="V91" s="154" t="n">
        <x:f>IFERROR(U91/U79-1,"")</x:f>
        <x:v>-0.008893464531073647</x:v>
      </x:c>
      <x:c r="W91" s="141" t="n">
        <x:v>8340914</x:v>
      </x:c>
      <x:c r="X91" s="154" t="n">
        <x:f>IFERROR(W91/W90-1,"")</x:f>
        <x:v>-0.005359024853044181</x:v>
      </x:c>
      <x:c r="Y91" s="141" t="n">
        <x:v>110.528946</x:v>
      </x:c>
      <x:c r="Z91" s="141" t="n">
        <x:f>IFERROR(Y91-Y90,"")</x:f>
        <x:v>2.0612660000000034</x:v>
      </x:c>
      <x:c r="AA91" s="141" t="n">
        <x:v>80097.6</x:v>
      </x:c>
      <x:c r="AB91" s="141" t="n">
        <x:f>IFERROR(AA91-AA90,"")</x:f>
        <x:v>-25376.899999999994</x:v>
      </x:c>
      <x:c r="AC91" s="141" t="n">
        <x:v>10685.6</x:v>
      </x:c>
      <x:c r="AD91" s="141" t="n">
        <x:f>IFERROR(AC91-AC90,"")</x:f>
        <x:v>-8420.15</x:v>
      </x:c>
      <x:c r="AE91" s="141" t="n">
        <x:v>290.407627065338</x:v>
      </x:c>
      <x:c r="AF91" s="147" t="str">
        <x:v>EPU为论文候选代理；其余为官方/公开数据</x:v>
      </x:c>
    </x:row>
    <x:row r="92">
      <x:c r="A92" s="152" t="n">
        <x:v>45108</x:v>
      </x:c>
      <x:c r="B92" s="153" t="n">
        <x:v>1951</x:v>
      </x:c>
      <x:c r="C92" s="153" t="n">
        <x:v>24.3</x:v>
      </x:c>
      <x:c r="D92" s="153" t="n">
        <x:v>80.1</x:v>
      </x:c>
      <x:c r="E92" s="153" t="n">
        <x:v>8477</x:v>
      </x:c>
      <x:c r="F92" s="153" t="n">
        <x:f>IFERROR(B92/C92,"")</x:f>
        <x:v>80.2880658436214</x:v>
      </x:c>
      <x:c r="G92" s="154" t="n">
        <x:f>IFERROR(B92/B91-1,"")</x:f>
        <x:v>0.004117344312918103</x:v>
      </x:c>
      <x:c r="H92" s="154" t="n">
        <x:f>IFERROR(C92/C91-1,"")</x:f>
        <x:v>0.03846153846153855</x:v>
      </x:c>
      <x:c r="I92" s="154" t="n">
        <x:f>IFERROR(D92/D91-1,"")</x:f>
        <x:v>0.06942590120160208</x:v>
      </x:c>
      <x:c r="J92" s="154" t="n">
        <x:f>IFERROR(E92/E91-1,"")</x:f>
        <x:v>0.009527212099559312</x:v>
      </x:c>
      <x:c r="K92" s="153" t="n">
        <x:v>3.8994999999999997</x:v>
      </x:c>
      <x:c r="L92" s="153" t="n">
        <x:v>1.6030000000000002</x:v>
      </x:c>
      <x:c r="M92" s="153" t="n">
        <x:f>IFERROR(L92-L91,"")</x:f>
        <x:v>0.05538095238095231</x:v>
      </x:c>
      <x:c r="N92" s="153" t="n">
        <x:v>2.2965</x:v>
      </x:c>
      <x:c r="O92" s="153" t="n">
        <x:v>118.04916499999999</x:v>
      </x:c>
      <x:c r="P92" s="153" t="n">
        <x:f>IFERROR(O92/O91-1,"")</x:f>
        <x:v>-0.01045950760726777</x:v>
      </x:c>
      <x:c r="Q92" s="153" t="n">
        <x:v>13.932380952380951</x:v>
      </x:c>
      <x:c r="R92" s="153" t="n">
        <x:v>5.120000000000001</x:v>
      </x:c>
      <x:c r="S92" s="141" t="n">
        <x:v>304.609</x:v>
      </x:c>
      <x:c r="T92" s="154" t="n">
        <x:f>IFERROR(S92/S80-1,"")</x:f>
        <x:v>0.03287749268428297</x:v>
      </x:c>
      <x:c r="U92" s="141" t="n">
        <x:v>100.9067</x:v>
      </x:c>
      <x:c r="V92" s="154" t="n">
        <x:f>IFERROR(U92/U80-1,"")</x:f>
        <x:v>-0.0031247838929887584</x:v>
      </x:c>
      <x:c r="W92" s="141" t="n">
        <x:v>8243344</x:v>
      </x:c>
      <x:c r="X92" s="154" t="n">
        <x:f>IFERROR(W92/W91-1,"")</x:f>
        <x:v>-0.011697758782790446</x:v>
      </x:c>
      <x:c r="Y92" s="141" t="n">
        <x:v>107.448784</x:v>
      </x:c>
      <x:c r="Z92" s="141" t="n">
        <x:f>IFERROR(Y92-Y91,"")</x:f>
        <x:v>-3.0801620000000014</x:v>
      </x:c>
      <x:c r="AA92" s="141" t="n">
        <x:v>94049</x:v>
      </x:c>
      <x:c r="AB92" s="141" t="n">
        <x:f>IFERROR(AA92-AA91,"")</x:f>
        <x:v>13951.399999999994</x:v>
      </x:c>
      <x:c r="AC92" s="141" t="n">
        <x:v>16146</x:v>
      </x:c>
      <x:c r="AD92" s="141" t="n">
        <x:f>IFERROR(AC92-AC91,"")</x:f>
        <x:v>5460.4</x:v>
      </x:c>
      <x:c r="AE92" s="141" t="n">
        <x:v>233.748247068568</x:v>
      </x:c>
      <x:c r="AF92" s="147" t="str">
        <x:v>EPU为论文候选代理；其余为官方/公开数据</x:v>
      </x:c>
    </x:row>
    <x:row r="93">
      <x:c r="A93" s="152" t="n">
        <x:v>45139</x:v>
      </x:c>
      <x:c r="B93" s="153" t="n">
        <x:v>1919</x:v>
      </x:c>
      <x:c r="C93" s="153" t="n">
        <x:v>23.4</x:v>
      </x:c>
      <x:c r="D93" s="153" t="n">
        <x:v>86.2</x:v>
      </x:c>
      <x:c r="E93" s="153" t="n">
        <x:v>8349</x:v>
      </x:c>
      <x:c r="F93" s="153" t="n">
        <x:f>IFERROR(B93/C93,"")</x:f>
        <x:v>82.00854700854701</x:v>
      </x:c>
      <x:c r="G93" s="154" t="n">
        <x:f>IFERROR(B93/B92-1,"")</x:f>
        <x:v>-0.016401845207585808</x:v>
      </x:c>
      <x:c r="H93" s="154" t="n">
        <x:f>IFERROR(C93/C92-1,"")</x:f>
        <x:v>-0.03703703703703709</x:v>
      </x:c>
      <x:c r="I93" s="154" t="n">
        <x:f>IFERROR(D93/D92-1,"")</x:f>
        <x:v>0.07615480649188533</x:v>
      </x:c>
      <x:c r="J93" s="154" t="n">
        <x:f>IFERROR(E93/E92-1,"")</x:f>
        <x:v>-0.01509968149109353</x:v>
      </x:c>
      <x:c r="K93" s="153" t="n">
        <x:v>4.167826086956523</x:v>
      </x:c>
      <x:c r="L93" s="153" t="n">
        <x:v>1.8326086956521739</x:v>
      </x:c>
      <x:c r="M93" s="153" t="n">
        <x:f>IFERROR(L93-L92,"")</x:f>
        <x:v>0.22960869565217368</x:v>
      </x:c>
      <x:c r="N93" s="153" t="n">
        <x:v>2.3352173913043477</x:v>
      </x:c>
      <x:c r="O93" s="153" t="n">
        <x:v>119.85634782608697</x:v>
      </x:c>
      <x:c r="P93" s="153" t="n">
        <x:f>IFERROR(O93/O92-1,"")</x:f>
        <x:v>0.01530873027426316</x:v>
      </x:c>
      <x:c r="Q93" s="153" t="n">
        <x:v>15.853913043478258</x:v>
      </x:c>
      <x:c r="R93" s="153" t="n">
        <x:v>5.330000000000002</x:v>
      </x:c>
      <x:c r="S93" s="141" t="n">
        <x:v>306.082</x:v>
      </x:c>
      <x:c r="T93" s="154" t="n">
        <x:f>IFERROR(S93/S81-1,"")</x:f>
        <x:v>0.03722504803505289</x:v>
      </x:c>
      <x:c r="U93" s="141" t="n">
        <x:v>100.8393</x:v>
      </x:c>
      <x:c r="V93" s="154" t="n">
        <x:f>IFERROR(U93/U81-1,"")</x:f>
        <x:v>-0.0025421306219911566</x:v>
      </x:c>
      <x:c r="W93" s="141" t="n">
        <x:v>8121316</x:v>
      </x:c>
      <x:c r="X93" s="154" t="n">
        <x:f>IFERROR(W93/W92-1,"")</x:f>
        <x:v>-0.014803215782333012</x:v>
      </x:c>
      <x:c r="Y93" s="141" t="n">
        <x:v>101.14118</x:v>
      </x:c>
      <x:c r="Z93" s="141" t="n">
        <x:f>IFERROR(Y93-Y92,"")</x:f>
        <x:v>-6.307603999999998</x:v>
      </x:c>
      <x:c r="AA93" s="141" t="n">
        <x:v>44315</x:v>
      </x:c>
      <x:c r="AB93" s="141" t="n">
        <x:f>IFERROR(AA93-AA92,"")</x:f>
        <x:v>-49734</x:v>
      </x:c>
      <x:c r="AC93" s="141" t="n">
        <x:v>897.5</x:v>
      </x:c>
      <x:c r="AD93" s="141" t="n">
        <x:f>IFERROR(AC93-AC92,"")</x:f>
        <x:v>-15248.5</x:v>
      </x:c>
      <x:c r="AE93" s="141" t="n">
        <x:v>227.150058523315</x:v>
      </x:c>
      <x:c r="AF93" s="147" t="str">
        <x:v>EPU为论文候选代理；其余为官方/公开数据</x:v>
      </x:c>
    </x:row>
    <x:row r="94">
      <x:c r="A94" s="152" t="n">
        <x:v>45170</x:v>
      </x:c>
      <x:c r="B94" s="153" t="n">
        <x:v>1916</x:v>
      </x:c>
      <x:c r="C94" s="153" t="n">
        <x:v>23.1</x:v>
      </x:c>
      <x:c r="D94" s="153" t="n">
        <x:v>94</x:v>
      </x:c>
      <x:c r="E94" s="153" t="n">
        <x:v>8277</x:v>
      </x:c>
      <x:c r="F94" s="153" t="n">
        <x:f>IFERROR(B94/C94,"")</x:f>
        <x:v>82.94372294372293</x:v>
      </x:c>
      <x:c r="G94" s="154" t="n">
        <x:f>IFERROR(B94/B93-1,"")</x:f>
        <x:v>-0.0015633142261594069</x:v>
      </x:c>
      <x:c r="H94" s="154" t="n">
        <x:f>IFERROR(C94/C93-1,"")</x:f>
        <x:v>-0.012820512820512664</x:v>
      </x:c>
      <x:c r="I94" s="154" t="n">
        <x:f>IFERROR(D94/D93-1,"")</x:f>
        <x:v>0.09048723897911826</x:v>
      </x:c>
      <x:c r="J94" s="154" t="n">
        <x:f>IFERROR(E94/E93-1,"")</x:f>
        <x:v>-0.008623787279913753</x:v>
      </x:c>
      <x:c r="K94" s="153" t="n">
        <x:v>4.3790000000000004</x:v>
      </x:c>
      <x:c r="L94" s="153" t="n">
        <x:v>2.0370000000000004</x:v>
      </x:c>
      <x:c r="M94" s="153" t="n">
        <x:f>IFERROR(L94-L93,"")</x:f>
        <x:v>0.20439130434782649</x:v>
      </x:c>
      <x:c r="N94" s="153" t="n">
        <x:v>2.3419999999999996</x:v>
      </x:c>
      <x:c r="O94" s="153" t="n">
        <x:v>121.64553000000001</x:v>
      </x:c>
      <x:c r="P94" s="153" t="n">
        <x:f>IFERROR(O94/O93-1,"")</x:f>
        <x:v>0.014927721446252873</x:v>
      </x:c>
      <x:c r="Q94" s="153" t="n">
        <x:v>15.17333333333333</x:v>
      </x:c>
      <x:c r="R94" s="153" t="n">
        <x:v>5.330000000000001</x:v>
      </x:c>
      <x:c r="S94" s="141" t="n">
        <x:v>307.276</x:v>
      </x:c>
      <x:c r="T94" s="154" t="n">
        <x:f>IFERROR(S94/S82-1,"")</x:f>
        <x:v>0.03687206638119256</x:v>
      </x:c>
      <x:c r="U94" s="141" t="n">
        <x:v>101.0211</x:v>
      </x:c>
      <x:c r="V94" s="154" t="n">
        <x:f>IFERROR(U94/U82-1,"")</x:f>
        <x:v>-0.002672476942852109</x:v>
      </x:c>
      <x:c r="W94" s="141" t="n">
        <x:v>8002064</x:v>
      </x:c>
      <x:c r="X94" s="154" t="n">
        <x:f>IFERROR(W94/W93-1,"")</x:f>
        <x:v>-0.014683827103883162</x:v>
      </x:c>
      <x:c r="Y94" s="141" t="n">
        <x:v>98.63481</x:v>
      </x:c>
      <x:c r="Z94" s="141" t="n">
        <x:f>IFERROR(Y94-Y93,"")</x:f>
        <x:v>-2.506370000000004</x:v>
      </x:c>
      <x:c r="AA94" s="141" t="n">
        <x:v>39001.2</x:v>
      </x:c>
      <x:c r="AB94" s="141" t="n">
        <x:f>IFERROR(AA94-AA93,"")</x:f>
        <x:v>-5313.800000000003</x:v>
      </x:c>
      <x:c r="AC94" s="141" t="n">
        <x:v>7403.2</x:v>
      </x:c>
      <x:c r="AD94" s="141" t="n">
        <x:f>IFERROR(AC94-AC93,"")</x:f>
        <x:v>6505.7</x:v>
      </x:c>
      <x:c r="AE94" s="141" t="n">
        <x:v>249.484819266559</x:v>
      </x:c>
      <x:c r="AF94" s="147" t="str">
        <x:v>EPU为论文候选代理；其余为官方/公开数据</x:v>
      </x:c>
    </x:row>
    <x:row r="95">
      <x:c r="A95" s="152" t="n">
        <x:v>45200</x:v>
      </x:c>
      <x:c r="B95" s="153" t="n">
        <x:v>1916</x:v>
      </x:c>
      <x:c r="C95" s="153" t="n">
        <x:v>22.4</x:v>
      </x:c>
      <x:c r="D95" s="153" t="n">
        <x:v>91.1</x:v>
      </x:c>
      <x:c r="E95" s="153" t="n">
        <x:v>7937</x:v>
      </x:c>
      <x:c r="F95" s="153" t="n">
        <x:f>IFERROR(B95/C95,"")</x:f>
        <x:v>85.53571428571429</x:v>
      </x:c>
      <x:c r="G95" s="154" t="n">
        <x:f>IFERROR(B95/B94-1,"")</x:f>
        <x:v>0</x:v>
      </x:c>
      <x:c r="H95" s="154" t="n">
        <x:f>IFERROR(C95/C94-1,"")</x:f>
        <x:v>-0.030303030303030387</x:v>
      </x:c>
      <x:c r="I95" s="154" t="n">
        <x:f>IFERROR(D95/D94-1,"")</x:f>
        <x:v>-0.030851063829787306</x:v>
      </x:c>
      <x:c r="J95" s="154" t="n">
        <x:f>IFERROR(E95/E94-1,"")</x:f>
        <x:v>-0.04107768515162502</x:v>
      </x:c>
      <x:c r="K95" s="153" t="n">
        <x:v>4.798095238095238</x:v>
      </x:c>
      <x:c r="L95" s="153" t="n">
        <x:v>2.411904761904762</x:v>
      </x:c>
      <x:c r="M95" s="153" t="n">
        <x:f>IFERROR(L95-L94,"")</x:f>
        <x:v>0.37490476190476185</x:v>
      </x:c>
      <x:c r="N95" s="153" t="n">
        <x:v>2.386190476190476</x:v>
      </x:c>
      <x:c r="O95" s="153" t="n">
        <x:v>123.49714761904764</x:v>
      </x:c>
      <x:c r="P95" s="153" t="n">
        <x:f>IFERROR(O95/O94-1,"")</x:f>
        <x:v>0.0152214193077842</x:v>
      </x:c>
      <x:c r="Q95" s="153" t="n">
        <x:v>18.887727272727272</x:v>
      </x:c>
      <x:c r="R95" s="153" t="n">
        <x:v>5.330000000000002</x:v>
      </x:c>
      <x:c r="S95" s="141" t="n">
        <x:v>307.696</x:v>
      </x:c>
      <x:c r="T95" s="154" t="n">
        <x:f>IFERROR(S95/S83-1,"")</x:f>
        <x:v>0.032512659098611785</x:v>
      </x:c>
      <x:c r="U95" s="141" t="n">
        <x:v>100.4689</x:v>
      </x:c>
      <x:c r="V95" s="154" t="n">
        <x:f>IFERROR(U95/U83-1,"")</x:f>
        <x:v>-0.007742988102069082</x:v>
      </x:c>
      <x:c r="W95" s="141" t="n">
        <x:v>7907830</x:v>
      </x:c>
      <x:c r="X95" s="154" t="n">
        <x:f>IFERROR(W95/W94-1,"")</x:f>
        <x:v>-0.011776211737371756</x:v>
      </x:c>
      <x:c r="Y95" s="141" t="n">
        <x:v>197.88701</x:v>
      </x:c>
      <x:c r="Z95" s="141" t="n">
        <x:f>IFERROR(Y95-Y94,"")</x:f>
        <x:v>99.2522</x:v>
      </x:c>
      <x:c r="AA95" s="141" t="n">
        <x:v>9130.75</x:v>
      </x:c>
      <x:c r="AB95" s="141" t="n">
        <x:f>IFERROR(AA95-AA94,"")</x:f>
        <x:v>-29870.449999999997</x:v>
      </x:c>
      <x:c r="AC95" s="141" t="n">
        <x:v>843.25</x:v>
      </x:c>
      <x:c r="AD95" s="141" t="n">
        <x:f>IFERROR(AC95-AC94,"")</x:f>
        <x:v>-6559.95</x:v>
      </x:c>
      <x:c r="AE95" s="141" t="n">
        <x:v>160.979522290178</x:v>
      </x:c>
      <x:c r="AF95" s="147" t="str">
        <x:v>EPU为论文候选代理；其余为官方/公开数据</x:v>
      </x:c>
    </x:row>
    <x:row r="96">
      <x:c r="A96" s="152" t="n">
        <x:v>45231</x:v>
      </x:c>
      <x:c r="B96" s="153" t="n">
        <x:v>1984</x:v>
      </x:c>
      <x:c r="C96" s="153" t="n">
        <x:v>23.5</x:v>
      </x:c>
      <x:c r="D96" s="153" t="n">
        <x:v>83.2</x:v>
      </x:c>
      <x:c r="E96" s="153" t="n">
        <x:v>8190</x:v>
      </x:c>
      <x:c r="F96" s="153" t="n">
        <x:f>IFERROR(B96/C96,"")</x:f>
        <x:v>84.42553191489361</x:v>
      </x:c>
      <x:c r="G96" s="154" t="n">
        <x:f>IFERROR(B96/B95-1,"")</x:f>
        <x:v>0.035490605427974886</x:v>
      </x:c>
      <x:c r="H96" s="154" t="n">
        <x:f>IFERROR(C96/C95-1,"")</x:f>
        <x:v>0.049107142857143016</x:v>
      </x:c>
      <x:c r="I96" s="154" t="n">
        <x:f>IFERROR(D96/D95-1,"")</x:f>
        <x:v>-0.08671789242590555</x:v>
      </x:c>
      <x:c r="J96" s="154" t="n">
        <x:f>IFERROR(E96/E95-1,"")</x:f>
        <x:v>0.03187602368653142</x:v>
      </x:c>
      <x:c r="K96" s="153" t="n">
        <x:v>4.502857142857143</x:v>
      </x:c>
      <x:c r="L96" s="153" t="n">
        <x:v>2.1985714285714284</x:v>
      </x:c>
      <x:c r="M96" s="153" t="n">
        <x:f>IFERROR(L96-L95,"")</x:f>
        <x:v>-0.21333333333333382</x:v>
      </x:c>
      <x:c r="N96" s="153" t="n">
        <x:v>2.304285714285714</x:v>
      </x:c>
      <x:c r="O96" s="153" t="n">
        <x:v>121.22211999999999</x:v>
      </x:c>
      <x:c r="P96" s="153" t="n">
        <x:f>IFERROR(O96/O95-1,"")</x:f>
        <x:v>-0.018421701738937646</x:v>
      </x:c>
      <x:c r="Q96" s="153" t="n">
        <x:v>14.01909090909091</x:v>
      </x:c>
      <x:c r="R96" s="153" t="n">
        <x:v>5.330000000000001</x:v>
      </x:c>
      <x:c r="S96" s="141" t="n">
        <x:v>308.148</x:v>
      </x:c>
      <x:c r="T96" s="154" t="n">
        <x:f>IFERROR(S96/S84-1,"")</x:f>
        <x:v>0.031333462745911866</x:v>
      </x:c>
      <x:c r="U96" s="141" t="n">
        <x:v>100.8639</x:v>
      </x:c>
      <x:c r="V96" s="154" t="n">
        <x:f>IFERROR(U96/U84-1,"")</x:f>
        <x:v>-0.0009043615385835313</x:v>
      </x:c>
      <x:c r="W96" s="141" t="n">
        <x:v>7796145</x:v>
      </x:c>
      <x:c r="X96" s="154" t="n">
        <x:f>IFERROR(W96/W95-1,"")</x:f>
        <x:v>-0.014123343572130409</x:v>
      </x:c>
      <x:c r="Y96" s="141" t="n">
        <x:v>156.69614</x:v>
      </x:c>
      <x:c r="Z96" s="141" t="n">
        <x:f>IFERROR(Y96-Y95,"")</x:f>
        <x:v>-41.19086999999999</x:v>
      </x:c>
      <x:c r="AA96" s="141" t="n">
        <x:v>74131.25</x:v>
      </x:c>
      <x:c r="AB96" s="141" t="n">
        <x:f>IFERROR(AA96-AA95,"")</x:f>
        <x:v>65000.5</x:v>
      </x:c>
      <x:c r="AC96" s="141" t="n">
        <x:v>5789.75</x:v>
      </x:c>
      <x:c r="AD96" s="141" t="n">
        <x:f>IFERROR(AC96-AC95,"")</x:f>
        <x:v>4946.5</x:v>
      </x:c>
      <x:c r="AE96" s="141" t="n">
        <x:v>229.345970653544</x:v>
      </x:c>
      <x:c r="AF96" s="147" t="str">
        <x:v>EPU为论文候选代理；其余为官方/公开数据</x:v>
      </x:c>
    </x:row>
    <x:row r="97">
      <x:c r="A97" s="152" t="n">
        <x:v>45261</x:v>
      </x:c>
      <x:c r="B97" s="153" t="n">
        <x:v>2026</x:v>
      </x:c>
      <x:c r="C97" s="153" t="n">
        <x:v>23.9</x:v>
      </x:c>
      <x:c r="D97" s="153" t="n">
        <x:v>77.9</x:v>
      </x:c>
      <x:c r="E97" s="153" t="n">
        <x:v>8400</x:v>
      </x:c>
      <x:c r="F97" s="153" t="n">
        <x:f>IFERROR(B97/C97,"")</x:f>
        <x:v>84.76987447698745</x:v>
      </x:c>
      <x:c r="G97" s="154" t="n">
        <x:f>IFERROR(B97/B96-1,"")</x:f>
        <x:v>0.021169354838709742</x:v>
      </x:c>
      <x:c r="H97" s="154" t="n">
        <x:f>IFERROR(C97/C96-1,"")</x:f>
        <x:v>0.017021276595744705</x:v>
      </x:c>
      <x:c r="I97" s="154" t="n">
        <x:f>IFERROR(D97/D96-1,"")</x:f>
        <x:v>-0.06370192307692302</x:v>
      </x:c>
      <x:c r="J97" s="154" t="n">
        <x:f>IFERROR(E97/E96-1,"")</x:f>
        <x:v>0.02564102564102555</x:v>
      </x:c>
      <x:c r="K97" s="153" t="n">
        <x:v>4.0200000000000005</x:v>
      </x:c>
      <x:c r="L97" s="153" t="n">
        <x:v>1.8354999999999997</x:v>
      </x:c>
      <x:c r="M97" s="153" t="n">
        <x:f>IFERROR(L97-L96,"")</x:f>
        <x:v>-0.3630714285714287</x:v>
      </x:c>
      <x:c r="N97" s="153" t="n">
        <x:v>2.1845</x:v>
      </x:c>
      <x:c r="O97" s="153" t="n">
        <x:v>119.83314</x:v>
      </x:c>
      <x:c r="P97" s="153" t="n">
        <x:f>IFERROR(O97/O96-1,"")</x:f>
        <x:v>-0.011458139818046331</x:v>
      </x:c>
      <x:c r="Q97" s="153" t="n">
        <x:v>12.718499999999999</x:v>
      </x:c>
      <x:c r="R97" s="153" t="n">
        <x:v>5.330000000000002</x:v>
      </x:c>
      <x:c r="S97" s="141" t="n">
        <x:v>308.741</x:v>
      </x:c>
      <x:c r="T97" s="154" t="n">
        <x:f>IFERROR(S97/S85-1,"")</x:f>
        <x:v>0.033159099427102934</x:v>
      </x:c>
      <x:c r="U97" s="141" t="n">
        <x:v>100.6031</x:v>
      </x:c>
      <x:c r="V97" s="154" t="n">
        <x:f>IFERROR(U97/U85-1,"")</x:f>
        <x:v>0.008386591076755323</x:v>
      </x:c>
      <x:c r="W97" s="141" t="n">
        <x:v>7712781</x:v>
      </x:c>
      <x:c r="X97" s="154" t="n">
        <x:f>IFERROR(W97/W96-1,"")</x:f>
        <x:v>-0.010692977105992818</x:v>
      </x:c>
      <x:c r="Y97" s="141" t="n">
        <x:v>142.27946</x:v>
      </x:c>
      <x:c r="Z97" s="141" t="n">
        <x:f>IFERROR(Y97-Y96,"")</x:f>
        <x:v>-14.416680000000014</x:v>
      </x:c>
      <x:c r="AA97" s="141" t="n">
        <x:v>106907.6</x:v>
      </x:c>
      <x:c r="AB97" s="141" t="n">
        <x:f>IFERROR(AA97-AA96,"")</x:f>
        <x:v>32776.350000000006</x:v>
      </x:c>
      <x:c r="AC97" s="141" t="n">
        <x:v>17125.4</x:v>
      </x:c>
      <x:c r="AD97" s="141" t="n">
        <x:f>IFERROR(AC97-AC96,"")</x:f>
        <x:v>11335.650000000001</x:v>
      </x:c>
      <x:c r="AE97" s="141" t="n">
        <x:v>312.794116000289</x:v>
      </x:c>
      <x:c r="AF97" s="147" t="str">
        <x:v>EPU为论文候选代理；其余为官方/公开数据</x:v>
      </x:c>
    </x:row>
    <x:row r="98">
      <x:c r="A98" s="152" t="n">
        <x:v>45292</x:v>
      </x:c>
      <x:c r="B98" s="153" t="n">
        <x:v>2034</x:v>
      </x:c>
      <x:c r="C98" s="153" t="n">
        <x:v>22.9</x:v>
      </x:c>
      <x:c r="D98" s="153" t="n">
        <x:v>80.2</x:v>
      </x:c>
      <x:c r="E98" s="153" t="n">
        <x:v>8339</x:v>
      </x:c>
      <x:c r="F98" s="153" t="n">
        <x:f>IFERROR(B98/C98,"")</x:f>
        <x:v>88.82096069868996</x:v>
      </x:c>
      <x:c r="G98" s="154" t="n">
        <x:f>IFERROR(B98/B97-1,"")</x:f>
        <x:v>0.003948667324777944</x:v>
      </x:c>
      <x:c r="H98" s="154" t="n">
        <x:f>IFERROR(C98/C97-1,"")</x:f>
        <x:v>-0.04184100418410042</x:v>
      </x:c>
      <x:c r="I98" s="154" t="n">
        <x:f>IFERROR(D98/D97-1,"")</x:f>
        <x:v>0.029525032092426073</x:v>
      </x:c>
      <x:c r="J98" s="154" t="n">
        <x:f>IFERROR(E98/E97-1,"")</x:f>
        <x:v>-0.007261904761904803</x:v>
      </x:c>
      <x:c r="K98" s="153" t="n">
        <x:v>4.058095238095238</x:v>
      </x:c>
      <x:c r="L98" s="153" t="n">
        <x:v>1.7919047619047617</x:v>
      </x:c>
      <x:c r="M98" s="153" t="n">
        <x:f>IFERROR(L98-L97,"")</x:f>
        <x:v>-0.04359523809523802</x:v>
      </x:c>
      <x:c r="N98" s="153" t="n">
        <x:v>2.266190476190476</x:v>
      </x:c>
      <x:c r="O98" s="153" t="n">
        <x:v>120.22735714285714</x:v>
      </x:c>
      <x:c r="P98" s="153" t="n">
        <x:f>IFERROR(O98/O97-1,"")</x:f>
        <x:v>0.003289717208921905</x:v>
      </x:c>
      <x:c r="Q98" s="153" t="n">
        <x:v>13.388636363636364</x:v>
      </x:c>
      <x:c r="R98" s="153" t="n">
        <x:v>5.330000000000002</x:v>
      </x:c>
      <x:c r="S98" s="141" t="n">
        <x:v>309.698</x:v>
      </x:c>
      <x:c r="T98" s="154" t="n">
        <x:f>IFERROR(S98/S86-1,"")</x:f>
        <x:v>0.030883429864855705</x:v>
      </x:c>
      <x:c r="U98" s="141" t="n">
        <x:v>99.2223</x:v>
      </x:c>
      <x:c r="V98" s="154" t="n">
        <x:f>IFERROR(U98/U86-1,"")</x:f>
        <x:v>-0.012762549126908995</x:v>
      </x:c>
      <x:c r="W98" s="141" t="n">
        <x:v>7630124</x:v>
      </x:c>
      <x:c r="X98" s="154" t="n">
        <x:f>IFERROR(W98/W97-1,"")</x:f>
        <x:v>-0.010716886684582372</x:v>
      </x:c>
      <x:c r="Y98" s="141" t="n">
        <x:v>160.37366</x:v>
      </x:c>
      <x:c r="Z98" s="141" t="n">
        <x:f>IFERROR(Y98-Y97,"")</x:f>
        <x:v>18.0942</x:v>
      </x:c>
      <x:c r="AA98" s="141" t="n">
        <x:v>85467.5</x:v>
      </x:c>
      <x:c r="AB98" s="141" t="n">
        <x:f>IFERROR(AA98-AA97,"")</x:f>
        <x:v>-21440.100000000006</x:v>
      </x:c>
      <x:c r="AC98" s="141" t="n">
        <x:v>6993.5</x:v>
      </x:c>
      <x:c r="AD98" s="141" t="n">
        <x:f>IFERROR(AC98-AC97,"")</x:f>
        <x:v>-10131.900000000001</x:v>
      </x:c>
      <x:c r="AE98" s="141" t="n">
        <x:v>356.97471648219</x:v>
      </x:c>
      <x:c r="AF98" s="147" t="str">
        <x:v>EPU为论文候选代理；其余为官方/公开数据</x:v>
      </x:c>
    </x:row>
    <x:row r="99">
      <x:c r="A99" s="152" t="n">
        <x:v>45323</x:v>
      </x:c>
      <x:c r="B99" s="153" t="n">
        <x:v>2023</x:v>
      </x:c>
      <x:c r="C99" s="153" t="n">
        <x:v>22.7</x:v>
      </x:c>
      <x:c r="D99" s="153" t="n">
        <x:v>83.8</x:v>
      </x:c>
      <x:c r="E99" s="153" t="n">
        <x:v>8305</x:v>
      </x:c>
      <x:c r="F99" s="153" t="n">
        <x:f>IFERROR(B99/C99,"")</x:f>
        <x:v>89.11894273127754</x:v>
      </x:c>
      <x:c r="G99" s="154" t="n">
        <x:f>IFERROR(B99/B98-1,"")</x:f>
        <x:v>-0.005408062930186808</x:v>
      </x:c>
      <x:c r="H99" s="154" t="n">
        <x:f>IFERROR(C99/C98-1,"")</x:f>
        <x:v>-0.008733624454148492</x:v>
      </x:c>
      <x:c r="I99" s="154" t="n">
        <x:f>IFERROR(D99/D98-1,"")</x:f>
        <x:v>0.0448877805486283</x:v>
      </x:c>
      <x:c r="J99" s="154" t="n">
        <x:f>IFERROR(E99/E98-1,"")</x:f>
        <x:v>-0.004077227485310031</x:v>
      </x:c>
      <x:c r="K99" s="153" t="n">
        <x:v>4.2075000000000005</x:v>
      </x:c>
      <x:c r="L99" s="153" t="n">
        <x:v>1.925</x:v>
      </x:c>
      <x:c r="M99" s="153" t="n">
        <x:f>IFERROR(L99-L98,"")</x:f>
        <x:v>0.13309523809523838</x:v>
      </x:c>
      <x:c r="N99" s="153" t="n">
        <x:v>2.2824999999999998</x:v>
      </x:c>
      <x:c r="O99" s="153" t="n">
        <x:v>121.06594000000003</x:v>
      </x:c>
      <x:c r="P99" s="153" t="n">
        <x:f>IFERROR(O99/O98-1,"")</x:f>
        <x:v>0.006974975388891469</x:v>
      </x:c>
      <x:c r="Q99" s="153" t="n">
        <x:v>13.980476190476189</x:v>
      </x:c>
      <x:c r="R99" s="153" t="n">
        <x:v>5.330000000000001</x:v>
      </x:c>
      <x:c r="S99" s="141" t="n">
        <x:v>310.967</x:v>
      </x:c>
      <x:c r="T99" s="154" t="n">
        <x:f>IFERROR(S99/S87-1,"")</x:f>
        <x:v>0.03157074141648697</x:v>
      </x:c>
      <x:c r="U99" s="141" t="n">
        <x:v>100.285</x:v>
      </x:c>
      <x:c r="V99" s="154" t="n">
        <x:f>IFERROR(U99/U87-1,"")</x:f>
        <x:v>-0.003543266402759926</x:v>
      </x:c>
      <x:c r="W99" s="141" t="n">
        <x:v>7567807</x:v>
      </x:c>
      <x:c r="X99" s="154" t="n">
        <x:f>IFERROR(W99/W98-1,"")</x:f>
        <x:v>-0.00816723293094579</x:v>
      </x:c>
      <x:c r="Y99" s="141" t="n">
        <x:v>146.59818</x:v>
      </x:c>
      <x:c r="Z99" s="141" t="n">
        <x:f>IFERROR(Y99-Y98,"")</x:f>
        <x:v>-13.775479999999988</x:v>
      </x:c>
      <x:c r="AA99" s="141" t="n">
        <x:v>52048</x:v>
      </x:c>
      <x:c r="AB99" s="141" t="n">
        <x:f>IFERROR(AA99-AA98,"")</x:f>
        <x:v>-33419.5</x:v>
      </x:c>
      <x:c r="AC99" s="141" t="n">
        <x:v>-1081.5</x:v>
      </x:c>
      <x:c r="AD99" s="141" t="n">
        <x:f>IFERROR(AC99-AC98,"")</x:f>
        <x:v>-8075</x:v>
      </x:c>
      <x:c r="AE99" s="141" t="n">
        <x:v>170.818001770421</x:v>
      </x:c>
      <x:c r="AF99" s="147" t="str">
        <x:v>EPU为论文候选代理；其余为官方/公开数据</x:v>
      </x:c>
    </x:row>
    <x:row r="100">
      <x:c r="A100" s="152" t="n">
        <x:v>45352</x:v>
      </x:c>
      <x:c r="B100" s="153" t="n">
        <x:v>2158</x:v>
      </x:c>
      <x:c r="C100" s="153" t="n">
        <x:v>24.5</x:v>
      </x:c>
      <x:c r="D100" s="153" t="n">
        <x:v>85.4</x:v>
      </x:c>
      <x:c r="E100" s="153" t="n">
        <x:v>8689</x:v>
      </x:c>
      <x:c r="F100" s="153" t="n">
        <x:f>IFERROR(B100/C100,"")</x:f>
        <x:v>88.08163265306122</x:v>
      </x:c>
      <x:c r="G100" s="154" t="n">
        <x:f>IFERROR(B100/B99-1,"")</x:f>
        <x:v>0.06673257538309452</x:v>
      </x:c>
      <x:c r="H100" s="154" t="n">
        <x:f>IFERROR(C100/C99-1,"")</x:f>
        <x:v>0.07929515418502198</x:v>
      </x:c>
      <x:c r="I100" s="154" t="n">
        <x:f>IFERROR(D100/D99-1,"")</x:f>
        <x:v>0.019093078758950055</x:v>
      </x:c>
      <x:c r="J100" s="154" t="n">
        <x:f>IFERROR(E100/E99-1,"")</x:f>
        <x:v>0.046237206502107275</x:v>
      </x:c>
      <x:c r="K100" s="153" t="n">
        <x:v>4.208499999999999</x:v>
      </x:c>
      <x:c r="L100" s="153" t="n">
        <x:v>1.8970000000000002</x:v>
      </x:c>
      <x:c r="M100" s="153" t="n">
        <x:f>IFERROR(L100-L99,"")</x:f>
        <x:v>-0.027999999999999803</x:v>
      </x:c>
      <x:c r="N100" s="153" t="n">
        <x:v>2.3115</x:v>
      </x:c>
      <x:c r="O100" s="153" t="n">
        <x:v>120.65883333333333</x:v>
      </x:c>
      <x:c r="P100" s="153" t="n">
        <x:f>IFERROR(O100/O99-1,"")</x:f>
        <x:v>-0.0033626853817572133</x:v>
      </x:c>
      <x:c r="Q100" s="153" t="n">
        <x:v>13.787499999999998</x:v>
      </x:c>
      <x:c r="R100" s="153" t="n">
        <x:v>5.330000000000002</x:v>
      </x:c>
      <x:c r="S100" s="141" t="n">
        <x:v>312.345</x:v>
      </x:c>
      <x:c r="T100" s="154" t="n">
        <x:f>IFERROR(S100/S88-1,"")</x:f>
        <x:v>0.034868349120836584</x:v>
      </x:c>
      <x:c r="U100" s="141" t="n">
        <x:v>100.4575</x:v>
      </x:c>
      <x:c r="V100" s="154" t="n">
        <x:f>IFERROR(U100/U88-1,"")</x:f>
        <x:v>-0.00557312624665296</x:v>
      </x:c>
      <x:c r="W100" s="141" t="n">
        <x:v>7484739</x:v>
      </x:c>
      <x:c r="X100" s="154" t="n">
        <x:f>IFERROR(W100/W99-1,"")</x:f>
        <x:v>-0.010976495568663425</x:v>
      </x:c>
      <x:c r="Y100" s="141" t="n">
        <x:v>133.21317</x:v>
      </x:c>
      <x:c r="Z100" s="141" t="n">
        <x:f>IFERROR(Y100-Y99,"")</x:f>
        <x:v>-13.385010000000023</x:v>
      </x:c>
      <x:c r="AA100" s="141" t="n">
        <x:v>117138</x:v>
      </x:c>
      <x:c r="AB100" s="141" t="n">
        <x:f>IFERROR(AA100-AA99,"")</x:f>
        <x:v>65090</x:v>
      </x:c>
      <x:c r="AC100" s="141" t="n">
        <x:v>20716.8</x:v>
      </x:c>
      <x:c r="AD100" s="141" t="n">
        <x:f>IFERROR(AC100-AC99,"")</x:f>
        <x:v>21798.3</x:v>
      </x:c>
      <x:c r="AE100" s="141" t="n">
        <x:v>242.846612100357</x:v>
      </x:c>
      <x:c r="AF100" s="147" t="str">
        <x:v>EPU为论文候选代理；其余为官方/公开数据</x:v>
      </x:c>
    </x:row>
    <x:row r="101">
      <x:c r="A101" s="152" t="n">
        <x:v>45383</x:v>
      </x:c>
      <x:c r="B101" s="153" t="n">
        <x:v>2331</x:v>
      </x:c>
      <x:c r="C101" s="153" t="n">
        <x:v>27.5</x:v>
      </x:c>
      <x:c r="D101" s="153" t="n">
        <x:v>90.1</x:v>
      </x:c>
      <x:c r="E101" s="153" t="n">
        <x:v>9464</x:v>
      </x:c>
      <x:c r="F101" s="153" t="n">
        <x:f>IFERROR(B101/C101,"")</x:f>
        <x:v>84.76363636363637</x:v>
      </x:c>
      <x:c r="G101" s="154" t="n">
        <x:f>IFERROR(B101/B100-1,"")</x:f>
        <x:v>0.08016682113067652</x:v>
      </x:c>
      <x:c r="H101" s="154" t="n">
        <x:f>IFERROR(C101/C100-1,"")</x:f>
        <x:v>0.12244897959183665</x:v>
      </x:c>
      <x:c r="I101" s="154" t="n">
        <x:f>IFERROR(D101/D100-1,"")</x:f>
        <x:v>0.05503512880562056</x:v>
      </x:c>
      <x:c r="J101" s="154" t="n">
        <x:f>IFERROR(E101/E100-1,"")</x:f>
        <x:v>0.08919323282310976</x:v>
      </x:c>
      <x:c r="K101" s="153" t="n">
        <x:v>4.53909090909091</x:v>
      </x:c>
      <x:c r="L101" s="153" t="n">
        <x:v>2.145</x:v>
      </x:c>
      <x:c r="M101" s="153" t="n">
        <x:f>IFERROR(L101-L100,"")</x:f>
        <x:v>0.24799999999999978</x:v>
      </x:c>
      <x:c r="N101" s="153" t="n">
        <x:v>2.3940909090909086</x:v>
      </x:c>
      <x:c r="O101" s="153" t="n">
        <x:v>122.1428136363636</x:v>
      </x:c>
      <x:c r="P101" s="153" t="n">
        <x:f>IFERROR(O101/O100-1,"")</x:f>
        <x:v>0.01229897772118016</x:v>
      </x:c>
      <x:c r="Q101" s="153" t="n">
        <x:v>16.137727272727275</x:v>
      </x:c>
      <x:c r="R101" s="153" t="n">
        <x:v>5.330000000000001</x:v>
      </x:c>
      <x:c r="S101" s="141" t="n">
        <x:v>313.023</x:v>
      </x:c>
      <x:c r="T101" s="154" t="n">
        <x:f>IFERROR(S101/S89-1,"")</x:f>
        <x:v>0.033607951262196734</x:v>
      </x:c>
      <x:c r="U101" s="141" t="n">
        <x:v>100.2434</x:v>
      </x:c>
      <x:c r="V101" s="154" t="n">
        <x:f>IFERROR(U101/U89-1,"")</x:f>
        <x:v>-0.009971062585799939</x:v>
      </x:c>
      <x:c r="W101" s="141" t="n">
        <x:v>7402434</x:v>
      </x:c>
      <x:c r="X101" s="154" t="n">
        <x:f>IFERROR(W101/W100-1,"")</x:f>
        <x:v>-0.010996375424714211</x:v>
      </x:c>
      <x:c r="Y101" s="141" t="n">
        <x:v>163.94734</x:v>
      </x:c>
      <x:c r="Z101" s="141" t="n">
        <x:f>IFERROR(Y101-Y100,"")</x:f>
        <x:v>30.734170000000006</x:v>
      </x:c>
      <x:c r="AA101" s="141" t="n">
        <x:v>141421.75</x:v>
      </x:c>
      <x:c r="AB101" s="141" t="n">
        <x:f>IFERROR(AA101-AA100,"")</x:f>
        <x:v>24283.75</x:v>
      </x:c>
      <x:c r="AC101" s="141" t="n">
        <x:v>37378.75</x:v>
      </x:c>
      <x:c r="AD101" s="141" t="n">
        <x:f>IFERROR(AC101-AC100,"")</x:f>
        <x:v>16661.95</x:v>
      </x:c>
      <x:c r="AE101" s="141" t="n">
        <x:v>166.740435130865</x:v>
      </x:c>
      <x:c r="AF101" s="147" t="str">
        <x:v>EPU为论文候选代理；其余为官方/公开数据</x:v>
      </x:c>
    </x:row>
    <x:row r="102">
      <x:c r="A102" s="152" t="n">
        <x:v>45413</x:v>
      </x:c>
      <x:c r="B102" s="153" t="n">
        <x:v>2351</x:v>
      </x:c>
      <x:c r="C102" s="153" t="n">
        <x:v>29.4</x:v>
      </x:c>
      <x:c r="D102" s="153" t="n">
        <x:v>82</x:v>
      </x:c>
      <x:c r="E102" s="153" t="n">
        <x:v>10139</x:v>
      </x:c>
      <x:c r="F102" s="153" t="n">
        <x:f>IFERROR(B102/C102,"")</x:f>
        <x:v>79.96598639455783</x:v>
      </x:c>
      <x:c r="G102" s="154" t="n">
        <x:f>IFERROR(B102/B101-1,"")</x:f>
        <x:v>0.008580008580008514</x:v>
      </x:c>
      <x:c r="H102" s="154" t="n">
        <x:f>IFERROR(C102/C101-1,"")</x:f>
        <x:v>0.06909090909090909</x:v>
      </x:c>
      <x:c r="I102" s="154" t="n">
        <x:f>IFERROR(D102/D101-1,"")</x:f>
        <x:v>-0.08990011098779127</x:v>
      </x:c>
      <x:c r="J102" s="154" t="n">
        <x:f>IFERROR(E102/E101-1,"")</x:f>
        <x:v>0.0713229078613693</x:v>
      </x:c>
      <x:c r="K102" s="153" t="n">
        <x:v>4.482272727272727</x:v>
      </x:c>
      <x:c r="L102" s="153" t="n">
        <x:v>2.1481818181818184</x:v>
      </x:c>
      <x:c r="M102" s="153" t="n">
        <x:f>IFERROR(L102-L101,"")</x:f>
        <x:v>0.0031818181818183966</x:v>
      </x:c>
      <x:c r="N102" s="153" t="n">
        <x:v>2.3340909090909085</x:v>
      </x:c>
      <x:c r="O102" s="153" t="n">
        <x:v>121.8583409090909</x:v>
      </x:c>
      <x:c r="P102" s="153" t="n">
        <x:f>IFERROR(O102/O101-1,"")</x:f>
        <x:v>-0.002329017310176096</x:v>
      </x:c>
      <x:c r="Q102" s="153" t="n">
        <x:v>13.058695652173913</x:v>
      </x:c>
      <x:c r="R102" s="153" t="n">
        <x:v>5.330000000000002</x:v>
      </x:c>
      <x:c r="S102" s="141" t="n">
        <x:v>313.175</x:v>
      </x:c>
      <x:c r="T102" s="154" t="n">
        <x:f>IFERROR(S102/S90-1,"")</x:f>
        <x:v>0.03244278584003113</x:v>
      </x:c>
      <x:c r="U102" s="141" t="n">
        <x:v>100.863</x:v>
      </x:c>
      <x:c r="V102" s="154" t="n">
        <x:f>IFERROR(U102/U90-1,"")</x:f>
        <x:v>-0.0006499644303002983</x:v>
      </x:c>
      <x:c r="W102" s="141" t="n">
        <x:v>7284319</x:v>
      </x:c>
      <x:c r="X102" s="154" t="n">
        <x:f>IFERROR(W102/W101-1,"")</x:f>
        <x:v>-0.01595623817787506</x:v>
      </x:c>
      <x:c r="Y102" s="141" t="n">
        <x:v>130.52187</x:v>
      </x:c>
      <x:c r="Z102" s="141" t="n">
        <x:f>IFERROR(Y102-Y101,"")</x:f>
        <x:v>-33.42546999999999</x:v>
      </x:c>
      <x:c r="AA102" s="141" t="n">
        <x:v>137782.4</x:v>
      </x:c>
      <x:c r="AB102" s="141" t="n">
        <x:f>IFERROR(AA102-AA101,"")</x:f>
        <x:v>-3639.350000000006</x:v>
      </x:c>
      <x:c r="AC102" s="141" t="n">
        <x:v>36340.2</x:v>
      </x:c>
      <x:c r="AD102" s="141" t="n">
        <x:f>IFERROR(AC102-AC101,"")</x:f>
        <x:v>-1038.550000000003</x:v>
      </x:c>
      <x:c r="AE102" s="141" t="n">
        <x:v>206.280442270518</x:v>
      </x:c>
      <x:c r="AF102" s="147" t="str">
        <x:v>EPU为论文候选代理；其余为官方/公开数据</x:v>
      </x:c>
    </x:row>
    <x:row r="103">
      <x:c r="A103" s="152" t="n">
        <x:v>45444</x:v>
      </x:c>
      <x:c r="B103" s="153" t="n">
        <x:v>2326</x:v>
      </x:c>
      <x:c r="C103" s="153" t="n">
        <x:v>29.6</x:v>
      </x:c>
      <x:c r="D103" s="153" t="n">
        <x:v>82.6</x:v>
      </x:c>
      <x:c r="E103" s="153" t="n">
        <x:v>9648</x:v>
      </x:c>
      <x:c r="F103" s="153" t="n">
        <x:f>IFERROR(B103/C103,"")</x:f>
        <x:v>78.58108108108108</x:v>
      </x:c>
      <x:c r="G103" s="154" t="n">
        <x:f>IFERROR(B103/B102-1,"")</x:f>
        <x:v>-0.01063377286261169</x:v>
      </x:c>
      <x:c r="H103" s="154" t="n">
        <x:f>IFERROR(C103/C102-1,"")</x:f>
        <x:v>0.006802721088435382</x:v>
      </x:c>
      <x:c r="I103" s="154" t="n">
        <x:f>IFERROR(D103/D102-1,"")</x:f>
        <x:v>0.007317073170731714</x:v>
      </x:c>
      <x:c r="J103" s="154" t="n">
        <x:f>IFERROR(E103/E102-1,"")</x:f>
        <x:v>-0.04842686655488704</x:v>
      </x:c>
      <x:c r="K103" s="153" t="n">
        <x:v>4.305263157894737</x:v>
      </x:c>
      <x:c r="L103" s="153" t="n">
        <x:v>2.0500000000000003</x:v>
      </x:c>
      <x:c r="M103" s="153" t="n">
        <x:f>IFERROR(L103-L102,"")</x:f>
        <x:v>-0.09818181818181815</x:v>
      </x:c>
      <x:c r="N103" s="153" t="n">
        <x:v>2.255263157894737</x:v>
      </x:c>
      <x:c r="O103" s="153" t="n">
        <x:v>123.70947894736845</x:v>
      </x:c>
      <x:c r="P103" s="153" t="n">
        <x:f>IFERROR(O103/O102-1,"")</x:f>
        <x:v>0.015190901373411503</x:v>
      </x:c>
      <x:c r="Q103" s="153" t="n">
        <x:v>12.667</x:v>
      </x:c>
      <x:c r="R103" s="153" t="n">
        <x:v>5.330000000000001</x:v>
      </x:c>
      <x:c r="S103" s="141" t="n">
        <x:v>313.044</x:v>
      </x:c>
      <x:c r="T103" s="154" t="n">
        <x:f>IFERROR(S103/S91-1,"")</x:f>
        <x:v>0.029702579486470926</x:v>
      </x:c>
      <x:c r="U103" s="141" t="n">
        <x:v>100.894</x:v>
      </x:c>
      <x:c r="V103" s="154" t="n">
        <x:f>IFERROR(U103/U91-1,"")</x:f>
        <x:v>0.007734749239909133</x:v>
      </x:c>
      <x:c r="W103" s="141" t="n">
        <x:v>7231163</x:v>
      </x:c>
      <x:c r="X103" s="154" t="n">
        <x:f>IFERROR(W103/W102-1,"")</x:f>
        <x:v>-0.007297319076773001</x:v>
      </x:c>
      <x:c r="Y103" s="141" t="n">
        <x:v>113.0928</x:v>
      </x:c>
      <x:c r="Z103" s="141" t="n">
        <x:f>IFERROR(Y103-Y102,"")</x:f>
        <x:v>-17.42907000000001</x:v>
      </x:c>
      <x:c r="AA103" s="141" t="n">
        <x:v>156021.75</x:v>
      </x:c>
      <x:c r="AB103" s="141" t="n">
        <x:f>IFERROR(AA103-AA102,"")</x:f>
        <x:v>18239.350000000006</x:v>
      </x:c>
      <x:c r="AC103" s="141" t="n">
        <x:v>31446.5</x:v>
      </x:c>
      <x:c r="AD103" s="141" t="n">
        <x:f>IFERROR(AC103-AC102,"")</x:f>
        <x:v>-4893.699999999997</x:v>
      </x:c>
      <x:c r="AE103" s="141" t="n">
        <x:v>124.295466936886</x:v>
      </x:c>
      <x:c r="AF103" s="147" t="str">
        <x:v>EPU为论文候选代理；其余为官方/公开数据</x:v>
      </x:c>
    </x:row>
    <x:row r="104">
      <x:c r="A104" s="152" t="n">
        <x:v>45474</x:v>
      </x:c>
      <x:c r="B104" s="153" t="n">
        <x:v>2398</x:v>
      </x:c>
      <x:c r="C104" s="153" t="n">
        <x:v>29.8</x:v>
      </x:c>
      <x:c r="D104" s="153" t="n">
        <x:v>85.3</x:v>
      </x:c>
      <x:c r="E104" s="153" t="n">
        <x:v>9385</x:v>
      </x:c>
      <x:c r="F104" s="153" t="n">
        <x:f>IFERROR(B104/C104,"")</x:f>
        <x:v>80.46979865771812</x:v>
      </x:c>
      <x:c r="G104" s="154" t="n">
        <x:f>IFERROR(B104/B103-1,"")</x:f>
        <x:v>0.03095442820292349</x:v>
      </x:c>
      <x:c r="H104" s="154" t="n">
        <x:f>IFERROR(C104/C103-1,"")</x:f>
        <x:v>0.006756756756756799</x:v>
      </x:c>
      <x:c r="I104" s="154" t="n">
        <x:f>IFERROR(D104/D103-1,"")</x:f>
        <x:v>0.032687651331719136</x:v>
      </x:c>
      <x:c r="J104" s="154" t="n">
        <x:f>IFERROR(E104/E103-1,"")</x:f>
        <x:v>-0.02725953565505801</x:v>
      </x:c>
      <x:c r="K104" s="153" t="n">
        <x:v>4.248636363636365</x:v>
      </x:c>
      <x:c r="L104" s="153" t="n">
        <x:v>1.9740909090909093</x:v>
      </x:c>
      <x:c r="M104" s="153" t="n">
        <x:f>IFERROR(L104-L103,"")</x:f>
        <x:v>-0.07590909090909093</x:v>
      </x:c>
      <x:c r="N104" s="153" t="n">
        <x:v>2.274545454545455</x:v>
      </x:c>
      <x:c r="O104" s="153" t="n">
        <x:v>123.38243636363636</x:v>
      </x:c>
      <x:c r="P104" s="153" t="n">
        <x:f>IFERROR(O104/O103-1,"")</x:f>
        <x:v>-0.002643633992438277</x:v>
      </x:c>
      <x:c r="Q104" s="153" t="n">
        <x:v>14.373913043478263</x:v>
      </x:c>
      <x:c r="R104" s="153" t="n">
        <x:v>5.330000000000002</x:v>
      </x:c>
      <x:c r="S104" s="141" t="n">
        <x:v>313.569</x:v>
      </x:c>
      <x:c r="T104" s="154" t="n">
        <x:f>IFERROR(S104/S92-1,"")</x:f>
        <x:v>0.029414757935583014</x:v>
      </x:c>
      <x:c r="U104" s="141" t="n">
        <x:v>99.9757</x:v>
      </x:c>
      <x:c r="V104" s="154" t="n">
        <x:f>IFERROR(U104/U92-1,"")</x:f>
        <x:v>-0.009226344732312097</x:v>
      </x:c>
      <x:c r="W104" s="141" t="n">
        <x:v>7178391</x:v>
      </x:c>
      <x:c r="X104" s="154" t="n">
        <x:f>IFERROR(W104/W103-1,"")</x:f>
        <x:v>-0.007297857896440774</x:v>
      </x:c>
      <x:c r="Y104" s="141" t="n">
        <x:v>92.394875</x:v>
      </x:c>
      <x:c r="Z104" s="141" t="n">
        <x:f>IFERROR(Y104-Y103,"")</x:f>
        <x:v>-20.697924999999998</x:v>
      </x:c>
      <x:c r="AA104" s="141" t="n">
        <x:v>163918.5</x:v>
      </x:c>
      <x:c r="AB104" s="141" t="n">
        <x:f>IFERROR(AA104-AA103,"")</x:f>
        <x:v>7896.75</x:v>
      </x:c>
      <x:c r="AC104" s="141" t="n">
        <x:v>32872</x:v>
      </x:c>
      <x:c r="AD104" s="141" t="n">
        <x:f>IFERROR(AC104-AC103,"")</x:f>
        <x:v>1425.5</x:v>
      </x:c>
      <x:c r="AE104" s="141" t="n">
        <x:v>278.561630309805</x:v>
      </x:c>
      <x:c r="AF104" s="147" t="str">
        <x:v>EPU为论文候选代理；其余为官方/公开数据</x:v>
      </x:c>
    </x:row>
    <x:row r="105">
      <x:c r="A105" s="152" t="n">
        <x:v>45505</x:v>
      </x:c>
      <x:c r="B105" s="153" t="n">
        <x:v>2470</x:v>
      </x:c>
      <x:c r="C105" s="153" t="n">
        <x:v>28.5</x:v>
      </x:c>
      <x:c r="D105" s="153" t="n">
        <x:v>80.9</x:v>
      </x:c>
      <x:c r="E105" s="153" t="n">
        <x:v>8972</x:v>
      </x:c>
      <x:c r="F105" s="153" t="n">
        <x:f>IFERROR(B105/C105,"")</x:f>
        <x:v>86.66666666666667</x:v>
      </x:c>
      <x:c r="G105" s="154" t="n">
        <x:f>IFERROR(B105/B104-1,"")</x:f>
        <x:v>0.030025020850708906</x:v>
      </x:c>
      <x:c r="H105" s="154" t="n">
        <x:f>IFERROR(C105/C104-1,"")</x:f>
        <x:v>-0.043624161073825496</x:v>
      </x:c>
      <x:c r="I105" s="154" t="n">
        <x:f>IFERROR(D105/D104-1,"")</x:f>
        <x:v>-0.05158264947245006</x:v>
      </x:c>
      <x:c r="J105" s="154" t="n">
        <x:f>IFERROR(E105/E104-1,"")</x:f>
        <x:v>-0.044006393180607395</x:v>
      </x:c>
      <x:c r="K105" s="153" t="n">
        <x:v>3.8709090909090906</x:v>
      </x:c>
      <x:c r="L105" s="153" t="n">
        <x:v>1.7609090909090908</x:v>
      </x:c>
      <x:c r="M105" s="153" t="n">
        <x:f>IFERROR(L105-L104,"")</x:f>
        <x:v>-0.21318181818181858</x:v>
      </x:c>
      <x:c r="N105" s="153" t="n">
        <x:v>2.11</x:v>
      </x:c>
      <x:c r="O105" s="153" t="n">
        <x:v>122.6137409090909</x:v>
      </x:c>
      <x:c r="P105" s="153" t="n">
        <x:f>IFERROR(O105/O104-1,"")</x:f>
        <x:v>-0.006230185407264499</x:v>
      </x:c>
      <x:c r="Q105" s="153" t="n">
        <x:v>19.312272727272724</x:v>
      </x:c>
      <x:c r="R105" s="153" t="n">
        <x:v>5.330000000000002</x:v>
      </x:c>
      <x:c r="S105" s="141" t="n">
        <x:v>314.062</x:v>
      </x:c>
      <x:c r="T105" s="154" t="n">
        <x:f>IFERROR(S105/S93-1,"")</x:f>
        <x:v>0.02607144490692037</x:v>
      </x:c>
      <x:c r="U105" s="141" t="n">
        <x:v>100.4309</x:v>
      </x:c>
      <x:c r="V105" s="154" t="n">
        <x:f>IFERROR(U105/U93-1,"")</x:f>
        <x:v>-0.004050008280501727</x:v>
      </x:c>
      <x:c r="W105" s="141" t="n">
        <x:v>7123238</x:v>
      </x:c>
      <x:c r="X105" s="154" t="n">
        <x:f>IFERROR(W105/W104-1,"")</x:f>
        <x:v>-0.007683198087147902</x:v>
      </x:c>
      <x:c r="Y105" s="141" t="n">
        <x:v>140.97507</x:v>
      </x:c>
      <x:c r="Z105" s="141" t="n">
        <x:f>IFERROR(Y105-Y104,"")</x:f>
        <x:v>48.58019499999999</x:v>
      </x:c>
      <x:c r="AA105" s="141" t="n">
        <x:v>174932.2</x:v>
      </x:c>
      <x:c r="AB105" s="141" t="n">
        <x:f>IFERROR(AA105-AA104,"")</x:f>
        <x:v>11013.700000000012</x:v>
      </x:c>
      <x:c r="AC105" s="141" t="n">
        <x:v>26991.8</x:v>
      </x:c>
      <x:c r="AD105" s="141" t="n">
        <x:f>IFERROR(AC105-AC104,"")</x:f>
        <x:v>-5880.200000000001</x:v>
      </x:c>
      <x:c r="AE105" s="141" t="n">
        <x:v>207.982325897929</x:v>
      </x:c>
      <x:c r="AF105" s="147" t="str">
        <x:v>EPU为论文候选代理；其余为官方/公开数据</x:v>
      </x:c>
    </x:row>
    <x:row r="106">
      <x:c r="A106" s="152" t="n">
        <x:v>45536</x:v>
      </x:c>
      <x:c r="B106" s="153" t="n">
        <x:v>2571</x:v>
      </x:c>
      <x:c r="C106" s="153" t="n">
        <x:v>30.1</x:v>
      </x:c>
      <x:c r="D106" s="153" t="n">
        <x:v>74.3</x:v>
      </x:c>
      <x:c r="E106" s="153" t="n">
        <x:v>9237</x:v>
      </x:c>
      <x:c r="F106" s="153" t="n">
        <x:f>IFERROR(B106/C106,"")</x:f>
        <x:v>85.41528239202657</x:v>
      </x:c>
      <x:c r="G106" s="154" t="n">
        <x:f>IFERROR(B106/B105-1,"")</x:f>
        <x:v>0.04089068825910935</x:v>
      </x:c>
      <x:c r="H106" s="154" t="n">
        <x:f>IFERROR(C106/C105-1,"")</x:f>
        <x:v>0.056140350877192935</x:v>
      </x:c>
      <x:c r="I106" s="154" t="n">
        <x:f>IFERROR(D106/D105-1,"")</x:f>
        <x:v>-0.08158220024721885</x:v>
      </x:c>
      <x:c r="J106" s="154" t="n">
        <x:f>IFERROR(E106/E105-1,"")</x:f>
        <x:v>0.029536335265269775</x:v>
      </x:c>
      <x:c r="K106" s="153" t="n">
        <x:v>3.7235</x:v>
      </x:c>
      <x:c r="L106" s="153" t="n">
        <x:v>1.616</x:v>
      </x:c>
      <x:c r="M106" s="153" t="n">
        <x:f>IFERROR(L106-L105,"")</x:f>
        <x:v>-0.14490909090909065</x:v>
      </x:c>
      <x:c r="N106" s="153" t="n">
        <x:v>2.1074999999999995</x:v>
      </x:c>
      <x:c r="O106" s="153" t="n">
        <x:v>121.88485500000002</x:v>
      </x:c>
      <x:c r="P106" s="153" t="n">
        <x:f>IFERROR(O106/O105-1,"")</x:f>
        <x:v>-0.005944569537530864</x:v>
      </x:c>
      <x:c r="Q106" s="153" t="n">
        <x:v>17.66333333333333</x:v>
      </x:c>
      <x:c r="R106" s="153" t="n">
        <x:v>5.130000000000001</x:v>
      </x:c>
      <x:c r="S106" s="141" t="n">
        <x:v>314.732</x:v>
      </x:c>
      <x:c r="T106" s="154" t="n">
        <x:f>IFERROR(S106/S94-1,"")</x:f>
        <x:v>0.024264830315416708</x:v>
      </x:c>
      <x:c r="U106" s="141" t="n">
        <x:v>99.8084</x:v>
      </x:c>
      <x:c r="V106" s="154" t="n">
        <x:f>IFERROR(U106/U94-1,"")</x:f>
        <x:v>-0.012004422838397089</x:v>
      </x:c>
      <x:c r="W106" s="141" t="n">
        <x:v>7080059</x:v>
      </x:c>
      <x:c r="X106" s="154" t="n">
        <x:f>IFERROR(W106/W105-1,"")</x:f>
        <x:v>-0.006061709576459462</x:v>
      </x:c>
      <x:c r="Y106" s="141" t="n">
        <x:v>130.35878</x:v>
      </x:c>
      <x:c r="Z106" s="141" t="n">
        <x:f>IFERROR(Y106-Y105,"")</x:f>
        <x:v>-10.616289999999992</x:v>
      </x:c>
      <x:c r="AA106" s="141" t="n">
        <x:v>204482.25</x:v>
      </x:c>
      <x:c r="AB106" s="141" t="n">
        <x:f>IFERROR(AA106-AA105,"")</x:f>
        <x:v>29550.04999999999</x:v>
      </x:c>
      <x:c r="AC106" s="141" t="n">
        <x:v>33478.5</x:v>
      </x:c>
      <x:c r="AD106" s="141" t="n">
        <x:f>IFERROR(AC106-AC105,"")</x:f>
        <x:v>6486.700000000001</x:v>
      </x:c>
      <x:c r="AE106" s="141" t="n">
        <x:v>223.656415028356</x:v>
      </x:c>
      <x:c r="AF106" s="147" t="str">
        <x:v>EPU为论文候选代理；其余为官方/公开数据</x:v>
      </x:c>
    </x:row>
    <x:row r="107">
      <x:c r="A107" s="152" t="n">
        <x:v>45566</x:v>
      </x:c>
      <x:c r="B107" s="153" t="n">
        <x:v>2690</x:v>
      </x:c>
      <x:c r="C107" s="153" t="n">
        <x:v>32.4</x:v>
      </x:c>
      <x:c r="D107" s="153" t="n">
        <x:v>75.7</x:v>
      </x:c>
      <x:c r="E107" s="153" t="n">
        <x:v>9534</x:v>
      </x:c>
      <x:c r="F107" s="153" t="n">
        <x:f>IFERROR(B107/C107,"")</x:f>
        <x:v>83.0246913580247</x:v>
      </x:c>
      <x:c r="G107" s="154" t="n">
        <x:f>IFERROR(B107/B106-1,"")</x:f>
        <x:v>0.04628549202644883</x:v>
      </x:c>
      <x:c r="H107" s="154" t="n">
        <x:f>IFERROR(C107/C106-1,"")</x:f>
        <x:v>0.07641196013289031</x:v>
      </x:c>
      <x:c r="I107" s="154" t="n">
        <x:f>IFERROR(D107/D106-1,"")</x:f>
        <x:v>0.018842530282638048</x:v>
      </x:c>
      <x:c r="J107" s="154" t="n">
        <x:f>IFERROR(E107/E106-1,"")</x:f>
        <x:v>0.032153296524845665</x:v>
      </x:c>
      <x:c r="K107" s="153" t="n">
        <x:v>4.095454545454545</x:v>
      </x:c>
      <x:c r="L107" s="153" t="n">
        <x:v>1.8095454545454546</x:v>
      </x:c>
      <x:c r="M107" s="153" t="n">
        <x:f>IFERROR(L107-L106,"")</x:f>
        <x:v>0.19354545454545447</x:v>
      </x:c>
      <x:c r="N107" s="153" t="n">
        <x:v>2.2859090909090907</x:v>
      </x:c>
      <x:c r="O107" s="153" t="n">
        <x:v>123.59529090909092</x:v>
      </x:c>
      <x:c r="P107" s="153" t="n">
        <x:f>IFERROR(O107/O106-1,"")</x:f>
        <x:v>0.01403321117370071</x:v>
      </x:c>
      <x:c r="Q107" s="153" t="n">
        <x:v>19.960869565217394</x:v>
      </x:c>
      <x:c r="R107" s="153" t="n">
        <x:v>4.830000000000001</x:v>
      </x:c>
      <x:c r="S107" s="141" t="n">
        <x:v>315.631</x:v>
      </x:c>
      <x:c r="T107" s="154" t="n">
        <x:f>IFERROR(S107/S95-1,"")</x:f>
        <x:v>0.02578844053871343</x:v>
      </x:c>
      <x:c r="U107" s="141" t="n">
        <x:v>99.4695</x:v>
      </x:c>
      <x:c r="V107" s="154" t="n">
        <x:f>IFERROR(U107/U95-1,"")</x:f>
        <x:v>-0.009947356843759692</x:v>
      </x:c>
      <x:c r="W107" s="141" t="n">
        <x:v>7013490</x:v>
      </x:c>
      <x:c r="X107" s="154" t="n">
        <x:f>IFERROR(W107/W106-1,"")</x:f>
        <x:v>-0.009402322777253724</x:v>
      </x:c>
      <x:c r="Y107" s="141" t="n">
        <x:v>130.68921</x:v>
      </x:c>
      <x:c r="Z107" s="141" t="n">
        <x:f>IFERROR(Y107-Y106,"")</x:f>
        <x:v>0.3304300000000069</x:v>
      </x:c>
      <x:c r="AA107" s="141" t="n">
        <x:v>203275.5</x:v>
      </x:c>
      <x:c r="AB107" s="141" t="n">
        <x:f>IFERROR(AA107-AA106,"")</x:f>
        <x:v>-1206.75</x:v>
      </x:c>
      <x:c r="AC107" s="141" t="n">
        <x:v>38077.5</x:v>
      </x:c>
      <x:c r="AD107" s="141" t="n">
        <x:f>IFERROR(AC107-AC106,"")</x:f>
        <x:v>4599</x:v>
      </x:c>
      <x:c r="AE107" s="141" t="n">
        <x:v>228.078182581377</x:v>
      </x:c>
      <x:c r="AF107" s="147" t="str">
        <x:v>EPU为论文候选代理；其余为官方/公开数据</x:v>
      </x:c>
    </x:row>
    <x:row r="108">
      <x:c r="A108" s="152" t="n">
        <x:v>45597</x:v>
      </x:c>
      <x:c r="B108" s="153" t="n">
        <x:v>2651</x:v>
      </x:c>
      <x:c r="C108" s="153" t="n">
        <x:v>31.1</x:v>
      </x:c>
      <x:c r="D108" s="153" t="n">
        <x:v>74.4</x:v>
      </x:c>
      <x:c r="E108" s="153" t="n">
        <x:v>9076</x:v>
      </x:c>
      <x:c r="F108" s="153" t="n">
        <x:f>IFERROR(B108/C108,"")</x:f>
        <x:v>85.2411575562701</x:v>
      </x:c>
      <x:c r="G108" s="154" t="n">
        <x:f>IFERROR(B108/B107-1,"")</x:f>
        <x:v>-0.014498141263940556</x:v>
      </x:c>
      <x:c r="H108" s="154" t="n">
        <x:f>IFERROR(C108/C107-1,"")</x:f>
        <x:v>-0.04012345679012341</x:v>
      </x:c>
      <x:c r="I108" s="154" t="n">
        <x:f>IFERROR(D108/D107-1,"")</x:f>
        <x:v>-0.017173051519154492</x:v>
      </x:c>
      <x:c r="J108" s="154" t="n">
        <x:f>IFERROR(E108/E107-1,"")</x:f>
        <x:v>-0.048038598699391644</x:v>
      </x:c>
      <x:c r="K108" s="153" t="n">
        <x:v>4.35578947368421</x:v>
      </x:c>
      <x:c r="L108" s="153" t="n">
        <x:v>2.034736842105264</x:v>
      </x:c>
      <x:c r="M108" s="153" t="n">
        <x:f>IFERROR(L108-L107,"")</x:f>
        <x:v>0.22519138755980928</x:v>
      </x:c>
      <x:c r="N108" s="153" t="n">
        <x:v>2.3210526315789473</x:v>
      </x:c>
      <x:c r="O108" s="153" t="n">
        <x:v>126.31133684210526</x:v>
      </x:c>
      <x:c r="P108" s="153" t="n">
        <x:f>IFERROR(O108/O107-1,"")</x:f>
        <x:v>0.021975318906058527</x:v>
      </x:c>
      <x:c r="Q108" s="153" t="n">
        <x:v>16.015238095238097</x:v>
      </x:c>
      <x:c r="R108" s="153" t="n">
        <x:v>4.638333333333334</x:v>
      </x:c>
      <x:c r="S108" s="141" t="n">
        <x:v>316.528</x:v>
      </x:c>
      <x:c r="T108" s="154" t="n">
        <x:f>IFERROR(S108/S96-1,"")</x:f>
        <x:v>0.02719472461284833</x:v>
      </x:c>
      <x:c r="U108" s="141" t="n">
        <x:v>99.2925</x:v>
      </x:c>
      <x:c r="V108" s="154" t="n">
        <x:f>IFERROR(U108/U96-1,"")</x:f>
        <x:v>-0.015579409481489392</x:v>
      </x:c>
      <x:c r="W108" s="141" t="n">
        <x:v>6905140</x:v>
      </x:c>
      <x:c r="X108" s="154" t="n">
        <x:f>IFERROR(W108/W107-1,"")</x:f>
        <x:v>-0.015448799385184842</x:v>
      </x:c>
      <x:c r="Y108" s="141" t="n">
        <x:v>128.90164</x:v>
      </x:c>
      <x:c r="Z108" s="141" t="n">
        <x:f>IFERROR(Y108-Y107,"")</x:f>
        <x:v>-1.7875700000000165</x:v>
      </x:c>
      <x:c r="AA108" s="141" t="n">
        <x:v>175587.2</x:v>
      </x:c>
      <x:c r="AB108" s="141" t="n">
        <x:f>IFERROR(AA108-AA107,"")</x:f>
        <x:v>-27688.29999999999</x:v>
      </x:c>
      <x:c r="AC108" s="141" t="n">
        <x:v>29063.6</x:v>
      </x:c>
      <x:c r="AD108" s="141" t="n">
        <x:f>IFERROR(AC108-AC107,"")</x:f>
        <x:v>-9013.900000000001</x:v>
      </x:c>
      <x:c r="AE108" s="141" t="n">
        <x:v>233.826349569436</x:v>
      </x:c>
      <x:c r="AF108" s="147" t="str">
        <x:v>EPU为论文候选代理；其余为官方/公开数据</x:v>
      </x:c>
    </x:row>
    <x:row r="109">
      <x:c r="A109" s="152" t="n">
        <x:v>45627</x:v>
      </x:c>
      <x:c r="B109" s="153" t="n">
        <x:v>2648</x:v>
      </x:c>
      <x:c r="C109" s="153" t="n">
        <x:v>30.8</x:v>
      </x:c>
      <x:c r="D109" s="153" t="n">
        <x:v>73.8</x:v>
      </x:c>
      <x:c r="E109" s="153" t="n">
        <x:v>8916</x:v>
      </x:c>
      <x:c r="F109" s="153" t="n">
        <x:f>IFERROR(B109/C109,"")</x:f>
        <x:v>85.97402597402598</x:v>
      </x:c>
      <x:c r="G109" s="154" t="n">
        <x:f>IFERROR(B109/B108-1,"")</x:f>
        <x:v>-0.0011316484345530453</x:v>
      </x:c>
      <x:c r="H109" s="154" t="n">
        <x:f>IFERROR(C109/C108-1,"")</x:f>
        <x:v>-0.009646302250803873</x:v>
      </x:c>
      <x:c r="I109" s="154" t="n">
        <x:f>IFERROR(D109/D108-1,"")</x:f>
        <x:v>-0.008064516129032362</x:v>
      </x:c>
      <x:c r="J109" s="154" t="n">
        <x:f>IFERROR(E109/E108-1,"")</x:f>
        <x:v>-0.017628911414720116</x:v>
      </x:c>
      <x:c r="K109" s="153" t="n">
        <x:v>4.3914285714285715</x:v>
      </x:c>
      <x:c r="L109" s="153" t="n">
        <x:v>2.0880952380952387</x:v>
      </x:c>
      <x:c r="M109" s="153" t="n">
        <x:f>IFERROR(L109-L108,"")</x:f>
        <x:v>0.05335839598997483</x:v>
      </x:c>
      <x:c r="N109" s="153" t="n">
        <x:v>2.3033333333333337</x:v>
      </x:c>
      <x:c r="O109" s="153" t="n">
        <x:v>127.57578095238097</x:v>
      </x:c>
      <x:c r="P109" s="153" t="n">
        <x:f>IFERROR(O109/O108-1,"")</x:f>
        <x:v>0.010010535411055788</x:v>
      </x:c>
      <x:c r="Q109" s="153" t="n">
        <x:v>15.866190476190479</x:v>
      </x:c>
      <x:c r="R109" s="153" t="n">
        <x:v>4.47516129032258</x:v>
      </x:c>
      <x:c r="S109" s="141" t="n">
        <x:v>317.604</x:v>
      </x:c>
      <x:c r="T109" s="154" t="n">
        <x:f>IFERROR(S109/S97-1,"")</x:f>
        <x:v>0.028706909675099812</x:v>
      </x:c>
      <x:c r="U109" s="141" t="n">
        <x:v>100.3273</x:v>
      </x:c>
      <x:c r="V109" s="154" t="n">
        <x:f>IFERROR(U109/U97-1,"")</x:f>
        <x:v>-0.0027414662172438042</x:v>
      </x:c>
      <x:c r="W109" s="141" t="n">
        <x:v>6885963</x:v>
      </x:c>
      <x:c r="X109" s="154" t="n">
        <x:f>IFERROR(W109/W108-1,"")</x:f>
        <x:v>-0.0027772065446899363</x:v>
      </x:c>
      <x:c r="Y109" s="141" t="n">
        <x:v>142.36644</x:v>
      </x:c>
      <x:c r="Z109" s="141" t="n">
        <x:f>IFERROR(Y109-Y108,"")</x:f>
        <x:v>13.464800000000025</x:v>
      </x:c>
      <x:c r="AA109" s="141" t="n">
        <x:v>181453</x:v>
      </x:c>
      <x:c r="AB109" s="141" t="n">
        <x:f>IFERROR(AA109-AA108,"")</x:f>
        <x:v>5865.799999999988</x:v>
      </x:c>
      <x:c r="AC109" s="141" t="n">
        <x:v>24019.75</x:v>
      </x:c>
      <x:c r="AD109" s="141" t="n">
        <x:f>IFERROR(AC109-AC108,"")</x:f>
        <x:v>-5043.8499999999985</x:v>
      </x:c>
      <x:c r="AE109" s="141" t="n">
        <x:v>364.407874729867</x:v>
      </x:c>
      <x:c r="AF109" s="147" t="str">
        <x:v>EPU为论文候选代理；其余为官方/公开数据</x:v>
      </x:c>
    </x:row>
    <x:row r="110">
      <x:c r="A110" s="152" t="n">
        <x:v>45658</x:v>
      </x:c>
      <x:c r="B110" s="153" t="n">
        <x:v>2710</x:v>
      </x:c>
      <x:c r="C110" s="153" t="n">
        <x:v>30.4</x:v>
      </x:c>
      <x:c r="D110" s="153" t="n">
        <x:v>79.2</x:v>
      </x:c>
      <x:c r="E110" s="153" t="n">
        <x:v>8991</x:v>
      </x:c>
      <x:c r="F110" s="153" t="n">
        <x:f>IFERROR(B110/C110,"")</x:f>
        <x:v>89.14473684210527</x:v>
      </x:c>
      <x:c r="G110" s="154" t="n">
        <x:f>IFERROR(B110/B109-1,"")</x:f>
        <x:v>0.023413897280966767</x:v>
      </x:c>
      <x:c r="H110" s="154" t="n">
        <x:f>IFERROR(C110/C109-1,"")</x:f>
        <x:v>-0.012987012987013102</x:v>
      </x:c>
      <x:c r="I110" s="154" t="n">
        <x:f>IFERROR(D110/D109-1,"")</x:f>
        <x:v>0.07317073170731714</x:v>
      </x:c>
      <x:c r="J110" s="154" t="n">
        <x:f>IFERROR(E110/E109-1,"")</x:f>
        <x:v>0.00841184387617755</x:v>
      </x:c>
      <x:c r="K110" s="153" t="n">
        <x:v>4.629047619047618</x:v>
      </x:c>
      <x:c r="L110" s="153" t="n">
        <x:v>2.2285714285714286</x:v>
      </x:c>
      <x:c r="M110" s="153" t="n">
        <x:f>IFERROR(L110-L109,"")</x:f>
        <x:v>0.14047619047618998</x:v>
      </x:c>
      <x:c r="N110" s="153" t="n">
        <x:v>2.4004761904761907</x:v>
      </x:c>
      <x:c r="O110" s="153" t="n">
        <x:v>128.83695238095237</x:v>
      </x:c>
      <x:c r="P110" s="153" t="n">
        <x:f>IFERROR(O110/O109-1,"")</x:f>
        <x:v>0.009885664968354302</x:v>
      </x:c>
      <x:c r="Q110" s="153" t="n">
        <x:v>16.763636363636365</x:v>
      </x:c>
      <x:c r="R110" s="153" t="n">
        <x:v>4.33</x:v>
      </x:c>
      <x:c r="S110" s="141" t="n">
        <x:v>318.961</x:v>
      </x:c>
      <x:c r="T110" s="154" t="n">
        <x:f>IFERROR(S110/S98-1,"")</x:f>
        <x:v>0.029909783078999608</x:v>
      </x:c>
      <x:c r="U110" s="141" t="n">
        <x:v>100.0647</x:v>
      </x:c>
      <x:c r="V110" s="154" t="n">
        <x:f>IFERROR(U110/U98-1,"")</x:f>
        <x:v>0.00849002693950851</x:v>
      </x:c>
      <x:c r="W110" s="141" t="n">
        <x:v>6818186</x:v>
      </x:c>
      <x:c r="X110" s="154" t="n">
        <x:f>IFERROR(W110/W109-1,"")</x:f>
        <x:v>-0.009842777255701152</x:v>
      </x:c>
      <x:c r="Y110" s="141" t="n">
        <x:v>113.233154</x:v>
      </x:c>
      <x:c r="Z110" s="141" t="n">
        <x:f>IFERROR(Y110-Y109,"")</x:f>
        <x:v>-29.133286000000012</x:v>
      </x:c>
      <x:c r="AA110" s="141" t="n">
        <x:v>193168.2</x:v>
      </x:c>
      <x:c r="AB110" s="141" t="n">
        <x:f>IFERROR(AA110-AA109,"")</x:f>
        <x:v>11715.200000000012</x:v>
      </x:c>
      <x:c r="AC110" s="141" t="n">
        <x:v>25424.6</x:v>
      </x:c>
      <x:c r="AD110" s="141" t="n">
        <x:f>IFERROR(AC110-AC109,"")</x:f>
        <x:v>1404.8499999999985</x:v>
      </x:c>
      <x:c r="AE110" s="141" t="n">
        <x:v>256.9</x:v>
      </x:c>
      <x:c r="AF110" s="147" t="str">
        <x:v>EPU为论文候选代理；其余为官方/公开数据</x:v>
      </x:c>
    </x:row>
    <x:row r="111">
      <x:c r="A111" s="152" t="n">
        <x:v>45689</x:v>
      </x:c>
      <x:c r="B111" s="153" t="n">
        <x:v>2895</x:v>
      </x:c>
      <x:c r="C111" s="153" t="n">
        <x:v>32.2</x:v>
      </x:c>
      <x:c r="D111" s="153" t="n">
        <x:v>75.2</x:v>
      </x:c>
      <x:c r="E111" s="153" t="n">
        <x:v>9331</x:v>
      </x:c>
      <x:c r="F111" s="153" t="n">
        <x:f>IFERROR(B111/C111,"")</x:f>
        <x:v>89.90683229813664</x:v>
      </x:c>
      <x:c r="G111" s="154" t="n">
        <x:f>IFERROR(B111/B110-1,"")</x:f>
        <x:v>0.06826568265682664</x:v>
      </x:c>
      <x:c r="H111" s="154" t="n">
        <x:f>IFERROR(C111/C110-1,"")</x:f>
        <x:v>0.0592105263157896</x:v>
      </x:c>
      <x:c r="I111" s="154" t="n">
        <x:f>IFERROR(D111/D110-1,"")</x:f>
        <x:v>-0.0505050505050505</x:v>
      </x:c>
      <x:c r="J111" s="154" t="n">
        <x:f>IFERROR(E111/E110-1,"")</x:f>
        <x:v>0.03781559337114904</x:v>
      </x:c>
      <x:c r="K111" s="153" t="n">
        <x:v>4.451052631578947</x:v>
      </x:c>
      <x:c r="L111" s="153" t="n">
        <x:v>2.026842105263158</x:v>
      </x:c>
      <x:c r="M111" s="153" t="n">
        <x:f>IFERROR(L111-L110,"")</x:f>
        <x:v>-0.20172932330827065</x:v>
      </x:c>
      <x:c r="N111" s="153" t="n">
        <x:v>2.4242105263157896</x:v>
      </x:c>
      <x:c r="O111" s="153" t="n">
        <x:v>127.87583157894736</x:v>
      </x:c>
      <x:c r="P111" s="153" t="n">
        <x:f>IFERROR(O111/O110-1,"")</x:f>
        <x:v>-0.007459977780001514</x:v>
      </x:c>
      <x:c r="Q111" s="153" t="n">
        <x:v>16.968</x:v>
      </x:c>
      <x:c r="R111" s="153" t="n">
        <x:v>4.329999999999999</x:v>
      </x:c>
      <x:c r="S111" s="141" t="n">
        <x:v>319.679</x:v>
      </x:c>
      <x:c r="T111" s="154" t="n">
        <x:f>IFERROR(S111/S99-1,"")</x:f>
        <x:v>0.028015834477613355</x:v>
      </x:c>
      <x:c r="U111" s="141" t="n">
        <x:v>101.0993</x:v>
      </x:c>
      <x:c r="V111" s="154" t="n">
        <x:f>IFERROR(U111/U99-1,"")</x:f>
        <x:v>0.008119858403550007</x:v>
      </x:c>
      <x:c r="W111" s="141" t="n">
        <x:v>6766101</x:v>
      </x:c>
      <x:c r="X111" s="154" t="n">
        <x:f>IFERROR(W111/W110-1,"")</x:f>
        <x:v>-0.007639128648001092</x:v>
      </x:c>
      <x:c r="Y111" s="141" t="n">
        <x:v>136.98059</x:v>
      </x:c>
      <x:c r="Z111" s="141" t="n">
        <x:f>IFERROR(Y111-Y110,"")</x:f>
        <x:v>23.747436000000008</x:v>
      </x:c>
      <x:c r="AA111" s="141" t="n">
        <x:v>192369.25</x:v>
      </x:c>
      <x:c r="AB111" s="141" t="n">
        <x:f>IFERROR(AA111-AA110,"")</x:f>
        <x:v>-798.9500000000116</x:v>
      </x:c>
      <x:c r="AC111" s="141" t="n">
        <x:v>35467</x:v>
      </x:c>
      <x:c r="AD111" s="141" t="n">
        <x:f>IFERROR(AC111-AC110,"")</x:f>
        <x:v>10042.400000000001</x:v>
      </x:c>
      <x:c r="AE111" s="141" t="n">
        <x:v>241.6</x:v>
      </x:c>
      <x:c r="AF111" s="147" t="str">
        <x:v>EPU为论文候选代理；其余为官方/公开数据</x:v>
      </x:c>
    </x:row>
    <x:row r="112">
      <x:c r="A112" s="152" t="n">
        <x:v>45717</x:v>
      </x:c>
      <x:c r="B112" s="153" t="n">
        <x:v>2983</x:v>
      </x:c>
      <x:c r="C112" s="153" t="n">
        <x:v>33.2</x:v>
      </x:c>
      <x:c r="D112" s="153" t="n">
        <x:v>72.6</x:v>
      </x:c>
      <x:c r="E112" s="153" t="n">
        <x:v>9740</x:v>
      </x:c>
      <x:c r="F112" s="153" t="n">
        <x:f>IFERROR(B112/C112,"")</x:f>
        <x:v>89.84939759036143</x:v>
      </x:c>
      <x:c r="G112" s="154" t="n">
        <x:f>IFERROR(B112/B111-1,"")</x:f>
        <x:v>0.030397236614853274</x:v>
      </x:c>
      <x:c r="H112" s="154" t="n">
        <x:f>IFERROR(C112/C111-1,"")</x:f>
        <x:v>0.03105590062111796</x:v>
      </x:c>
      <x:c r="I112" s="154" t="n">
        <x:f>IFERROR(D112/D111-1,"")</x:f>
        <x:v>-0.03457446808510645</x:v>
      </x:c>
      <x:c r="J112" s="154" t="n">
        <x:f>IFERROR(E112/E111-1,"")</x:f>
        <x:v>0.043832386668095635</x:v>
      </x:c>
      <x:c r="K112" s="153" t="n">
        <x:v>4.2804761904761905</x:v>
      </x:c>
      <x:c r="L112" s="153" t="n">
        <x:v>1.9461904761904758</x:v>
      </x:c>
      <x:c r="M112" s="153" t="n">
        <x:f>IFERROR(L112-L111,"")</x:f>
        <x:v>-0.0806516290726822</x:v>
      </x:c>
      <x:c r="N112" s="153" t="n">
        <x:v>2.334285714285714</x:v>
      </x:c>
      <x:c r="O112" s="153" t="n">
        <x:v>126.24304285714285</x:v>
      </x:c>
      <x:c r="P112" s="153" t="n">
        <x:f>IFERROR(O112/O111-1,"")</x:f>
        <x:v>-0.012768548220908005</x:v>
      </x:c>
      <x:c r="Q112" s="153" t="n">
        <x:v>21.84142857142857</x:v>
      </x:c>
      <x:c r="R112" s="153" t="n">
        <x:v>4.33</x:v>
      </x:c>
      <x:c r="S112" s="141" t="n">
        <x:v>319.785</x:v>
      </x:c>
      <x:c r="T112" s="154" t="n">
        <x:f>IFERROR(S112/S100-1,"")</x:f>
        <x:v>0.02381981462805549</x:v>
      </x:c>
      <x:c r="U112" s="141" t="n">
        <x:v>101.0404</x:v>
      </x:c>
      <x:c r="V112" s="154" t="n">
        <x:f>IFERROR(U112/U100-1,"")</x:f>
        <x:v>0.005802453773984029</x:v>
      </x:c>
      <x:c r="W112" s="141" t="n">
        <x:v>6740253</x:v>
      </x:c>
      <x:c r="X112" s="154" t="n">
        <x:f>IFERROR(W112/W111-1,"")</x:f>
        <x:v>-0.003820220833239074</x:v>
      </x:c>
      <x:c r="Y112" s="141" t="n">
        <x:v>175.90112</x:v>
      </x:c>
      <x:c r="Z112" s="141" t="n">
        <x:f>IFERROR(Y112-Y111,"")</x:f>
        <x:v>38.920529999999985</x:v>
      </x:c>
      <x:c r="AA112" s="141" t="n">
        <x:v>173200</x:v>
      </x:c>
      <x:c r="AB112" s="141" t="n">
        <x:f>IFERROR(AA112-AA111,"")</x:f>
        <x:v>-19169.25</x:v>
      </x:c>
      <x:c r="AC112" s="141" t="n">
        <x:v>42738.75</x:v>
      </x:c>
      <x:c r="AD112" s="141" t="n">
        <x:f>IFERROR(AC112-AC111,"")</x:f>
        <x:v>7271.75</x:v>
      </x:c>
      <x:c r="AE112" s="141"/>
      <x:c r="AF112" s="147" t="str"/>
    </x:row>
    <x:row r="113">
      <x:c r="A113" s="152" t="n">
        <x:v>45748</x:v>
      </x:c>
      <x:c r="B113" s="153" t="n">
        <x:v>3218</x:v>
      </x:c>
      <x:c r="C113" s="153" t="n">
        <x:v>32.2</x:v>
      </x:c>
      <x:c r="D113" s="153" t="n">
        <x:v>67.7</x:v>
      </x:c>
      <x:c r="E113" s="153" t="n">
        <x:v>9177</x:v>
      </x:c>
      <x:c r="F113" s="153" t="n">
        <x:f>IFERROR(B113/C113,"")</x:f>
        <x:v>99.93788819875776</x:v>
      </x:c>
      <x:c r="G113" s="154" t="n">
        <x:f>IFERROR(B113/B112-1,"")</x:f>
        <x:v>0.07877975192758968</x:v>
      </x:c>
      <x:c r="H113" s="154" t="n">
        <x:f>IFERROR(C113/C112-1,"")</x:f>
        <x:v>-0.030120481927710885</x:v>
      </x:c>
      <x:c r="I113" s="154" t="n">
        <x:f>IFERROR(D113/D112-1,"")</x:f>
        <x:v>-0.06749311294765825</x:v>
      </x:c>
      <x:c r="J113" s="154" t="n">
        <x:f>IFERROR(E113/E112-1,"")</x:f>
        <x:v>-0.05780287474332646</x:v>
      </x:c>
      <x:c r="K113" s="153" t="n">
        <x:v>4.279047619047619</x:v>
      </x:c>
      <x:c r="L113" s="153" t="n">
        <x:v>2.0380952380952384</x:v>
      </x:c>
      <x:c r="M113" s="153" t="n">
        <x:f>IFERROR(L113-L112,"")</x:f>
        <x:v>0.0919047619047626</x:v>
      </x:c>
      <x:c r="N113" s="153" t="n">
        <x:v>2.240952380952381</x:v>
      </x:c>
      <x:c r="O113" s="153" t="n">
        <x:v>124.1402</x:v>
      </x:c>
      <x:c r="P113" s="153" t="n">
        <x:f>IFERROR(O113/O112-1,"")</x:f>
        <x:v>-0.016657098954137584</x:v>
      </x:c>
      <x:c r="Q113" s="153" t="n">
        <x:v>31.96619047619048</x:v>
      </x:c>
      <x:c r="R113" s="153" t="n">
        <x:v>4.329999999999999</x:v>
      </x:c>
      <x:c r="S113" s="141" t="n">
        <x:v>320.302</x:v>
      </x:c>
      <x:c r="T113" s="154" t="n">
        <x:f>IFERROR(S113/S101-1,"")</x:f>
        <x:v>0.0232538823025783</x:v>
      </x:c>
      <x:c r="U113" s="141" t="n">
        <x:v>101.1279</x:v>
      </x:c>
      <x:c r="V113" s="154" t="n">
        <x:f>IFERROR(U113/U101-1,"")</x:f>
        <x:v>0.008823523543694645</x:v>
      </x:c>
      <x:c r="W113" s="141" t="n">
        <x:v>6709277</x:v>
      </x:c>
      <x:c r="X113" s="154" t="n">
        <x:f>IFERROR(W113/W112-1,"")</x:f>
        <x:v>-0.004595673189122129</x:v>
      </x:c>
      <x:c r="Y113" s="141" t="n">
        <x:v>140.9737</x:v>
      </x:c>
      <x:c r="Z113" s="141" t="n">
        <x:f>IFERROR(Y113-Y112,"")</x:f>
        <x:v>-34.927419999999984</x:v>
      </x:c>
      <x:c r="AA113" s="141" t="n">
        <x:v>129685.25</x:v>
      </x:c>
      <x:c r="AB113" s="141" t="n">
        <x:f>IFERROR(AA113-AA112,"")</x:f>
        <x:v>-43514.75</x:v>
      </x:c>
      <x:c r="AC113" s="141" t="n">
        <x:v>28286.75</x:v>
      </x:c>
      <x:c r="AD113" s="141" t="n">
        <x:f>IFERROR(AC113-AC112,"")</x:f>
        <x:v>-14452</x:v>
      </x:c>
      <x:c r="AE113" s="141"/>
      <x:c r="AF113" s="147" t="str"/>
    </x:row>
    <x:row r="114">
      <x:c r="A114" s="152" t="n">
        <x:v>45778</x:v>
      </x:c>
      <x:c r="B114" s="153" t="n">
        <x:v>3309</x:v>
      </x:c>
      <x:c r="C114" s="153" t="n">
        <x:v>32.8</x:v>
      </x:c>
      <x:c r="D114" s="153" t="n">
        <x:v>64.2</x:v>
      </x:c>
      <x:c r="E114" s="153" t="n">
        <x:v>9533</x:v>
      </x:c>
      <x:c r="F114" s="153" t="n">
        <x:f>IFERROR(B114/C114,"")</x:f>
        <x:v>100.88414634146342</x:v>
      </x:c>
      <x:c r="G114" s="154" t="n">
        <x:f>IFERROR(B114/B113-1,"")</x:f>
        <x:v>0.02827843380981987</x:v>
      </x:c>
      <x:c r="H114" s="154" t="n">
        <x:f>IFERROR(C114/C113-1,"")</x:f>
        <x:v>0.01863354037267073</x:v>
      </x:c>
      <x:c r="I114" s="154" t="n">
        <x:f>IFERROR(D114/D113-1,"")</x:f>
        <x:v>-0.05169867060561295</x:v>
      </x:c>
      <x:c r="J114" s="154" t="n">
        <x:f>IFERROR(E114/E113-1,"")</x:f>
        <x:v>0.03879263375830888</x:v>
      </x:c>
      <x:c r="K114" s="153" t="n">
        <x:v>4.423809523809526</x:v>
      </x:c>
      <x:c r="L114" s="153" t="n">
        <x:v>2.1104761904761906</x:v>
      </x:c>
      <x:c r="M114" s="153" t="n">
        <x:f>IFERROR(L114-L113,"")</x:f>
        <x:v>0.07238095238095221</x:v>
      </x:c>
      <x:c r="N114" s="153" t="n">
        <x:v>2.3133333333333335</x:v>
      </x:c>
      <x:c r="O114" s="153" t="n">
        <x:v>122.34216190476192</x:v>
      </x:c>
      <x:c r="P114" s="153" t="n">
        <x:f>IFERROR(O114/O113-1,"")</x:f>
        <x:v>-0.014483931033122843</x:v>
      </x:c>
      <x:c r="Q114" s="153" t="n">
        <x:v>20.462272727272726</x:v>
      </x:c>
      <x:c r="R114" s="153" t="n">
        <x:v>4.33</x:v>
      </x:c>
      <x:c r="S114" s="141" t="n">
        <x:v>320.62</x:v>
      </x:c>
      <x:c r="T114" s="154" t="n">
        <x:f>IFERROR(S114/S102-1,"")</x:f>
        <x:v>0.023772651073680873</x:v>
      </x:c>
      <x:c r="U114" s="141" t="n">
        <x:v>100.9655</x:v>
      </x:c>
      <x:c r="V114" s="154" t="n">
        <x:f>IFERROR(U114/U102-1,"")</x:f>
        <x:v>0.0010162299356553106</x:v>
      </x:c>
      <x:c r="W114" s="141" t="n">
        <x:v>6673244</x:v>
      </x:c>
      <x:c r="X114" s="154" t="n">
        <x:f>IFERROR(W114/W113-1,"")</x:f>
        <x:v>-0.005370623392058516</x:v>
      </x:c>
      <x:c r="Y114" s="141" t="n">
        <x:v>166.82773</x:v>
      </x:c>
      <x:c r="Z114" s="141" t="n">
        <x:f>IFERROR(Y114-Y113,"")</x:f>
        <x:v>25.854029999999995</x:v>
      </x:c>
      <x:c r="AA114" s="141" t="n">
        <x:v>105531.6</x:v>
      </x:c>
      <x:c r="AB114" s="141" t="n">
        <x:f>IFERROR(AA114-AA113,"")</x:f>
        <x:v>-24153.649999999994</x:v>
      </x:c>
      <x:c r="AC114" s="141" t="n">
        <x:v>30522</x:v>
      </x:c>
      <x:c r="AD114" s="141" t="n">
        <x:f>IFERROR(AC114-AC113,"")</x:f>
        <x:v>2235.25</x:v>
      </x:c>
      <x:c r="AE114" s="141"/>
      <x:c r="AF114" s="147" t="str"/>
    </x:row>
    <x:row r="115">
      <x:c r="A115" s="152" t="n">
        <x:v>45809</x:v>
      </x:c>
      <x:c r="B115" s="153" t="n">
        <x:v>3353</x:v>
      </x:c>
      <x:c r="C115" s="153" t="n">
        <x:v>36</x:v>
      </x:c>
      <x:c r="D115" s="153" t="n">
        <x:v>71.5</x:v>
      </x:c>
      <x:c r="E115" s="153" t="n">
        <x:v>9835</x:v>
      </x:c>
      <x:c r="F115" s="153" t="n">
        <x:f>IFERROR(B115/C115,"")</x:f>
        <x:v>93.13888888888889</x:v>
      </x:c>
      <x:c r="G115" s="154" t="n">
        <x:f>IFERROR(B115/B114-1,"")</x:f>
        <x:v>0.013297068600785833</x:v>
      </x:c>
      <x:c r="H115" s="154" t="n">
        <x:f>IFERROR(C115/C114-1,"")</x:f>
        <x:v>0.09756097560975618</x:v>
      </x:c>
      <x:c r="I115" s="154" t="n">
        <x:f>IFERROR(D115/D114-1,"")</x:f>
        <x:v>0.11370716510903423</x:v>
      </x:c>
      <x:c r="J115" s="154" t="n">
        <x:f>IFERROR(E115/E114-1,"")</x:f>
        <x:v>0.03167942935067658</x:v>
      </x:c>
      <x:c r="K115" s="153" t="n">
        <x:v>4.3835</x:v>
      </x:c>
      <x:c r="L115" s="153" t="n">
        <x:v>2.0865</x:v>
      </x:c>
      <x:c r="M115" s="153" t="n">
        <x:f>IFERROR(L115-L114,"")</x:f>
        <x:v>-0.023976190476190595</x:v>
      </x:c>
      <x:c r="N115" s="153" t="n">
        <x:v>2.2969999999999997</x:v>
      </x:c>
      <x:c r="O115" s="153" t="n">
        <x:v>120.59387000000001</x:v>
      </x:c>
      <x:c r="P115" s="153" t="n">
        <x:f>IFERROR(O115/O114-1,"")</x:f>
        <x:v>-0.01429018318413311</x:v>
      </x:c>
      <x:c r="Q115" s="153" t="n">
        <x:v>18.403333333333336</x:v>
      </x:c>
      <x:c r="R115" s="153" t="n">
        <x:v>4.329999999999999</x:v>
      </x:c>
      <x:c r="S115" s="141" t="n">
        <x:v>321.435</x:v>
      </x:c>
      <x:c r="T115" s="154" t="n">
        <x:f>IFERROR(S115/S103-1,"")</x:f>
        <x:v>0.02680453865910226</x:v>
      </x:c>
      <x:c r="U115" s="141" t="n">
        <x:v>101.4785</x:v>
      </x:c>
      <x:c r="V115" s="154" t="n">
        <x:f>IFERROR(U115/U103-1,"")</x:f>
        <x:v>0.005793208714095943</x:v>
      </x:c>
      <x:c r="W115" s="141" t="n">
        <x:v>6662200</x:v>
      </x:c>
      <x:c r="X115" s="154" t="n">
        <x:f>IFERROR(W115/W114-1,"")</x:f>
        <x:v>-0.0016549672093512102</x:v>
      </x:c>
      <x:c r="Y115" s="141" t="n">
        <x:v>221.1349</x:v>
      </x:c>
      <x:c r="Z115" s="141" t="n">
        <x:f>IFERROR(Y115-Y114,"")</x:f>
        <x:v>54.307169999999985</x:v>
      </x:c>
      <x:c r="AA115" s="141" t="n">
        <x:v>125828</x:v>
      </x:c>
      <x:c r="AB115" s="141" t="n">
        <x:f>IFERROR(AA115-AA114,"")</x:f>
        <x:v>20296.399999999994</x:v>
      </x:c>
      <x:c r="AC115" s="141" t="n">
        <x:v>46685.5</x:v>
      </x:c>
      <x:c r="AD115" s="141" t="n">
        <x:f>IFERROR(AC115-AC114,"")</x:f>
        <x:v>16163.5</x:v>
      </x:c>
      <x:c r="AE115" s="141"/>
      <x:c r="AF115" s="147" t="str"/>
    </x:row>
    <x:row r="116">
      <x:c r="A116" s="152" t="n">
        <x:v>45839</x:v>
      </x:c>
      <x:c r="B116" s="153" t="n">
        <x:v>3340</x:v>
      </x:c>
      <x:c r="C116" s="153" t="n">
        <x:v>37.7</x:v>
      </x:c>
      <x:c r="D116" s="153" t="n">
        <x:v>71</x:v>
      </x:c>
      <x:c r="E116" s="153" t="n">
        <x:v>9771</x:v>
      </x:c>
      <x:c r="F116" s="153" t="n">
        <x:f>IFERROR(B116/C116,"")</x:f>
        <x:v>88.59416445623341</x:v>
      </x:c>
      <x:c r="G116" s="154" t="n">
        <x:f>IFERROR(B116/B115-1,"")</x:f>
        <x:v>-0.003877124962719969</x:v>
      </x:c>
      <x:c r="H116" s="154" t="n">
        <x:f>IFERROR(C116/C115-1,"")</x:f>
        <x:v>0.047222222222222276</x:v>
      </x:c>
      <x:c r="I116" s="154" t="n">
        <x:f>IFERROR(D116/D115-1,"")</x:f>
        <x:v>-0.006993006993006978</x:v>
      </x:c>
      <x:c r="J116" s="154" t="n">
        <x:f>IFERROR(E116/E115-1,"")</x:f>
        <x:v>-0.006507371631926828</x:v>
      </x:c>
      <x:c r="K116" s="153" t="n">
        <x:v>4.3918181818181825</x:v>
      </x:c>
      <x:c r="L116" s="153" t="n">
        <x:v>2.0081818181818174</x:v>
      </x:c>
      <x:c r="M116" s="153" t="n">
        <x:f>IFERROR(L116-L115,"")</x:f>
        <x:v>-0.07831818181818262</x:v>
      </x:c>
      <x:c r="N116" s="153" t="n">
        <x:v>2.3836363636363633</x:v>
      </x:c>
      <x:c r="O116" s="153" t="n">
        <x:v>120.11269090909092</x:v>
      </x:c>
      <x:c r="P116" s="153" t="n">
        <x:f>IFERROR(O116/O115-1,"")</x:f>
        <x:v>-0.003990079188180062</x:v>
      </x:c>
      <x:c r="Q116" s="153" t="n">
        <x:v>16.381304347826084</x:v>
      </x:c>
      <x:c r="R116" s="153" t="n">
        <x:v>4.33</x:v>
      </x:c>
      <x:c r="S116" s="141" t="n">
        <x:v>322.169</x:v>
      </x:c>
      <x:c r="T116" s="154" t="n">
        <x:f>IFERROR(S116/S104-1,"")</x:f>
        <x:v>0.02742618052167134</x:v>
      </x:c>
      <x:c r="U116" s="141" t="n">
        <x:v>101.894</x:v>
      </x:c>
      <x:c r="V116" s="154" t="n">
        <x:f>IFERROR(U116/U104-1,"")</x:f>
        <x:v>0.019187662602012212</x:v>
      </x:c>
      <x:c r="W116" s="141" t="n">
        <x:v>6642578</x:v>
      </x:c>
      <x:c r="X116" s="154" t="n">
        <x:f>IFERROR(W116/W115-1,"")</x:f>
        <x:v>-0.0029452733331332137</x:v>
      </x:c>
      <x:c r="Y116" s="141" t="n">
        <x:v>134.222</x:v>
      </x:c>
      <x:c r="Z116" s="141" t="n">
        <x:f>IFERROR(Y116-Y115,"")</x:f>
        <x:v>-86.91289999999998</x:v>
      </x:c>
      <x:c r="AA116" s="141" t="n">
        <x:v>138990.75</x:v>
      </x:c>
      <x:c r="AB116" s="141" t="n">
        <x:f>IFERROR(AA116-AA115,"")</x:f>
        <x:v>13162.75</x:v>
      </x:c>
      <x:c r="AC116" s="141" t="n">
        <x:v>43725.75</x:v>
      </x:c>
      <x:c r="AD116" s="141" t="n">
        <x:f>IFERROR(AC116-AC115,"")</x:f>
        <x:v>-2959.75</x:v>
      </x:c>
      <x:c r="AE116" s="141"/>
      <x:c r="AF116" s="147" t="str"/>
    </x:row>
    <x:row r="117">
      <x:c r="A117" s="152" t="n">
        <x:v>45870</x:v>
      </x:c>
      <x:c r="B117" s="153" t="n">
        <x:v>3368</x:v>
      </x:c>
      <x:c r="C117" s="153" t="n">
        <x:v>38.2</x:v>
      </x:c>
      <x:c r="D117" s="153" t="n">
        <x:v>68.2</x:v>
      </x:c>
      <x:c r="E117" s="153" t="n">
        <x:v>9670</x:v>
      </x:c>
      <x:c r="F117" s="153" t="n">
        <x:f>IFERROR(B117/C117,"")</x:f>
        <x:v>88.1675392670157</x:v>
      </x:c>
      <x:c r="G117" s="154" t="n">
        <x:f>IFERROR(B117/B116-1,"")</x:f>
        <x:v>0.008383233532934131</x:v>
      </x:c>
      <x:c r="H117" s="154" t="n">
        <x:f>IFERROR(C117/C116-1,"")</x:f>
        <x:v>0.013262599469495928</x:v>
      </x:c>
      <x:c r="I117" s="154" t="n">
        <x:f>IFERROR(D117/D116-1,"")</x:f>
        <x:v>-0.03943661971830981</x:v>
      </x:c>
      <x:c r="J117" s="154" t="n">
        <x:f>IFERROR(E117/E116-1,"")</x:f>
        <x:v>-0.010336710674444749</x:v>
      </x:c>
      <x:c r="K117" s="153" t="n">
        <x:v>4.2647619047619045</x:v>
      </x:c>
      <x:c r="L117" s="153" t="n">
        <x:v>1.8828571428571435</x:v>
      </x:c>
      <x:c r="M117" s="153" t="n">
        <x:f>IFERROR(L117-L116,"")</x:f>
        <x:v>-0.12532467532467395</x:v>
      </x:c>
      <x:c r="N117" s="153" t="n">
        <x:v>2.3819047619047615</x:v>
      </x:c>
      <x:c r="O117" s="153" t="n">
        <x:v>120.57584285714286</x:v>
      </x:c>
      <x:c r="P117" s="153" t="n">
        <x:f>IFERROR(O117/O116-1,"")</x:f>
        <x:v>0.003855978452788955</x:v>
      </x:c>
      <x:c r="Q117" s="153" t="n">
        <x:v>15.750000000000005</x:v>
      </x:c>
      <x:c r="R117" s="153" t="n">
        <x:v>4.33</x:v>
      </x:c>
      <x:c r="S117" s="141" t="n">
        <x:v>323.291</x:v>
      </x:c>
      <x:c r="T117" s="154" t="n">
        <x:f>IFERROR(S117/S105-1,"")</x:f>
        <x:v>0.029385917430316155</x:v>
      </x:c>
      <x:c r="U117" s="141" t="n">
        <x:v>101.6247</x:v>
      </x:c>
      <x:c r="V117" s="154" t="n">
        <x:f>IFERROR(U117/U105-1,"")</x:f>
        <x:v>0.011886779865559305</x:v>
      </x:c>
      <x:c r="W117" s="141" t="n">
        <x:v>6603384</x:v>
      </x:c>
      <x:c r="X117" s="154" t="n">
        <x:f>IFERROR(W117/W116-1,"")</x:f>
        <x:v>-0.0059004199875409835</x:v>
      </x:c>
      <x:c r="Y117" s="141" t="n">
        <x:v>138.98846</x:v>
      </x:c>
      <x:c r="Z117" s="141" t="n">
        <x:f>IFERROR(Y117-Y116,"")</x:f>
        <x:v>4.766459999999995</x:v>
      </x:c>
      <x:c r="AA117" s="141" t="n">
        <x:v>143166.4</x:v>
      </x:c>
      <x:c r="AB117" s="141" t="n">
        <x:f>IFERROR(AA117-AA116,"")</x:f>
        <x:v>4175.649999999994</x:v>
      </x:c>
      <x:c r="AC117" s="141" t="n">
        <x:v>32228.8</x:v>
      </x:c>
      <x:c r="AD117" s="141" t="n">
        <x:f>IFERROR(AC117-AC116,"")</x:f>
        <x:v>-11496.95</x:v>
      </x:c>
      <x:c r="AE117" s="141"/>
      <x:c r="AF117" s="147" t="str"/>
    </x:row>
    <x:row r="118">
      <x:c r="A118" s="152" t="n">
        <x:v>45901</x:v>
      </x:c>
      <x:c r="B118" s="153" t="n">
        <x:v>3668</x:v>
      </x:c>
      <x:c r="C118" s="153" t="n">
        <x:v>42.8</x:v>
      </x:c>
      <x:c r="D118" s="153" t="n">
        <x:v>68</x:v>
      </x:c>
      <x:c r="E118" s="153" t="n">
        <x:v>9984</x:v>
      </x:c>
      <x:c r="F118" s="153" t="n">
        <x:f>IFERROR(B118/C118,"")</x:f>
        <x:v>85.70093457943926</x:v>
      </x:c>
      <x:c r="G118" s="154" t="n">
        <x:f>IFERROR(B118/B117-1,"")</x:f>
        <x:v>0.0890736342042755</x:v>
      </x:c>
      <x:c r="H118" s="154" t="n">
        <x:f>IFERROR(C118/C117-1,"")</x:f>
        <x:v>0.120418848167539</x:v>
      </x:c>
      <x:c r="I118" s="154" t="n">
        <x:f>IFERROR(D118/D117-1,"")</x:f>
        <x:v>-0.0029325513196480912</x:v>
      </x:c>
      <x:c r="J118" s="154" t="n">
        <x:f>IFERROR(E118/E117-1,"")</x:f>
        <x:v>0.032471561530506676</x:v>
      </x:c>
      <x:c r="K118" s="153" t="n">
        <x:v>4.1204761904761895</x:v>
      </x:c>
      <x:c r="L118" s="153" t="n">
        <x:v>1.749047619047619</x:v>
      </x:c>
      <x:c r="M118" s="153" t="n">
        <x:f>IFERROR(L118-L117,"")</x:f>
        <x:v>-0.1338095238095245</x:v>
      </x:c>
      <x:c r="N118" s="153" t="n">
        <x:v>2.3714285714285714</x:v>
      </x:c>
      <x:c r="O118" s="153" t="n">
        <x:v>120.02906190476192</x:v>
      </x:c>
      <x:c r="P118" s="153" t="n">
        <x:f>IFERROR(O118/O117-1,"")</x:f>
        <x:v>-0.004534747088840718</x:v>
      </x:c>
      <x:c r="Q118" s="153" t="n">
        <x:v>15.789090909090909</x:v>
      </x:c>
      <x:c r="R118" s="153" t="n">
        <x:v>4.224666666666667</x:v>
      </x:c>
      <x:c r="S118" s="141" t="n">
        <x:v>324.245</x:v>
      </x:c>
      <x:c r="T118" s="154" t="n">
        <x:f>IFERROR(S118/S106-1,"")</x:f>
        <x:v>0.030225715847133294</x:v>
      </x:c>
      <x:c r="U118" s="141" t="n">
        <x:v>101.668</x:v>
      </x:c>
      <x:c r="V118" s="154" t="n">
        <x:f>IFERROR(U118/U106-1,"")</x:f>
        <x:v>0.018631698334008018</x:v>
      </x:c>
      <x:c r="W118" s="141" t="n">
        <x:v>6608395</x:v>
      </x:c>
      <x:c r="X118" s="154" t="n">
        <x:f>IFERROR(W118/W117-1,"")</x:f>
        <x:v>0.0007588533394393693</x:v>
      </x:c>
      <x:c r="Y118" s="141" t="n">
        <x:v>126.740585</x:v>
      </x:c>
      <x:c r="Z118" s="141" t="n">
        <x:f>IFERROR(Y118-Y117,"")</x:f>
        <x:v>-12.247875000000008</x:v>
      </x:c>
      <x:c r="AA118" s="141" t="n">
        <x:v>161135.25</x:v>
      </x:c>
      <x:c r="AB118" s="141" t="n">
        <x:f>IFERROR(AA118-AA117,"")</x:f>
        <x:v>17968.850000000006</x:v>
      </x:c>
      <x:c r="AC118" s="141" t="n">
        <x:v>36882.5</x:v>
      </x:c>
      <x:c r="AD118" s="141" t="n">
        <x:f>IFERROR(AC118-AC117,"")</x:f>
        <x:v>4653.700000000001</x:v>
      </x:c>
      <x:c r="AE118" s="141"/>
      <x:c r="AF118" s="147" t="str"/>
    </x:row>
    <x:row r="119">
      <x:c r="A119" s="152" t="n">
        <x:v>45931</x:v>
      </x:c>
      <x:c r="B119" s="153" t="n">
        <x:v>4058</x:v>
      </x:c>
      <x:c r="C119" s="153" t="n">
        <x:v>49.4</x:v>
      </x:c>
      <x:c r="D119" s="153" t="n">
        <x:v>64.7</x:v>
      </x:c>
      <x:c r="E119" s="153" t="n">
        <x:v>10740</x:v>
      </x:c>
      <x:c r="F119" s="153" t="n">
        <x:f>IFERROR(B119/C119,"")</x:f>
        <x:v>82.14574898785425</x:v>
      </x:c>
      <x:c r="G119" s="154" t="n">
        <x:f>IFERROR(B119/B118-1,"")</x:f>
        <x:v>0.10632497273718644</x:v>
      </x:c>
      <x:c r="H119" s="154" t="n">
        <x:f>IFERROR(C119/C118-1,"")</x:f>
        <x:v>0.1542056074766356</x:v>
      </x:c>
      <x:c r="I119" s="154" t="n">
        <x:f>IFERROR(D119/D118-1,"")</x:f>
        <x:v>-0.04852941176470582</x:v>
      </x:c>
      <x:c r="J119" s="154" t="n">
        <x:f>IFERROR(E119/E118-1,"")</x:f>
        <x:v>0.07572115384615374</x:v>
      </x:c>
      <x:c r="K119" s="153" t="n">
        <x:v>4.0618181818181816</x:v>
      </x:c>
      <x:c r="L119" s="153" t="n">
        <x:v>1.756818181818182</x:v>
      </x:c>
      <x:c r="M119" s="153" t="n">
        <x:f>IFERROR(L119-L118,"")</x:f>
        <x:v>0.007770562770563094</x:v>
      </x:c>
      <x:c r="N119" s="153" t="n">
        <x:v>2.3049999999999997</x:v>
      </x:c>
      <x:c r="O119" s="153" t="n">
        <x:v>120.76180000000001</x:v>
      </x:c>
      <x:c r="P119" s="153" t="n">
        <x:f>IFERROR(O119/O118-1,"")</x:f>
        <x:v>0.006104672348597351</x:v>
      </x:c>
      <x:c r="Q119" s="153" t="n">
        <x:v>18.08652173913044</x:v>
      </x:c>
      <x:c r="R119" s="153" t="n">
        <x:v>4.088064516129033</x:v>
      </x:c>
      <x:c r="S119" s="141"/>
      <x:c r="T119" s="154" t="n">
        <x:f>IFERROR(S119/S107-1,"")</x:f>
        <x:v>-1</x:v>
      </x:c>
      <x:c r="U119" s="141" t="n">
        <x:v>101.2195</x:v>
      </x:c>
      <x:c r="V119" s="154" t="n">
        <x:f>IFERROR(U119/U107-1,"")</x:f>
        <x:v>0.017593332629600056</x:v>
      </x:c>
      <x:c r="W119" s="141" t="n">
        <x:v>6587034</x:v>
      </x:c>
      <x:c r="X119" s="154" t="n">
        <x:f>IFERROR(W119/W118-1,"")</x:f>
        <x:v>-0.0032324036320467986</x:v>
      </x:c>
      <x:c r="Y119" s="141" t="n">
        <x:v>154.51292</x:v>
      </x:c>
      <x:c r="Z119" s="141" t="n">
        <x:f>IFERROR(Y119-Y118,"")</x:f>
        <x:v>27.772335000000012</x:v>
      </x:c>
      <x:c r="AA119" s="141" t="n">
        <x:v>115936.4</x:v>
      </x:c>
      <x:c r="AB119" s="141" t="n">
        <x:f>IFERROR(AA119-AA118,"")</x:f>
        <x:v>-45198.850000000006</x:v>
      </x:c>
      <x:c r="AC119" s="141" t="n">
        <x:v>24912.6</x:v>
      </x:c>
      <x:c r="AD119" s="141" t="n">
        <x:f>IFERROR(AC119-AC118,"")</x:f>
        <x:v>-11969.900000000001</x:v>
      </x:c>
      <x:c r="AE119" s="141"/>
      <x:c r="AF119" s="147" t="str"/>
    </x:row>
    <x:row r="120">
      <x:c r="A120" s="152" t="n">
        <x:v>45962</x:v>
      </x:c>
      <x:c r="B120" s="153" t="n">
        <x:v>4087</x:v>
      </x:c>
      <x:c r="C120" s="153" t="n">
        <x:v>50.4</x:v>
      </x:c>
      <x:c r="D120" s="153" t="n">
        <x:v>63.6</x:v>
      </x:c>
      <x:c r="E120" s="153" t="n">
        <x:v>10812</x:v>
      </x:c>
      <x:c r="F120" s="153" t="n">
        <x:f>IFERROR(B120/C120,"")</x:f>
        <x:v>81.09126984126985</x:v>
      </x:c>
      <x:c r="G120" s="154" t="n">
        <x:f>IFERROR(B120/B119-1,"")</x:f>
        <x:v>0.007146377525874881</x:v>
      </x:c>
      <x:c r="H120" s="154" t="n">
        <x:f>IFERROR(C120/C119-1,"")</x:f>
        <x:v>0.020242914979757165</x:v>
      </x:c>
      <x:c r="I120" s="154" t="n">
        <x:f>IFERROR(D120/D119-1,"")</x:f>
        <x:v>-0.01700154559505407</x:v>
      </x:c>
      <x:c r="J120" s="154" t="n">
        <x:f>IFERROR(E120/E119-1,"")</x:f>
        <x:v>0.006703910614525244</x:v>
      </x:c>
      <x:c r="K120" s="153" t="n">
        <x:v>4.0938888888888885</x:v>
      </x:c>
      <x:c r="L120" s="153" t="n">
        <x:v>1.8277777777777777</x:v>
      </x:c>
      <x:c r="M120" s="153" t="n">
        <x:f>IFERROR(L120-L119,"")</x:f>
        <x:v>0.07095959595959567</x:v>
      </x:c>
      <x:c r="N120" s="153" t="n">
        <x:v>2.2661111111111105</x:v>
      </x:c>
      <x:c r="O120" s="153" t="n">
        <x:v>121.41771666666669</x:v>
      </x:c>
      <x:c r="P120" s="153" t="n">
        <x:f>IFERROR(O120/O119-1,"")</x:f>
        <x:v>0.0054314913049215985</x:v>
      </x:c>
      <x:c r="Q120" s="153" t="n">
        <x:v>19.7695</x:v>
      </x:c>
      <x:c r="R120" s="153" t="n">
        <x:v>3.8763333333333323</x:v>
      </x:c>
      <x:c r="S120" s="141" t="n">
        <x:v>325.063</x:v>
      </x:c>
      <x:c r="T120" s="154" t="n">
        <x:f>IFERROR(S120/S108-1,"")</x:f>
        <x:v>0.026964439164939513</x:v>
      </x:c>
      <x:c r="U120" s="141" t="n">
        <x:v>101.0344</x:v>
      </x:c>
      <x:c r="V120" s="154" t="n">
        <x:f>IFERROR(U120/U108-1,"")</x:f>
        <x:v>0.017543117556713783</x:v>
      </x:c>
      <x:c r="W120" s="141" t="n">
        <x:v>6552419</x:v>
      </x:c>
      <x:c r="X120" s="154" t="n">
        <x:f>IFERROR(W120/W119-1,"")</x:f>
        <x:v>-0.005255020696720236</x:v>
      </x:c>
      <x:c r="Y120" s="141" t="n">
        <x:v>104.35177</x:v>
      </x:c>
      <x:c r="Z120" s="141" t="n">
        <x:f>IFERROR(Y120-Y119,"")</x:f>
        <x:v>-50.161150000000006</x:v>
      </x:c>
      <x:c r="AA120" s="141" t="n">
        <x:v>103036.5</x:v>
      </x:c>
      <x:c r="AB120" s="141" t="n">
        <x:f>IFERROR(AA120-AA119,"")</x:f>
        <x:v>-12899.899999999994</x:v>
      </x:c>
      <x:c r="AC120" s="141" t="n">
        <x:v>20276.75</x:v>
      </x:c>
      <x:c r="AD120" s="141" t="n">
        <x:f>IFERROR(AC120-AC119,"")</x:f>
        <x:v>-4635.8499999999985</x:v>
      </x:c>
      <x:c r="AE120" s="141"/>
      <x:c r="AF120" s="147" t="str"/>
    </x:row>
    <x:row r="121">
      <x:c r="A121" s="152" t="n">
        <x:v>45992</x:v>
      </x:c>
      <x:c r="B121" s="153" t="n">
        <x:v>4309</x:v>
      </x:c>
      <x:c r="C121" s="153" t="n">
        <x:v>62.3</x:v>
      </x:c>
      <x:c r="D121" s="153" t="n">
        <x:v>62.7</x:v>
      </x:c>
      <x:c r="E121" s="153" t="n">
        <x:v>11785</x:v>
      </x:c>
      <x:c r="F121" s="153" t="n">
        <x:f>IFERROR(B121/C121,"")</x:f>
        <x:v>69.16532905296951</x:v>
      </x:c>
      <x:c r="G121" s="154" t="n">
        <x:f>IFERROR(B121/B120-1,"")</x:f>
        <x:v>0.05431857107903104</x:v>
      </x:c>
      <x:c r="H121" s="154" t="n">
        <x:f>IFERROR(C121/C120-1,"")</x:f>
        <x:v>0.23611111111111116</x:v>
      </x:c>
      <x:c r="I121" s="154" t="n">
        <x:f>IFERROR(D121/D120-1,"")</x:f>
        <x:v>-0.014150943396226356</x:v>
      </x:c>
      <x:c r="J121" s="154" t="n">
        <x:f>IFERROR(E121/E120-1,"")</x:f>
        <x:v>0.08999260081391047</x:v>
      </x:c>
      <x:c r="K121" s="153" t="n">
        <x:v>4.1431818181818185</x:v>
      </x:c>
      <x:c r="L121" s="153" t="n">
        <x:v>1.8990909090909087</x:v>
      </x:c>
      <x:c r="M121" s="153" t="n">
        <x:f>IFERROR(L121-L120,"")</x:f>
        <x:v>0.071313131313131</x:v>
      </x:c>
      <x:c r="N121" s="153" t="n">
        <x:v>2.244090909090909</x:v>
      </x:c>
      <x:c r="O121" s="153" t="n">
        <x:v>120.18832272727272</x:v>
      </x:c>
      <x:c r="P121" s="153" t="n">
        <x:f>IFERROR(O121/O120-1,"")</x:f>
        <x:v>-0.01012532580207448</x:v>
      </x:c>
      <x:c r="Q121" s="153" t="n">
        <x:v>15.548181818181819</x:v>
      </x:c>
      <x:c r="R121" s="153" t="n">
        <x:v>3.7206451612903226</x:v>
      </x:c>
      <x:c r="S121" s="141" t="n">
        <x:v>326.031</x:v>
      </x:c>
      <x:c r="T121" s="154" t="n">
        <x:f>IFERROR(S121/S109-1,"")</x:f>
        <x:v>0.02653304114557753</x:v>
      </x:c>
      <x:c r="U121" s="141" t="n">
        <x:v>101.4941</x:v>
      </x:c>
      <x:c r="V121" s="154" t="n">
        <x:f>IFERROR(U121/U109-1,"")</x:f>
        <x:v>0.011629935222018384</x:v>
      </x:c>
      <x:c r="W121" s="141" t="n">
        <x:v>6640618</x:v>
      </x:c>
      <x:c r="X121" s="154" t="n">
        <x:f>IFERROR(W121/W120-1,"")</x:f>
        <x:v>0.013460525036631532</x:v>
      </x:c>
      <x:c r="Y121" s="141" t="n">
        <x:v>132.48622</x:v>
      </x:c>
      <x:c r="Z121" s="141" t="n">
        <x:f>IFERROR(Y121-Y120,"")</x:f>
        <x:v>28.13445</x:v>
      </x:c>
      <x:c r="AA121" s="141" t="n">
        <x:v>128184.5</x:v>
      </x:c>
      <x:c r="AB121" s="141" t="n">
        <x:f>IFERROR(AA121-AA120,"")</x:f>
        <x:v>25148</x:v>
      </x:c>
      <x:c r="AC121" s="141" t="n">
        <x:v>22061</x:v>
      </x:c>
      <x:c r="AD121" s="141" t="n">
        <x:f>IFERROR(AC121-AC120,"")</x:f>
        <x:v>1784.25</x:v>
      </x:c>
      <x:c r="AE121" s="141"/>
      <x:c r="AF121" s="147" t="str"/>
    </x:row>
    <x:row r="122">
      <x:c r="A122" s="152" t="n">
        <x:v>46023</x:v>
      </x:c>
      <x:c r="B122" s="153" t="n">
        <x:v>4753</x:v>
      </x:c>
      <x:c r="C122" s="153" t="n">
        <x:v>92.1</x:v>
      </x:c>
      <x:c r="D122" s="153" t="n">
        <x:v>66.8</x:v>
      </x:c>
      <x:c r="E122" s="153" t="n">
        <x:v>13012</x:v>
      </x:c>
      <x:c r="F122" s="153" t="n">
        <x:f>IFERROR(B122/C122,"")</x:f>
        <x:v>51.60694896851249</x:v>
      </x:c>
      <x:c r="G122" s="154" t="n">
        <x:f>IFERROR(B122/B121-1,"")</x:f>
        <x:v>0.10304014852634014</x:v>
      </x:c>
      <x:c r="H122" s="154" t="n">
        <x:f>IFERROR(C122/C121-1,"")</x:f>
        <x:v>0.478330658105939</x:v>
      </x:c>
      <x:c r="I122" s="154" t="n">
        <x:f>IFERROR(D122/D121-1,"")</x:f>
        <x:v>0.06539074960127578</x:v>
      </x:c>
      <x:c r="J122" s="154" t="n">
        <x:f>IFERROR(E122/E121-1,"")</x:f>
        <x:v>0.10411540093339</x:v>
      </x:c>
      <x:c r="K122" s="153" t="n">
        <x:v>4.2135</x:v>
      </x:c>
      <x:c r="L122" s="153" t="n">
        <x:v>1.9069999999999994</x:v>
      </x:c>
      <x:c r="M122" s="153" t="n">
        <x:f>IFERROR(L122-L121,"")</x:f>
        <x:v>0.007909090909090644</x:v>
      </x:c>
      <x:c r="N122" s="153" t="n">
        <x:v>2.3064999999999993</x:v>
      </x:c>
      <x:c r="O122" s="153" t="n">
        <x:v>119.22981000000001</x:v>
      </x:c>
      <x:c r="P122" s="153" t="n">
        <x:f>IFERROR(O122/O121-1,"")</x:f>
        <x:v>-0.00797509030430299</x:v>
      </x:c>
      <x:c r="Q122" s="153" t="n">
        <x:v>16.17904761904762</x:v>
      </x:c>
      <x:c r="R122" s="153" t="n">
        <x:v>3.64</x:v>
      </x:c>
      <x:c r="S122" s="141" t="n">
        <x:v>326.588</x:v>
      </x:c>
      <x:c r="T122" s="154" t="n">
        <x:f>IFERROR(S122/S110-1,"")</x:f>
        <x:v>0.02391201432150014</x:v>
      </x:c>
      <x:c r="U122" s="141" t="n">
        <x:v>101.0388</x:v>
      </x:c>
      <x:c r="V122" s="154" t="n">
        <x:f>IFERROR(U122/U110-1,"")</x:f>
        <x:v>0.009734701648033584</x:v>
      </x:c>
      <x:c r="W122" s="141" t="n">
        <x:v>6587568</x:v>
      </x:c>
      <x:c r="X122" s="154" t="n">
        <x:f>IFERROR(W122/W121-1,"")</x:f>
        <x:v>-0.007988714303397648</x:v>
      </x:c>
      <x:c r="Y122" s="141" t="n">
        <x:v>168.62987</x:v>
      </x:c>
      <x:c r="Z122" s="141" t="n">
        <x:f>IFERROR(Y122-Y121,"")</x:f>
        <x:v>36.14365000000001</x:v>
      </x:c>
      <x:c r="AA122" s="141" t="n">
        <x:v>127920.2</x:v>
      </x:c>
      <x:c r="AB122" s="141" t="n">
        <x:f>IFERROR(AA122-AA121,"")</x:f>
        <x:v>-264.3000000000029</x:v>
      </x:c>
      <x:c r="AC122" s="141" t="n">
        <x:v>12253.4</x:v>
      </x:c>
      <x:c r="AD122" s="141" t="n">
        <x:f>IFERROR(AC122-AC121,"")</x:f>
        <x:v>-9807.6</x:v>
      </x:c>
      <x:c r="AE122" s="141"/>
      <x:c r="AF122" s="147" t="str"/>
    </x:row>
    <x:row r="123">
      <x:c r="A123" s="152" t="n">
        <x:v>46054</x:v>
      </x:c>
      <x:c r="B123" s="153" t="n">
        <x:v>5020</x:v>
      </x:c>
      <x:c r="C123" s="153" t="n">
        <x:v>81.9</x:v>
      </x:c>
      <x:c r="D123" s="153" t="n">
        <x:v>71.1</x:v>
      </x:c>
      <x:c r="E123" s="153" t="n">
        <x:v>12951</x:v>
      </x:c>
      <x:c r="F123" s="153" t="n">
        <x:f>IFERROR(B123/C123,"")</x:f>
        <x:v>61.29426129426129</x:v>
      </x:c>
      <x:c r="G123" s="154" t="n">
        <x:f>IFERROR(B123/B122-1,"")</x:f>
        <x:v>0.056175047338522965</x:v>
      </x:c>
      <x:c r="H123" s="154" t="n">
        <x:f>IFERROR(C123/C122-1,"")</x:f>
        <x:v>-0.11074918566775238</x:v>
      </x:c>
      <x:c r="I123" s="154" t="n">
        <x:f>IFERROR(D123/D122-1,"")</x:f>
        <x:v>0.06437125748502992</x:v>
      </x:c>
      <x:c r="J123" s="154" t="n">
        <x:f>IFERROR(E123/E122-1,"")</x:f>
        <x:v>-0.004687980325853047</x:v>
      </x:c>
      <x:c r="K123" s="153" t="n">
        <x:v>4.12578947368421</x:v>
      </x:c>
      <x:c r="L123" s="153" t="n">
        <x:v>1.8247368421052632</x:v>
      </x:c>
      <x:c r="M123" s="153" t="n">
        <x:f>IFERROR(L123-L122,"")</x:f>
        <x:v>-0.08226315789473615</x:v>
      </x:c>
      <x:c r="N123" s="153" t="n">
        <x:v>2.3010526315789472</x:v>
      </x:c>
      <x:c r="O123" s="153" t="n">
        <x:v>117.90602105263157</x:v>
      </x:c>
      <x:c r="P123" s="153" t="n">
        <x:f>IFERROR(O123/O122-1,"")</x:f>
        <x:v>-0.01110283533428802</x:v>
      </x:c>
      <x:c r="Q123" s="153" t="n">
        <x:v>19.207</x:v>
      </x:c>
      <x:c r="R123" s="153" t="n">
        <x:v>3.64</x:v>
      </x:c>
      <x:c r="S123" s="141" t="n">
        <x:v>327.46</x:v>
      </x:c>
      <x:c r="T123" s="154" t="n">
        <x:f>IFERROR(S123/S111-1,"")</x:f>
        <x:v>0.024340041103732224</x:v>
      </x:c>
      <x:c r="U123" s="141" t="n">
        <x:v>101.9263</x:v>
      </x:c>
      <x:c r="V123" s="154" t="n">
        <x:f>IFERROR(U123/U111-1,"")</x:f>
        <x:v>0.008180076419915805</x:v>
      </x:c>
      <x:c r="W123" s="141" t="n">
        <x:v>6613797</x:v>
      </x:c>
      <x:c r="X123" s="154" t="n">
        <x:f>IFERROR(W123/W122-1,"")</x:f>
        <x:v>0.0039815907782658755</x:v>
      </x:c>
      <x:c r="Y123" s="141" t="n">
        <x:v>119.86541</x:v>
      </x:c>
      <x:c r="Z123" s="141" t="n">
        <x:f>IFERROR(Y123-Y122,"")</x:f>
        <x:v>-48.764460000000014</x:v>
      </x:c>
      <x:c r="AA123" s="141" t="n">
        <x:v>93990.25</x:v>
      </x:c>
      <x:c r="AB123" s="141" t="n">
        <x:f>IFERROR(AA123-AA122,"")</x:f>
        <x:v>-33929.95</x:v>
      </x:c>
      <x:c r="AC123" s="141" t="n">
        <x:v>6010.75</x:v>
      </x:c>
      <x:c r="AD123" s="141" t="n">
        <x:f>IFERROR(AC123-AC122,"")</x:f>
        <x:v>-6242.65</x:v>
      </x:c>
      <x:c r="AE123" s="141"/>
      <x:c r="AF123" s="147" t="str"/>
    </x:row>
    <x:row r="124">
      <x:c r="A124" s="152" t="n">
        <x:v>46082</x:v>
      </x:c>
      <x:c r="B124" s="153" t="n">
        <x:v>4856</x:v>
      </x:c>
      <x:c r="C124" s="153" t="n">
        <x:v>77.9</x:v>
      </x:c>
      <x:c r="D124" s="153" t="n">
        <x:v>103.7</x:v>
      </x:c>
      <x:c r="E124" s="153" t="n">
        <x:v>12529</x:v>
      </x:c>
      <x:c r="F124" s="153" t="n">
        <x:f>IFERROR(B124/C124,"")</x:f>
        <x:v>62.33632862644416</x:v>
      </x:c>
      <x:c r="G124" s="154" t="n">
        <x:f>IFERROR(B124/B123-1,"")</x:f>
        <x:v>-0.03266932270916334</x:v>
      </x:c>
      <x:c r="H124" s="154" t="n">
        <x:f>IFERROR(C124/C123-1,"")</x:f>
        <x:v>-0.04884004884004889</x:v>
      </x:c>
      <x:c r="I124" s="154" t="n">
        <x:f>IFERROR(D124/D123-1,"")</x:f>
        <x:v>0.45850914205344595</x:v>
      </x:c>
      <x:c r="J124" s="154" t="n">
        <x:f>IFERROR(E124/E123-1,"")</x:f>
        <x:v>-0.03258435642035362</x:v>
      </x:c>
      <x:c r="K124" s="153" t="n">
        <x:v>4.245909090909091</x:v>
      </x:c>
      <x:c r="L124" s="153" t="n">
        <x:v>1.9090909090909092</x:v>
      </x:c>
      <x:c r="M124" s="153" t="n">
        <x:f>IFERROR(L124-L123,"")</x:f>
        <x:v>0.08435406698564596</x:v>
      </x:c>
      <x:c r="N124" s="153" t="n">
        <x:v>2.3368181818181815</x:v>
      </x:c>
      <x:c r="O124" s="153" t="n">
        <x:v>119.91985454545453</x:v>
      </x:c>
      <x:c r="P124" s="153" t="n">
        <x:f>IFERROR(O124/O123-1,"")</x:f>
        <x:v>0.017079988577716643</x:v>
      </x:c>
      <x:c r="Q124" s="153" t="n">
        <x:v>25.596818181818175</x:v>
      </x:c>
      <x:c r="R124" s="153" t="n">
        <x:v>3.64</x:v>
      </x:c>
      <x:c r="S124" s="141" t="n">
        <x:v>330.293</x:v>
      </x:c>
      <x:c r="T124" s="154" t="n">
        <x:f>IFERROR(S124/S112-1,"")</x:f>
        <x:v>0.032859577528651984</x:v>
      </x:c>
      <x:c r="U124" s="141" t="n">
        <x:v>101.6172</x:v>
      </x:c>
      <x:c r="V124" s="154" t="n">
        <x:f>IFERROR(U124/U112-1,"")</x:f>
        <x:v>0.005708607646050412</x:v>
      </x:c>
      <x:c r="W124" s="141" t="n">
        <x:v>6657161</x:v>
      </x:c>
      <x:c r="X124" s="154" t="n">
        <x:f>IFERROR(W124/W123-1,"")</x:f>
        <x:v>0.0065565967627976285</x:v>
      </x:c>
      <x:c r="Y124" s="141" t="n">
        <x:v>330.94464</x:v>
      </x:c>
      <x:c r="Z124" s="141" t="n">
        <x:f>IFERROR(Y124-Y123,"")</x:f>
        <x:v>211.07923</x:v>
      </x:c>
      <x:c r="AA124" s="141" t="n">
        <x:v>97495</x:v>
      </x:c>
      <x:c r="AB124" s="141" t="n">
        <x:f>IFERROR(AA124-AA123,"")</x:f>
        <x:v>3504.75</x:v>
      </x:c>
      <x:c r="AC124" s="141" t="n">
        <x:v>9715</x:v>
      </x:c>
      <x:c r="AD124" s="141" t="n">
        <x:f>IFERROR(AC124-AC123,"")</x:f>
        <x:v>3704.25</x:v>
      </x:c>
      <x:c r="AE124" s="141"/>
      <x:c r="AF124" s="147" t="str"/>
    </x:row>
    <x:row r="125">
      <x:c r="A125" s="152" t="n">
        <x:v>46113</x:v>
      </x:c>
      <x:c r="B125" s="153" t="n">
        <x:v>4721</x:v>
      </x:c>
      <x:c r="C125" s="153" t="n">
        <x:v>75.9</x:v>
      </x:c>
      <x:c r="D125" s="153" t="n">
        <x:v>120.4</x:v>
      </x:c>
      <x:c r="E125" s="153" t="n">
        <x:v>12951</x:v>
      </x:c>
      <x:c r="F125" s="153" t="n">
        <x:f>IFERROR(B125/C125,"")</x:f>
        <x:v>62.20026350461133</x:v>
      </x:c>
      <x:c r="G125" s="154" t="n">
        <x:f>IFERROR(B125/B124-1,"")</x:f>
        <x:v>-0.027800658978583193</x:v>
      </x:c>
      <x:c r="H125" s="154" t="n">
        <x:f>IFERROR(C125/C124-1,"")</x:f>
        <x:v>-0.025673940949935803</x:v>
      </x:c>
      <x:c r="I125" s="154" t="n">
        <x:f>IFERROR(D125/D124-1,"")</x:f>
        <x:v>0.16104146576663458</x:v>
      </x:c>
      <x:c r="J125" s="154" t="n">
        <x:f>IFERROR(E125/E124-1,"")</x:f>
        <x:v>0.033681858089233074</x:v>
      </x:c>
      <x:c r="K125" s="153" t="n">
        <x:v>4.319090909090909</x:v>
      </x:c>
      <x:c r="L125" s="153" t="n">
        <x:v>1.9368181818181818</x:v>
      </x:c>
      <x:c r="M125" s="153" t="n">
        <x:f>IFERROR(L125-L124,"")</x:f>
        <x:v>0.0277272727272726</x:v>
      </x:c>
      <x:c r="N125" s="153" t="n">
        <x:v>2.3822727272727273</x:v>
      </x:c>
      <x:c r="O125" s="153" t="n">
        <x:v>119.03631818181816</x:v>
      </x:c>
      <x:c r="P125" s="153" t="n">
        <x:f>IFERROR(O125/O124-1,"")</x:f>
        <x:v>-0.007367723776728452</x:v>
      </x:c>
      <x:c r="Q125" s="153" t="n">
        <x:v>19.81190476190476</x:v>
      </x:c>
      <x:c r="R125" s="153" t="n">
        <x:v>3.64</x:v>
      </x:c>
      <x:c r="S125" s="141" t="n">
        <x:v>332.407</x:v>
      </x:c>
      <x:c r="T125" s="154" t="n">
        <x:f>IFERROR(S125/S113-1,"")</x:f>
        <x:v>0.03779245836741563</x:v>
      </x:c>
      <x:c r="U125" s="141" t="n">
        <x:v>102.4196</x:v>
      </x:c>
      <x:c r="V125" s="154" t="n">
        <x:f>IFERROR(U125/U113-1,"")</x:f>
        <x:v>0.012772934076550557</x:v>
      </x:c>
      <x:c r="W125" s="141" t="n">
        <x:v>6699950</x:v>
      </x:c>
      <x:c r="X125" s="154" t="n">
        <x:f>IFERROR(W125/W124-1,"")</x:f>
        <x:v>0.0064275146717946985</x:v>
      </x:c>
      <x:c r="Y125" s="141" t="n">
        <x:v>254.4295</x:v>
      </x:c>
      <x:c r="Z125" s="141" t="n">
        <x:f>IFERROR(Y125-Y124,"")</x:f>
        <x:v>-76.51514</x:v>
      </x:c>
      <x:c r="AA125" s="141" t="n">
        <x:v>92740.75</x:v>
      </x:c>
      <x:c r="AB125" s="141" t="n">
        <x:f>IFERROR(AA125-AA124,"")</x:f>
        <x:v>-4754.25</x:v>
      </x:c>
      <x:c r="AC125" s="141" t="n">
        <x:v>10450.5</x:v>
      </x:c>
      <x:c r="AD125" s="141" t="n">
        <x:f>IFERROR(AC125-AC124,"")</x:f>
        <x:v>735.5</x:v>
      </x:c>
      <x:c r="AE125" s="141"/>
      <x:c r="AF125" s="147" t="str"/>
    </x:row>
    <x:row r="126">
      <x:c r="A126" s="152" t="n">
        <x:v>46143</x:v>
      </x:c>
      <x:c r="B126" s="153" t="n">
        <x:v>4587</x:v>
      </x:c>
      <x:c r="C126" s="153" t="n">
        <x:v>78</x:v>
      </x:c>
      <x:c r="D126" s="153" t="n">
        <x:v>107.5</x:v>
      </x:c>
      <x:c r="E126" s="153" t="n">
        <x:v>13543</x:v>
      </x:c>
      <x:c r="F126" s="153" t="n">
        <x:f>IFERROR(B126/C126,"")</x:f>
        <x:v>58.80769230769231</x:v>
      </x:c>
      <x:c r="G126" s="154" t="n">
        <x:f>IFERROR(B126/B125-1,"")</x:f>
        <x:v>-0.028383816987926247</x:v>
      </x:c>
      <x:c r="H126" s="154" t="n">
        <x:f>IFERROR(C126/C125-1,"")</x:f>
        <x:v>0.02766798418972316</x:v>
      </x:c>
      <x:c r="I126" s="154" t="n">
        <x:f>IFERROR(D126/D125-1,"")</x:f>
        <x:v>-0.1071428571428572</x:v>
      </x:c>
      <x:c r="J126" s="154" t="n">
        <x:f>IFERROR(E126/E125-1,"")</x:f>
        <x:v>0.045710755926183344</x:v>
      </x:c>
      <x:c r="K126" s="153" t="n">
        <x:v>4.484</x:v>
      </x:c>
      <x:c r="L126" s="153" t="n">
        <x:v>2.0389999999999997</x:v>
      </x:c>
      <x:c r="M126" s="153" t="n">
        <x:f>IFERROR(L126-L125,"")</x:f>
        <x:v>0.10218181818181793</x:v>
      </x:c>
      <x:c r="N126" s="153" t="n">
        <x:v>2.4449999999999994</x:v>
      </x:c>
      <x:c r="O126" s="153" t="n">
        <x:v>118.77918499999998</x:v>
      </x:c>
      <x:c r="P126" s="153" t="n">
        <x:f>IFERROR(O126/O125-1,"")</x:f>
        <x:v>-0.0021601237819320884</x:v>
      </x:c>
      <x:c r="Q126" s="153" t="n">
        <x:v>17.237142857142857</x:v>
      </x:c>
      <x:c r="R126" s="153" t="n">
        <x:v>3.6277419354838734</x:v>
      </x:c>
      <x:c r="S126" s="141" t="n">
        <x:v>333.979</x:v>
      </x:c>
      <x:c r="T126" s="154" t="n">
        <x:f>IFERROR(S126/S114-1,"")</x:f>
        <x:v>0.04166614684049641</x:v>
      </x:c>
      <x:c r="U126" s="141" t="n">
        <x:v>102.5606</x:v>
      </x:c>
      <x:c r="V126" s="154" t="n">
        <x:f>IFERROR(U126/U114-1,"")</x:f>
        <x:v>0.015798465812579376</x:v>
      </x:c>
      <x:c r="W126" s="141" t="n">
        <x:v>6704383</x:v>
      </x:c>
      <x:c r="X126" s="154" t="n">
        <x:f>IFERROR(W126/W125-1,"")</x:f>
        <x:v>0.0006616467287068328</x:v>
      </x:c>
      <x:c r="Y126" s="141" t="n">
        <x:v>203.55667</x:v>
      </x:c>
      <x:c r="Z126" s="141" t="n">
        <x:f>IFERROR(Y126-Y125,"")</x:f>
        <x:v>-50.87282999999999</x:v>
      </x:c>
      <x:c r="AA126" s="141" t="n">
        <x:v>94601.4</x:v>
      </x:c>
      <x:c r="AB126" s="141" t="n">
        <x:f>IFERROR(AA126-AA125,"")</x:f>
        <x:v>1860.6499999999942</x:v>
      </x:c>
      <x:c r="AC126" s="141" t="n">
        <x:v>11765.8</x:v>
      </x:c>
      <x:c r="AD126" s="141" t="n">
        <x:f>IFERROR(AC126-AC125,"")</x:f>
        <x:v>1315.2999999999993</x:v>
      </x:c>
      <x:c r="AE126" s="141"/>
      <x:c r="AF126" s="147" t="str"/>
    </x:row>
    <x:row r="127">
      <x:c r="A127" s="152" t="n">
        <x:v>46174</x:v>
      </x:c>
      <x:c r="B127" s="153" t="n">
        <x:v>4228</x:v>
      </x:c>
      <x:c r="C127" s="153" t="n">
        <x:v>66.7</x:v>
      </x:c>
      <x:c r="D127" s="153" t="n">
        <x:v>85.4</x:v>
      </x:c>
      <x:c r="E127" s="153" t="n">
        <x:v>13552</x:v>
      </x:c>
      <x:c r="F127" s="153" t="n">
        <x:f>IFERROR(B127/C127,"")</x:f>
        <x:v>63.38830584707646</x:v>
      </x:c>
      <x:c r="G127" s="154" t="n">
        <x:f>IFERROR(B127/B126-1,"")</x:f>
        <x:v>-0.07826466099847396</x:v>
      </x:c>
      <x:c r="H127" s="154" t="n">
        <x:f>IFERROR(C127/C126-1,"")</x:f>
        <x:v>-0.1448717948717948</x:v>
      </x:c>
      <x:c r="I127" s="154" t="n">
        <x:f>IFERROR(D127/D126-1,"")</x:f>
        <x:v>-0.20558139534883713</x:v>
      </x:c>
      <x:c r="J127" s="154" t="n">
        <x:f>IFERROR(E127/E126-1,"")</x:f>
        <x:v>0.0006645499520048226</x:v>
      </x:c>
      <x:c r="K127" s="153" t="n">
        <x:v>4.47047619047619</x:v>
      </x:c>
      <x:c r="L127" s="153" t="n">
        <x:v>2.1790476190476187</x:v>
      </x:c>
      <x:c r="M127" s="153" t="n">
        <x:f>IFERROR(L127-L126,"")</x:f>
        <x:v>0.14004761904761898</x:v>
      </x:c>
      <x:c r="N127" s="153" t="n">
        <x:v>2.2914285714285714</x:v>
      </x:c>
      <x:c r="O127" s="153" t="n">
        <x:v>120.08344761904759</x:v>
      </x:c>
      <x:c r="P127" s="153" t="n">
        <x:f>IFERROR(O127/O126-1,"")</x:f>
        <x:v>0.010980565484159488</x:v>
      </x:c>
      <x:c r="Q127" s="153" t="n">
        <x:v>17.906818181818178</x:v>
      </x:c>
      <x:c r="R127" s="153" t="n">
        <x:v>3.6253333333333315</x:v>
      </x:c>
      <x:c r="S127" s="141" t="n">
        <x:v>332.568</x:v>
      </x:c>
      <x:c r="T127" s="154" t="n">
        <x:f>IFERROR(S127/S115-1,"")</x:f>
        <x:v>0.03463530729385411</x:v>
      </x:c>
      <x:c r="U127" s="141" t="n">
        <x:v>102.6395</x:v>
      </x:c>
      <x:c r="V127" s="154" t="n">
        <x:f>IFERROR(U127/U115-1,"")</x:f>
        <x:v>0.011440847075981697</x:v>
      </x:c>
      <x:c r="W127" s="141" t="n">
        <x:v>6735645</x:v>
      </x:c>
      <x:c r="X127" s="154" t="n">
        <x:f>IFERROR(W127/W126-1,"")</x:f>
        <x:v>0.004662919764578</x:v>
      </x:c>
      <x:c r="Y127" s="141" t="n">
        <x:v>173.63956</x:v>
      </x:c>
      <x:c r="Z127" s="141" t="n">
        <x:f>IFERROR(Y127-Y126,"")</x:f>
        <x:v>-29.917110000000008</x:v>
      </x:c>
      <x:c r="AA127" s="141" t="n">
        <x:v>111789.5</x:v>
      </x:c>
      <x:c r="AB127" s="141" t="n">
        <x:f>IFERROR(AA127-AA126,"")</x:f>
        <x:v>17188.100000000006</x:v>
      </x:c>
      <x:c r="AC127" s="141" t="n">
        <x:v>11368.25</x:v>
      </x:c>
      <x:c r="AD127" s="141" t="n">
        <x:f>IFERROR(AC127-AC126,"")</x:f>
        <x:v>-397.5499999999993</x:v>
      </x:c>
      <x:c r="AE127" s="141"/>
      <x:c r="AF127" s="147" t="str"/>
    </x:row>
  </x:sheetData>
  <x:pageMargins left="0.7" right="0.7" top="0.75" bottom="0.75" header="0.3" footer="0.3"/>
  <x:tableParts count="1">
    <x:tablePart xmlns:r="http://schemas.openxmlformats.org/officeDocument/2006/relationships" r:id="Re8fdcb45f5cd4f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42" customHeight="1">
      <x:c r="A1" s="151" t="str">
        <x:v>date</x:v>
      </x:c>
      <x:c r="B1" s="151" t="str">
        <x:v>gpr_global</x:v>
      </x:c>
      <x:c r="C1" s="151" t="str">
        <x:v>gpr_threats</x:v>
      </x:c>
      <x:c r="D1" s="151" t="str">
        <x:v>gpr_acts</x:v>
      </x:c>
      <x:c r="E1" s="151" t="str">
        <x:v>gpr_china_share</x:v>
      </x:c>
      <x:c r="F1" s="151" t="str">
        <x:v>gpr_russia_share</x:v>
      </x:c>
      <x:c r="G1" s="151" t="str">
        <x:v>gpr_usa_share</x:v>
      </x:c>
    </x:row>
    <x:row r="2">
      <x:c r="A2" s="152" t="n">
        <x:v>42370</x:v>
      </x:c>
      <x:c r="B2" s="153" t="n">
        <x:v>118.21114</x:v>
      </x:c>
      <x:c r="C2" s="153" t="n">
        <x:v>124.23914</x:v>
      </x:c>
      <x:c r="D2" s="153" t="n">
        <x:v>109.5291</x:v>
      </x:c>
      <x:c r="E2" s="153" t="n">
        <x:v>0.6952169</x:v>
      </x:c>
      <x:c r="F2" s="153" t="n">
        <x:v>0.7044865</x:v>
      </x:c>
      <x:c r="G2" s="153" t="n">
        <x:v>2.5074155</x:v>
      </x:c>
    </x:row>
    <x:row r="3">
      <x:c r="A3" s="152" t="n">
        <x:v>42401</x:v>
      </x:c>
      <x:c r="B3" s="153" t="n">
        <x:v>103.74965</x:v>
      </x:c>
      <x:c r="C3" s="153" t="n">
        <x:v>91.32202</x:v>
      </x:c>
      <x:c r="D3" s="153" t="n">
        <x:v>117.582016</x:v>
      </x:c>
      <x:c r="E3" s="153" t="n">
        <x:v>0.49907035</x:v>
      </x:c>
      <x:c r="F3" s="153" t="n">
        <x:v>1.1938546</x:v>
      </x:c>
      <x:c r="G3" s="153" t="n">
        <x:v>2.2458167</x:v>
      </x:c>
    </x:row>
    <x:row r="4">
      <x:c r="A4" s="152" t="n">
        <x:v>42430</x:v>
      </x:c>
      <x:c r="B4" s="153" t="n">
        <x:v>109.72029</x:v>
      </x:c>
      <x:c r="C4" s="153" t="n">
        <x:v>98.02693</x:v>
      </x:c>
      <x:c r="D4" s="153" t="n">
        <x:v>127.76814</x:v>
      </x:c>
      <x:c r="E4" s="153" t="n">
        <x:v>0.5115205</x:v>
      </x:c>
      <x:c r="F4" s="153" t="n">
        <x:v>0.7785976</x:v>
      </x:c>
      <x:c r="G4" s="153" t="n">
        <x:v>2.448961</x:v>
      </x:c>
    </x:row>
    <x:row r="5">
      <x:c r="A5" s="152" t="n">
        <x:v>42461</x:v>
      </x:c>
      <x:c r="B5" s="153" t="n">
        <x:v>85.22145</x:v>
      </x:c>
      <x:c r="C5" s="153" t="n">
        <x:v>80.82244</x:v>
      </x:c>
      <x:c r="D5" s="153" t="n">
        <x:v>93.122986</x:v>
      </x:c>
      <x:c r="E5" s="153" t="n">
        <x:v>0.36250407</x:v>
      </x:c>
      <x:c r="F5" s="153" t="n">
        <x:v>0.7761305</x:v>
      </x:c>
      <x:c r="G5" s="153" t="n">
        <x:v>2.0123622</x:v>
      </x:c>
    </x:row>
    <x:row r="6">
      <x:c r="A6" s="152" t="n">
        <x:v>42491</x:v>
      </x:c>
      <x:c r="B6" s="153" t="n">
        <x:v>88.33242</x:v>
      </x:c>
      <x:c r="C6" s="153" t="n">
        <x:v>84.461365</x:v>
      </x:c>
      <x:c r="D6" s="153" t="n">
        <x:v>93.639656</x:v>
      </x:c>
      <x:c r="E6" s="153" t="n">
        <x:v>0.44612372</x:v>
      </x:c>
      <x:c r="F6" s="153" t="n">
        <x:v>0.6555287</x:v>
      </x:c>
      <x:c r="G6" s="153" t="n">
        <x:v>1.9210634</x:v>
      </x:c>
    </x:row>
    <x:row r="7">
      <x:c r="A7" s="152" t="n">
        <x:v>42522</x:v>
      </x:c>
      <x:c r="B7" s="153" t="n">
        <x:v>90.16813</x:v>
      </x:c>
      <x:c r="C7" s="153" t="n">
        <x:v>80.51286</x:v>
      </x:c>
      <x:c r="D7" s="153" t="n">
        <x:v>100.857376</x:v>
      </x:c>
      <x:c r="E7" s="153" t="n">
        <x:v>0.30207202</x:v>
      </x:c>
      <x:c r="F7" s="153" t="n">
        <x:v>0.54278564</x:v>
      </x:c>
      <x:c r="G7" s="153" t="n">
        <x:v>1.7746731</x:v>
      </x:c>
    </x:row>
    <x:row r="8">
      <x:c r="A8" s="152" t="n">
        <x:v>42552</x:v>
      </x:c>
      <x:c r="B8" s="153" t="n">
        <x:v>114.61045</x:v>
      </x:c>
      <x:c r="C8" s="153" t="n">
        <x:v>97.098045</x:v>
      </x:c>
      <x:c r="D8" s="153" t="n">
        <x:v>145.14874</x:v>
      </x:c>
      <x:c r="E8" s="153" t="n">
        <x:v>0.3781368</x:v>
      </x:c>
      <x:c r="F8" s="153" t="n">
        <x:v>0.7562736</x:v>
      </x:c>
      <x:c r="G8" s="153" t="n">
        <x:v>2.4603448</x:v>
      </x:c>
    </x:row>
    <x:row r="9">
      <x:c r="A9" s="152" t="n">
        <x:v>42583</x:v>
      </x:c>
      <x:c r="B9" s="153" t="n">
        <x:v>98.73849</x:v>
      </x:c>
      <x:c r="C9" s="153" t="n">
        <x:v>82.44047</x:v>
      </x:c>
      <x:c r="D9" s="153" t="n">
        <x:v>121.4537</x:v>
      </x:c>
      <x:c r="E9" s="153" t="n">
        <x:v>0.2894356</x:v>
      </x:c>
      <x:c r="F9" s="153" t="n">
        <x:v>0.9354972</x:v>
      </x:c>
      <x:c r="G9" s="153" t="n">
        <x:v>2.150093</x:v>
      </x:c>
    </x:row>
    <x:row r="10">
      <x:c r="A10" s="152" t="n">
        <x:v>42614</x:v>
      </x:c>
      <x:c r="B10" s="153" t="n">
        <x:v>104.54523</x:v>
      </x:c>
      <x:c r="C10" s="153" t="n">
        <x:v>95.48959</x:v>
      </x:c>
      <x:c r="D10" s="153" t="n">
        <x:v>121.1505</x:v>
      </x:c>
      <x:c r="E10" s="153" t="n">
        <x:v>0.5847953</x:v>
      </x:c>
      <x:c r="F10" s="153" t="n">
        <x:v>1.0485985</x:v>
      </x:c>
      <x:c r="G10" s="153" t="n">
        <x:v>2.6114135</x:v>
      </x:c>
    </x:row>
    <x:row r="11">
      <x:c r="A11" s="152" t="n">
        <x:v>42644</x:v>
      </x:c>
      <x:c r="B11" s="153" t="n">
        <x:v>85.74779</x:v>
      </x:c>
      <x:c r="C11" s="153" t="n">
        <x:v>79.64809</x:v>
      </x:c>
      <x:c r="D11" s="153" t="n">
        <x:v>100.30768</x:v>
      </x:c>
      <x:c r="E11" s="153" t="n">
        <x:v>0.26504368</x:v>
      </x:c>
      <x:c r="F11" s="153" t="n">
        <x:v>0.99636793</x:v>
      </x:c>
      <x:c r="G11" s="153" t="n">
        <x:v>1.9976441</x:v>
      </x:c>
    </x:row>
    <x:row r="12">
      <x:c r="A12" s="152" t="n">
        <x:v>42675</x:v>
      </x:c>
      <x:c r="B12" s="153" t="n">
        <x:v>82.918755</x:v>
      </x:c>
      <x:c r="C12" s="153" t="n">
        <x:v>81.22565</x:v>
      </x:c>
      <x:c r="D12" s="153" t="n">
        <x:v>83.97506</x:v>
      </x:c>
      <x:c r="E12" s="153" t="n">
        <x:v>0.4768986</x:v>
      </x:c>
      <x:c r="F12" s="153" t="n">
        <x:v>0.97943693</x:v>
      </x:c>
      <x:c r="G12" s="153" t="n">
        <x:v>1.9178504</x:v>
      </x:c>
    </x:row>
    <x:row r="13">
      <x:c r="A13" s="152" t="n">
        <x:v>42705</x:v>
      </x:c>
      <x:c r="B13" s="153" t="n">
        <x:v>102.180466</x:v>
      </x:c>
      <x:c r="C13" s="153" t="n">
        <x:v>93.93662</x:v>
      </x:c>
      <x:c r="D13" s="153" t="n">
        <x:v>113.97946</x:v>
      </x:c>
      <x:c r="E13" s="153" t="n">
        <x:v>0.5850464</x:v>
      </x:c>
      <x:c r="F13" s="153" t="n">
        <x:v>1.2559712</x:v>
      </x:c>
      <x:c r="G13" s="153" t="n">
        <x:v>2.2972465</x:v>
      </x:c>
    </x:row>
    <x:row r="14">
      <x:c r="A14" s="152" t="n">
        <x:v>42736</x:v>
      </x:c>
      <x:c r="B14" s="153" t="n">
        <x:v>105.20123</x:v>
      </x:c>
      <x:c r="C14" s="153" t="n">
        <x:v>108.277</x:v>
      </x:c>
      <x:c r="D14" s="153" t="n">
        <x:v>103.17117</x:v>
      </x:c>
      <x:c r="E14" s="153" t="n">
        <x:v>0.64323336</x:v>
      </x:c>
      <x:c r="F14" s="153" t="n">
        <x:v>1.2358185</x:v>
      </x:c>
      <x:c r="G14" s="153" t="n">
        <x:v>2.5729334</x:v>
      </x:c>
    </x:row>
    <x:row r="15">
      <x:c r="A15" s="152" t="n">
        <x:v>42767</x:v>
      </x:c>
      <x:c r="B15" s="153" t="n">
        <x:v>114.20636</x:v>
      </x:c>
      <x:c r="C15" s="153" t="n">
        <x:v>125.66468</x:v>
      </x:c>
      <x:c r="D15" s="153" t="n">
        <x:v>97.1516</x:v>
      </x:c>
      <x:c r="E15" s="153" t="n">
        <x:v>0.7214451</x:v>
      </x:c>
      <x:c r="F15" s="153" t="n">
        <x:v>1.079414</x:v>
      </x:c>
      <x:c r="G15" s="153" t="n">
        <x:v>3.0234606</x:v>
      </x:c>
    </x:row>
    <x:row r="16">
      <x:c r="A16" s="152" t="n">
        <x:v>42795</x:v>
      </x:c>
      <x:c r="B16" s="153" t="n">
        <x:v>96.63588</x:v>
      </x:c>
      <x:c r="C16" s="153" t="n">
        <x:v>95.838425</x:v>
      </x:c>
      <x:c r="D16" s="153" t="n">
        <x:v>95.674545</x:v>
      </x:c>
      <x:c r="E16" s="153" t="n">
        <x:v>0.6296866</x:v>
      </x:c>
      <x:c r="F16" s="153" t="n">
        <x:v>0.7931167</x:v>
      </x:c>
      <x:c r="G16" s="153" t="n">
        <x:v>2.1438184</x:v>
      </x:c>
    </x:row>
    <x:row r="17">
      <x:c r="A17" s="152" t="n">
        <x:v>42826</x:v>
      </x:c>
      <x:c r="B17" s="153" t="n">
        <x:v>119.45992</x:v>
      </x:c>
      <x:c r="C17" s="153" t="n">
        <x:v>127.44655</x:v>
      </x:c>
      <x:c r="D17" s="153" t="n">
        <x:v>108.06884</x:v>
      </x:c>
      <x:c r="E17" s="153" t="n">
        <x:v>1.07702</x:v>
      </x:c>
      <x:c r="F17" s="153" t="n">
        <x:v>1.4395293</x:v>
      </x:c>
      <x:c r="G17" s="153" t="n">
        <x:v>3.0787013</x:v>
      </x:c>
    </x:row>
    <x:row r="18">
      <x:c r="A18" s="152" t="n">
        <x:v>42856</x:v>
      </x:c>
      <x:c r="B18" s="153" t="n">
        <x:v>102.57996</x:v>
      </x:c>
      <x:c r="C18" s="153" t="n">
        <x:v>102.35461</x:v>
      </x:c>
      <x:c r="D18" s="153" t="n">
        <x:v>99.7048</x:v>
      </x:c>
      <x:c r="E18" s="153" t="n">
        <x:v>0.69049555</x:v>
      </x:c>
      <x:c r="F18" s="153" t="n">
        <x:v>0.8681966</x:v>
      </x:c>
      <x:c r="G18" s="153" t="n">
        <x:v>2.518278</x:v>
      </x:c>
    </x:row>
    <x:row r="19">
      <x:c r="A19" s="152" t="n">
        <x:v>42887</x:v>
      </x:c>
      <x:c r="B19" s="153" t="n">
        <x:v>126.78902</x:v>
      </x:c>
      <x:c r="C19" s="153" t="n">
        <x:v>113.168465</x:v>
      </x:c>
      <x:c r="D19" s="153" t="n">
        <x:v>146.67166</x:v>
      </x:c>
      <x:c r="E19" s="153" t="n">
        <x:v>0.5417957</x:v>
      </x:c>
      <x:c r="F19" s="153" t="n">
        <x:v>0.8255934</x:v>
      </x:c>
      <x:c r="G19" s="153" t="n">
        <x:v>2.858617</x:v>
      </x:c>
    </x:row>
    <x:row r="20">
      <x:c r="A20" s="152" t="n">
        <x:v>42917</x:v>
      </x:c>
      <x:c r="B20" s="153" t="n">
        <x:v>102.81346</x:v>
      </x:c>
      <x:c r="C20" s="153" t="n">
        <x:v>125.599205</x:v>
      </x:c>
      <x:c r="D20" s="153" t="n">
        <x:v>71.955055</x:v>
      </x:c>
      <x:c r="E20" s="153" t="n">
        <x:v>0.9060563</x:v>
      </x:c>
      <x:c r="F20" s="153" t="n">
        <x:v>1.3723308</x:v>
      </x:c>
      <x:c r="G20" s="153" t="n">
        <x:v>2.6227944</x:v>
      </x:c>
    </x:row>
    <x:row r="21">
      <x:c r="A21" s="152" t="n">
        <x:v>42948</x:v>
      </x:c>
      <x:c r="B21" s="153" t="n">
        <x:v>138.53162</x:v>
      </x:c>
      <x:c r="C21" s="153" t="n">
        <x:v>160.0231</x:v>
      </x:c>
      <x:c r="D21" s="153" t="n">
        <x:v>108.43595</x:v>
      </x:c>
      <x:c r="E21" s="153" t="n">
        <x:v>1.2550737</x:v>
      </x:c>
      <x:c r="F21" s="153" t="n">
        <x:v>1.0841701</x:v>
      </x:c>
      <x:c r="G21" s="153" t="n">
        <x:v>3.5569322</x:v>
      </x:c>
    </x:row>
    <x:row r="22">
      <x:c r="A22" s="152" t="n">
        <x:v>42979</x:v>
      </x:c>
      <x:c r="B22" s="153" t="n">
        <x:v>115.53445</x:v>
      </x:c>
      <x:c r="C22" s="153" t="n">
        <x:v>142.1449</x:v>
      </x:c>
      <x:c r="D22" s="153" t="n">
        <x:v>84.09627</x:v>
      </x:c>
      <x:c r="E22" s="153" t="n">
        <x:v>1.2183552</x:v>
      </x:c>
      <x:c r="F22" s="153" t="n">
        <x:v>1.1784091</x:v>
      </x:c>
      <x:c r="G22" s="153" t="n">
        <x:v>2.8811104</x:v>
      </x:c>
    </x:row>
    <x:row r="23">
      <x:c r="A23" s="152" t="n">
        <x:v>43009</x:v>
      </x:c>
      <x:c r="B23" s="153" t="n">
        <x:v>91.46157</x:v>
      </x:c>
      <x:c r="C23" s="153" t="n">
        <x:v>109.230606</x:v>
      </x:c>
      <x:c r="D23" s="153" t="n">
        <x:v>69.157</x:v>
      </x:c>
      <x:c r="E23" s="153" t="n">
        <x:v>0.6046587</x:v>
      </x:c>
      <x:c r="F23" s="153" t="n">
        <x:v>0.74263453</x:v>
      </x:c>
      <x:c r="G23" s="153" t="n">
        <x:v>2.098044</x:v>
      </x:c>
    </x:row>
    <x:row r="24">
      <x:c r="A24" s="152" t="n">
        <x:v>43040</x:v>
      </x:c>
      <x:c r="B24" s="153" t="n">
        <x:v>92.596016</x:v>
      </x:c>
      <x:c r="C24" s="153" t="n">
        <x:v>103.94398</x:v>
      </x:c>
      <x:c r="D24" s="153" t="n">
        <x:v>80.115875</x:v>
      </x:c>
      <x:c r="E24" s="153" t="n">
        <x:v>0.75324017</x:v>
      </x:c>
      <x:c r="F24" s="153" t="n">
        <x:v>0.63120687</x:v>
      </x:c>
      <x:c r="G24" s="153" t="n">
        <x:v>2.1755598</x:v>
      </x:c>
    </x:row>
    <x:row r="25">
      <x:c r="A25" s="152" t="n">
        <x:v>43070</x:v>
      </x:c>
      <x:c r="B25" s="153" t="n">
        <x:v>82.718254</x:v>
      </x:c>
      <x:c r="C25" s="153" t="n">
        <x:v>95.90845</x:v>
      </x:c>
      <x:c r="D25" s="153" t="n">
        <x:v>62.65748</x:v>
      </x:c>
      <x:c r="E25" s="153" t="n">
        <x:v>0.731061</x:v>
      </x:c>
      <x:c r="F25" s="153" t="n">
        <x:v>0.79045963</x:v>
      </x:c>
      <x:c r="G25" s="153" t="n">
        <x:v>2.0012794</x:v>
      </x:c>
    </x:row>
    <x:row r="26">
      <x:c r="A26" s="152" t="n">
        <x:v>43101</x:v>
      </x:c>
      <x:c r="B26" s="153" t="n">
        <x:v>92.42679</x:v>
      </x:c>
      <x:c r="C26" s="153" t="n">
        <x:v>107.64432</x:v>
      </x:c>
      <x:c r="D26" s="153" t="n">
        <x:v>75.66629</x:v>
      </x:c>
      <x:c r="E26" s="153" t="n">
        <x:v>0.68546635</x:v>
      </x:c>
      <x:c r="F26" s="153" t="n">
        <x:v>1.0325379</x:v>
      </x:c>
      <x:c r="G26" s="153" t="n">
        <x:v>2.2039046</x:v>
      </x:c>
    </x:row>
    <x:row r="27">
      <x:c r="A27" s="152" t="n">
        <x:v>43132</x:v>
      </x:c>
      <x:c r="B27" s="153" t="n">
        <x:v>64.49137</x:v>
      </x:c>
      <x:c r="C27" s="153" t="n">
        <x:v>74.68311</x:v>
      </x:c>
      <x:c r="D27" s="153" t="n">
        <x:v>52.0022</x:v>
      </x:c>
      <x:c r="E27" s="153" t="n">
        <x:v>0.2929415</x:v>
      </x:c>
      <x:c r="F27" s="153" t="n">
        <x:v>0.74397844</x:v>
      </x:c>
      <x:c r="G27" s="153" t="n">
        <x:v>1.5902538</x:v>
      </x:c>
    </x:row>
    <x:row r="28">
      <x:c r="A28" s="152" t="n">
        <x:v>43160</x:v>
      </x:c>
      <x:c r="B28" s="153" t="n">
        <x:v>111.962296</x:v>
      </x:c>
      <x:c r="C28" s="153" t="n">
        <x:v>146.92708</x:v>
      </x:c>
      <x:c r="D28" s="153" t="n">
        <x:v>64.55759</x:v>
      </x:c>
      <x:c r="E28" s="153" t="n">
        <x:v>0.94574016</x:v>
      </x:c>
      <x:c r="F28" s="153" t="n">
        <x:v>1.4226177</x:v>
      </x:c>
      <x:c r="G28" s="153" t="n">
        <x:v>2.7490582</x:v>
      </x:c>
    </x:row>
    <x:row r="29">
      <x:c r="A29" s="152" t="n">
        <x:v>43191</x:v>
      </x:c>
      <x:c r="B29" s="153" t="n">
        <x:v>123.26347</x:v>
      </x:c>
      <x:c r="C29" s="153" t="n">
        <x:v>146.39566</x:v>
      </x:c>
      <x:c r="D29" s="153" t="n">
        <x:v>94.305855</x:v>
      </x:c>
      <x:c r="E29" s="153" t="n">
        <x:v>1.1056882</x:v>
      </x:c>
      <x:c r="F29" s="153" t="n">
        <x:v>1.7665098</x:v>
      </x:c>
      <x:c r="G29" s="153" t="n">
        <x:v>3.3602557</x:v>
      </x:c>
    </x:row>
    <x:row r="30">
      <x:c r="A30" s="152" t="n">
        <x:v>43221</x:v>
      </x:c>
      <x:c r="B30" s="153" t="n">
        <x:v>125.66662</x:v>
      </x:c>
      <x:c r="C30" s="153" t="n">
        <x:v>172.2167</x:v>
      </x:c>
      <x:c r="D30" s="153" t="n">
        <x:v>63.217903</x:v>
      </x:c>
      <x:c r="E30" s="153" t="n">
        <x:v>1.5211363</x:v>
      </x:c>
      <x:c r="F30" s="153" t="n">
        <x:v>1.2564081</x:v>
      </x:c>
      <x:c r="G30" s="153" t="n">
        <x:v>3.3196068</x:v>
      </x:c>
    </x:row>
    <x:row r="31">
      <x:c r="A31" s="152" t="n">
        <x:v>43252</x:v>
      </x:c>
      <x:c r="B31" s="153" t="n">
        <x:v>103.96859</x:v>
      </x:c>
      <x:c r="C31" s="153" t="n">
        <x:v>137.02446</x:v>
      </x:c>
      <x:c r="D31" s="153" t="n">
        <x:v>56.640434</x:v>
      </x:c>
      <x:c r="E31" s="153" t="n">
        <x:v>1.1688901</x:v>
      </x:c>
      <x:c r="F31" s="153" t="n">
        <x:v>0.8921565</x:v>
      </x:c>
      <x:c r="G31" s="153" t="n">
        <x:v>2.6227748</x:v>
      </x:c>
    </x:row>
    <x:row r="32">
      <x:c r="A32" s="152" t="n">
        <x:v>43282</x:v>
      </x:c>
      <x:c r="B32" s="153" t="n">
        <x:v>110.02843</x:v>
      </x:c>
      <x:c r="C32" s="153" t="n">
        <x:v>129.10234</x:v>
      </x:c>
      <x:c r="D32" s="153" t="n">
        <x:v>84.40847</x:v>
      </x:c>
      <x:c r="E32" s="153" t="n">
        <x:v>1.0246339</x:v>
      </x:c>
      <x:c r="F32" s="153" t="n">
        <x:v>1.1441746</x:v>
      </x:c>
      <x:c r="G32" s="153" t="n">
        <x:v>2.6853948</x:v>
      </x:c>
    </x:row>
    <x:row r="33">
      <x:c r="A33" s="152" t="n">
        <x:v>43313</x:v>
      </x:c>
      <x:c r="B33" s="153" t="n">
        <x:v>112.741684</x:v>
      </x:c>
      <x:c r="C33" s="153" t="n">
        <x:v>145.11407</x:v>
      </x:c>
      <x:c r="D33" s="153" t="n">
        <x:v>68.57559</x:v>
      </x:c>
      <x:c r="E33" s="153" t="n">
        <x:v>0.96295965</x:v>
      </x:c>
      <x:c r="F33" s="153" t="n">
        <x:v>1.1645093</x:v>
      </x:c>
      <x:c r="G33" s="153" t="n">
        <x:v>2.808259</x:v>
      </x:c>
    </x:row>
    <x:row r="34">
      <x:c r="A34" s="152" t="n">
        <x:v>43344</x:v>
      </x:c>
      <x:c r="B34" s="153" t="n">
        <x:v>75.05391</x:v>
      </x:c>
      <x:c r="C34" s="153" t="n">
        <x:v>88.62364</x:v>
      </x:c>
      <x:c r="D34" s="153" t="n">
        <x:v>51.163918</x:v>
      </x:c>
      <x:c r="E34" s="153" t="n">
        <x:v>0.77278453</x:v>
      </x:c>
      <x:c r="F34" s="153" t="n">
        <x:v>0.8189836</x:v>
      </x:c>
      <x:c r="G34" s="153" t="n">
        <x:v>1.8185636</x:v>
      </x:c>
    </x:row>
    <x:row r="35">
      <x:c r="A35" s="152" t="n">
        <x:v>43374</x:v>
      </x:c>
      <x:c r="B35" s="153" t="n">
        <x:v>92.01648</x:v>
      </x:c>
      <x:c r="C35" s="153" t="n">
        <x:v>115.21215</x:v>
      </x:c>
      <x:c r="D35" s="153" t="n">
        <x:v>61.150475</x:v>
      </x:c>
      <x:c r="E35" s="153" t="n">
        <x:v>1.0380623</x:v>
      </x:c>
      <x:c r="F35" s="153" t="n">
        <x:v>1.0133466</x:v>
      </x:c>
      <x:c r="G35" s="153" t="n">
        <x:v>2.389191</x:v>
      </x:c>
    </x:row>
    <x:row r="36">
      <x:c r="A36" s="152" t="n">
        <x:v>43405</x:v>
      </x:c>
      <x:c r="B36" s="153" t="n">
        <x:v>80.407585</x:v>
      </x:c>
      <x:c r="C36" s="153" t="n">
        <x:v>105.166855</x:v>
      </x:c>
      <x:c r="D36" s="153" t="n">
        <x:v>47.40217</x:v>
      </x:c>
      <x:c r="E36" s="153" t="n">
        <x:v>0.66545165</x:v>
      </x:c>
      <x:c r="F36" s="153" t="n">
        <x:v>0.82651633</x:v>
      </x:c>
      <x:c r="G36" s="153" t="n">
        <x:v>1.9454923</x:v>
      </x:c>
    </x:row>
    <x:row r="37">
      <x:c r="A37" s="152" t="n">
        <x:v>43435</x:v>
      </x:c>
      <x:c r="B37" s="153" t="n">
        <x:v>90.607666</x:v>
      </x:c>
      <x:c r="C37" s="153" t="n">
        <x:v>106.0627</x:v>
      </x:c>
      <x:c r="D37" s="153" t="n">
        <x:v>66.24093</x:v>
      </x:c>
      <x:c r="E37" s="153" t="n">
        <x:v>0.8167097</x:v>
      </x:c>
      <x:c r="F37" s="153" t="n">
        <x:v>0.93405306</x:v>
      </x:c>
      <x:c r="G37" s="153" t="n">
        <x:v>2.2342174</x:v>
      </x:c>
    </x:row>
    <x:row r="38">
      <x:c r="A38" s="152" t="n">
        <x:v>43466</x:v>
      </x:c>
      <x:c r="B38" s="153" t="n">
        <x:v>87.4241</x:v>
      </x:c>
      <x:c r="C38" s="153" t="n">
        <x:v>112.98045</x:v>
      </x:c>
      <x:c r="D38" s="153" t="n">
        <x:v>55.73351</x:v>
      </x:c>
      <x:c r="E38" s="153" t="n">
        <x:v>0.92647684</x:v>
      </x:c>
      <x:c r="F38" s="153" t="n">
        <x:v>0.99872506</x:v>
      </x:c>
      <x:c r="G38" s="153" t="n">
        <x:v>2.2481937</x:v>
      </x:c>
    </x:row>
    <x:row r="39">
      <x:c r="A39" s="152" t="n">
        <x:v>43497</x:v>
      </x:c>
      <x:c r="B39" s="153" t="n">
        <x:v>96.80016</x:v>
      </x:c>
      <x:c r="C39" s="153" t="n">
        <x:v>127.85742</x:v>
      </x:c>
      <x:c r="D39" s="153" t="n">
        <x:v>57.5117</x:v>
      </x:c>
      <x:c r="E39" s="153" t="n">
        <x:v>1.0716646</x:v>
      </x:c>
      <x:c r="F39" s="153" t="n">
        <x:v>1.0575017</x:v>
      </x:c>
      <x:c r="G39" s="153" t="n">
        <x:v>2.4313097</x:v>
      </x:c>
    </x:row>
    <x:row r="40">
      <x:c r="A40" s="152" t="n">
        <x:v>43525</x:v>
      </x:c>
      <x:c r="B40" s="153" t="n">
        <x:v>82.32829</x:v>
      </x:c>
      <x:c r="C40" s="153" t="n">
        <x:v>90.7896</x:v>
      </x:c>
      <x:c r="D40" s="153" t="n">
        <x:v>66.641205</x:v>
      </x:c>
      <x:c r="E40" s="153" t="n">
        <x:v>0.7716693</x:v>
      </x:c>
      <x:c r="F40" s="153" t="n">
        <x:v>0.56311005</x:v>
      </x:c>
      <x:c r="G40" s="153" t="n">
        <x:v>1.8770335</x:v>
      </x:c>
    </x:row>
    <x:row r="41">
      <x:c r="A41" s="152" t="n">
        <x:v>43556</x:v>
      </x:c>
      <x:c r="B41" s="153" t="n">
        <x:v>79.25345</x:v>
      </x:c>
      <x:c r="C41" s="153" t="n">
        <x:v>95.4554</x:v>
      </x:c>
      <x:c r="D41" s="153" t="n">
        <x:v>57.51553</x:v>
      </x:c>
      <x:c r="E41" s="153" t="n">
        <x:v>0.55958456</x:v>
      </x:c>
      <x:c r="F41" s="153" t="n">
        <x:v>0.80580175</x:v>
      </x:c>
      <x:c r="G41" s="153" t="n">
        <x:v>1.938401</x:v>
      </x:c>
    </x:row>
    <x:row r="42">
      <x:c r="A42" s="152" t="n">
        <x:v>43586</x:v>
      </x:c>
      <x:c r="B42" s="153" t="n">
        <x:v>106.4719</x:v>
      </x:c>
      <x:c r="C42" s="153" t="n">
        <x:v>134.97252</x:v>
      </x:c>
      <x:c r="D42" s="153" t="n">
        <x:v>64.66344</x:v>
      </x:c>
      <x:c r="E42" s="153" t="n">
        <x:v>1.1733861</x:v>
      </x:c>
      <x:c r="F42" s="153" t="n">
        <x:v>0.9713745</x:v>
      </x:c>
      <x:c r="G42" s="153" t="n">
        <x:v>2.776584</x:v>
      </x:c>
    </x:row>
    <x:row r="43">
      <x:c r="A43" s="152" t="n">
        <x:v>43617</x:v>
      </x:c>
      <x:c r="B43" s="153" t="n">
        <x:v>106.588455</x:v>
      </x:c>
      <x:c r="C43" s="153" t="n">
        <x:v>142.65349</x:v>
      </x:c>
      <x:c r="D43" s="153" t="n">
        <x:v>53.42064</x:v>
      </x:c>
      <x:c r="E43" s="153" t="n">
        <x:v>1.2943308</x:v>
      </x:c>
      <x:c r="F43" s="153" t="n">
        <x:v>0.9017171</x:v>
      </x:c>
      <x:c r="G43" s="153" t="n">
        <x:v>2.8691</x:v>
      </x:c>
    </x:row>
    <x:row r="44">
      <x:c r="A44" s="152" t="n">
        <x:v>43647</x:v>
      </x:c>
      <x:c r="B44" s="153" t="n">
        <x:v>93.521255</x:v>
      </x:c>
      <x:c r="C44" s="153" t="n">
        <x:v>126.93078</x:v>
      </x:c>
      <x:c r="D44" s="153" t="n">
        <x:v>47.418858</x:v>
      </x:c>
      <x:c r="E44" s="153" t="n">
        <x:v>0.7565702</x:v>
      </x:c>
      <x:c r="F44" s="153" t="n">
        <x:v>0.8008141</x:v>
      </x:c>
      <x:c r="G44" s="153" t="n">
        <x:v>2.375896</x:v>
      </x:c>
    </x:row>
    <x:row r="45">
      <x:c r="A45" s="152" t="n">
        <x:v>43678</x:v>
      </x:c>
      <x:c r="B45" s="153" t="n">
        <x:v>103.40442</x:v>
      </x:c>
      <x:c r="C45" s="153" t="n">
        <x:v>124.72542</x:v>
      </x:c>
      <x:c r="D45" s="153" t="n">
        <x:v>70.09744</x:v>
      </x:c>
      <x:c r="E45" s="153" t="n">
        <x:v>1.2167065</x:v>
      </x:c>
      <x:c r="F45" s="153" t="n">
        <x:v>0.8362092</x:v>
      </x:c>
      <x:c r="G45" s="153" t="n">
        <x:v>2.7475445</x:v>
      </x:c>
    </x:row>
    <x:row r="46">
      <x:c r="A46" s="152" t="n">
        <x:v>43709</x:v>
      </x:c>
      <x:c r="B46" s="153" t="n">
        <x:v>90.36799</x:v>
      </x:c>
      <x:c r="C46" s="153" t="n">
        <x:v>110.87095</x:v>
      </x:c>
      <x:c r="D46" s="153" t="n">
        <x:v>67.810234</x:v>
      </x:c>
      <x:c r="E46" s="153" t="n">
        <x:v>0.7263386</x:v>
      </x:c>
      <x:c r="F46" s="153" t="n">
        <x:v>0.5801851</x:v>
      </x:c>
      <x:c r="G46" s="153" t="n">
        <x:v>2.3340273</x:v>
      </x:c>
    </x:row>
    <x:row r="47">
      <x:c r="A47" s="152" t="n">
        <x:v>43739</x:v>
      </x:c>
      <x:c r="B47" s="153" t="n">
        <x:v>97.83673</x:v>
      </x:c>
      <x:c r="C47" s="153" t="n">
        <x:v>121.31104</x:v>
      </x:c>
      <x:c r="D47" s="153" t="n">
        <x:v>69.96658</x:v>
      </x:c>
      <x:c r="E47" s="153" t="n">
        <x:v>0.6726646</x:v>
      </x:c>
      <x:c r="F47" s="153" t="n">
        <x:v>1.0720592</x:v>
      </x:c>
      <x:c r="G47" s="153" t="n">
        <x:v>2.4678383</x:v>
      </x:c>
    </x:row>
    <x:row r="48">
      <x:c r="A48" s="152" t="n">
        <x:v>43770</x:v>
      </x:c>
      <x:c r="B48" s="153" t="n">
        <x:v>73.078384</x:v>
      </x:c>
      <x:c r="C48" s="153" t="n">
        <x:v>84.5873</x:v>
      </x:c>
      <x:c r="D48" s="153" t="n">
        <x:v>53.03253</x:v>
      </x:c>
      <x:c r="E48" s="153" t="n">
        <x:v>0.60299295</x:v>
      </x:c>
      <x:c r="F48" s="153" t="n">
        <x:v>0.4709507</x:v>
      </x:c>
      <x:c r="G48" s="153" t="n">
        <x:v>1.7385564</x:v>
      </x:c>
    </x:row>
    <x:row r="49">
      <x:c r="A49" s="152" t="n">
        <x:v>43800</x:v>
      </x:c>
      <x:c r="B49" s="153" t="n">
        <x:v>74.27989</x:v>
      </x:c>
      <x:c r="C49" s="153" t="n">
        <x:v>80.11077</x:v>
      </x:c>
      <x:c r="D49" s="153" t="n">
        <x:v>63.331352</x:v>
      </x:c>
      <x:c r="E49" s="153" t="n">
        <x:v>0.6018833</x:v>
      </x:c>
      <x:c r="F49" s="153" t="n">
        <x:v>0.58246773</x:v>
      </x:c>
      <x:c r="G49" s="153" t="n">
        <x:v>1.7231337</x:v>
      </x:c>
    </x:row>
    <x:row r="50">
      <x:c r="A50" s="152" t="n">
        <x:v>43831</x:v>
      </x:c>
      <x:c r="B50" s="153" t="n">
        <x:v>138.42094</x:v>
      </x:c>
      <x:c r="C50" s="153" t="n">
        <x:v>190.84436</x:v>
      </x:c>
      <x:c r="D50" s="153" t="n">
        <x:v>81.65094</x:v>
      </x:c>
      <x:c r="E50" s="153" t="n">
        <x:v>1.2574455</x:v>
      </x:c>
      <x:c r="F50" s="153" t="n">
        <x:v>1.1780277</x:v>
      </x:c>
      <x:c r="G50" s="153" t="n">
        <x:v>3.6223252</x:v>
      </x:c>
    </x:row>
    <x:row r="51">
      <x:c r="A51" s="152" t="n">
        <x:v>43862</x:v>
      </x:c>
      <x:c r="B51" s="153" t="n">
        <x:v>75.95556</x:v>
      </x:c>
      <x:c r="C51" s="153" t="n">
        <x:v>87.16245</x:v>
      </x:c>
      <x:c r="D51" s="153" t="n">
        <x:v>56.68605</x:v>
      </x:c>
      <x:c r="E51" s="153" t="n">
        <x:v>0.87382966</x:v>
      </x:c>
      <x:c r="F51" s="153" t="n">
        <x:v>0.6598306</x:v>
      </x:c>
      <x:c r="G51" s="153" t="n">
        <x:v>1.5158271</x:v>
      </x:c>
    </x:row>
    <x:row r="52">
      <x:c r="A52" s="152" t="n">
        <x:v>43891</x:v>
      </x:c>
      <x:c r="B52" s="153" t="n">
        <x:v>81.54003</x:v>
      </x:c>
      <x:c r="C52" s="153" t="n">
        <x:v>97.09007</x:v>
      </x:c>
      <x:c r="D52" s="153" t="n">
        <x:v>62.90299</x:v>
      </x:c>
      <x:c r="E52" s="153" t="n">
        <x:v>0.67128444</x:v>
      </x:c>
      <x:c r="F52" s="153" t="n">
        <x:v>0.4275697</x:v>
      </x:c>
      <x:c r="G52" s="153" t="n">
        <x:v>1.7102787</x:v>
      </x:c>
    </x:row>
    <x:row r="53">
      <x:c r="A53" s="152" t="n">
        <x:v>43922</x:v>
      </x:c>
      <x:c r="B53" s="153" t="n">
        <x:v>69.3394</x:v>
      </x:c>
      <x:c r="C53" s="153" t="n">
        <x:v>81.760826</x:v>
      </x:c>
      <x:c r="D53" s="153" t="n">
        <x:v>47.591232</x:v>
      </x:c>
      <x:c r="E53" s="153" t="n">
        <x:v>0.6035003</x:v>
      </x:c>
      <x:c r="F53" s="153" t="n">
        <x:v>0.35281557</x:v>
      </x:c>
      <x:c r="G53" s="153" t="n">
        <x:v>1.5319623</x:v>
      </x:c>
    </x:row>
    <x:row r="54">
      <x:c r="A54" s="152" t="n">
        <x:v>43952</x:v>
      </x:c>
      <x:c r="B54" s="153" t="n">
        <x:v>68.50722</x:v>
      </x:c>
      <x:c r="C54" s="153" t="n">
        <x:v>83.35546</x:v>
      </x:c>
      <x:c r="D54" s="153" t="n">
        <x:v>42.29556</x:v>
      </x:c>
      <x:c r="E54" s="153" t="n">
        <x:v>0.7615357</x:v>
      </x:c>
      <x:c r="F54" s="153" t="n">
        <x:v>0.29289833</x:v>
      </x:c>
      <x:c r="G54" s="153" t="n">
        <x:v>1.7078227</x:v>
      </x:c>
    </x:row>
    <x:row r="55">
      <x:c r="A55" s="152" t="n">
        <x:v>43983</x:v>
      </x:c>
      <x:c r="B55" s="153" t="n">
        <x:v>71.22786</x:v>
      </x:c>
      <x:c r="C55" s="153" t="n">
        <x:v>85.86661</x:v>
      </x:c>
      <x:c r="D55" s="153" t="n">
        <x:v>49.760887</x:v>
      </x:c>
      <x:c r="E55" s="153" t="n">
        <x:v>0.7705796</x:v>
      </x:c>
      <x:c r="F55" s="153" t="n">
        <x:v>0.48911038</x:v>
      </x:c>
      <x:c r="G55" s="153" t="n">
        <x:v>1.6519011</x:v>
      </x:c>
    </x:row>
    <x:row r="56">
      <x:c r="A56" s="152" t="n">
        <x:v>44013</x:v>
      </x:c>
      <x:c r="B56" s="153" t="n">
        <x:v>66.47328</x:v>
      </x:c>
      <x:c r="C56" s="153" t="n">
        <x:v>88.737976</x:v>
      </x:c>
      <x:c r="D56" s="153" t="n">
        <x:v>36.252083</x:v>
      </x:c>
      <x:c r="E56" s="153" t="n">
        <x:v>0.92713445</x:v>
      </x:c>
      <x:c r="F56" s="153" t="n">
        <x:v>0.40055808</x:v>
      </x:c>
      <x:c r="G56" s="153" t="n">
        <x:v>1.5392232</x:v>
      </x:c>
    </x:row>
    <x:row r="57">
      <x:c r="A57" s="152" t="n">
        <x:v>44044</x:v>
      </x:c>
      <x:c r="B57" s="153" t="n">
        <x:v>65.46605</x:v>
      </x:c>
      <x:c r="C57" s="153" t="n">
        <x:v>90.00912</x:v>
      </x:c>
      <x:c r="D57" s="153" t="n">
        <x:v>28.454628</x:v>
      </x:c>
      <x:c r="E57" s="153" t="n">
        <x:v>0.66343117</x:v>
      </x:c>
      <x:c r="F57" s="153" t="n">
        <x:v>0.5120442</x:v>
      </x:c>
      <x:c r="G57" s="153" t="n">
        <x:v>1.4559865</x:v>
      </x:c>
    </x:row>
    <x:row r="58">
      <x:c r="A58" s="152" t="n">
        <x:v>44075</x:v>
      </x:c>
      <x:c r="B58" s="153" t="n">
        <x:v>80.37738</x:v>
      </x:c>
      <x:c r="C58" s="153" t="n">
        <x:v>101.257645</x:v>
      </x:c>
      <x:c r="D58" s="153" t="n">
        <x:v>49.51808</x:v>
      </x:c>
      <x:c r="E58" s="153" t="n">
        <x:v>0.86036927</x:v>
      </x:c>
      <x:c r="F58" s="153" t="n">
        <x:v>0.9320667</x:v>
      </x:c>
      <x:c r="G58" s="153" t="n">
        <x:v>1.698333</x:v>
      </x:c>
    </x:row>
    <x:row r="59">
      <x:c r="A59" s="152" t="n">
        <x:v>44105</x:v>
      </x:c>
      <x:c r="B59" s="153" t="n">
        <x:v>76.08317</x:v>
      </x:c>
      <x:c r="C59" s="153" t="n">
        <x:v>97.65258</x:v>
      </x:c>
      <x:c r="D59" s="153" t="n">
        <x:v>42.681442</x:v>
      </x:c>
      <x:c r="E59" s="153" t="n">
        <x:v>0.64959717</x:v>
      </x:c>
      <x:c r="F59" s="153" t="n">
        <x:v>0.852069</x:v>
      </x:c>
      <x:c r="G59" s="153" t="n">
        <x:v>1.6619564</x:v>
      </x:c>
    </x:row>
    <x:row r="60">
      <x:c r="A60" s="152" t="n">
        <x:v>44136</x:v>
      </x:c>
      <x:c r="B60" s="153" t="n">
        <x:v>70.06747</x:v>
      </x:c>
      <x:c r="C60" s="153" t="n">
        <x:v>79.036446</x:v>
      </x:c>
      <x:c r="D60" s="153" t="n">
        <x:v>62.313946</x:v>
      </x:c>
      <x:c r="E60" s="153" t="n">
        <x:v>0.4175653</x:v>
      </x:c>
      <x:c r="F60" s="153" t="n">
        <x:v>0.4542743</x:v>
      </x:c>
      <x:c r="G60" s="153" t="n">
        <x:v>1.312348</x:v>
      </x:c>
    </x:row>
    <x:row r="61">
      <x:c r="A61" s="152" t="n">
        <x:v>44166</x:v>
      </x:c>
      <x:c r="B61" s="153" t="n">
        <x:v>64.06729</x:v>
      </x:c>
      <x:c r="C61" s="153" t="n">
        <x:v>86.81528</x:v>
      </x:c>
      <x:c r="D61" s="153" t="n">
        <x:v>31.744429</x:v>
      </x:c>
      <x:c r="E61" s="153" t="n">
        <x:v>0.59490085</x:v>
      </x:c>
      <x:c r="F61" s="153" t="n">
        <x:v>0.5760151</x:v>
      </x:c>
      <x:c r="G61" s="153" t="n">
        <x:v>1.4353163</x:v>
      </x:c>
    </x:row>
    <x:row r="62">
      <x:c r="A62" s="152" t="n">
        <x:v>44197</x:v>
      </x:c>
      <x:c r="B62" s="153" t="n">
        <x:v>77.4187</x:v>
      </x:c>
      <x:c r="C62" s="153" t="n">
        <x:v>98.475624</x:v>
      </x:c>
      <x:c r="D62" s="153" t="n">
        <x:v>48.287487</x:v>
      </x:c>
      <x:c r="E62" s="153" t="n">
        <x:v>0.77402806</x:v>
      </x:c>
      <x:c r="F62" s="153" t="n">
        <x:v>0.5926843</x:v>
      </x:c>
      <x:c r="G62" s="153" t="n">
        <x:v>1.9018974</x:v>
      </x:c>
    </x:row>
    <x:row r="63">
      <x:c r="A63" s="152" t="n">
        <x:v>44228</x:v>
      </x:c>
      <x:c r="B63" s="153" t="n">
        <x:v>73.9568</x:v>
      </x:c>
      <x:c r="C63" s="153" t="n">
        <x:v>94.48356</x:v>
      </x:c>
      <x:c r="D63" s="153" t="n">
        <x:v>46.32678</x:v>
      </x:c>
      <x:c r="E63" s="153" t="n">
        <x:v>0.7152523</x:v>
      </x:c>
      <x:c r="F63" s="153" t="n">
        <x:v>0.5122753</x:v>
      </x:c>
      <x:c r="G63" s="153" t="n">
        <x:v>1.5754881</x:v>
      </x:c>
    </x:row>
    <x:row r="64">
      <x:c r="A64" s="152" t="n">
        <x:v>44256</x:v>
      </x:c>
      <x:c r="B64" s="153" t="n">
        <x:v>78.61877</x:v>
      </x:c>
      <x:c r="C64" s="153" t="n">
        <x:v>100.85202</x:v>
      </x:c>
      <x:c r="D64" s="153" t="n">
        <x:v>49.41804</x:v>
      </x:c>
      <x:c r="E64" s="153" t="n">
        <x:v>0.83842796</x:v>
      </x:c>
      <x:c r="F64" s="153" t="n">
        <x:v>0.6331878</x:v>
      </x:c>
      <x:c r="G64" s="153" t="n">
        <x:v>1.7598253</x:v>
      </x:c>
    </x:row>
    <x:row r="65">
      <x:c r="A65" s="152" t="n">
        <x:v>44287</x:v>
      </x:c>
      <x:c r="B65" s="153" t="n">
        <x:v>88.16622</x:v>
      </x:c>
      <x:c r="C65" s="153" t="n">
        <x:v>109.58696</x:v>
      </x:c>
      <x:c r="D65" s="153" t="n">
        <x:v>67.873795</x:v>
      </x:c>
      <x:c r="E65" s="153" t="n">
        <x:v>0.7356022</x:v>
      </x:c>
      <x:c r="F65" s="153" t="n">
        <x:v>1.1965176</x:v>
      </x:c>
      <x:c r="G65" s="153" t="n">
        <x:v>1.9786768</x:v>
      </x:c>
    </x:row>
    <x:row r="66">
      <x:c r="A66" s="152" t="n">
        <x:v>44317</x:v>
      </x:c>
      <x:c r="B66" s="153" t="n">
        <x:v>93.00713</x:v>
      </x:c>
      <x:c r="C66" s="153" t="n">
        <x:v>120.78284</x:v>
      </x:c>
      <x:c r="D66" s="153" t="n">
        <x:v>52.626114</x:v>
      </x:c>
      <x:c r="E66" s="153" t="n">
        <x:v>0.6360745</x:v>
      </x:c>
      <x:c r="F66" s="153" t="n">
        <x:v>0.82689685</x:v>
      </x:c>
      <x:c r="G66" s="153" t="n">
        <x:v>2.0172648</x:v>
      </x:c>
    </x:row>
    <x:row r="67">
      <x:c r="A67" s="152" t="n">
        <x:v>44348</x:v>
      </x:c>
      <x:c r="B67" s="153" t="n">
        <x:v>74.12712</x:v>
      </x:c>
      <x:c r="C67" s="153" t="n">
        <x:v>92.54655</x:v>
      </x:c>
      <x:c r="D67" s="153" t="n">
        <x:v>46.34864</x:v>
      </x:c>
      <x:c r="E67" s="153" t="n">
        <x:v>0.72874117</x:v>
      </x:c>
      <x:c r="F67" s="153" t="n">
        <x:v>0.83085775</x:v>
      </x:c>
      <x:c r="G67" s="153" t="n">
        <x:v>1.6988488</x:v>
      </x:c>
    </x:row>
    <x:row r="68">
      <x:c r="A68" s="152" t="n">
        <x:v>44378</x:v>
      </x:c>
      <x:c r="B68" s="153" t="n">
        <x:v>58.42077</x:v>
      </x:c>
      <x:c r="C68" s="153" t="n">
        <x:v>64.036316</x:v>
      </x:c>
      <x:c r="D68" s="153" t="n">
        <x:v>50.71583</x:v>
      </x:c>
      <x:c r="E68" s="153" t="n">
        <x:v>0.5243345</x:v>
      </x:c>
      <x:c r="F68" s="153" t="n">
        <x:v>0.48848256</x:v>
      </x:c>
      <x:c r="G68" s="153" t="n">
        <x:v>1.2503362</x:v>
      </x:c>
    </x:row>
    <x:row r="69">
      <x:c r="A69" s="152" t="n">
        <x:v>44409</x:v>
      </x:c>
      <x:c r="B69" s="153" t="n">
        <x:v>89.48655</x:v>
      </x:c>
      <x:c r="C69" s="153" t="n">
        <x:v>103.20159</x:v>
      </x:c>
      <x:c r="D69" s="153" t="n">
        <x:v>76.48286</x:v>
      </x:c>
      <x:c r="E69" s="153" t="n">
        <x:v>0.5889452</x:v>
      </x:c>
      <x:c r="F69" s="153" t="n">
        <x:v>0.6854936</x:v>
      </x:c>
      <x:c r="G69" s="153" t="n">
        <x:v>2.1482017</x:v>
      </x:c>
    </x:row>
    <x:row r="70">
      <x:c r="A70" s="152" t="n">
        <x:v>44440</x:v>
      </x:c>
      <x:c r="B70" s="153" t="n">
        <x:v>80.69697</x:v>
      </x:c>
      <x:c r="C70" s="153" t="n">
        <x:v>92.04732</x:v>
      </x:c>
      <x:c r="D70" s="153" t="n">
        <x:v>67.94028</x:v>
      </x:c>
      <x:c r="E70" s="153" t="n">
        <x:v>0.83801496</x:v>
      </x:c>
      <x:c r="F70" s="153" t="n">
        <x:v>0.60393256</x:v>
      </x:c>
      <x:c r="G70" s="153" t="n">
        <x:v>1.9194757</x:v>
      </x:c>
    </x:row>
    <x:row r="71">
      <x:c r="A71" s="152" t="n">
        <x:v>44470</x:v>
      </x:c>
      <x:c r="B71" s="153" t="n">
        <x:v>79.029236</x:v>
      </x:c>
      <x:c r="C71" s="153" t="n">
        <x:v>93.80803</x:v>
      </x:c>
      <x:c r="D71" s="153" t="n">
        <x:v>61.149113</x:v>
      </x:c>
      <x:c r="E71" s="153" t="n">
        <x:v>0.7617511</x:v>
      </x:c>
      <x:c r="F71" s="153" t="n">
        <x:v>0.54666847</x:v>
      </x:c>
      <x:c r="G71" s="153" t="n">
        <x:v>1.6444863</x:v>
      </x:c>
    </x:row>
    <x:row r="72">
      <x:c r="A72" s="152" t="n">
        <x:v>44501</x:v>
      </x:c>
      <x:c r="B72" s="153" t="n">
        <x:v>86.569145</x:v>
      </x:c>
      <x:c r="C72" s="153" t="n">
        <x:v>121.50095</x:v>
      </x:c>
      <x:c r="D72" s="153" t="n">
        <x:v>39.74269</x:v>
      </x:c>
      <x:c r="E72" s="153" t="n">
        <x:v>0.7960199</x:v>
      </x:c>
      <x:c r="F72" s="153" t="n">
        <x:v>1.2129827</x:v>
      </x:c>
      <x:c r="G72" s="153" t="n">
        <x:v>1.862118</x:v>
      </x:c>
    </x:row>
    <x:row r="73">
      <x:c r="A73" s="152" t="n">
        <x:v>44531</x:v>
      </x:c>
      <x:c r="B73" s="153" t="n">
        <x:v>105.34542</x:v>
      </x:c>
      <x:c r="C73" s="153" t="n">
        <x:v>155.31026</x:v>
      </x:c>
      <x:c r="D73" s="153" t="n">
        <x:v>47.654934</x:v>
      </x:c>
      <x:c r="E73" s="153" t="n">
        <x:v>0.8639842</x:v>
      </x:c>
      <x:c r="F73" s="153" t="n">
        <x:v>1.7230314</x:v>
      </x:c>
      <x:c r="G73" s="153" t="n">
        <x:v>2.4784005</x:v>
      </x:c>
    </x:row>
    <x:row r="74">
      <x:c r="A74" s="152" t="n">
        <x:v>44562</x:v>
      </x:c>
      <x:c r="B74" s="153" t="n">
        <x:v>138.67499</x:v>
      </x:c>
      <x:c r="C74" s="153" t="n">
        <x:v>199.48752</x:v>
      </x:c>
      <x:c r="D74" s="153" t="n">
        <x:v>63.25153</x:v>
      </x:c>
      <x:c r="E74" s="153" t="n">
        <x:v>0.7950359</x:v>
      </x:c>
      <x:c r="F74" s="153" t="n">
        <x:v>2.7777777</x:v>
      </x:c>
      <x:c r="G74" s="153" t="n">
        <x:v>3.3158813</x:v>
      </x:c>
    </x:row>
    <x:row r="75">
      <x:c r="A75" s="152" t="n">
        <x:v>44593</x:v>
      </x:c>
      <x:c r="B75" s="153" t="n">
        <x:v>216.15901</x:v>
      </x:c>
      <x:c r="C75" s="153" t="n">
        <x:v>320.60587</x:v>
      </x:c>
      <x:c r="D75" s="153" t="n">
        <x:v>105.21831</x:v>
      </x:c>
      <x:c r="E75" s="153" t="n">
        <x:v>1.5000503</x:v>
      </x:c>
      <x:c r="F75" s="153" t="n">
        <x:v>5.3961544</x:v>
      </x:c>
      <x:c r="G75" s="153" t="n">
        <x:v>4.8776803</x:v>
      </x:c>
    </x:row>
    <x:row r="76">
      <x:c r="A76" s="152" t="n">
        <x:v>44621</x:v>
      </x:c>
      <x:c r="B76" s="153" t="n">
        <x:v>318.95493</x:v>
      </x:c>
      <x:c r="C76" s="153" t="n">
        <x:v>403.71362</x:v>
      </x:c>
      <x:c r="D76" s="153" t="n">
        <x:v>250.95586</x:v>
      </x:c>
      <x:c r="E76" s="153" t="n">
        <x:v>2.474723</x:v>
      </x:c>
      <x:c r="F76" s="153" t="n">
        <x:v>8.801155</x:v>
      </x:c>
      <x:c r="G76" s="153" t="n">
        <x:v>6.899374</x:v>
      </x:c>
    </x:row>
    <x:row r="77">
      <x:c r="A77" s="152" t="n">
        <x:v>44652</x:v>
      </x:c>
      <x:c r="B77" s="153" t="n">
        <x:v>191.1431</x:v>
      </x:c>
      <x:c r="C77" s="153" t="n">
        <x:v>221.91055</x:v>
      </x:c>
      <x:c r="D77" s="153" t="n">
        <x:v>184.41782</x:v>
      </x:c>
      <x:c r="E77" s="153" t="n">
        <x:v>1.1256269</x:v>
      </x:c>
      <x:c r="F77" s="153" t="n">
        <x:v>4.8291144</x:v>
      </x:c>
      <x:c r="G77" s="153" t="n">
        <x:v>3.9659395</x:v>
      </x:c>
    </x:row>
    <x:row r="78">
      <x:c r="A78" s="152" t="n">
        <x:v>44682</x:v>
      </x:c>
      <x:c r="B78" s="153" t="n">
        <x:v>142.25848</x:v>
      </x:c>
      <x:c r="C78" s="153" t="n">
        <x:v>166.42456</x:v>
      </x:c>
      <x:c r="D78" s="153" t="n">
        <x:v>140.13734</x:v>
      </x:c>
      <x:c r="E78" s="153" t="n">
        <x:v>1.0073001</x:v>
      </x:c>
      <x:c r="F78" s="153" t="n">
        <x:v>3.19167</x:v>
      </x:c>
      <x:c r="G78" s="153" t="n">
        <x:v>3.146398</x:v>
      </x:c>
    </x:row>
    <x:row r="79">
      <x:c r="A79" s="152" t="n">
        <x:v>44713</x:v>
      </x:c>
      <x:c r="B79" s="153" t="n">
        <x:v>130.70732</x:v>
      </x:c>
      <x:c r="C79" s="153" t="n">
        <x:v>160.72696</x:v>
      </x:c>
      <x:c r="D79" s="153" t="n">
        <x:v>114.81469</x:v>
      </x:c>
      <x:c r="E79" s="153" t="n">
        <x:v>0.8535437</x:v>
      </x:c>
      <x:c r="F79" s="153" t="n">
        <x:v>3.0256653</x:v>
      </x:c>
      <x:c r="G79" s="153" t="n">
        <x:v>2.8785024</x:v>
      </x:c>
    </x:row>
    <x:row r="80">
      <x:c r="A80" s="152" t="n">
        <x:v>44743</x:v>
      </x:c>
      <x:c r="B80" s="153" t="n">
        <x:v>117.176765</x:v>
      </x:c>
      <x:c r="C80" s="153" t="n">
        <x:v>141.24294</x:v>
      </x:c>
      <x:c r="D80" s="153" t="n">
        <x:v>97.83873</x:v>
      </x:c>
      <x:c r="E80" s="153" t="n">
        <x:v>0.8132915</x:v>
      </x:c>
      <x:c r="F80" s="153" t="n">
        <x:v>2.6954803</x:v>
      </x:c>
      <x:c r="G80" s="153" t="n">
        <x:v>2.5851052</x:v>
      </x:c>
    </x:row>
    <x:row r="81">
      <x:c r="A81" s="152" t="n">
        <x:v>44774</x:v>
      </x:c>
      <x:c r="B81" s="153" t="n">
        <x:v>132.86322</x:v>
      </x:c>
      <x:c r="C81" s="153" t="n">
        <x:v>159.38303</x:v>
      </x:c>
      <x:c r="D81" s="153" t="n">
        <x:v>111.15858</x:v>
      </x:c>
      <x:c r="E81" s="153" t="n">
        <x:v>1.2375652</x:v>
      </x:c>
      <x:c r="F81" s="153" t="n">
        <x:v>2.4159167</x:v>
      </x:c>
      <x:c r="G81" s="153" t="n">
        <x:v>3.1324017</x:v>
      </x:c>
    </x:row>
    <x:row r="82">
      <x:c r="A82" s="152" t="n">
        <x:v>44805</x:v>
      </x:c>
      <x:c r="B82" s="153" t="n">
        <x:v>131.98587</x:v>
      </x:c>
      <x:c r="C82" s="153" t="n">
        <x:v>170.3118</x:v>
      </x:c>
      <x:c r="D82" s="153" t="n">
        <x:v>108.628075</x:v>
      </x:c>
      <x:c r="E82" s="153" t="n">
        <x:v>1.1369661</x:v>
      </x:c>
      <x:c r="F82" s="153" t="n">
        <x:v>3.0220914</x:v>
      </x:c>
      <x:c r="G82" s="153" t="n">
        <x:v>2.927835</x:v>
      </x:c>
    </x:row>
    <x:row r="83">
      <x:c r="A83" s="152" t="n">
        <x:v>44835</x:v>
      </x:c>
      <x:c r="B83" s="153" t="n">
        <x:v>143.16241</x:v>
      </x:c>
      <x:c r="C83" s="153" t="n">
        <x:v>185.2843</x:v>
      </x:c>
      <x:c r="D83" s="153" t="n">
        <x:v>112.675026</x:v>
      </x:c>
      <x:c r="E83" s="153" t="n">
        <x:v>1.1814154</x:v>
      </x:c>
      <x:c r="F83" s="153" t="n">
        <x:v>3.3852096</x:v>
      </x:c>
      <x:c r="G83" s="153" t="n">
        <x:v>3.4022493</x:v>
      </x:c>
    </x:row>
    <x:row r="84">
      <x:c r="A84" s="152" t="n">
        <x:v>44866</x:v>
      </x:c>
      <x:c r="B84" s="153" t="n">
        <x:v>116.716286</x:v>
      </x:c>
      <x:c r="C84" s="153" t="n">
        <x:v>143.04655</x:v>
      </x:c>
      <x:c r="D84" s="153" t="n">
        <x:v>98.68261</x:v>
      </x:c>
      <x:c r="E84" s="153" t="n">
        <x:v>1.1175096</x:v>
      </x:c>
      <x:c r="F84" s="153" t="n">
        <x:v>2.4630823</x:v>
      </x:c>
      <x:c r="G84" s="153" t="n">
        <x:v>2.696847</x:v>
      </x:c>
    </x:row>
    <x:row r="85">
      <x:c r="A85" s="152" t="n">
        <x:v>44896</x:v>
      </x:c>
      <x:c r="B85" s="153" t="n">
        <x:v>111.19594</x:v>
      </x:c>
      <x:c r="C85" s="153" t="n">
        <x:v>119.13853</x:v>
      </x:c>
      <x:c r="D85" s="153" t="n">
        <x:v>109.77222</x:v>
      </x:c>
      <x:c r="E85" s="153" t="n">
        <x:v>0.87409335</x:v>
      </x:c>
      <x:c r="F85" s="153" t="n">
        <x:v>2.2813218</x:v>
      </x:c>
      <x:c r="G85" s="153" t="n">
        <x:v>2.5540884</x:v>
      </x:c>
    </x:row>
    <x:row r="86">
      <x:c r="A86" s="152" t="n">
        <x:v>44927</x:v>
      </x:c>
      <x:c r="B86" s="153" t="n">
        <x:v>104.267044</x:v>
      </x:c>
      <x:c r="C86" s="153" t="n">
        <x:v>113.021355</x:v>
      </x:c>
      <x:c r="D86" s="153" t="n">
        <x:v>94.62994</x:v>
      </x:c>
      <x:c r="E86" s="153" t="n">
        <x:v>0.66969925</x:v>
      </x:c>
      <x:c r="F86" s="153" t="n">
        <x:v>1.9711903</x:v>
      </x:c>
      <x:c r="G86" s="153" t="n">
        <x:v>2.4071267</x:v>
      </x:c>
    </x:row>
    <x:row r="87">
      <x:c r="A87" s="152" t="n">
        <x:v>44958</x:v>
      </x:c>
      <x:c r="B87" s="153" t="n">
        <x:v>120.99438</x:v>
      </x:c>
      <x:c r="C87" s="153" t="n">
        <x:v>147.05016</x:v>
      </x:c>
      <x:c r="D87" s="153" t="n">
        <x:v>103.028755</x:v>
      </x:c>
      <x:c r="E87" s="153" t="n">
        <x:v>1.4876584</x:v>
      </x:c>
      <x:c r="F87" s="153" t="n">
        <x:v>2.3015344</x:v>
      </x:c>
      <x:c r="G87" s="153" t="n">
        <x:v>2.9753168</x:v>
      </x:c>
    </x:row>
    <x:row r="88">
      <x:c r="A88" s="152" t="n">
        <x:v>44986</x:v>
      </x:c>
      <x:c r="B88" s="153" t="n">
        <x:v>105.379974</x:v>
      </x:c>
      <x:c r="C88" s="153" t="n">
        <x:v>125.085846</x:v>
      </x:c>
      <x:c r="D88" s="153" t="n">
        <x:v>86.75404</x:v>
      </x:c>
      <x:c r="E88" s="153" t="n">
        <x:v>1.4093643</x:v>
      </x:c>
      <x:c r="F88" s="153" t="n">
        <x:v>2.046232</x:v>
      </x:c>
      <x:c r="G88" s="153" t="n">
        <x:v>2.6241302</x:v>
      </x:c>
    </x:row>
    <x:row r="89">
      <x:c r="A89" s="152" t="n">
        <x:v>45017</x:v>
      </x:c>
      <x:c r="B89" s="153" t="n">
        <x:v>106.809654</x:v>
      </x:c>
      <x:c r="C89" s="153" t="n">
        <x:v>118.166824</x:v>
      </x:c>
      <x:c r="D89" s="153" t="n">
        <x:v>93.24841</x:v>
      </x:c>
      <x:c r="E89" s="153" t="n">
        <x:v>1.225681</x:v>
      </x:c>
      <x:c r="F89" s="153" t="n">
        <x:v>1.8093386</x:v>
      </x:c>
      <x:c r="G89" s="153" t="n">
        <x:v>2.4448767</x:v>
      </x:c>
    </x:row>
    <x:row r="90">
      <x:c r="A90" s="152" t="n">
        <x:v>45047</x:v>
      </x:c>
      <x:c r="B90" s="153" t="n">
        <x:v>108.46768</x:v>
      </x:c>
      <x:c r="C90" s="153" t="n">
        <x:v>122.471504</x:v>
      </x:c>
      <x:c r="D90" s="153" t="n">
        <x:v>92.75944</x:v>
      </x:c>
      <x:c r="E90" s="153" t="n">
        <x:v>1.0844542</x:v>
      </x:c>
      <x:c r="F90" s="153" t="n">
        <x:v>1.9023385</x:v>
      </x:c>
      <x:c r="G90" s="153" t="n">
        <x:v>2.508179</x:v>
      </x:c>
    </x:row>
    <x:row r="91">
      <x:c r="A91" s="152" t="n">
        <x:v>45078</x:v>
      </x:c>
      <x:c r="B91" s="153" t="n">
        <x:v>110.528946</x:v>
      </x:c>
      <x:c r="C91" s="153" t="n">
        <x:v>129.40652</x:v>
      </x:c>
      <x:c r="D91" s="153" t="n">
        <x:v>95.27891</x:v>
      </x:c>
      <x:c r="E91" s="153" t="n">
        <x:v>1.0581686</x:v>
      </x:c>
      <x:c r="F91" s="153" t="n">
        <x:v>2.2142026</x:v>
      </x:c>
      <x:c r="G91" s="153" t="n">
        <x:v>2.458866</x:v>
      </x:c>
    </x:row>
    <x:row r="92">
      <x:c r="A92" s="152" t="n">
        <x:v>45108</x:v>
      </x:c>
      <x:c r="B92" s="153" t="n">
        <x:v>107.448784</x:v>
      </x:c>
      <x:c r="C92" s="153" t="n">
        <x:v>123.80915</x:v>
      </x:c>
      <x:c r="D92" s="153" t="n">
        <x:v>91.768005</x:v>
      </x:c>
      <x:c r="E92" s="153" t="n">
        <x:v>0.97491306</x:v>
      </x:c>
      <x:c r="F92" s="153" t="n">
        <x:v>2.0802286</x:v>
      </x:c>
      <x:c r="G92" s="153" t="n">
        <x:v>2.483855</x:v>
      </x:c>
    </x:row>
    <x:row r="93">
      <x:c r="A93" s="152" t="n">
        <x:v>45139</x:v>
      </x:c>
      <x:c r="B93" s="153" t="n">
        <x:v>101.14118</x:v>
      </x:c>
      <x:c r="C93" s="153" t="n">
        <x:v>117.609436</x:v>
      </x:c>
      <x:c r="D93" s="153" t="n">
        <x:v>83.60505</x:v>
      </x:c>
      <x:c r="E93" s="153" t="n">
        <x:v>0.98895764</x:v>
      </x:c>
      <x:c r="F93" s="153" t="n">
        <x:v>1.9657809</x:v>
      </x:c>
      <x:c r="G93" s="153" t="n">
        <x:v>2.1599321</x:v>
      </x:c>
    </x:row>
    <x:row r="94">
      <x:c r="A94" s="152" t="n">
        <x:v>45170</x:v>
      </x:c>
      <x:c r="B94" s="153" t="n">
        <x:v>98.63481</x:v>
      </x:c>
      <x:c r="C94" s="153" t="n">
        <x:v>125.651794</x:v>
      </x:c>
      <x:c r="D94" s="153" t="n">
        <x:v>68.46592</x:v>
      </x:c>
      <x:c r="E94" s="153" t="n">
        <x:v>1.0829451</x:v>
      </x:c>
      <x:c r="F94" s="153" t="n">
        <x:v>1.9057415</x:v>
      </x:c>
      <x:c r="G94" s="153" t="n">
        <x:v>2.22034</x:v>
      </x:c>
    </x:row>
    <x:row r="95">
      <x:c r="A95" s="152" t="n">
        <x:v>45200</x:v>
      </x:c>
      <x:c r="B95" s="153" t="n">
        <x:v>197.88701</x:v>
      </x:c>
      <x:c r="C95" s="153" t="n">
        <x:v>205.04005</x:v>
      </x:c>
      <x:c r="D95" s="153" t="n">
        <x:v>221.80394</x:v>
      </x:c>
      <x:c r="E95" s="153" t="n">
        <x:v>1.038992</x:v>
      </x:c>
      <x:c r="F95" s="153" t="n">
        <x:v>1.8391354</x:v>
      </x:c>
      <x:c r="G95" s="153" t="n">
        <x:v>4.424673</x:v>
      </x:c>
    </x:row>
    <x:row r="96">
      <x:c r="A96" s="152" t="n">
        <x:v>45231</x:v>
      </x:c>
      <x:c r="B96" s="153" t="n">
        <x:v>156.69614</x:v>
      </x:c>
      <x:c r="C96" s="153" t="n">
        <x:v>143.49435</x:v>
      </x:c>
      <x:c r="D96" s="153" t="n">
        <x:v>189.5544</x:v>
      </x:c>
      <x:c r="E96" s="153" t="n">
        <x:v>0.91995746</x:v>
      </x:c>
      <x:c r="F96" s="153" t="n">
        <x:v>1.2704175</x:v>
      </x:c>
      <x:c r="G96" s="153" t="n">
        <x:v>3.7298956</x:v>
      </x:c>
    </x:row>
    <x:row r="97">
      <x:c r="A97" s="152" t="n">
        <x:v>45261</x:v>
      </x:c>
      <x:c r="B97" s="153" t="n">
        <x:v>142.27946</x:v>
      </x:c>
      <x:c r="C97" s="153" t="n">
        <x:v>136.17839</x:v>
      </x:c>
      <x:c r="D97" s="153" t="n">
        <x:v>173.9638</x:v>
      </x:c>
      <x:c r="E97" s="153" t="n">
        <x:v>0.7015963</x:v>
      </x:c>
      <x:c r="F97" s="153" t="n">
        <x:v>1.4997425</x:v>
      </x:c>
      <x:c r="G97" s="153" t="n">
        <x:v>3.4243047</x:v>
      </x:c>
    </x:row>
    <x:row r="98">
      <x:c r="A98" s="152" t="n">
        <x:v>45292</x:v>
      </x:c>
      <x:c r="B98" s="153" t="n">
        <x:v>160.37366</x:v>
      </x:c>
      <x:c r="C98" s="153" t="n">
        <x:v>140.83609</x:v>
      </x:c>
      <x:c r="D98" s="153" t="n">
        <x:v>208.47115</x:v>
      </x:c>
      <x:c r="E98" s="153" t="n">
        <x:v>0.970813</x:v>
      </x:c>
      <x:c r="F98" s="153" t="n">
        <x:v>1.5533007</x:v>
      </x:c>
      <x:c r="G98" s="153" t="n">
        <x:v>3.8519354</x:v>
      </x:c>
    </x:row>
    <x:row r="99">
      <x:c r="A99" s="152" t="n">
        <x:v>45323</x:v>
      </x:c>
      <x:c r="B99" s="153" t="n">
        <x:v>146.59818</x:v>
      </x:c>
      <x:c r="C99" s="153" t="n">
        <x:v>140.24467</x:v>
      </x:c>
      <x:c r="D99" s="153" t="n">
        <x:v>171.18118</x:v>
      </x:c>
      <x:c r="E99" s="153" t="n">
        <x:v>0.77209973</x:v>
      </x:c>
      <x:c r="F99" s="153" t="n">
        <x:v>1.7208663</x:v>
      </x:c>
      <x:c r="G99" s="153" t="n">
        <x:v>3.39593</x:v>
      </x:c>
    </x:row>
    <x:row r="100">
      <x:c r="A100" s="152" t="n">
        <x:v>45352</x:v>
      </x:c>
      <x:c r="B100" s="153" t="n">
        <x:v>133.21317</x:v>
      </x:c>
      <x:c r="C100" s="153" t="n">
        <x:v>121.53968</x:v>
      </x:c>
      <x:c r="D100" s="153" t="n">
        <x:v>151.814</x:v>
      </x:c>
      <x:c r="E100" s="153" t="n">
        <x:v>0.8790263</x:v>
      </x:c>
      <x:c r="F100" s="153" t="n">
        <x:v>1.5797886</x:v>
      </x:c>
      <x:c r="G100" s="153" t="n">
        <x:v>2.9444308</x:v>
      </x:c>
    </x:row>
    <x:row r="101">
      <x:c r="A101" s="152" t="n">
        <x:v>45383</x:v>
      </x:c>
      <x:c r="B101" s="153" t="n">
        <x:v>163.94734</x:v>
      </x:c>
      <x:c r="C101" s="153" t="n">
        <x:v>170.698</x:v>
      </x:c>
      <x:c r="D101" s="153" t="n">
        <x:v>165.99069</x:v>
      </x:c>
      <x:c r="E101" s="153" t="n">
        <x:v>1.0442377</x:v>
      </x:c>
      <x:c r="F101" s="153" t="n">
        <x:v>1.8289982</x:v>
      </x:c>
      <x:c r="G101" s="153" t="n">
        <x:v>4.018733</x:v>
      </x:c>
    </x:row>
    <x:row r="102">
      <x:c r="A102" s="152" t="n">
        <x:v>45413</x:v>
      </x:c>
      <x:c r="B102" s="153" t="n">
        <x:v>130.52187</x:v>
      </x:c>
      <x:c r="C102" s="153" t="n">
        <x:v>131.44713</x:v>
      </x:c>
      <x:c r="D102" s="153" t="n">
        <x:v>133.1543</x:v>
      </x:c>
      <x:c r="E102" s="153" t="n">
        <x:v>0.9358943</x:v>
      </x:c>
      <x:c r="F102" s="153" t="n">
        <x:v>1.7188647</x:v>
      </x:c>
      <x:c r="G102" s="153" t="n">
        <x:v>3.1074138</x:v>
      </x:c>
    </x:row>
    <x:row r="103">
      <x:c r="A103" s="152" t="n">
        <x:v>45444</x:v>
      </x:c>
      <x:c r="B103" s="153" t="n">
        <x:v>113.0928</x:v>
      </x:c>
      <x:c r="C103" s="153" t="n">
        <x:v>125.71303</x:v>
      </x:c>
      <x:c r="D103" s="153" t="n">
        <x:v>109.73841</x:v>
      </x:c>
      <x:c r="E103" s="153" t="n">
        <x:v>0.8939893</x:v>
      </x:c>
      <x:c r="F103" s="153" t="n">
        <x:v>1.4709612</x:v>
      </x:c>
      <x:c r="G103" s="153" t="n">
        <x:v>2.6883085</x:v>
      </x:c>
    </x:row>
    <x:row r="104">
      <x:c r="A104" s="152" t="n">
        <x:v>45474</x:v>
      </x:c>
      <x:c r="B104" s="153" t="n">
        <x:v>92.394875</x:v>
      </x:c>
      <x:c r="C104" s="153" t="n">
        <x:v>95.16028</x:v>
      </x:c>
      <x:c r="D104" s="153" t="n">
        <x:v>95.1103</x:v>
      </x:c>
      <x:c r="E104" s="153" t="n">
        <x:v>0.7328489</x:v>
      </x:c>
      <x:c r="F104" s="153" t="n">
        <x:v>0.9915014</x:v>
      </x:c>
      <x:c r="G104" s="153" t="n">
        <x:v>2.093854</x:v>
      </x:c>
    </x:row>
    <x:row r="105">
      <x:c r="A105" s="152" t="n">
        <x:v>45505</x:v>
      </x:c>
      <x:c r="B105" s="153" t="n">
        <x:v>140.97507</x:v>
      </x:c>
      <x:c r="C105" s="153" t="n">
        <x:v>124.804985</x:v>
      </x:c>
      <x:c r="D105" s="153" t="n">
        <x:v>165.17947</x:v>
      </x:c>
      <x:c r="E105" s="153" t="n">
        <x:v>0.63932145</x:v>
      </x:c>
      <x:c r="F105" s="153" t="n">
        <x:v>1.5508292</x:v>
      </x:c>
      <x:c r="G105" s="153" t="n">
        <x:v>3.209267</x:v>
      </x:c>
    </x:row>
    <x:row r="106">
      <x:c r="A106" s="152" t="n">
        <x:v>45536</x:v>
      </x:c>
      <x:c r="B106" s="153" t="n">
        <x:v>130.35878</x:v>
      </x:c>
      <x:c r="C106" s="153" t="n">
        <x:v>134.03705</x:v>
      </x:c>
      <x:c r="D106" s="153" t="n">
        <x:v>135.55461</x:v>
      </x:c>
      <x:c r="E106" s="153" t="n">
        <x:v>0.7676794</x:v>
      </x:c>
      <x:c r="F106" s="153" t="n">
        <x:v>1.4442782</x:v>
      </x:c>
      <x:c r="G106" s="153" t="n">
        <x:v>2.9731312</x:v>
      </x:c>
    </x:row>
    <x:row r="107">
      <x:c r="A107" s="152" t="n">
        <x:v>45566</x:v>
      </x:c>
      <x:c r="B107" s="153" t="n">
        <x:v>130.68921</x:v>
      </x:c>
      <x:c r="C107" s="153" t="n">
        <x:v>128.4097</x:v>
      </x:c>
      <x:c r="D107" s="153" t="n">
        <x:v>142.81839</x:v>
      </x:c>
      <x:c r="E107" s="153" t="n">
        <x:v>0.9768765</x:v>
      </x:c>
      <x:c r="F107" s="153" t="n">
        <x:v>1.3663905</x:v>
      </x:c>
      <x:c r="G107" s="153" t="n">
        <x:v>3.0295537</x:v>
      </x:c>
    </x:row>
    <x:row r="108">
      <x:c r="A108" s="152" t="n">
        <x:v>45597</x:v>
      </x:c>
      <x:c r="B108" s="153" t="n">
        <x:v>128.90164</x:v>
      </x:c>
      <x:c r="C108" s="153" t="n">
        <x:v>139.14867</x:v>
      </x:c>
      <x:c r="D108" s="153" t="n">
        <x:v>127.42887</x:v>
      </x:c>
      <x:c r="E108" s="153" t="n">
        <x:v>1.0074933</x:v>
      </x:c>
      <x:c r="F108" s="153" t="n">
        <x:v>1.9709086</x:v>
      </x:c>
      <x:c r="G108" s="153" t="n">
        <x:v>3.167307</x:v>
      </x:c>
    </x:row>
    <x:row r="109">
      <x:c r="A109" s="152" t="n">
        <x:v>45627</x:v>
      </x:c>
      <x:c r="B109" s="153" t="n">
        <x:v>142.36644</x:v>
      </x:c>
      <x:c r="C109" s="153" t="n">
        <x:v>128.26247</x:v>
      </x:c>
      <x:c r="D109" s="153" t="n">
        <x:v>164.81374</x:v>
      </x:c>
      <x:c r="E109" s="153" t="n">
        <x:v>0.841505</x:v>
      </x:c>
      <x:c r="F109" s="153" t="n">
        <x:v>2.2950137</x:v>
      </x:c>
      <x:c r="G109" s="153" t="n">
        <x:v>3.2895195</x:v>
      </x:c>
    </x:row>
    <x:row r="110">
      <x:c r="A110" s="152" t="n">
        <x:v>45658</x:v>
      </x:c>
      <x:c r="B110" s="153" t="n">
        <x:v>113.233154</x:v>
      </x:c>
      <x:c r="C110" s="153" t="n">
        <x:v>117.08644</x:v>
      </x:c>
      <x:c r="D110" s="153" t="n">
        <x:v>109.50494</x:v>
      </x:c>
      <x:c r="E110" s="153" t="n">
        <x:v>0.85689265</x:v>
      </x:c>
      <x:c r="F110" s="153" t="n">
        <x:v>1.1258444</x:v>
      </x:c>
      <x:c r="G110" s="153" t="n">
        <x:v>2.7458093</x:v>
      </x:c>
    </x:row>
    <x:row r="111">
      <x:c r="A111" s="152" t="n">
        <x:v>45689</x:v>
      </x:c>
      <x:c r="B111" s="153" t="n">
        <x:v>136.98059</x:v>
      </x:c>
      <x:c r="C111" s="153" t="n">
        <x:v>138.76765</x:v>
      </x:c>
      <x:c r="D111" s="153" t="n">
        <x:v>140.78716</x:v>
      </x:c>
      <x:c r="E111" s="153" t="n">
        <x:v>1.1046003</x:v>
      </x:c>
      <x:c r="F111" s="153" t="n">
        <x:v>1.9532566</x:v>
      </x:c>
      <x:c r="G111" s="153" t="n">
        <x:v>3.536068</x:v>
      </x:c>
    </x:row>
    <x:row r="112">
      <x:c r="A112" s="152" t="n">
        <x:v>45717</x:v>
      </x:c>
      <x:c r="B112" s="153" t="n">
        <x:v>175.90112</x:v>
      </x:c>
      <x:c r="C112" s="153" t="n">
        <x:v>195.67752</x:v>
      </x:c>
      <x:c r="D112" s="153" t="n">
        <x:v>159.82245</x:v>
      </x:c>
      <x:c r="E112" s="153" t="n">
        <x:v>1.0789021</x:v>
      </x:c>
      <x:c r="F112" s="153" t="n">
        <x:v>2.47199</x:v>
      </x:c>
      <x:c r="G112" s="153" t="n">
        <x:v>4.505306</x:v>
      </x:c>
    </x:row>
    <x:row r="113">
      <x:c r="A113" s="152" t="n">
        <x:v>45748</x:v>
      </x:c>
      <x:c r="B113" s="153" t="n">
        <x:v>140.9737</x:v>
      </x:c>
      <x:c r="C113" s="153" t="n">
        <x:v>159.25746</x:v>
      </x:c>
      <x:c r="D113" s="153" t="n">
        <x:v>132.05573</x:v>
      </x:c>
      <x:c r="E113" s="153" t="n">
        <x:v>1.055569</x:v>
      </x:c>
      <x:c r="F113" s="153" t="n">
        <x:v>1.5226886</x:v>
      </x:c>
      <x:c r="G113" s="153" t="n">
        <x:v>3.5185635</x:v>
      </x:c>
    </x:row>
    <x:row r="114">
      <x:c r="A114" s="152" t="n">
        <x:v>45778</x:v>
      </x:c>
      <x:c r="B114" s="153" t="n">
        <x:v>166.82773</x:v>
      </x:c>
      <x:c r="C114" s="153" t="n">
        <x:v>205.17381</x:v>
      </x:c>
      <x:c r="D114" s="153" t="n">
        <x:v>149.21245</x:v>
      </x:c>
      <x:c r="E114" s="153" t="n">
        <x:v>1.1295136</x:v>
      </x:c>
      <x:c r="F114" s="153" t="n">
        <x:v>1.5040674</x:v>
      </x:c>
      <x:c r="G114" s="153" t="n">
        <x:v>4.1259437</x:v>
      </x:c>
    </x:row>
    <x:row r="115">
      <x:c r="A115" s="152" t="n">
        <x:v>45809</x:v>
      </x:c>
      <x:c r="B115" s="153" t="n">
        <x:v>221.1349</x:v>
      </x:c>
      <x:c r="C115" s="153" t="n">
        <x:v>286.4391</x:v>
      </x:c>
      <x:c r="D115" s="153" t="n">
        <x:v>182.07474</x:v>
      </x:c>
      <x:c r="E115" s="153" t="n">
        <x:v>1.3924286</x:v>
      </x:c>
      <x:c r="F115" s="153" t="n">
        <x:v>2.1694536</x:v>
      </x:c>
      <x:c r="G115" s="153" t="n">
        <x:v>5.638093</x:v>
      </x:c>
    </x:row>
    <x:row r="116">
      <x:c r="A116" s="152" t="n">
        <x:v>45839</x:v>
      </x:c>
      <x:c r="B116" s="153" t="n">
        <x:v>134.222</x:v>
      </x:c>
      <x:c r="C116" s="153" t="n">
        <x:v>156.11005</x:v>
      </x:c>
      <x:c r="D116" s="153" t="n">
        <x:v>119.33243</x:v>
      </x:c>
      <x:c r="E116" s="153" t="n">
        <x:v>0.899324</x:v>
      </x:c>
      <x:c r="F116" s="153" t="n">
        <x:v>1.394254</x:v>
      </x:c>
      <x:c r="G116" s="153" t="n">
        <x:v>3.168759</x:v>
      </x:c>
    </x:row>
    <x:row r="117">
      <x:c r="A117" s="152" t="n">
        <x:v>45870</x:v>
      </x:c>
      <x:c r="B117" s="153" t="n">
        <x:v>138.98846</x:v>
      </x:c>
      <x:c r="C117" s="153" t="n">
        <x:v>160.41519</x:v>
      </x:c>
      <x:c r="D117" s="153" t="n">
        <x:v>121.73106</x:v>
      </x:c>
      <x:c r="E117" s="153" t="n">
        <x:v>0.81841433</x:v>
      </x:c>
      <x:c r="F117" s="153" t="n">
        <x:v>1.713555</x:v>
      </x:c>
      <x:c r="G117" s="153" t="n">
        <x:v>3.4015346</x:v>
      </x:c>
    </x:row>
    <x:row r="118">
      <x:c r="A118" s="152" t="n">
        <x:v>45901</x:v>
      </x:c>
      <x:c r="B118" s="153" t="n">
        <x:v>126.740585</x:v>
      </x:c>
      <x:c r="C118" s="153" t="n">
        <x:v>142.89134</x:v>
      </x:c>
      <x:c r="D118" s="153" t="n">
        <x:v>115.22395</x:v>
      </x:c>
      <x:c r="E118" s="153" t="n">
        <x:v>1.0189419</x:v>
      </x:c>
      <x:c r="F118" s="153" t="n">
        <x:v>1.4565643</x:v>
      </x:c>
      <x:c r="G118" s="153" t="n">
        <x:v>3.128674</x:v>
      </x:c>
    </x:row>
    <x:row r="119">
      <x:c r="A119" s="152" t="n">
        <x:v>45931</x:v>
      </x:c>
      <x:c r="B119" s="153" t="n">
        <x:v>154.51292</x:v>
      </x:c>
      <x:c r="C119" s="153" t="n">
        <x:v>167.99814</x:v>
      </x:c>
      <x:c r="D119" s="153" t="n">
        <x:v>151.54868</x:v>
      </x:c>
      <x:c r="E119" s="153" t="n">
        <x:v>0.9443993</x:v>
      </x:c>
      <x:c r="F119" s="153" t="n">
        <x:v>1.5135405</x:v>
      </x:c>
      <x:c r="G119" s="153" t="n">
        <x:v>3.75258</x:v>
      </x:c>
    </x:row>
    <x:row r="120">
      <x:c r="A120" s="152" t="n">
        <x:v>45962</x:v>
      </x:c>
      <x:c r="B120" s="153" t="n">
        <x:v>104.35177</x:v>
      </x:c>
      <x:c r="C120" s="153" t="n">
        <x:v>118.69732</x:v>
      </x:c>
      <x:c r="D120" s="153" t="n">
        <x:v>88.69731</x:v>
      </x:c>
      <x:c r="E120" s="153" t="n">
        <x:v>0.6473509</x:v>
      </x:c>
      <x:c r="F120" s="153" t="n">
        <x:v>1.2884169</x:v>
      </x:c>
      <x:c r="G120" s="153" t="n">
        <x:v>2.658538</x:v>
      </x:c>
    </x:row>
    <x:row r="121">
      <x:c r="A121" s="152" t="n">
        <x:v>45992</x:v>
      </x:c>
      <x:c r="B121" s="153" t="n">
        <x:v>132.48622</x:v>
      </x:c>
      <x:c r="C121" s="153" t="n">
        <x:v>146.35893</x:v>
      </x:c>
      <x:c r="D121" s="153" t="n">
        <x:v>123.53462</x:v>
      </x:c>
      <x:c r="E121" s="153" t="n">
        <x:v>1.0032787</x:v>
      </x:c>
      <x:c r="F121" s="153" t="n">
        <x:v>1.6983607</x:v>
      </x:c>
      <x:c r="G121" s="153" t="n">
        <x:v>3.2459016</x:v>
      </x:c>
    </x:row>
    <x:row r="122">
      <x:c r="A122" s="152" t="n">
        <x:v>46023</x:v>
      </x:c>
      <x:c r="B122" s="153" t="n">
        <x:v>168.62987</x:v>
      </x:c>
      <x:c r="C122" s="153" t="n">
        <x:v>220.17142</x:v>
      </x:c>
      <x:c r="D122" s="153" t="n">
        <x:v>100.2221</x:v>
      </x:c>
      <x:c r="E122" s="153" t="n">
        <x:v>1.5055369</x:v>
      </x:c>
      <x:c r="F122" s="153" t="n">
        <x:v>1.9036955</x:v>
      </x:c>
      <x:c r="G122" s="153" t="n">
        <x:v>4.5663805</x:v>
      </x:c>
    </x:row>
    <x:row r="123">
      <x:c r="A123" s="152" t="n">
        <x:v>46054</x:v>
      </x:c>
      <x:c r="B123" s="153" t="n">
        <x:v>119.86541</x:v>
      </x:c>
      <x:c r="C123" s="153" t="n">
        <x:v>156.00601</x:v>
      </x:c>
      <x:c r="D123" s="153" t="n">
        <x:v>81.24062</x:v>
      </x:c>
      <x:c r="E123" s="153" t="n">
        <x:v>0.87076986</x:v>
      </x:c>
      <x:c r="F123" s="153" t="n">
        <x:v>1.2863646</x:v>
      </x:c>
      <x:c r="G123" s="153" t="n">
        <x:v>3.0740814</x:v>
      </x:c>
    </x:row>
    <x:row r="124">
      <x:c r="A124" s="152" t="n">
        <x:v>46082</x:v>
      </x:c>
      <x:c r="B124" s="153" t="n">
        <x:v>330.94464</x:v>
      </x:c>
      <x:c r="C124" s="153" t="n">
        <x:v>320.1606</x:v>
      </x:c>
      <x:c r="D124" s="153" t="n">
        <x:v>450.74365</x:v>
      </x:c>
      <x:c r="E124" s="153" t="n">
        <x:v>1.698526</x:v>
      </x:c>
      <x:c r="F124" s="153" t="n">
        <x:v>2.5046062</x:v>
      </x:c>
      <x:c r="G124" s="153" t="n">
        <x:v>8.682634</x:v>
      </x:c>
    </x:row>
    <x:row r="125">
      <x:c r="A125" s="152" t="n">
        <x:v>46113</x:v>
      </x:c>
      <x:c r="B125" s="153" t="n">
        <x:v>254.4295</x:v>
      </x:c>
      <x:c r="C125" s="153" t="n">
        <x:v>274.10672</x:v>
      </x:c>
      <x:c r="D125" s="153" t="n">
        <x:v>310.0836</x:v>
      </x:c>
      <x:c r="E125" s="153" t="n">
        <x:v>1.6724479</x:v>
      </x:c>
      <x:c r="F125" s="153" t="n">
        <x:v>1.746779</x:v>
      </x:c>
      <x:c r="G125" s="153" t="n">
        <x:v>6.7269573</x:v>
      </x:c>
    </x:row>
    <x:row r="126">
      <x:c r="A126" s="152" t="n">
        <x:v>46143</x:v>
      </x:c>
      <x:c r="B126" s="153" t="n">
        <x:v>203.55667</x:v>
      </x:c>
      <x:c r="C126" s="153" t="n">
        <x:v>233.46385</x:v>
      </x:c>
      <x:c r="D126" s="153" t="n">
        <x:v>215.21938</x:v>
      </x:c>
      <x:c r="E126" s="153" t="n">
        <x:v>1.7222084</x:v>
      </x:c>
      <x:c r="F126" s="153" t="n">
        <x:v>1.6600348</x:v>
      </x:c>
      <x:c r="G126" s="153" t="n">
        <x:v>5.303407</x:v>
      </x:c>
    </x:row>
    <x:row r="127">
      <x:c r="A127" s="152" t="n">
        <x:v>46174</x:v>
      </x:c>
      <x:c r="B127" s="153" t="n">
        <x:v>173.63956</x:v>
      </x:c>
      <x:c r="C127" s="153" t="n">
        <x:v>210.58104</x:v>
      </x:c>
      <x:c r="D127" s="153" t="n">
        <x:v>177.95995</x:v>
      </x:c>
      <x:c r="E127" s="153" t="n">
        <x:v>0.8033797</x:v>
      </x:c>
      <x:c r="F127" s="153" t="n">
        <x:v>1.2466238</x:v>
      </x:c>
      <x:c r="G127" s="153" t="n">
        <x:v>4.5363255</x:v>
      </x:c>
    </x:row>
  </x:sheetData>
  <x:pageMargins left="0.7" right="0.7" top="0.75" bottom="0.75" header="0.3" footer="0.3"/>
  <x:tableParts count="1">
    <x:tablePart xmlns:r="http://schemas.openxmlformats.org/officeDocument/2006/relationships" r:id="R27eda2f9706844a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54" hidden="0" customWidth="1"/>
    <x:col min="24" max="24" width="12" hidden="0" customWidth="1"/>
  </x:cols>
  <x:sheetData>
    <x:row r="1" ht="24" customHeight="1">
      <x:c r="A1" s="3" t="str">
        <x:v>白银年度供需、工业需求与市场平衡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164"/>
      <x:c r="Z1" s="164"/>
      <x:c r="AA1" s="164"/>
      <x:c r="AB1" s="164"/>
      <x:c r="AC1" s="164"/>
      <x:c r="AD1" s="164"/>
      <x:c r="AE1" s="164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164"/>
      <x:c r="Z2" s="164"/>
      <x:c r="AA2" s="164"/>
      <x:c r="AB2" s="164"/>
      <x:c r="AC2" s="164"/>
      <x:c r="AD2" s="164"/>
      <x:c r="AE2" s="164"/>
    </x:row>
    <x:row r="3" ht="24" customHeight="1">
      <x:c r="A3" s="7" t="str">
        <x:v>来源：World Silver Survey 2026，附录1第65页；单位为吨，2026为预测值。年度数据用于中长期机制，不用于解释单日波动。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164"/>
      <x:c r="Z3" s="164"/>
      <x:c r="AA3" s="164"/>
      <x:c r="AB3" s="164"/>
      <x:c r="AC3" s="164"/>
      <x:c r="AD3" s="164"/>
      <x:c r="AE3" s="164"/>
    </x:row>
    <x:row r="4">
      <x:c r="A4" s="164"/>
      <x:c r="B4" s="164"/>
      <x:c r="C4" s="164"/>
      <x:c r="D4" s="164"/>
      <x:c r="E4" s="164"/>
      <x:c r="F4" s="164"/>
      <x:c r="G4" s="164"/>
      <x:c r="H4" s="164"/>
      <x:c r="I4" s="164"/>
      <x:c r="J4" s="164"/>
      <x:c r="K4" s="164"/>
      <x:c r="L4" s="164"/>
      <x:c r="M4" s="164"/>
      <x:c r="N4" s="164"/>
      <x:c r="O4" s="164"/>
      <x:c r="P4" s="164"/>
      <x:c r="Q4" s="164"/>
      <x:c r="R4" s="164"/>
      <x:c r="S4" s="164"/>
      <x:c r="T4" s="164"/>
      <x:c r="U4" s="164"/>
      <x:c r="V4" s="164"/>
      <x:c r="W4" s="164"/>
      <x:c r="X4" s="164"/>
      <x:c r="Y4" s="164"/>
      <x:c r="Z4" s="164"/>
      <x:c r="AA4" s="164"/>
      <x:c r="AB4" s="164"/>
      <x:c r="AC4" s="164"/>
      <x:c r="AD4" s="164"/>
      <x:c r="AE4" s="164"/>
    </x:row>
    <x:row r="5" ht="42" customHeight="1">
      <x:c r="A5" s="146" t="str">
        <x:v>year</x:v>
      </x:c>
      <x:c r="B5" s="146" t="str">
        <x:v>is_forecast</x:v>
      </x:c>
      <x:c r="C5" s="146" t="str">
        <x:v>mine_production_tonnes</x:v>
      </x:c>
      <x:c r="D5" s="146" t="str">
        <x:v>recycling_tonnes</x:v>
      </x:c>
      <x:c r="E5" s="146" t="str">
        <x:v>net_hedging_supply_tonnes</x:v>
      </x:c>
      <x:c r="F5" s="146" t="str">
        <x:v>net_official_sector_sales_tonnes</x:v>
      </x:c>
      <x:c r="G5" s="146" t="str">
        <x:v>total_supply_tonnes</x:v>
      </x:c>
      <x:c r="H5" s="146" t="str">
        <x:v>industrial_total_tonnes</x:v>
      </x:c>
      <x:c r="I5" s="146" t="str">
        <x:v>electrical_electronics_tonnes</x:v>
      </x:c>
      <x:c r="J5" s="146" t="str">
        <x:v>photovoltaics_tonnes</x:v>
      </x:c>
      <x:c r="K5" s="146" t="str">
        <x:v>brazing_alloys_solders_tonnes</x:v>
      </x:c>
      <x:c r="L5" s="146" t="str">
        <x:v>other_industrial_tonnes</x:v>
      </x:c>
      <x:c r="M5" s="146" t="str">
        <x:v>photography_tonnes</x:v>
      </x:c>
      <x:c r="N5" s="146" t="str">
        <x:v>jewelry_tonnes</x:v>
      </x:c>
      <x:c r="O5" s="146" t="str">
        <x:v>silverware_tonnes</x:v>
      </x:c>
      <x:c r="P5" s="146" t="str">
        <x:v>coin_net_bar_demand_tonnes</x:v>
      </x:c>
      <x:c r="Q5" s="146" t="str">
        <x:v>net_hedging_demand_tonnes</x:v>
      </x:c>
      <x:c r="R5" s="146" t="str">
        <x:v>total_demand_tonnes</x:v>
      </x:c>
      <x:c r="S5" s="146" t="str">
        <x:v>market_balance_tonnes</x:v>
      </x:c>
      <x:c r="T5" s="146" t="str">
        <x:v>net_investment_etps_tonnes</x:v>
      </x:c>
      <x:c r="U5" s="146" t="str">
        <x:v>market_balance_less_etps_tonnes</x:v>
      </x:c>
      <x:c r="V5" s="146" t="str">
        <x:v>silver_price_usd_oz</x:v>
      </x:c>
      <x:c r="W5" s="146" t="str">
        <x:v>source_url</x:v>
      </x:c>
      <x:c r="X5" s="146" t="str">
        <x:v>source_page</x:v>
      </x:c>
      <x:c r="Y5" s="164"/>
      <x:c r="Z5" s="164" t="str">
        <x:v>年份</x:v>
      </x:c>
      <x:c r="AA5" s="164" t="str">
        <x:v>总供给(吨)</x:v>
      </x:c>
      <x:c r="AB5" s="164" t="str">
        <x:v>总需求(吨)</x:v>
      </x:c>
      <x:c r="AC5" s="164"/>
      <x:c r="AD5" s="164" t="str">
        <x:v>年份</x:v>
      </x:c>
      <x:c r="AE5" s="164" t="str">
        <x:v>市场平衡(吨)</x:v>
      </x:c>
    </x:row>
    <x:row r="6">
      <x:c r="A6" s="160" t="n">
        <x:v>2017</x:v>
      </x:c>
      <x:c r="B6" s="160" t="n">
        <x:v>0</x:v>
      </x:c>
      <x:c r="C6" s="159" t="n">
        <x:v>26834</x:v>
      </x:c>
      <x:c r="D6" s="159" t="n">
        <x:v>5006</x:v>
      </x:c>
      <x:c r="E6" s="159" t="n">
        <x:v>0</x:v>
      </x:c>
      <x:c r="F6" s="159" t="n">
        <x:v>33</x:v>
      </x:c>
      <x:c r="G6" s="159" t="n">
        <x:v>31873</x:v>
      </x:c>
      <x:c r="H6" s="159" t="n">
        <x:v>16421</x:v>
      </x:c>
      <x:c r="I6" s="159" t="n">
        <x:v>10546</x:v>
      </x:c>
      <x:c r="J6" s="159" t="n">
        <x:v>3088</x:v>
      </x:c>
      <x:c r="K6" s="159" t="n">
        <x:v>1582</x:v>
      </x:c>
      <x:c r="L6" s="159" t="n">
        <x:v>4293</x:v>
      </x:c>
      <x:c r="M6" s="159" t="n">
        <x:v>1009</x:v>
      </x:c>
      <x:c r="N6" s="159" t="n">
        <x:v>6067</x:v>
      </x:c>
      <x:c r="O6" s="159" t="n">
        <x:v>1848</x:v>
      </x:c>
      <x:c r="P6" s="159" t="n">
        <x:v>4836</x:v>
      </x:c>
      <x:c r="Q6" s="159" t="n">
        <x:v>35</x:v>
      </x:c>
      <x:c r="R6" s="159" t="n">
        <x:v>30216</x:v>
      </x:c>
      <x:c r="S6" s="159" t="n">
        <x:v>1656</x:v>
      </x:c>
      <x:c r="T6" s="159" t="n">
        <x:v>223</x:v>
      </x:c>
      <x:c r="U6" s="159" t="n">
        <x:v>1434</x:v>
      </x:c>
      <x:c r="V6" s="161" t="n">
        <x:v>17.05</x:v>
      </x:c>
      <x:c r="W6" s="147" t="str">
        <x:v>https://silverinstitute.org/wp-content/uploads/2026/04/World-Silver-Survey-2026.pdf</x:v>
      </x:c>
      <x:c r="X6" s="141" t="n">
        <x:v>65</x:v>
      </x:c>
      <x:c r="Y6" s="164"/>
      <x:c r="Z6" s="164" t="n">
        <x:f>A6</x:f>
        <x:v>2017</x:v>
      </x:c>
      <x:c r="AA6" s="164" t="n">
        <x:f>G6</x:f>
        <x:v>31873</x:v>
      </x:c>
      <x:c r="AB6" s="164" t="n">
        <x:f>R6</x:f>
        <x:v>30216</x:v>
      </x:c>
      <x:c r="AC6" s="164"/>
      <x:c r="AD6" s="164" t="n">
        <x:f>A6</x:f>
        <x:v>2017</x:v>
      </x:c>
      <x:c r="AE6" s="164" t="n">
        <x:f>S6</x:f>
        <x:v>1656</x:v>
      </x:c>
    </x:row>
    <x:row r="7">
      <x:c r="A7" s="160" t="n">
        <x:v>2018</x:v>
      </x:c>
      <x:c r="B7" s="160" t="n">
        <x:v>0</x:v>
      </x:c>
      <x:c r="C7" s="159" t="n">
        <x:v>26448</x:v>
      </x:c>
      <x:c r="D7" s="159" t="n">
        <x:v>5076</x:v>
      </x:c>
      <x:c r="E7" s="159" t="n">
        <x:v>0</x:v>
      </x:c>
      <x:c r="F7" s="159" t="n">
        <x:v>37</x:v>
      </x:c>
      <x:c r="G7" s="159" t="n">
        <x:v>31561</x:v>
      </x:c>
      <x:c r="H7" s="159" t="n">
        <x:v>16355</x:v>
      </x:c>
      <x:c r="I7" s="159" t="n">
        <x:v>10276</x:v>
      </x:c>
      <x:c r="J7" s="159" t="n">
        <x:v>2706</x:v>
      </x:c>
      <x:c r="K7" s="159" t="n">
        <x:v>1617</x:v>
      </x:c>
      <x:c r="L7" s="159" t="n">
        <x:v>4462</x:v>
      </x:c>
      <x:c r="M7" s="159" t="n">
        <x:v>977</x:v>
      </x:c>
      <x:c r="N7" s="159" t="n">
        <x:v>6280</x:v>
      </x:c>
      <x:c r="O7" s="159" t="n">
        <x:v>2086</x:v>
      </x:c>
      <x:c r="P7" s="159" t="n">
        <x:v>5167</x:v>
      </x:c>
      <x:c r="Q7" s="159" t="n">
        <x:v>230</x:v>
      </x:c>
      <x:c r="R7" s="159" t="n">
        <x:v>31095</x:v>
      </x:c>
      <x:c r="S7" s="159" t="n">
        <x:v>466</x:v>
      </x:c>
      <x:c r="T7" s="159" t="n">
        <x:v>-666</x:v>
      </x:c>
      <x:c r="U7" s="159" t="n">
        <x:v>1131</x:v>
      </x:c>
      <x:c r="V7" s="161" t="n">
        <x:v>15.71</x:v>
      </x:c>
      <x:c r="W7" s="147" t="str">
        <x:v>https://silverinstitute.org/wp-content/uploads/2026/04/World-Silver-Survey-2026.pdf</x:v>
      </x:c>
      <x:c r="X7" s="141" t="n">
        <x:v>65</x:v>
      </x:c>
      <x:c r="Y7" s="164"/>
      <x:c r="Z7" s="164" t="n">
        <x:f>A7</x:f>
        <x:v>2018</x:v>
      </x:c>
      <x:c r="AA7" s="164" t="n">
        <x:f>G7</x:f>
        <x:v>31561</x:v>
      </x:c>
      <x:c r="AB7" s="164" t="n">
        <x:f>R7</x:f>
        <x:v>31095</x:v>
      </x:c>
      <x:c r="AC7" s="164"/>
      <x:c r="AD7" s="164" t="n">
        <x:f>A7</x:f>
        <x:v>2018</x:v>
      </x:c>
      <x:c r="AE7" s="164" t="n">
        <x:f>S7</x:f>
        <x:v>466</x:v>
      </x:c>
    </x:row>
    <x:row r="8">
      <x:c r="A8" s="160" t="n">
        <x:v>2019</x:v>
      </x:c>
      <x:c r="B8" s="160" t="n">
        <x:v>0</x:v>
      </x:c>
      <x:c r="C8" s="159" t="n">
        <x:v>26041</x:v>
      </x:c>
      <x:c r="D8" s="159" t="n">
        <x:v>5124</x:v>
      </x:c>
      <x:c r="E8" s="159" t="n">
        <x:v>434</x:v>
      </x:c>
      <x:c r="F8" s="159" t="n">
        <x:v>32</x:v>
      </x:c>
      <x:c r="G8" s="159" t="n">
        <x:v>31630</x:v>
      </x:c>
      <x:c r="H8" s="159" t="n">
        <x:v>16342</x:v>
      </x:c>
      <x:c r="I8" s="159" t="n">
        <x:v>10160</x:v>
      </x:c>
      <x:c r="J8" s="159" t="n">
        <x:v>2330</x:v>
      </x:c>
      <x:c r="K8" s="159" t="n">
        <x:v>1629</x:v>
      </x:c>
      <x:c r="L8" s="159" t="n">
        <x:v>4553</x:v>
      </x:c>
      <x:c r="M8" s="159" t="n">
        <x:v>956</x:v>
      </x:c>
      <x:c r="N8" s="159" t="n">
        <x:v>6231</x:v>
      </x:c>
      <x:c r="O8" s="159" t="n">
        <x:v>1906</x:v>
      </x:c>
      <x:c r="P8" s="159" t="n">
        <x:v>5851</x:v>
      </x:c>
      <x:c r="Q8" s="159" t="n">
        <x:v>0</x:v>
      </x:c>
      <x:c r="R8" s="159" t="n">
        <x:v>31285</x:v>
      </x:c>
      <x:c r="S8" s="159" t="n">
        <x:v>345</x:v>
      </x:c>
      <x:c r="T8" s="159" t="n">
        <x:v>2590</x:v>
      </x:c>
      <x:c r="U8" s="159" t="n">
        <x:v>-2245</x:v>
      </x:c>
      <x:c r="V8" s="161" t="n">
        <x:v>16.21</x:v>
      </x:c>
      <x:c r="W8" s="147" t="str">
        <x:v>https://silverinstitute.org/wp-content/uploads/2026/04/World-Silver-Survey-2026.pdf</x:v>
      </x:c>
      <x:c r="X8" s="141" t="n">
        <x:v>65</x:v>
      </x:c>
      <x:c r="Y8" s="164"/>
      <x:c r="Z8" s="164" t="n">
        <x:f>A8</x:f>
        <x:v>2019</x:v>
      </x:c>
      <x:c r="AA8" s="164" t="n">
        <x:f>G8</x:f>
        <x:v>31630</x:v>
      </x:c>
      <x:c r="AB8" s="164" t="n">
        <x:f>R8</x:f>
        <x:v>31285</x:v>
      </x:c>
      <x:c r="AC8" s="164"/>
      <x:c r="AD8" s="164" t="n">
        <x:f>A8</x:f>
        <x:v>2019</x:v>
      </x:c>
      <x:c r="AE8" s="164" t="n">
        <x:f>S8</x:f>
        <x:v>345</x:v>
      </x:c>
    </x:row>
    <x:row r="9">
      <x:c r="A9" s="160" t="n">
        <x:v>2020</x:v>
      </x:c>
      <x:c r="B9" s="160" t="n">
        <x:v>0</x:v>
      </x:c>
      <x:c r="C9" s="159" t="n">
        <x:v>24582</x:v>
      </x:c>
      <x:c r="D9" s="159" t="n">
        <x:v>5646</x:v>
      </x:c>
      <x:c r="E9" s="159" t="n">
        <x:v>264</x:v>
      </x:c>
      <x:c r="F9" s="159" t="n">
        <x:v>37</x:v>
      </x:c>
      <x:c r="G9" s="159" t="n">
        <x:v>30530</x:v>
      </x:c>
      <x:c r="H9" s="159" t="n">
        <x:v>15921</x:v>
      </x:c>
      <x:c r="I9" s="159" t="n">
        <x:v>9997</x:v>
      </x:c>
      <x:c r="J9" s="159" t="n">
        <x:v>2575</x:v>
      </x:c>
      <x:c r="K9" s="159" t="n">
        <x:v>1479</x:v>
      </x:c>
      <x:c r="L9" s="159" t="n">
        <x:v>4445</x:v>
      </x:c>
      <x:c r="M9" s="159" t="n">
        <x:v>836</x:v>
      </x:c>
      <x:c r="N9" s="159" t="n">
        <x:v>4671</x:v>
      </x:c>
      <x:c r="O9" s="159" t="n">
        <x:v>969</x:v>
      </x:c>
      <x:c r="P9" s="159" t="n">
        <x:v>6499</x:v>
      </x:c>
      <x:c r="Q9" s="159" t="n">
        <x:v>0</x:v>
      </x:c>
      <x:c r="R9" s="159" t="n">
        <x:v>28896</x:v>
      </x:c>
      <x:c r="S9" s="159" t="n">
        <x:v>1634</x:v>
      </x:c>
      <x:c r="T9" s="159" t="n">
        <x:v>10299</x:v>
      </x:c>
      <x:c r="U9" s="159" t="n">
        <x:v>-8665</x:v>
      </x:c>
      <x:c r="V9" s="161" t="n">
        <x:v>20.55</x:v>
      </x:c>
      <x:c r="W9" s="147" t="str">
        <x:v>https://silverinstitute.org/wp-content/uploads/2026/04/World-Silver-Survey-2026.pdf</x:v>
      </x:c>
      <x:c r="X9" s="141" t="n">
        <x:v>65</x:v>
      </x:c>
      <x:c r="Y9" s="164"/>
      <x:c r="Z9" s="164" t="n">
        <x:f>A9</x:f>
        <x:v>2020</x:v>
      </x:c>
      <x:c r="AA9" s="164" t="n">
        <x:f>G9</x:f>
        <x:v>30530</x:v>
      </x:c>
      <x:c r="AB9" s="164" t="n">
        <x:f>R9</x:f>
        <x:v>28896</x:v>
      </x:c>
      <x:c r="AC9" s="164"/>
      <x:c r="AD9" s="164" t="n">
        <x:f>A9</x:f>
        <x:v>2020</x:v>
      </x:c>
      <x:c r="AE9" s="164" t="n">
        <x:f>S9</x:f>
        <x:v>1634</x:v>
      </x:c>
    </x:row>
    <x:row r="10">
      <x:c r="A10" s="160" t="n">
        <x:v>2021</x:v>
      </x:c>
      <x:c r="B10" s="160" t="n">
        <x:v>0</x:v>
      </x:c>
      <x:c r="C10" s="159" t="n">
        <x:v>25671</x:v>
      </x:c>
      <x:c r="D10" s="159" t="n">
        <x:v>5966</x:v>
      </x:c>
      <x:c r="E10" s="159" t="n">
        <x:v>0</x:v>
      </x:c>
      <x:c r="F10" s="159" t="n">
        <x:v>48</x:v>
      </x:c>
      <x:c r="G10" s="159" t="n">
        <x:v>31685</x:v>
      </x:c>
      <x:c r="H10" s="159" t="n">
        <x:v>17547</x:v>
      </x:c>
      <x:c r="I10" s="159" t="n">
        <x:v>10909</x:v>
      </x:c>
      <x:c r="J10" s="159" t="n">
        <x:v>2766</x:v>
      </x:c>
      <x:c r="K10" s="159" t="n">
        <x:v>1570</x:v>
      </x:c>
      <x:c r="L10" s="159" t="n">
        <x:v>5067</x:v>
      </x:c>
      <x:c r="M10" s="159" t="n">
        <x:v>862</x:v>
      </x:c>
      <x:c r="N10" s="159" t="n">
        <x:v>5629</x:v>
      </x:c>
      <x:c r="O10" s="159" t="n">
        <x:v>1267</x:v>
      </x:c>
      <x:c r="P10" s="159" t="n">
        <x:v>8875</x:v>
      </x:c>
      <x:c r="Q10" s="159" t="n">
        <x:v>110</x:v>
      </x:c>
      <x:c r="R10" s="159" t="n">
        <x:v>34288</x:v>
      </x:c>
      <x:c r="S10" s="159" t="n">
        <x:v>-2604</x:v>
      </x:c>
      <x:c r="T10" s="159" t="n">
        <x:v>2020</x:v>
      </x:c>
      <x:c r="U10" s="159" t="n">
        <x:v>-4624</x:v>
      </x:c>
      <x:c r="V10" s="161" t="n">
        <x:v>25.14</x:v>
      </x:c>
      <x:c r="W10" s="147" t="str">
        <x:v>https://silverinstitute.org/wp-content/uploads/2026/04/World-Silver-Survey-2026.pdf</x:v>
      </x:c>
      <x:c r="X10" s="141" t="n">
        <x:v>65</x:v>
      </x:c>
      <x:c r="Y10" s="164"/>
      <x:c r="Z10" s="164" t="n">
        <x:f>A10</x:f>
        <x:v>2021</x:v>
      </x:c>
      <x:c r="AA10" s="164" t="n">
        <x:f>G10</x:f>
        <x:v>31685</x:v>
      </x:c>
      <x:c r="AB10" s="164" t="n">
        <x:f>R10</x:f>
        <x:v>34288</x:v>
      </x:c>
      <x:c r="AC10" s="164"/>
      <x:c r="AD10" s="164" t="n">
        <x:f>A10</x:f>
        <x:v>2021</x:v>
      </x:c>
      <x:c r="AE10" s="164" t="n">
        <x:f>S10</x:f>
        <x:v>-2604</x:v>
      </x:c>
    </x:row>
    <x:row r="11">
      <x:c r="A11" s="160" t="n">
        <x:v>2022</x:v>
      </x:c>
      <x:c r="B11" s="160" t="n">
        <x:v>0</x:v>
      </x:c>
      <x:c r="C11" s="159" t="n">
        <x:v>25931</x:v>
      </x:c>
      <x:c r="D11" s="159" t="n">
        <x:v>6054</x:v>
      </x:c>
      <x:c r="E11" s="159" t="n">
        <x:v>0</x:v>
      </x:c>
      <x:c r="F11" s="159" t="n">
        <x:v>54</x:v>
      </x:c>
      <x:c r="G11" s="159" t="n">
        <x:v>32040</x:v>
      </x:c>
      <x:c r="H11" s="159" t="n">
        <x:v>18422</x:v>
      </x:c>
      <x:c r="I11" s="159" t="n">
        <x:v>11530</x:v>
      </x:c>
      <x:c r="J11" s="159" t="n">
        <x:v>3672</x:v>
      </x:c>
      <x:c r="K11" s="159" t="n">
        <x:v>1529</x:v>
      </x:c>
      <x:c r="L11" s="159" t="n">
        <x:v>5363</x:v>
      </x:c>
      <x:c r="M11" s="159" t="n">
        <x:v>860</x:v>
      </x:c>
      <x:c r="N11" s="159" t="n">
        <x:v>7254</x:v>
      </x:c>
      <x:c r="O11" s="159" t="n">
        <x:v>2287</x:v>
      </x:c>
      <x:c r="P11" s="159" t="n">
        <x:v>10558</x:v>
      </x:c>
      <x:c r="Q11" s="159" t="n">
        <x:v>557</x:v>
      </x:c>
      <x:c r="R11" s="159" t="n">
        <x:v>39939</x:v>
      </x:c>
      <x:c r="S11" s="159" t="n">
        <x:v>-7899</x:v>
      </x:c>
      <x:c r="T11" s="159" t="n">
        <x:v>-3650</x:v>
      </x:c>
      <x:c r="U11" s="159" t="n">
        <x:v>-4249</x:v>
      </x:c>
      <x:c r="V11" s="161" t="n">
        <x:v>21.73</x:v>
      </x:c>
      <x:c r="W11" s="147" t="str">
        <x:v>https://silverinstitute.org/wp-content/uploads/2026/04/World-Silver-Survey-2026.pdf</x:v>
      </x:c>
      <x:c r="X11" s="141" t="n">
        <x:v>65</x:v>
      </x:c>
      <x:c r="Y11" s="164"/>
      <x:c r="Z11" s="164" t="n">
        <x:f>A11</x:f>
        <x:v>2022</x:v>
      </x:c>
      <x:c r="AA11" s="164" t="n">
        <x:f>G11</x:f>
        <x:v>32040</x:v>
      </x:c>
      <x:c r="AB11" s="164" t="n">
        <x:f>R11</x:f>
        <x:v>39939</x:v>
      </x:c>
      <x:c r="AC11" s="164"/>
      <x:c r="AD11" s="164" t="n">
        <x:f>A11</x:f>
        <x:v>2022</x:v>
      </x:c>
      <x:c r="AE11" s="164" t="n">
        <x:f>S11</x:f>
        <x:v>-7899</x:v>
      </x:c>
    </x:row>
    <x:row r="12">
      <x:c r="A12" s="160" t="n">
        <x:v>2023</x:v>
      </x:c>
      <x:c r="B12" s="160" t="n">
        <x:v>0</x:v>
      </x:c>
      <x:c r="C12" s="159" t="n">
        <x:v>25217</x:v>
      </x:c>
      <x:c r="D12" s="159" t="n">
        <x:v>5741</x:v>
      </x:c>
      <x:c r="E12" s="159" t="n">
        <x:v>0</x:v>
      </x:c>
      <x:c r="F12" s="159" t="n">
        <x:v>51</x:v>
      </x:c>
      <x:c r="G12" s="159" t="n">
        <x:v>31009</x:v>
      </x:c>
      <x:c r="H12" s="159" t="n">
        <x:v>20440</x:v>
      </x:c>
      <x:c r="I12" s="159" t="n">
        <x:v>13822</x:v>
      </x:c>
      <x:c r="J12" s="159" t="n">
        <x:v>5993</x:v>
      </x:c>
      <x:c r="K12" s="159" t="n">
        <x:v>1561</x:v>
      </x:c>
      <x:c r="L12" s="159" t="n">
        <x:v>5056</x:v>
      </x:c>
      <x:c r="M12" s="159" t="n">
        <x:v>851</x:v>
      </x:c>
      <x:c r="N12" s="159" t="n">
        <x:v>6274</x:v>
      </x:c>
      <x:c r="O12" s="159" t="n">
        <x:v>1715</x:v>
      </x:c>
      <x:c r="P12" s="159" t="n">
        <x:v>7595</x:v>
      </x:c>
      <x:c r="Q12" s="159" t="n">
        <x:v>357</x:v>
      </x:c>
      <x:c r="R12" s="159" t="n">
        <x:v>37231</x:v>
      </x:c>
      <x:c r="S12" s="159" t="n">
        <x:v>-6222</x:v>
      </x:c>
      <x:c r="T12" s="159" t="n">
        <x:v>-1161</x:v>
      </x:c>
      <x:c r="U12" s="159" t="n">
        <x:v>-5061</x:v>
      </x:c>
      <x:c r="V12" s="161" t="n">
        <x:v>23.35</x:v>
      </x:c>
      <x:c r="W12" s="147" t="str">
        <x:v>https://silverinstitute.org/wp-content/uploads/2026/04/World-Silver-Survey-2026.pdf</x:v>
      </x:c>
      <x:c r="X12" s="141" t="n">
        <x:v>65</x:v>
      </x:c>
      <x:c r="Y12" s="164"/>
      <x:c r="Z12" s="164" t="n">
        <x:f>A12</x:f>
        <x:v>2023</x:v>
      </x:c>
      <x:c r="AA12" s="164" t="n">
        <x:f>G12</x:f>
        <x:v>31009</x:v>
      </x:c>
      <x:c r="AB12" s="164" t="n">
        <x:f>R12</x:f>
        <x:v>37231</x:v>
      </x:c>
      <x:c r="AC12" s="164"/>
      <x:c r="AD12" s="164" t="n">
        <x:f>A12</x:f>
        <x:v>2023</x:v>
      </x:c>
      <x:c r="AE12" s="164" t="n">
        <x:f>S12</x:f>
        <x:v>-6222</x:v>
      </x:c>
    </x:row>
    <x:row r="13">
      <x:c r="A13" s="160" t="n">
        <x:v>2024</x:v>
      </x:c>
      <x:c r="B13" s="160" t="n">
        <x:v>0</x:v>
      </x:c>
      <x:c r="C13" s="159" t="n">
        <x:v>25618</x:v>
      </x:c>
      <x:c r="D13" s="159" t="n">
        <x:v>6048</x:v>
      </x:c>
      <x:c r="E13" s="159" t="n">
        <x:v>0</x:v>
      </x:c>
      <x:c r="F13" s="159" t="n">
        <x:v>46</x:v>
      </x:c>
      <x:c r="G13" s="159" t="n">
        <x:v>31712</x:v>
      </x:c>
      <x:c r="H13" s="159" t="n">
        <x:v>21120</x:v>
      </x:c>
      <x:c r="I13" s="159" t="n">
        <x:v>14336</x:v>
      </x:c>
      <x:c r="J13" s="159" t="n">
        <x:v>6143</x:v>
      </x:c>
      <x:c r="K13" s="159" t="n">
        <x:v>1547</x:v>
      </x:c>
      <x:c r="L13" s="159" t="n">
        <x:v>5238</x:v>
      </x:c>
      <x:c r="M13" s="159" t="n">
        <x:v>792</x:v>
      </x:c>
      <x:c r="N13" s="159" t="n">
        <x:v>6379</x:v>
      </x:c>
      <x:c r="O13" s="159" t="n">
        <x:v>1664</x:v>
      </x:c>
      <x:c r="P13" s="159" t="n">
        <x:v>5937</x:v>
      </x:c>
      <x:c r="Q13" s="159" t="n">
        <x:v>108</x:v>
      </x:c>
      <x:c r="R13" s="159" t="n">
        <x:v>36001</x:v>
      </x:c>
      <x:c r="S13" s="159" t="n">
        <x:v>-4288</x:v>
      </x:c>
      <x:c r="T13" s="159" t="n">
        <x:v>2101</x:v>
      </x:c>
      <x:c r="U13" s="159" t="n">
        <x:v>-6389</x:v>
      </x:c>
      <x:c r="V13" s="161" t="n">
        <x:v>28.27</x:v>
      </x:c>
      <x:c r="W13" s="147" t="str">
        <x:v>https://silverinstitute.org/wp-content/uploads/2026/04/World-Silver-Survey-2026.pdf</x:v>
      </x:c>
      <x:c r="X13" s="141" t="n">
        <x:v>65</x:v>
      </x:c>
      <x:c r="Y13" s="164"/>
      <x:c r="Z13" s="164" t="n">
        <x:f>A13</x:f>
        <x:v>2024</x:v>
      </x:c>
      <x:c r="AA13" s="164" t="n">
        <x:f>G13</x:f>
        <x:v>31712</x:v>
      </x:c>
      <x:c r="AB13" s="164" t="n">
        <x:f>R13</x:f>
        <x:v>36001</x:v>
      </x:c>
      <x:c r="AC13" s="164"/>
      <x:c r="AD13" s="164" t="n">
        <x:f>A13</x:f>
        <x:v>2024</x:v>
      </x:c>
      <x:c r="AE13" s="164" t="n">
        <x:f>S13</x:f>
        <x:v>-4288</x:v>
      </x:c>
    </x:row>
    <x:row r="14">
      <x:c r="A14" s="160" t="n">
        <x:v>2025</x:v>
      </x:c>
      <x:c r="B14" s="160" t="n">
        <x:v>0</x:v>
      </x:c>
      <x:c r="C14" s="159" t="n">
        <x:v>26331</x:v>
      </x:c>
      <x:c r="D14" s="159" t="n">
        <x:v>6145</x:v>
      </x:c>
      <x:c r="E14" s="159" t="n">
        <x:v>1391</x:v>
      </x:c>
      <x:c r="F14" s="159" t="n">
        <x:v>48</x:v>
      </x:c>
      <x:c r="G14" s="159" t="n">
        <x:v>33914</x:v>
      </x:c>
      <x:c r="H14" s="159" t="n">
        <x:v>20446</x:v>
      </x:c>
      <x:c r="I14" s="159" t="n">
        <x:v>13980</x:v>
      </x:c>
      <x:c r="J14" s="159" t="n">
        <x:v>5804</x:v>
      </x:c>
      <x:c r="K14" s="159" t="n">
        <x:v>1569</x:v>
      </x:c>
      <x:c r="L14" s="159" t="n">
        <x:v>4896</x:v>
      </x:c>
      <x:c r="M14" s="159" t="n">
        <x:v>751</x:v>
      </x:c>
      <x:c r="N14" s="159" t="n">
        <x:v>5889</x:v>
      </x:c>
      <x:c r="O14" s="159" t="n">
        <x:v>1310</x:v>
      </x:c>
      <x:c r="P14" s="159" t="n">
        <x:v>6770</x:v>
      </x:c>
      <x:c r="Q14" s="159" t="n">
        <x:v>0</x:v>
      </x:c>
      <x:c r="R14" s="159" t="n">
        <x:v>35166</x:v>
      </x:c>
      <x:c r="S14" s="159" t="n">
        <x:v>-1252</x:v>
      </x:c>
      <x:c r="T14" s="159" t="n">
        <x:v>8650</x:v>
      </x:c>
      <x:c r="U14" s="159" t="n">
        <x:v>-9902</x:v>
      </x:c>
      <x:c r="V14" s="161" t="n">
        <x:v>40.03</x:v>
      </x:c>
      <x:c r="W14" s="147" t="str">
        <x:v>https://silverinstitute.org/wp-content/uploads/2026/04/World-Silver-Survey-2026.pdf</x:v>
      </x:c>
      <x:c r="X14" s="141" t="n">
        <x:v>65</x:v>
      </x:c>
      <x:c r="Y14" s="164"/>
      <x:c r="Z14" s="164" t="n">
        <x:f>A14</x:f>
        <x:v>2025</x:v>
      </x:c>
      <x:c r="AA14" s="164" t="n">
        <x:f>G14</x:f>
        <x:v>33914</x:v>
      </x:c>
      <x:c r="AB14" s="164" t="n">
        <x:f>R14</x:f>
        <x:v>35166</x:v>
      </x:c>
      <x:c r="AC14" s="164"/>
      <x:c r="AD14" s="164" t="n">
        <x:f>A14</x:f>
        <x:v>2025</x:v>
      </x:c>
      <x:c r="AE14" s="164" t="n">
        <x:f>S14</x:f>
        <x:v>-1252</x:v>
      </x:c>
    </x:row>
    <x:row r="15">
      <x:c r="A15" s="160" t="n">
        <x:v>2026</x:v>
      </x:c>
      <x:c r="B15" s="160" t="n">
        <x:v>1</x:v>
      </x:c>
      <x:c r="C15" s="159" t="n">
        <x:v>26254</x:v>
      </x:c>
      <x:c r="D15" s="159" t="n">
        <x:v>6571</x:v>
      </x:c>
      <x:c r="E15" s="159" t="n">
        <x:v>311</x:v>
      </x:c>
      <x:c r="F15" s="159" t="n">
        <x:v>31</x:v>
      </x:c>
      <x:c r="G15" s="159" t="n">
        <x:v>33167</x:v>
      </x:c>
      <x:c r="H15" s="159" t="n">
        <x:v>19894</x:v>
      </x:c>
      <x:c r="I15" s="159" t="n">
        <x:v>13154</x:v>
      </x:c>
      <x:c r="J15" s="159" t="n">
        <x:v>4698</x:v>
      </x:c>
      <x:c r="K15" s="159" t="n">
        <x:v>1586</x:v>
      </x:c>
      <x:c r="L15" s="159" t="n">
        <x:v>5154</x:v>
      </x:c>
      <x:c r="M15" s="159" t="n">
        <x:v>701</x:v>
      </x:c>
      <x:c r="N15" s="159" t="n">
        <x:v>4957</x:v>
      </x:c>
      <x:c r="O15" s="159" t="n">
        <x:v>1042</x:v>
      </x:c>
      <x:c r="P15" s="159" t="n">
        <x:v>8013</x:v>
      </x:c>
      <x:c r="Q15" s="159" t="n">
        <x:v>0</x:v>
      </x:c>
      <x:c r="R15" s="159" t="n">
        <x:v>34606</x:v>
      </x:c>
      <x:c r="S15" s="159" t="n">
        <x:v>-1439</x:v>
      </x:c>
      <x:c r="T15" s="159" t="n">
        <x:v>933</x:v>
      </x:c>
      <x:c r="U15" s="159" t="n">
        <x:v>-2372</x:v>
      </x:c>
      <x:c r="V15" s="161"/>
      <x:c r="W15" s="147" t="str">
        <x:v>https://silverinstitute.org/wp-content/uploads/2026/04/World-Silver-Survey-2026.pdf</x:v>
      </x:c>
      <x:c r="X15" s="141" t="n">
        <x:v>65</x:v>
      </x:c>
      <x:c r="Y15" s="164"/>
      <x:c r="Z15" s="164" t="n">
        <x:f>A15</x:f>
        <x:v>2026</x:v>
      </x:c>
      <x:c r="AA15" s="164" t="n">
        <x:f>G15</x:f>
        <x:v>33167</x:v>
      </x:c>
      <x:c r="AB15" s="164" t="n">
        <x:f>R15</x:f>
        <x:v>34606</x:v>
      </x:c>
      <x:c r="AC15" s="164"/>
      <x:c r="AD15" s="164" t="n">
        <x:f>A15</x:f>
        <x:v>2026</x:v>
      </x:c>
      <x:c r="AE15" s="164" t="n">
        <x:f>S15</x:f>
        <x:v>-1439</x:v>
      </x:c>
    </x:row>
  </x:sheetData>
  <x:mergeCells>
    <x:mergeCell ref="A1:X2"/>
    <x:mergeCell ref="A3:X3"/>
  </x:mergeCells>
  <x:conditionalFormatting sqref="B6:B15">
    <x:cfRule type="cellIs" dxfId="2" priority="1" operator="equal">
      <x:formula>1</x:formula>
    </x:cfRule>
  </x:conditionalFormatting>
  <x:conditionalFormatting sqref="S6:S15">
    <x:cfRule type="cellIs" dxfId="3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76189468dbc40f9"/>
  <x:tableParts count="1">
    <x:tablePart xmlns:r="http://schemas.openxmlformats.org/officeDocument/2006/relationships" r:id="R683c8a45131e47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2" hidden="0" customWidth="1"/>
    <x:col min="10" max="10" width="52" hidden="0" customWidth="1"/>
    <x:col min="11" max="11" width="32" hidden="0" customWidth="1"/>
    <x:col min="12" max="12" width="32" hidden="0" customWidth="1"/>
    <x:col min="13" max="13" width="32" hidden="0" customWidth="1"/>
  </x:cols>
  <x:sheetData>
    <x:row r="1" ht="24" customHeight="1">
      <x:c r="A1" s="3" t="str">
        <x:v>数据来源与时间口径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所有模型字段都应能追溯到此表；完整URL只集中存放在本页，避免在建模表中重复。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42" customHeight="1">
      <x:c r="A5" s="146" t="str">
        <x:v>数据集ID</x:v>
      </x:c>
      <x:c r="B5" s="146" t="str">
        <x:v>字段/用途</x:v>
      </x:c>
      <x:c r="C5" s="146" t="str">
        <x:v>来源机构</x:v>
      </x:c>
      <x:c r="D5" s="146" t="str">
        <x:v>频率</x:v>
      </x:c>
      <x:c r="E5" s="146" t="str">
        <x:v>观察时间</x:v>
      </x:c>
      <x:c r="F5" s="146" t="str">
        <x:v>模型可用时间</x:v>
      </x:c>
      <x:c r="G5" s="146" t="str">
        <x:v>覆盖期</x:v>
      </x:c>
      <x:c r="H5" s="146" t="str">
        <x:v>单位</x:v>
      </x:c>
      <x:c r="I5" s="146" t="str">
        <x:v>官方URL</x:v>
      </x:c>
      <x:c r="J5" s="146" t="str">
        <x:v>本地文件</x:v>
      </x:c>
      <x:c r="K5" s="146" t="str">
        <x:v>许可/引用说明</x:v>
      </x:c>
      <x:c r="L5" s="146" t="str">
        <x:v>工作表</x:v>
      </x:c>
      <x:c r="M5" s="146" t="str">
        <x:v>备注</x:v>
      </x:c>
    </x:row>
    <x:row r="6" ht="68" customHeight="1">
      <x:c r="A6" s="147" t="str">
        <x:v>SGE_DAILY</x:v>
      </x:c>
      <x:c r="B6" s="147" t="str">
        <x:v>Au99.99、Ag(T+D)开高低收、量额、持仓</x:v>
      </x:c>
      <x:c r="C6" s="147" t="str">
        <x:v>上海黄金交易所</x:v>
      </x:c>
      <x:c r="D6" s="147" t="str">
        <x:v>日</x:v>
      </x:c>
      <x:c r="E6" s="147" t="str">
        <x:v>中国交易日收盘</x:v>
      </x:c>
      <x:c r="F6" s="147" t="str">
        <x:v>当日收盘后；解释当日需谨慎</x:v>
      </x:c>
      <x:c r="G6" s="147" t="str">
        <x:v>2024-01-04—2026-07-24</x:v>
      </x:c>
      <x:c r="H6" s="147" t="str">
        <x:v>RMB/g、RMB/kg、kg、元</x:v>
      </x:c>
      <x:c r="I6" s="147" t="str">
        <x:v>https://www.sge.com.cn/sjzx/quotation_daily_new</x:v>
      </x:c>
      <x:c r="J6" s="147" t="str">
        <x:v>data/processed/sge_gold_silver_daily_2024_2026.csv</x:v>
      </x:c>
      <x:c r="K6" s="147" t="str">
        <x:v>比赛使用时保留来源；对外再分发前复核网站条款</x:v>
      </x:c>
      <x:c r="L6" s="147" t="str">
        <x:v>06_SGE原始日行情</x:v>
      </x:c>
      <x:c r="M6" s="147" t="str">
        <x:v>网站单次查询周期不超过1个月</x:v>
      </x:c>
    </x:row>
    <x:row r="7" ht="68" customHeight="1">
      <x:c r="A7" s="147" t="str">
        <x:v>FRED_DAILY</x:v>
      </x:c>
      <x:c r="B7" s="147" t="str">
        <x:v>名义/实际利率、通胀预期、美元、VIX、联邦基金利率</x:v>
      </x:c>
      <x:c r="C7" s="147" t="str">
        <x:v>Federal Reserve Bank of St. Louis及原始发布方</x:v>
      </x:c>
      <x:c r="D7" s="147" t="str">
        <x:v>日</x:v>
      </x:c>
      <x:c r="E7" s="147" t="str">
        <x:v>各美国市场/指标日期</x:v>
      </x:c>
      <x:c r="F7" s="147" t="str">
        <x:v>日度主表严格使用早于上金所交易日的最后值</x:v>
      </x:c>
      <x:c r="G7" s="147" t="str">
        <x:v>2016年至当前</x:v>
      </x:c>
      <x:c r="H7" s="147" t="str">
        <x:v>%、Index</x:v>
      </x:c>
      <x:c r="I7" s="147" t="str">
        <x:v>https://fred.stlouisfed.org/</x:v>
      </x:c>
      <x:c r="J7" s="147" t="str">
        <x:v>data/raw/fred/*.csv</x:v>
      </x:c>
      <x:c r="K7" s="147" t="str">
        <x:v>逐序列保留原始来源与版权说明；VIX源自CBOE</x:v>
      </x:c>
      <x:c r="L7" s="147" t="str">
        <x:v>07_FRED日度原始</x:v>
      </x:c>
      <x:c r="M7" s="147" t="str">
        <x:v>美国同日收盘通常晚于上金所，故不可同日直连</x:v>
      </x:c>
    </x:row>
    <x:row r="8" ht="68" customHeight="1">
      <x:c r="A8" s="147" t="str">
        <x:v>WORLD_BANK</x:v>
      </x:c>
      <x:c r="B8" s="147" t="str">
        <x:v>黄金、白银、Brent、铜月均价</x:v>
      </x:c>
      <x:c r="C8" s="147" t="str">
        <x:v>World Bank Pink Sheet</x:v>
      </x:c>
      <x:c r="D8" s="147" t="str">
        <x:v>月</x:v>
      </x:c>
      <x:c r="E8" s="147" t="str">
        <x:v>自然月月均</x:v>
      </x:c>
      <x:c r="F8" s="147" t="str">
        <x:v>保守做法滞后1个月</x:v>
      </x:c>
      <x:c r="G8" s="147" t="str">
        <x:v>2016-01—2026-06</x:v>
      </x:c>
      <x:c r="H8" s="147" t="str">
        <x:v>USD/oz、USD/bbl、USD/mt</x:v>
      </x:c>
      <x:c r="I8" s="147" t="str">
        <x:v>https://www.worldbank.org/en/research/commodity-markets</x:v>
      </x:c>
      <x:c r="J8" s="147" t="str">
        <x:v>data/processed/world_bank_monthly_prices.csv</x:v>
      </x:c>
      <x:c r="K8" s="147" t="str">
        <x:v>公开数据，引用World Bank Pink Sheet</x:v>
      </x:c>
      <x:c r="L8" s="147" t="str">
        <x:v>09_金银月度主表</x:v>
      </x:c>
      <x:c r="M8" s="147" t="str">
        <x:v>适合长期机制，不替代日度交易价格</x:v>
      </x:c>
    </x:row>
    <x:row r="9" ht="68" customHeight="1">
      <x:c r="A9" s="147" t="str">
        <x:v>CFTC_COT</x:v>
      </x:c>
      <x:c r="B9" s="147" t="str">
        <x:v>COMEX黄金/白银管理基金与生产商持仓</x:v>
      </x:c>
      <x:c r="C9" s="147" t="str">
        <x:v>U.S. CFTC</x:v>
      </x:c>
      <x:c r="D9" s="147" t="str">
        <x:v>周</x:v>
      </x:c>
      <x:c r="E9" s="147" t="str">
        <x:v>周二持仓快照</x:v>
      </x:c>
      <x:c r="F9" s="147" t="str">
        <x:v>通常周五发布后</x:v>
      </x:c>
      <x:c r="G9" s="147" t="str">
        <x:v>2016年至当前</x:v>
      </x:c>
      <x:c r="H9" s="147" t="str">
        <x:v>Contracts、占OI比例</x:v>
      </x:c>
      <x:c r="I9" s="147" t="str">
        <x:v>https://www.cftc.gov/MarketReports/CommitmentsofTraders/HistoricalCompressed/index.htm</x:v>
      </x:c>
      <x:c r="J9" s="147" t="str">
        <x:v>data/processed/cftc_gold_silver_weekly.csv</x:v>
      </x:c>
      <x:c r="K9" s="147" t="str">
        <x:v>美国政府公开信息，引用CFTC</x:v>
      </x:c>
      <x:c r="L9" s="147" t="str">
        <x:v>08_CFTC周度持仓</x:v>
      </x:c>
      <x:c r="M9" s="147" t="str">
        <x:v>节假日周需按官方发布日期校正</x:v>
      </x:c>
    </x:row>
    <x:row r="10" ht="68" customHeight="1">
      <x:c r="A10" s="147" t="str">
        <x:v>GPR</x:v>
      </x:c>
      <x:c r="B10" s="147" t="str">
        <x:v>全球地缘政治风险、威胁和行动分项</x:v>
      </x:c>
      <x:c r="C10" s="147" t="str">
        <x:v>Caldara &amp; Iacoviello</x:v>
      </x:c>
      <x:c r="D10" s="147" t="str">
        <x:v>月</x:v>
      </x:c>
      <x:c r="E10" s="147" t="str">
        <x:v>新闻所属月</x:v>
      </x:c>
      <x:c r="F10" s="147" t="str">
        <x:v>最新月份可能修订</x:v>
      </x:c>
      <x:c r="G10" s="147" t="str">
        <x:v>2016-01—2026-06</x:v>
      </x:c>
      <x:c r="H10" s="147" t="str">
        <x:v>Index</x:v>
      </x:c>
      <x:c r="I10" s="147" t="str">
        <x:v>https://www.matteoiacoviello.com/gpr.htm</x:v>
      </x:c>
      <x:c r="J10" s="147" t="str">
        <x:v>data/processed/gpr_monthly.csv</x:v>
      </x:c>
      <x:c r="K10" s="147" t="str">
        <x:v>按作者页面要求署名引用</x:v>
      </x:c>
      <x:c r="L10" s="147" t="str">
        <x:v>10_GPR月度</x:v>
      </x:c>
      <x:c r="M10" s="147" t="str">
        <x:v>新闻覆盖偏英语媒体</x:v>
      </x:c>
    </x:row>
    <x:row r="11" ht="68" customHeight="1">
      <x:c r="A11" s="147" t="str">
        <x:v>EPU_CHINA</x:v>
      </x:c>
      <x:c r="B11" s="147" t="str">
        <x:v>中国大陆报纸经济政策不确定性候选代理</x:v>
      </x:c>
      <x:c r="C11" s="147" t="str">
        <x:v>Davis-Liu-Sheng / policyuncertainty.com</x:v>
      </x:c>
      <x:c r="D11" s="147" t="str">
        <x:v>月</x:v>
      </x:c>
      <x:c r="E11" s="147" t="str">
        <x:v>新闻所属月</x:v>
      </x:c>
      <x:c r="F11" s="147" t="str">
        <x:v>建议滞后1月</x:v>
      </x:c>
      <x:c r="G11" s="147" t="str">
        <x:v>2022-02—2025-02</x:v>
      </x:c>
      <x:c r="H11" s="147" t="str">
        <x:v>Index</x:v>
      </x:c>
      <x:c r="I11" s="147" t="str">
        <x:v>https://www.policyuncertainty.com/</x:v>
      </x:c>
      <x:c r="J11" s="147" t="str">
        <x:v>research/media_sentiment_gold_paper/datasets/processed/China_Mainland_EPU_proxy_2022-02_to_2025-02.csv</x:v>
      </x:c>
      <x:c r="K11" s="147" t="str">
        <x:v>仅作论文复现候选代理，不能冒充论文唯一原始EPU</x:v>
      </x:c>
      <x:c r="L11" s="147" t="str">
        <x:v>09_金银月度主表</x:v>
      </x:c>
      <x:c r="M11" s="147" t="str">
        <x:v>时段短，模型中应设置缺失标记</x:v>
      </x:c>
    </x:row>
    <x:row r="12" ht="68" customHeight="1">
      <x:c r="A12" s="147" t="str">
        <x:v>SILVER_SURVEY</x:v>
      </x:c>
      <x:c r="B12" s="147" t="str">
        <x:v>矿产、回收、工业/光伏需求、投资需求、总供需和市场平衡</x:v>
      </x:c>
      <x:c r="C12" s="147" t="str">
        <x:v>Silver Institute / Metals Focus</x:v>
      </x:c>
      <x:c r="D12" s="147" t="str">
        <x:v>年</x:v>
      </x:c>
      <x:c r="E12" s="147" t="str">
        <x:v>年度统计与2026预测</x:v>
      </x:c>
      <x:c r="F12" s="147" t="str">
        <x:v>按调查报告发布日期使用</x:v>
      </x:c>
      <x:c r="G12" s="147" t="str">
        <x:v>2017—2026F</x:v>
      </x:c>
      <x:c r="H12" s="147" t="str">
        <x:v>吨、USD/oz</x:v>
      </x:c>
      <x:c r="I12" s="147" t="str">
        <x:v>https://silverinstitute.org/wp-content/uploads/2026/04/World-Silver-Survey-2026.pdf</x:v>
      </x:c>
      <x:c r="J12" s="147" t="str">
        <x:v>data/processed/silver_institute_supply_demand_2017_2026.csv</x:v>
      </x:c>
      <x:c r="K12" s="147" t="str">
        <x:v>摘录自World Silver Survey 2026附录1第65页；2026为预测</x:v>
      </x:c>
      <x:c r="L12" s="147" t="str">
        <x:v>11_白银年度供需</x:v>
      </x:c>
      <x:c r="M12" s="147" t="str">
        <x:v>年度总量存在四舍五入，不能直接解释日度波动</x:v>
      </x:c>
    </x:row>
    <x:row r="13" ht="68" customHeight="1">
      <x:c r="A13" s="147" t="str">
        <x:v>WGC_PENDING</x:v>
      </x:c>
      <x:c r="B13" s="147" t="str">
        <x:v>央行购金、ETF流量、黄金供需</x:v>
      </x:c>
      <x:c r="C13" s="147" t="str">
        <x:v>World Gold Council</x:v>
      </x:c>
      <x:c r="D13" s="147" t="str">
        <x:v>月/季</x:v>
      </x:c>
      <x:c r="E13" s="147" t="str">
        <x:v>所属期</x:v>
      </x:c>
      <x:c r="F13" s="147" t="str">
        <x:v>按报告发布日期</x:v>
      </x:c>
      <x:c r="G13" s="147" t="str">
        <x:v>待补</x:v>
      </x:c>
      <x:c r="H13" s="147" t="str">
        <x:v>吨、USD</x:v>
      </x:c>
      <x:c r="I13" s="147" t="str">
        <x:v>https://www.gold.org/goldhub/data</x:v>
      </x:c>
      <x:c r="J13" s="147" t="str">
        <x:v>未打包</x:v>
      </x:c>
      <x:c r="K13" s="147" t="str">
        <x:v>下载与再分发受条款约束；当前只列目录</x:v>
      </x:c>
      <x:c r="L13" s="147" t="str">
        <x:v>12_来源与口径</x:v>
      </x:c>
      <x:c r="M13" s="147" t="str">
        <x:v>需在建模前完成授权审核</x:v>
      </x:c>
    </x:row>
    <x:row r="14" ht="68" customHeight="1">
      <x:c r="A14" s="147" t="str">
        <x:v>GDELT_PENDING</x:v>
      </x:c>
      <x:c r="B14" s="147" t="str">
        <x:v>黄金新闻数量、主题和情绪</x:v>
      </x:c>
      <x:c r="C14" s="147" t="str">
        <x:v>GDELT Project</x:v>
      </x:c>
      <x:c r="D14" s="147" t="str">
        <x:v>15分钟/日</x:v>
      </x:c>
      <x:c r="E14" s="147" t="str">
        <x:v>文章发布时间</x:v>
      </x:c>
      <x:c r="F14" s="147" t="str">
        <x:v>文章发布后</x:v>
      </x:c>
      <x:c r="G14" s="147" t="str">
        <x:v>待补</x:v>
      </x:c>
      <x:c r="H14" s="147" t="str">
        <x:v>Count、Tone</x:v>
      </x:c>
      <x:c r="I14" s="147" t="str">
        <x:v>https://www.gdeltproject.org/data.html</x:v>
      </x:c>
      <x:c r="J14" s="147" t="str">
        <x:v>未打包</x:v>
      </x:c>
      <x:c r="K14" s="147" t="str">
        <x:v>开放数据但需保留来源与查询条件</x:v>
      </x:c>
      <x:c r="L14" s="147" t="str">
        <x:v>12_来源与口径</x:v>
      </x:c>
      <x:c r="M14" s="147" t="str">
        <x:v>必须去重、消除未来新闻并控制查询歧义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7d87cf0fa40b40f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2" hidden="0" customWidth="1"/>
  </x:cols>
  <x:sheetData>
    <x:row r="1" ht="24" customHeight="1">
      <x:c r="A1" s="3" t="str">
        <x:v>数据质量与时间泄漏检查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PASS表示当前数据包满足最低要求；“待补数据”不会阻断本周结构化因素分析。</x:v>
      </x:c>
      <x:c r="B3" s="7"/>
      <x:c r="C3" s="7"/>
      <x:c r="D3" s="7"/>
      <x:c r="E3" s="7"/>
      <x:c r="F3" s="7"/>
      <x:c r="G3" s="7"/>
    </x:row>
    <x:row r="5">
      <x:c r="A5" t="str">
        <x:v>检查项</x:v>
      </x:c>
      <x:c r="B5" t="str">
        <x:v>实际值</x:v>
      </x:c>
      <x:c r="C5" t="str">
        <x:v>目标值</x:v>
      </x:c>
      <x:c r="D5" t="str">
        <x:v>容差</x:v>
      </x:c>
      <x:c r="E5" t="str">
        <x:v>状态</x:v>
      </x:c>
      <x:c r="F5" t="str">
        <x:v>说明</x:v>
      </x:c>
    </x:row>
    <x:row r="6">
      <x:c r="A6" s="162" t="str">
        <x:v>SGE原始记录数</x:v>
      </x:c>
      <x:c r="B6" s="162" t="n">
        <x:v>1188</x:v>
      </x:c>
      <x:c r="C6" s="162" t="n">
        <x:v>1000</x:v>
      </x:c>
      <x:c r="D6" s="162" t="n">
        <x:v>0</x:v>
      </x:c>
      <x:c r="E6" s="162" t="str">
        <x:f>IF(B6+D6&gt;=C6,"PASS","FAIL")</x:f>
        <x:v>PASS</x:v>
      </x:c>
      <x:c r="F6" s="162" t="str">
        <x:v>至少覆盖金银两个合约约两年</x:v>
      </x:c>
    </x:row>
    <x:row r="7">
      <x:c r="A7" s="162" t="str">
        <x:v>Au99.99交易日数</x:v>
      </x:c>
      <x:c r="B7" s="162" t="n">
        <x:v>594</x:v>
      </x:c>
      <x:c r="C7" s="162" t="n">
        <x:v>500</x:v>
      </x:c>
      <x:c r="D7" s="162" t="n">
        <x:v>0</x:v>
      </x:c>
      <x:c r="E7" s="162" t="str">
        <x:f>IF(B7+D7&gt;=C7,"PASS","FAIL")</x:f>
        <x:v>PASS</x:v>
      </x:c>
      <x:c r="F7" s="162" t="str">
        <x:v>2024-01-04至2026-07-24</x:v>
      </x:c>
    </x:row>
    <x:row r="8">
      <x:c r="A8" s="162" t="str">
        <x:v>Ag(T+D)交易日数</x:v>
      </x:c>
      <x:c r="B8" s="162" t="n">
        <x:v>594</x:v>
      </x:c>
      <x:c r="C8" s="162" t="n">
        <x:v>500</x:v>
      </x:c>
      <x:c r="D8" s="162" t="n">
        <x:v>0</x:v>
      </x:c>
      <x:c r="E8" s="162" t="str">
        <x:f>IF(B8+D8&gt;=C8,"PASS","FAIL")</x:f>
        <x:v>PASS</x:v>
      </x:c>
      <x:c r="F8" s="162" t="str">
        <x:v>必须与黄金目标变量并列覆盖</x:v>
      </x:c>
    </x:row>
    <x:row r="9">
      <x:c r="A9" s="162" t="str">
        <x:v>日度主表重复日期</x:v>
      </x:c>
      <x:c r="B9" s="162" t="n">
        <x:v>0</x:v>
      </x:c>
      <x:c r="C9" s="162" t="n">
        <x:v>0</x:v>
      </x:c>
      <x:c r="D9" s="162" t="n">
        <x:v>0</x:v>
      </x:c>
      <x:c r="E9" s="162" t="str">
        <x:f>IF(ABS(B9-C9)&lt;=D9,"PASS","FAIL")</x:f>
        <x:v>PASS</x:v>
      </x:c>
      <x:c r="F9" s="162" t="str">
        <x:v>date必须唯一</x:v>
      </x:c>
    </x:row>
    <x:row r="10">
      <x:c r="A10" s="162" t="str">
        <x:v>美国因子/CFTC同日或未来泄漏</x:v>
      </x:c>
      <x:c r="B10" s="162" t="n">
        <x:v>0</x:v>
      </x:c>
      <x:c r="C10" s="162" t="n">
        <x:v>0</x:v>
      </x:c>
      <x:c r="D10" s="162" t="n">
        <x:v>0</x:v>
      </x:c>
      <x:c r="E10" s="162" t="str">
        <x:f>IF(ABS(B10-C10)&lt;=D10,"PASS","FAIL")</x:f>
        <x:v>PASS</x:v>
      </x:c>
      <x:c r="F10" s="162" t="str">
        <x:v>观察或发布日期必须严格早于上金所交易日</x:v>
      </x:c>
    </x:row>
    <x:row r="11">
      <x:c r="A11" s="162" t="str">
        <x:v>月度研究样本数</x:v>
      </x:c>
      <x:c r="B11" s="162" t="n">
        <x:v>126</x:v>
      </x:c>
      <x:c r="C11" s="162" t="n">
        <x:v>120</x:v>
      </x:c>
      <x:c r="D11" s="162" t="n">
        <x:v>0</x:v>
      </x:c>
      <x:c r="E11" s="162" t="str">
        <x:f>IF(B11+D11&gt;=C11,"PASS","FAIL")</x:f>
        <x:v>PASS</x:v>
      </x:c>
      <x:c r="F11" s="162" t="str">
        <x:v>2016-01至2026-06</x:v>
      </x:c>
    </x:row>
    <x:row r="12">
      <x:c r="A12" s="162" t="str">
        <x:v>月度非正黄金价格</x:v>
      </x:c>
      <x:c r="B12" s="162" t="n">
        <x:v>0</x:v>
      </x:c>
      <x:c r="C12" s="162" t="n">
        <x:v>0</x:v>
      </x:c>
      <x:c r="D12" s="162" t="n">
        <x:v>0</x:v>
      </x:c>
      <x:c r="E12" s="162" t="str">
        <x:f>IF(ABS(B12-C12)&lt;=D12,"PASS","FAIL")</x:f>
        <x:v>PASS</x:v>
      </x:c>
      <x:c r="F12" s="162" t="str">
        <x:v>目标价格必须大于0</x:v>
      </x:c>
    </x:row>
    <x:row r="13">
      <x:c r="A13" s="162" t="str">
        <x:v>月度非正白银价格</x:v>
      </x:c>
      <x:c r="B13" s="162" t="n">
        <x:v>0</x:v>
      </x:c>
      <x:c r="C13" s="162" t="n">
        <x:v>0</x:v>
      </x:c>
      <x:c r="D13" s="162" t="n">
        <x:v>0</x:v>
      </x:c>
      <x:c r="E13" s="162" t="str">
        <x:f>IF(ABS(B13-C13)&lt;=D13,"PASS","FAIL")</x:f>
        <x:v>PASS</x:v>
      </x:c>
      <x:c r="F13" s="162" t="str">
        <x:v>白银目标价格必须大于0</x:v>
      </x:c>
    </x:row>
    <x:row r="14">
      <x:c r="A14" s="162" t="str">
        <x:v>CFTC发布日早于报告日</x:v>
      </x:c>
      <x:c r="B14" s="162" t="n">
        <x:v>0</x:v>
      </x:c>
      <x:c r="C14" s="162" t="n">
        <x:v>0</x:v>
      </x:c>
      <x:c r="D14" s="162" t="n">
        <x:v>0</x:v>
      </x:c>
      <x:c r="E14" s="162" t="str">
        <x:f>IF(ABS(B14-C14)&lt;=D14,"PASS","FAIL")</x:f>
        <x:v>PASS</x:v>
      </x:c>
      <x:c r="F14" s="162" t="str">
        <x:v>假定发布日期不得早于周二快照</x:v>
      </x:c>
    </x:row>
    <x:row r="15">
      <x:c r="A15" s="162" t="str">
        <x:v>CFTC黄金周度记录</x:v>
      </x:c>
      <x:c r="B15" s="162" t="n">
        <x:v>549</x:v>
      </x:c>
      <x:c r="C15" s="162" t="n">
        <x:v>500</x:v>
      </x:c>
      <x:c r="D15" s="162" t="n">
        <x:v>0</x:v>
      </x:c>
      <x:c r="E15" s="162" t="str">
        <x:f>IF(B15+D15&gt;=C15,"PASS","FAIL")</x:f>
        <x:v>PASS</x:v>
      </x:c>
      <x:c r="F15" s="162" t="str">
        <x:v>黄金持仓不得代替白银持仓</x:v>
      </x:c>
    </x:row>
    <x:row r="16">
      <x:c r="A16" s="162" t="str">
        <x:v>CFTC白银周度记录</x:v>
      </x:c>
      <x:c r="B16" s="162" t="n">
        <x:v>549</x:v>
      </x:c>
      <x:c r="C16" s="162" t="n">
        <x:v>500</x:v>
      </x:c>
      <x:c r="D16" s="162" t="n">
        <x:v>0</x:v>
      </x:c>
      <x:c r="E16" s="162" t="str">
        <x:f>IF(B16+D16&gt;=C16,"PASS","FAIL")</x:f>
        <x:v>PASS</x:v>
      </x:c>
      <x:c r="F16" s="162" t="str">
        <x:v>白银持仓单独进入模型</x:v>
      </x:c>
    </x:row>
    <x:row r="17">
      <x:c r="A17" s="162" t="str">
        <x:v>白银年度供需记录</x:v>
      </x:c>
      <x:c r="B17" s="162" t="n">
        <x:v>10</x:v>
      </x:c>
      <x:c r="C17" s="162" t="n">
        <x:v>10</x:v>
      </x:c>
      <x:c r="D17" s="162" t="n">
        <x:v>0</x:v>
      </x:c>
      <x:c r="E17" s="162" t="str">
        <x:f>IF(B17+D17&gt;=C17,"PASS","FAIL")</x:f>
        <x:v>PASS</x:v>
      </x:c>
      <x:c r="F17" s="162" t="str">
        <x:v>2017—2026F，共10年</x:v>
      </x:c>
    </x:row>
    <x:row r="18">
      <x:c r="A18" s="162" t="str">
        <x:v>白银总供需平衡四舍五入差</x:v>
      </x:c>
      <x:c r="B18" s="162" t="n">
        <x:v>1</x:v>
      </x:c>
      <x:c r="C18" s="162" t="n">
        <x:v>0</x:v>
      </x:c>
      <x:c r="D18" s="162" t="n">
        <x:v>1</x:v>
      </x:c>
      <x:c r="E18" s="162" t="str">
        <x:f>IF(ABS(B18-C18)&lt;=D18,"PASS","FAIL")</x:f>
        <x:v>PASS</x:v>
      </x:c>
      <x:c r="F18" s="162" t="str">
        <x:v>总量来自报告四舍五入，允许1吨误差</x:v>
      </x:c>
    </x:row>
    <x:row r="19">
      <x:c r="A19" s="162" t="str">
        <x:v>GPR月度记录数</x:v>
      </x:c>
      <x:c r="B19" s="162" t="n">
        <x:v>126</x:v>
      </x:c>
      <x:c r="C19" s="162" t="n">
        <x:v>120</x:v>
      </x:c>
      <x:c r="D19" s="162" t="n">
        <x:v>0</x:v>
      </x:c>
      <x:c r="E19" s="162" t="str">
        <x:f>IF(B19+D19&gt;=C19,"PASS","FAIL")</x:f>
        <x:v>PASS</x:v>
      </x:c>
      <x:c r="F19" s="162" t="str">
        <x:v>最新月份可能修订</x:v>
      </x:c>
    </x:row>
    <x:row r="20">
      <x:c r="A20" s="162" t="str">
        <x:v>媒体情绪已打包</x:v>
      </x:c>
      <x:c r="B20" s="162" t="n">
        <x:v>0</x:v>
      </x:c>
      <x:c r="C20" s="162" t="n">
        <x:v>1</x:v>
      </x:c>
      <x:c r="D20" s="162" t="n">
        <x:v>0</x:v>
      </x:c>
      <x:c r="E20" s="162" t="str">
        <x:v>PENDING</x:v>
      </x:c>
      <x:c r="F20" s="162" t="str">
        <x:v>非阻断项：下一阶段采集GDELT/授权新闻</x:v>
      </x:c>
    </x:row>
    <x:row r="21">
      <x:c r="A21" s="162" t="str">
        <x:v>黄金央行/ETF流量已打包</x:v>
      </x:c>
      <x:c r="B21" s="162" t="n">
        <x:v>0</x:v>
      </x:c>
      <x:c r="C21" s="162" t="n">
        <x:v>1</x:v>
      </x:c>
      <x:c r="D21" s="162" t="n">
        <x:v>0</x:v>
      </x:c>
      <x:c r="E21" s="162" t="str">
        <x:v>PENDING</x:v>
      </x:c>
      <x:c r="F21" s="162" t="str">
        <x:v>非阻断项：授权审核后补充</x:v>
      </x:c>
    </x:row>
  </x:sheetData>
  <x:mergeCells>
    <x:mergeCell ref="A1:G2"/>
    <x:mergeCell ref="A3:G3"/>
  </x:mergeCells>
  <x:conditionalFormatting sqref="E6:E21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257a460277504f2a"/>
  </x:tableParts>
</x:worksheet>
</file>